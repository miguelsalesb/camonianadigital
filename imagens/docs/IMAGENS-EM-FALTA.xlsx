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portugalgovpt-my.sharepoint.com/personal/mbaptista_bnportugal_gov_pt/Documents/Documentos/python/camoniana/imagens/docs/"/>
    </mc:Choice>
  </mc:AlternateContent>
  <xr:revisionPtr revIDLastSave="53" documentId="8_{3693A9E9-6976-4975-9EE8-A822B5739AF3}" xr6:coauthVersionLast="47" xr6:coauthVersionMax="47" xr10:uidLastSave="{F8A27B55-6919-49F1-B094-5E8A3D33567F}"/>
  <bookViews>
    <workbookView xWindow="33510" yWindow="4545" windowWidth="21600" windowHeight="11295" xr2:uid="{75FF1E47-7D3A-4411-B29E-963122423D8C}"/>
  </bookViews>
  <sheets>
    <sheet name="Fo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65" i="1" l="1" a="1"/>
  <c r="E65" i="1" s="1"/>
  <c r="D65" i="1"/>
  <c r="E64" i="1" a="1"/>
  <c r="E64" i="1" s="1"/>
  <c r="D64" i="1"/>
  <c r="E63" i="1" a="1"/>
  <c r="E63" i="1" s="1"/>
  <c r="D63" i="1"/>
  <c r="E62" i="1"/>
  <c r="E62" i="1" a="1"/>
  <c r="D62" i="1"/>
  <c r="E61" i="1" a="1"/>
  <c r="E61" i="1" s="1"/>
  <c r="D61" i="1"/>
  <c r="E60" i="1" a="1"/>
  <c r="E60" i="1" s="1"/>
  <c r="D60" i="1"/>
  <c r="E59" i="1" a="1"/>
  <c r="E59" i="1" s="1"/>
  <c r="D59" i="1"/>
  <c r="E58" i="1" a="1"/>
  <c r="E58" i="1" s="1"/>
  <c r="D58" i="1"/>
  <c r="E57" i="1" a="1"/>
  <c r="E57" i="1" s="1"/>
  <c r="D57" i="1"/>
  <c r="E56" i="1" a="1"/>
  <c r="E56" i="1" s="1"/>
  <c r="D56" i="1"/>
  <c r="E54" i="1" a="1"/>
  <c r="E54" i="1" s="1"/>
  <c r="D54" i="1"/>
  <c r="E53" i="1" a="1"/>
  <c r="E53" i="1" s="1"/>
  <c r="D53" i="1"/>
  <c r="E52" i="1" a="1"/>
  <c r="E52" i="1" s="1"/>
  <c r="D52" i="1"/>
  <c r="E50" i="1" a="1"/>
  <c r="E50" i="1" s="1"/>
  <c r="D50" i="1"/>
  <c r="E49" i="1"/>
  <c r="E49" i="1" a="1"/>
  <c r="D49" i="1"/>
  <c r="E48" i="1" a="1"/>
  <c r="E48" i="1" s="1"/>
  <c r="D48" i="1"/>
  <c r="E47" i="1" a="1"/>
  <c r="E47" i="1" s="1"/>
  <c r="D47" i="1"/>
  <c r="E46" i="1" a="1"/>
  <c r="E46" i="1" s="1"/>
  <c r="D46" i="1"/>
  <c r="E45" i="1"/>
  <c r="E45" i="1" a="1"/>
  <c r="D45" i="1"/>
  <c r="E44" i="1" a="1"/>
  <c r="E44" i="1" s="1"/>
  <c r="D44" i="1"/>
  <c r="E43" i="1"/>
  <c r="E43" i="1" a="1"/>
  <c r="D43" i="1"/>
  <c r="E41" i="1" a="1"/>
  <c r="E41" i="1" s="1"/>
  <c r="D41" i="1"/>
  <c r="E39" i="1" a="1"/>
  <c r="E39" i="1" s="1"/>
  <c r="D39" i="1"/>
  <c r="E38" i="1" a="1"/>
  <c r="E38" i="1" s="1"/>
  <c r="D38" i="1"/>
  <c r="E37" i="1" a="1"/>
  <c r="E37" i="1" s="1"/>
  <c r="D37" i="1"/>
  <c r="E36" i="1" a="1"/>
  <c r="E36" i="1" s="1"/>
  <c r="D36" i="1"/>
  <c r="E35" i="1" a="1"/>
  <c r="E35" i="1" s="1"/>
  <c r="D35" i="1"/>
  <c r="E34" i="1" a="1"/>
  <c r="E34" i="1" s="1"/>
  <c r="D34" i="1"/>
  <c r="E33" i="1" a="1"/>
  <c r="E33" i="1" s="1"/>
  <c r="D33" i="1"/>
  <c r="E32" i="1" a="1"/>
  <c r="E32" i="1" s="1"/>
  <c r="D32" i="1"/>
  <c r="E31" i="1" a="1"/>
  <c r="E31" i="1" s="1"/>
  <c r="D31" i="1"/>
  <c r="E28" i="1" a="1"/>
  <c r="E28" i="1" s="1"/>
  <c r="D28" i="1"/>
  <c r="E27" i="1" a="1"/>
  <c r="E27" i="1" s="1"/>
  <c r="D27" i="1"/>
  <c r="E26" i="1" a="1"/>
  <c r="E26" i="1" s="1"/>
  <c r="D26" i="1"/>
  <c r="E25" i="1" a="1"/>
  <c r="E25" i="1" s="1"/>
  <c r="D25" i="1"/>
  <c r="E24" i="1" a="1"/>
  <c r="E24" i="1" s="1"/>
  <c r="D24" i="1"/>
  <c r="E22" i="1" a="1"/>
  <c r="E22" i="1" s="1"/>
  <c r="D22" i="1"/>
  <c r="E21" i="1" a="1"/>
  <c r="E21" i="1" s="1"/>
  <c r="D21" i="1"/>
  <c r="E19" i="1" a="1"/>
  <c r="E19" i="1" s="1"/>
  <c r="D19" i="1"/>
  <c r="E18" i="1" a="1"/>
  <c r="E18" i="1" s="1"/>
  <c r="D18" i="1"/>
  <c r="E17" i="1" a="1"/>
  <c r="E17" i="1" s="1"/>
  <c r="D17" i="1"/>
  <c r="E15" i="1" a="1"/>
  <c r="E15" i="1" s="1"/>
  <c r="D15" i="1"/>
  <c r="E14" i="1" a="1"/>
  <c r="E14" i="1" s="1"/>
  <c r="D14" i="1"/>
  <c r="E13" i="1" a="1"/>
  <c r="E13" i="1" s="1"/>
  <c r="D13" i="1"/>
  <c r="E12" i="1" a="1"/>
  <c r="E12" i="1" s="1"/>
  <c r="D12" i="1"/>
  <c r="E8" i="1" a="1"/>
  <c r="E8" i="1" s="1"/>
  <c r="D8" i="1"/>
  <c r="E7" i="1" a="1"/>
  <c r="E7" i="1" s="1"/>
  <c r="D7" i="1"/>
  <c r="E6" i="1" a="1"/>
  <c r="E6" i="1" s="1"/>
  <c r="D6" i="1"/>
  <c r="E4" i="1" a="1"/>
  <c r="E4" i="1" s="1"/>
  <c r="D4" i="1"/>
  <c r="E3" i="1" a="1"/>
  <c r="E3" i="1" s="1"/>
  <c r="D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<sst xmlns="http://schemas.openxmlformats.org/spreadsheetml/2006/main" count="113" uniqueCount="101">
  <si>
    <t>https://purl.pt/23692</t>
  </si>
  <si>
    <t>9 [portada]</t>
  </si>
  <si>
    <t>https://purl.pt/44155</t>
  </si>
  <si>
    <t>1 [portada]</t>
  </si>
  <si>
    <t>https://purl.pt/23629</t>
  </si>
  <si>
    <t>7 [portada]</t>
  </si>
  <si>
    <t>https://purl.pt/44065</t>
  </si>
  <si>
    <t>https://purl.pt/44217</t>
  </si>
  <si>
    <t>https://purl.pt/44111</t>
  </si>
  <si>
    <r>
      <rPr>
        <sz val="11"/>
        <color rgb="FF000000"/>
        <rFont val="Aptos Narrow"/>
        <scheme val="minor"/>
      </rPr>
      <t xml:space="preserve">[31, 35, 39, 40, 41, 52, 58, 92, 115, 139, 155 apontamentos frisos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</si>
  <si>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t>https://purl.pt/14104</t>
  </si>
  <si>
    <t>133, 257 [apontamentos]</t>
  </si>
  <si>
    <t>https://purl.pt/14197</t>
  </si>
  <si>
    <t>136 [apontamento]</t>
  </si>
  <si>
    <t>https://purl.pt/44628</t>
  </si>
  <si>
    <r>
      <rPr>
        <sz val="11"/>
        <color rgb="FF000000"/>
        <rFont val="Aptos Narrow"/>
        <scheme val="minor"/>
      </rPr>
      <t xml:space="preserve">15, 109, 121, 135, 145, 165 [apontamentos frisos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</si>
  <si>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t>https://purl.pt/42835</t>
  </si>
  <si>
    <r>
      <rPr>
        <sz val="11"/>
        <color rgb="FF000000"/>
        <rFont val="Aptos Narrow"/>
        <scheme val="minor"/>
      </rPr>
      <t>7 [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 xml:space="preserve">], 19, 23 [frisos </t>
    </r>
    <r>
      <rPr>
        <i/>
        <sz val="11"/>
        <color rgb="FF000000"/>
        <rFont val="Aptos Narrow"/>
        <scheme val="minor"/>
      </rPr>
      <t xml:space="preserve">site, </t>
    </r>
    <r>
      <rPr>
        <sz val="11"/>
        <color rgb="FF000000"/>
        <rFont val="Aptos Narrow"/>
        <scheme val="minor"/>
      </rPr>
      <t>esta obra contém mais apontamentos e frisos belíssimos]</t>
    </r>
  </si>
  <si>
    <t>https://purl.pt/43227</t>
  </si>
  <si>
    <t>https://purl.pt/43818</t>
  </si>
  <si>
    <t>https://purl.pt/43871</t>
  </si>
  <si>
    <t>https://purl.pt/44736</t>
  </si>
  <si>
    <t>5, 8 figuras zoológicas que parecem não pertencer à edição</t>
  </si>
  <si>
    <t>https://purl.pt/43741</t>
  </si>
  <si>
    <r>
      <rPr>
        <sz val="11"/>
        <color rgb="FF000000"/>
        <rFont val="Aptos Narrow"/>
        <scheme val="minor"/>
      </rPr>
      <t xml:space="preserve">7, 388 [apontamento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</si>
  <si>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t>https://purl.pt/44013</t>
  </si>
  <si>
    <t>9, 27, 404 [portada, frontispício da 1.ª edição, pelicano esquerda, frontispício da 2.ª edição]</t>
  </si>
  <si>
    <t>https://purl.pt/43811</t>
  </si>
  <si>
    <r>
      <rPr>
        <sz val="11"/>
        <color rgb="FF000000"/>
        <rFont val="Aptos Narrow"/>
        <scheme val="minor"/>
      </rPr>
      <t xml:space="preserve">14 [vinheta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</si>
  <si>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t>https://purl.pt/44671</t>
  </si>
  <si>
    <t>5 [portada]</t>
  </si>
  <si>
    <t>https://purl.pt/43931</t>
  </si>
  <si>
    <t>11 [portada]</t>
  </si>
  <si>
    <t>https://purl.pt/43825</t>
  </si>
  <si>
    <t>https://purl.pt/44834</t>
  </si>
  <si>
    <t>3 [portada], 5 apontamentos frisos, 8 [ilha de São Lázaro, Veneza], 10 tipografia do convento de S. Lázaro</t>
  </si>
  <si>
    <t>https://purl.pt/43923</t>
  </si>
  <si>
    <t>https://purl.pt/43827</t>
  </si>
  <si>
    <t>https://purl.pt/43786</t>
  </si>
  <si>
    <t>https://purl.pt/43429</t>
  </si>
  <si>
    <t>https://purl.pt/43971</t>
  </si>
  <si>
    <t>https://purl.pt/44713</t>
  </si>
  <si>
    <t>https://purl.pt/44712</t>
  </si>
  <si>
    <t>8 [posições de Vénus na eclíptica]</t>
  </si>
  <si>
    <t>https://purl.pt/43836</t>
  </si>
  <si>
    <t>https://purl.pt/43854</t>
  </si>
  <si>
    <t>https://purl.pt/44488</t>
  </si>
  <si>
    <t>68 [Brasão do marquês em biografia de Gama na edição dos Lusíadas]</t>
  </si>
  <si>
    <t>https://purl.pt/44562</t>
  </si>
  <si>
    <t>13, 15 [retratos Vasco da Gama]</t>
  </si>
  <si>
    <t>https://purl.pt/43856</t>
  </si>
  <si>
    <t>https://purl.pt/43755</t>
  </si>
  <si>
    <r>
      <rPr>
        <sz val="11"/>
        <color rgb="FF000000"/>
        <rFont val="Aptos Narrow"/>
        <scheme val="minor"/>
      </rPr>
      <t>1, 7 [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</si>
  <si>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t>https://purl.pt/43998</t>
  </si>
  <si>
    <t>https://purl.pt/43999</t>
  </si>
  <si>
    <t>3 [portada]</t>
  </si>
  <si>
    <t>https://purl.pt/43980</t>
  </si>
  <si>
    <t>https://purl.pt/21930</t>
  </si>
  <si>
    <t>5 [1.º Vol.], 2 [2.º Vol.]</t>
  </si>
  <si>
    <t>https://purl.pt/14100</t>
  </si>
  <si>
    <t>160 [apontamento]</t>
  </si>
  <si>
    <t>https://purl.pt/44828</t>
  </si>
  <si>
    <t>24, 22 [apontamentos]</t>
  </si>
  <si>
    <t>https://purl.pt/43430</t>
  </si>
  <si>
    <t>https://purl.pt/43423</t>
  </si>
  <si>
    <t>2 [brasão livraria]</t>
  </si>
  <si>
    <t>https://purl.pt/43139</t>
  </si>
  <si>
    <t>https://purl.pt/42945</t>
  </si>
  <si>
    <r>
      <t xml:space="preserve"> 7 [portada; 11 apontamento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</si>
  <si>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t>https://purl.pt/43887</t>
  </si>
  <si>
    <t>13 [portada]</t>
  </si>
  <si>
    <t>https://purl.pt/43817</t>
  </si>
  <si>
    <t>8 [retrato do tradutor]</t>
  </si>
  <si>
    <t>https://purl.pt/43868</t>
  </si>
  <si>
    <t>https://purl.pt/43870</t>
  </si>
  <si>
    <r>
      <rPr>
        <sz val="11"/>
        <color rgb="FF000000"/>
        <rFont val="Aptos Narrow"/>
        <scheme val="minor"/>
      </rPr>
      <t xml:space="preserve">17, 26, 29 [1.ª Ed. do Poema, pelicano esquerda, apontamentos </t>
    </r>
    <r>
      <rPr>
        <i/>
        <sz val="11"/>
        <color rgb="FF000000"/>
        <rFont val="Aptos Narrow"/>
        <scheme val="minor"/>
      </rPr>
      <t xml:space="preserve">site </t>
    </r>
    <r>
      <rPr>
        <sz val="11"/>
        <color rgb="FF000000"/>
        <rFont val="Aptos Narrow"/>
        <scheme val="minor"/>
      </rPr>
      <t>?]</t>
    </r>
  </si>
  <si>
    <t>1.ª ed.</t>
  </si>
  <si>
    <r>
      <rPr>
        <sz val="11"/>
        <color rgb="FF000000"/>
        <rFont val="Aptos Narrow"/>
        <scheme val="minor"/>
      </rPr>
      <t xml:space="preserve"> 7 [20, 34, 48, 85, 90 apontamentos frisos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</si>
  <si>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t>https://purl.pt/43932</t>
  </si>
  <si>
    <t>https://purl.pt/42915</t>
  </si>
  <si>
    <t>12 [retrato do tradutor]</t>
  </si>
  <si>
    <t>https://purl.pt/42822</t>
  </si>
  <si>
    <r>
      <rPr>
        <sz val="11"/>
        <color rgb="FF000000"/>
        <rFont val="Aptos Narrow"/>
        <scheme val="minor"/>
      </rPr>
      <t xml:space="preserve">7, 17, 79, 89, 97, 104, 105 [1.º: portada, apontamentos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</si>
  <si>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t>https://purl.pt/43756</t>
  </si>
  <si>
    <t>1, 5</t>
  </si>
  <si>
    <t>https://purl.pt/43913</t>
  </si>
  <si>
    <t>https://purl.pt/44002</t>
  </si>
  <si>
    <r>
      <rPr>
        <sz val="11"/>
        <color rgb="FF000000"/>
        <rFont val="Aptos Narrow"/>
        <scheme val="minor"/>
      </rPr>
      <t xml:space="preserve">96, 97, 100, 101 [portadas das primeiras edições de </t>
    </r>
    <r>
      <rPr>
        <i/>
        <sz val="11"/>
        <color rgb="FF000000"/>
        <rFont val="Aptos Narrow"/>
        <scheme val="minor"/>
      </rPr>
      <t>Os Lusíadas</t>
    </r>
    <r>
      <rPr>
        <sz val="11"/>
        <color rgb="FF000000"/>
        <rFont val="Aptos Narrow"/>
        <scheme val="minor"/>
      </rPr>
      <t>]</t>
    </r>
  </si>
  <si>
    <t>https://purl.pt/44063</t>
  </si>
  <si>
    <t>7 [apontamento Tricentenário]</t>
  </si>
  <si>
    <t>https://purl.pt/43922</t>
  </si>
  <si>
    <r>
      <rPr>
        <sz val="11"/>
        <color rgb="FF000000"/>
        <rFont val="Aptos Narrow"/>
        <scheme val="minor"/>
      </rPr>
      <t xml:space="preserve">5 [apontamento </t>
    </r>
    <r>
      <rPr>
        <i/>
        <sz val="11"/>
        <color rgb="FF000000"/>
        <rFont val="Aptos Narrow"/>
        <scheme val="minor"/>
      </rPr>
      <t>site</t>
    </r>
    <r>
      <rPr>
        <sz val="11"/>
        <color rgb="FF000000"/>
        <rFont val="Aptos Narrow"/>
        <scheme val="minor"/>
      </rPr>
      <t>]</t>
    </r>
  </si>
  <si>
    <t>https://purl.pt/43927</t>
  </si>
  <si>
    <t>https://purl.pt/43752</t>
  </si>
  <si>
    <t>https://purl.pt/43876</t>
  </si>
  <si>
    <t>1 ou 3 [portada]</t>
  </si>
  <si>
    <t>https://purl.pt/43744</t>
  </si>
  <si>
    <r>
      <t>cf. separadores, Imagens 126 e 217</t>
    </r>
    <r>
      <rPr>
        <i/>
        <sz val="11"/>
        <color rgb="FF000000"/>
        <rFont val="Aptos Narrow"/>
      </rPr>
      <t>site</t>
    </r>
    <r>
      <rPr>
        <sz val="11"/>
        <color rgb="FF000000"/>
        <rFont val="Aptos Narrow"/>
      </rPr>
      <t>.</t>
    </r>
  </si>
  <si>
    <t>https://purl.pt/43436</t>
  </si>
  <si>
    <t>https://purl.pt/44445</t>
  </si>
  <si>
    <t>11 [Nau S. Gabriel]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</si>
</sst>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scheme val="minor"/>
    </font>
    <font>
      <i/>
      <sz val="11"/>
      <color rgb="FF000000"/>
      <name val="Aptos Narrow"/>
      <scheme val="minor"/>
    </font>
    <font>
      <i/>
      <sz val="11"/>
      <color rgb="FF000000"/>
      <name val="Aptos Narrow"/>
    </font>
    <font>
      <sz val="11"/>
      <color rgb="FF0F9ED5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AF7E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AF2D0"/>
        <bgColor rgb="FFDAF2D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3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baptista\Downloads\camoniana-digital%20(1).xlsx" TargetMode="External"/><Relationship Id="rId1" Type="http://schemas.openxmlformats.org/officeDocument/2006/relationships/externalLinkPath" Target="file:///C:\Users\mbaptista\Downloads\camoniana-digita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magens"/>
      <sheetName val="catalogo"/>
      <sheetName val="Camoniana 500-NÃO MEXER"/>
      <sheetName val="lista-categorias"/>
      <sheetName val="IGNORAR-imagens"/>
      <sheetName val="IGNORAR-Camoniana 500 - Imagens"/>
      <sheetName val="IGNORAR-lista-edicoes"/>
      <sheetName val="IGNORAR-estado"/>
      <sheetName val="IGNORAR-Excluídos"/>
      <sheetName val="IGNORAR-Comparação"/>
      <sheetName val="IGNORAR-lista-celebracoes"/>
      <sheetName val="IGNORARlista-categorias-imagens"/>
      <sheetName val="IGNORARinfo-bibliografica"/>
      <sheetName val="IGNORAR-retificacoes"/>
      <sheetName val="IGNORAR-Ilustrações da obra"/>
      <sheetName val="IGNORAR-Imagens-exemplo"/>
      <sheetName val="IGNORAR-Folha1"/>
      <sheetName val="IGNORAR-Test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 xml:space="preserve"> </v>
          </cell>
        </row>
        <row r="2">
          <cell r="A2" t="str">
            <v>1.ª ed.</v>
          </cell>
        </row>
        <row r="3">
          <cell r="A3" t="str">
            <v>2.ª ed.</v>
          </cell>
        </row>
        <row r="4">
          <cell r="A4" t="str">
            <v>3.ª ed.</v>
          </cell>
        </row>
        <row r="5">
          <cell r="A5" t="str">
            <v>4.ª ed.</v>
          </cell>
        </row>
        <row r="6">
          <cell r="A6" t="str">
            <v>5.ª ed.</v>
          </cell>
        </row>
        <row r="7">
          <cell r="A7" t="str">
            <v>6.ª ed.</v>
          </cell>
        </row>
        <row r="8">
          <cell r="A8" t="str">
            <v>7.ª ed.</v>
          </cell>
        </row>
        <row r="9">
          <cell r="A9" t="str">
            <v>8.ª ed.</v>
          </cell>
        </row>
        <row r="10">
          <cell r="A10" t="str">
            <v>9.ª ed.</v>
          </cell>
        </row>
        <row r="11">
          <cell r="A11" t="str">
            <v>10.ª ed.</v>
          </cell>
        </row>
        <row r="12">
          <cell r="A12" t="str">
            <v>11.ª ed.</v>
          </cell>
        </row>
        <row r="13">
          <cell r="A13" t="str">
            <v>12.ª ed.</v>
          </cell>
        </row>
        <row r="14">
          <cell r="A14" t="str">
            <v>13.ª ed.</v>
          </cell>
        </row>
        <row r="15">
          <cell r="A15" t="str">
            <v>14.ª ed.</v>
          </cell>
        </row>
        <row r="16">
          <cell r="A16" t="str">
            <v>15.ª ed.</v>
          </cell>
        </row>
        <row r="17">
          <cell r="A17" t="str">
            <v>16.ª ed.</v>
          </cell>
        </row>
        <row r="18">
          <cell r="A18" t="str">
            <v>17.ª ed.</v>
          </cell>
        </row>
        <row r="19">
          <cell r="A19" t="str">
            <v>18.ª ed.</v>
          </cell>
        </row>
        <row r="20">
          <cell r="A20" t="str">
            <v>19.ª ed.</v>
          </cell>
        </row>
        <row r="21">
          <cell r="A21" t="str">
            <v>20.ª ed.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7D87-1B05-4D43-8214-58DCB2E6E57B}">
  <dimension ref="A2:H66"/>
  <sheetViews>
    <sheetView tabSelected="1" topLeftCell="A59" workbookViewId="0">
      <selection activeCell="B66" sqref="B66"/>
    </sheetView>
  </sheetViews>
  <sheetFormatPr defaultRowHeight="15" x14ac:dyDescent="0.25"/>
  <sheetData>
    <row r="2" spans="1:8" x14ac:dyDescent="0.25">
      <c r="A2" s="1">
        <v>5494</v>
      </c>
      <c r="B2" s="2">
        <v>51530</v>
      </c>
      <c r="C2" s="2" t="s">
        <v>0</v>
      </c>
      <c r="D2" s="3"/>
      <c r="E2" s="3"/>
      <c r="F2" s="3" t="s">
        <v>1</v>
      </c>
      <c r="G2" s="3"/>
      <c r="H2" s="3"/>
    </row>
    <row r="3" spans="1:8" s="10" customFormat="1" ht="30" x14ac:dyDescent="0.25">
      <c r="A3" s="4">
        <v>4185</v>
      </c>
      <c r="B3" s="5">
        <v>120404</v>
      </c>
      <c r="C3" s="5" t="s">
        <v>2</v>
      </c>
      <c r="D3" s="6" t="e">
        <f>IF(#REF!&lt;&gt;"",#REF!,"")</f>
        <v>#REF!</v>
      </c>
      <c r="E3" s="7" t="str" cm="1">
        <f t="array" ref="E3">IF(SUMPRODUCT(ISNUMBER(SEARCH(#REF!, '[1]IGNORAR-lista-edicoes'!$A$1:$A$21)) + 0) &gt; 0,#REF!, "")</f>
        <v/>
      </c>
      <c r="F3" s="8" t="s">
        <v>3</v>
      </c>
      <c r="G3" s="9"/>
      <c r="H3" s="3"/>
    </row>
    <row r="4" spans="1:8" s="10" customFormat="1" ht="30" x14ac:dyDescent="0.25">
      <c r="A4" s="11">
        <v>4721</v>
      </c>
      <c r="B4" s="12">
        <v>224027</v>
      </c>
      <c r="C4" s="12" t="s">
        <v>4</v>
      </c>
      <c r="D4" s="13" t="e">
        <f>IF(#REF!&lt;&gt;"",#REF!,"")</f>
        <v>#REF!</v>
      </c>
      <c r="E4" s="13" t="str" cm="1">
        <f t="array" ref="E4">IF(SUMPRODUCT(ISNUMBER(SEARCH(#REF!, '[1]IGNORAR-lista-edicoes'!$A$1:$A$21)) + 0) &gt; 0,#REF!, "")</f>
        <v/>
      </c>
      <c r="F4" s="13" t="s">
        <v>5</v>
      </c>
      <c r="G4" s="14"/>
      <c r="H4" s="3"/>
    </row>
    <row r="5" spans="1:8" s="10" customFormat="1" ht="45" x14ac:dyDescent="0.25">
      <c r="A5" s="1">
        <v>5488</v>
      </c>
      <c r="B5" s="15">
        <v>224027</v>
      </c>
      <c r="C5" s="15" t="s">
        <v>4</v>
      </c>
      <c r="D5" s="3"/>
      <c r="E5" s="3"/>
      <c r="F5" s="3">
        <v>7</v>
      </c>
      <c r="G5" s="3"/>
      <c r="H5" s="3"/>
    </row>
    <row r="6" spans="1:8" s="10" customFormat="1" ht="30" x14ac:dyDescent="0.25">
      <c r="A6" s="4">
        <v>4106</v>
      </c>
      <c r="B6" s="5">
        <v>256276</v>
      </c>
      <c r="C6" s="5" t="s">
        <v>6</v>
      </c>
      <c r="D6" s="6" t="e">
        <f>IF(#REF!&lt;&gt;"",#REF!,"")</f>
        <v>#REF!</v>
      </c>
      <c r="E6" s="7" t="str" cm="1">
        <f t="array" ref="E6">IF(SUMPRODUCT(ISNUMBER(SEARCH(#REF!, '[1]IGNORAR-lista-edicoes'!$A$1:$A$21)) + 0) &gt; 0,#REF!, "")</f>
        <v/>
      </c>
      <c r="F6" s="7" t="s">
        <v>5</v>
      </c>
      <c r="G6" s="16"/>
      <c r="H6" s="3"/>
    </row>
    <row r="7" spans="1:8" s="10" customFormat="1" ht="30" x14ac:dyDescent="0.25">
      <c r="A7" s="4">
        <v>4437</v>
      </c>
      <c r="B7" s="5">
        <v>277515</v>
      </c>
      <c r="C7" s="5" t="s">
        <v>7</v>
      </c>
      <c r="D7" s="6" t="e">
        <f>IF(#REF!&lt;&gt;"",#REF!,"")</f>
        <v>#REF!</v>
      </c>
      <c r="E7" s="7" t="str" cm="1">
        <f t="array" ref="E7">IF(SUMPRODUCT(ISNUMBER(SEARCH(#REF!, '[1]IGNORAR-lista-edicoes'!$A$1:$A$21)) + 0) &gt; 0,#REF!, "")</f>
        <v/>
      </c>
      <c r="F7" s="7" t="s">
        <v>3</v>
      </c>
      <c r="G7" s="16"/>
      <c r="H7" s="3"/>
    </row>
    <row r="8" spans="1:8" s="10" customFormat="1" ht="150" x14ac:dyDescent="0.25">
      <c r="A8" s="4">
        <v>4448</v>
      </c>
      <c r="B8" s="5">
        <v>321919</v>
      </c>
      <c r="C8" s="5" t="s">
        <v>8</v>
      </c>
      <c r="D8" s="6" t="e">
        <f>IF(#REF!&lt;&gt;"",#REF!,"")</f>
        <v>#REF!</v>
      </c>
      <c r="E8" s="7" t="str" cm="1">
        <f t="array" ref="E8">IF(SUMPRODUCT(ISNUMBER(SEARCH(#REF!, '[1]IGNORAR-lista-edicoes'!$A$1:$A$21)) + 0) &gt; 0,#REF!, "")</f>
        <v/>
      </c>
      <c r="F8" s="8" t="s">
        <v>9</v>
      </c>
      <c r="G8" s="9"/>
      <c r="H8" s="3"/>
    </row>
    <row r="9" spans="1:8" s="10" customFormat="1" x14ac:dyDescent="0.25">
      <c r="A9" s="1">
        <v>5534</v>
      </c>
      <c r="B9" s="2">
        <v>354066</v>
      </c>
      <c r="C9" s="2" t="s">
        <v>10</v>
      </c>
      <c r="D9" s="3"/>
      <c r="E9" s="3"/>
      <c r="F9" s="3" t="s">
        <v>11</v>
      </c>
      <c r="G9" s="3"/>
      <c r="H9" s="3"/>
    </row>
    <row r="10" spans="1:8" s="10" customFormat="1" x14ac:dyDescent="0.25">
      <c r="A10" s="1">
        <v>5536</v>
      </c>
      <c r="B10" s="2">
        <v>354069</v>
      </c>
      <c r="C10" s="2" t="s">
        <v>12</v>
      </c>
      <c r="D10" s="3"/>
      <c r="E10" s="3"/>
      <c r="F10" s="3" t="s">
        <v>13</v>
      </c>
      <c r="G10" s="3"/>
      <c r="H10" s="3"/>
    </row>
    <row r="11" spans="1:8" s="10" customFormat="1" x14ac:dyDescent="0.25">
      <c r="A11" s="11">
        <v>5339</v>
      </c>
      <c r="B11" s="12">
        <v>370691</v>
      </c>
      <c r="C11" s="12" t="s">
        <v>14</v>
      </c>
      <c r="D11" s="13"/>
      <c r="E11" s="13"/>
      <c r="F11" s="17" t="s">
        <v>15</v>
      </c>
      <c r="G11" s="3"/>
      <c r="H11" s="3"/>
    </row>
    <row r="12" spans="1:8" s="10" customFormat="1" ht="195" x14ac:dyDescent="0.25">
      <c r="A12" s="4">
        <v>3680</v>
      </c>
      <c r="B12" s="4">
        <v>382749</v>
      </c>
      <c r="C12" s="4" t="s">
        <v>16</v>
      </c>
      <c r="D12" s="6" t="e">
        <f>IF(#REF!&lt;&gt;"",#REF!,"")</f>
        <v>#REF!</v>
      </c>
      <c r="E12" s="7" t="str" cm="1">
        <f t="array" ref="E12">IF(SUMPRODUCT(ISNUMBER(SEARCH(#REF!, '[1]IGNORAR-lista-edicoes'!$A$1:$A$21)) + 0) &gt; 0,#REF!, "")</f>
        <v/>
      </c>
      <c r="F12" s="8" t="s">
        <v>17</v>
      </c>
      <c r="G12" s="9"/>
      <c r="H12" s="3"/>
    </row>
    <row r="13" spans="1:8" s="10" customFormat="1" x14ac:dyDescent="0.25">
      <c r="A13" s="4">
        <v>3684</v>
      </c>
      <c r="B13" s="4">
        <v>382844</v>
      </c>
      <c r="C13" s="4" t="s">
        <v>18</v>
      </c>
      <c r="D13" s="6" t="e">
        <f>IF(#REF!&lt;&gt;"",#REF!,"")</f>
        <v>#REF!</v>
      </c>
      <c r="E13" s="7" t="str" cm="1">
        <f t="array" ref="E13">IF(SUMPRODUCT(ISNUMBER(SEARCH(#REF!, '[1]IGNORAR-lista-edicoes'!$A$1:$A$21)) + 0) &gt; 0,#REF!, "")</f>
        <v/>
      </c>
      <c r="F13" s="7">
        <v>3</v>
      </c>
      <c r="G13" s="16"/>
      <c r="H13" s="3"/>
    </row>
    <row r="14" spans="1:8" s="10" customFormat="1" x14ac:dyDescent="0.25">
      <c r="A14" s="4">
        <v>3689</v>
      </c>
      <c r="B14" s="4">
        <v>382981</v>
      </c>
      <c r="C14" s="4" t="s">
        <v>19</v>
      </c>
      <c r="D14" s="6" t="e">
        <f>IF(#REF!&lt;&gt;"",#REF!,"")</f>
        <v>#REF!</v>
      </c>
      <c r="E14" s="7" t="str" cm="1">
        <f t="array" ref="E14">IF(SUMPRODUCT(ISNUMBER(SEARCH(#REF!, '[1]IGNORAR-lista-edicoes'!$A$1:$A$21)) + 0) &gt; 0,#REF!, "")</f>
        <v/>
      </c>
      <c r="F14" s="7">
        <v>9</v>
      </c>
      <c r="G14" s="16"/>
      <c r="H14" s="3"/>
    </row>
    <row r="15" spans="1:8" s="10" customFormat="1" x14ac:dyDescent="0.25">
      <c r="A15" s="4">
        <v>3693</v>
      </c>
      <c r="B15" s="4">
        <v>386935</v>
      </c>
      <c r="C15" s="4" t="s">
        <v>20</v>
      </c>
      <c r="D15" s="6" t="e">
        <f>IF(#REF!&lt;&gt;"",#REF!,"")</f>
        <v>#REF!</v>
      </c>
      <c r="E15" s="7" t="str" cm="1">
        <f t="array" ref="E15">IF(SUMPRODUCT(ISNUMBER(SEARCH(#REF!, '[1]IGNORAR-lista-edicoes'!$A$1:$A$21)) + 0) &gt; 0,#REF!, "")</f>
        <v/>
      </c>
      <c r="F15" s="7">
        <v>1</v>
      </c>
      <c r="G15" s="16"/>
      <c r="H15" s="3"/>
    </row>
    <row r="16" spans="1:8" s="10" customFormat="1" x14ac:dyDescent="0.25">
      <c r="A16" s="11">
        <v>5346</v>
      </c>
      <c r="B16" s="12">
        <v>397797</v>
      </c>
      <c r="C16" s="12" t="s">
        <v>21</v>
      </c>
      <c r="D16" s="13"/>
      <c r="E16" s="13"/>
      <c r="F16" s="3" t="s">
        <v>22</v>
      </c>
      <c r="G16" s="3"/>
      <c r="H16" s="3"/>
    </row>
    <row r="17" spans="1:8" s="10" customFormat="1" ht="60" x14ac:dyDescent="0.25">
      <c r="A17" s="4">
        <v>3704</v>
      </c>
      <c r="B17" s="4">
        <v>397822</v>
      </c>
      <c r="C17" s="4" t="s">
        <v>23</v>
      </c>
      <c r="D17" s="6" t="e">
        <f>IF(#REF!&lt;&gt;"",#REF!,"")</f>
        <v>#REF!</v>
      </c>
      <c r="E17" s="7" t="str" cm="1">
        <f t="array" ref="E17">IF(SUMPRODUCT(ISNUMBER(SEARCH(#REF!, '[1]IGNORAR-lista-edicoes'!$A$1:$A$21)) + 0) &gt; 0,#REF!, "")</f>
        <v/>
      </c>
      <c r="F17" s="8" t="s">
        <v>24</v>
      </c>
      <c r="G17" s="9"/>
      <c r="H17" s="3"/>
    </row>
    <row r="18" spans="1:8" s="10" customFormat="1" ht="225" x14ac:dyDescent="0.25">
      <c r="A18" s="4">
        <v>4433</v>
      </c>
      <c r="B18" s="5">
        <v>397837</v>
      </c>
      <c r="C18" s="5" t="s">
        <v>25</v>
      </c>
      <c r="D18" s="6" t="e">
        <f>IF(#REF!&lt;&gt;"",#REF!,"")</f>
        <v>#REF!</v>
      </c>
      <c r="E18" s="7" t="str" cm="1">
        <f t="array" ref="E18">IF(SUMPRODUCT(ISNUMBER(SEARCH(#REF!, '[1]IGNORAR-lista-edicoes'!$A$1:$A$21)) + 0) &gt; 0,#REF!, "")</f>
        <v/>
      </c>
      <c r="F18" s="7" t="s">
        <v>26</v>
      </c>
      <c r="G18" s="16"/>
      <c r="H18" s="3"/>
    </row>
    <row r="19" spans="1:8" s="10" customFormat="1" ht="45" x14ac:dyDescent="0.25">
      <c r="A19" s="4">
        <v>3708</v>
      </c>
      <c r="B19" s="4">
        <v>397852</v>
      </c>
      <c r="C19" s="4" t="s">
        <v>27</v>
      </c>
      <c r="D19" s="6" t="e">
        <f>IF(#REF!&lt;&gt;"",#REF!,"")</f>
        <v>#REF!</v>
      </c>
      <c r="E19" s="7" t="str" cm="1">
        <f t="array" ref="E19">IF(SUMPRODUCT(ISNUMBER(SEARCH(#REF!, '[1]IGNORAR-lista-edicoes'!$A$1:$A$21)) + 0) &gt; 0,#REF!, "")</f>
        <v/>
      </c>
      <c r="F19" s="8" t="s">
        <v>28</v>
      </c>
      <c r="G19" s="9"/>
      <c r="H19" s="3"/>
    </row>
    <row r="20" spans="1:8" s="10" customFormat="1" x14ac:dyDescent="0.25">
      <c r="A20" s="11">
        <v>5347</v>
      </c>
      <c r="B20" s="12">
        <v>397855</v>
      </c>
      <c r="C20" s="12" t="s">
        <v>29</v>
      </c>
      <c r="D20" s="13"/>
      <c r="E20" s="13"/>
      <c r="F20" s="3" t="s">
        <v>30</v>
      </c>
      <c r="G20" s="3"/>
      <c r="H20" s="3"/>
    </row>
    <row r="21" spans="1:8" s="10" customFormat="1" ht="30" x14ac:dyDescent="0.25">
      <c r="A21" s="4">
        <v>3709</v>
      </c>
      <c r="B21" s="4">
        <v>397863</v>
      </c>
      <c r="C21" s="4" t="s">
        <v>31</v>
      </c>
      <c r="D21" s="6" t="e">
        <f>IF(#REF!&lt;&gt;"",#REF!,"")</f>
        <v>#REF!</v>
      </c>
      <c r="E21" s="7" t="str" cm="1">
        <f t="array" ref="E21">IF(SUMPRODUCT(ISNUMBER(SEARCH(#REF!, '[1]IGNORAR-lista-edicoes'!$A$1:$A$21)) + 0) &gt; 0,#REF!, "")</f>
        <v/>
      </c>
      <c r="F21" s="7" t="s">
        <v>32</v>
      </c>
      <c r="G21" s="16"/>
      <c r="H21" s="3"/>
    </row>
    <row r="22" spans="1:8" s="10" customFormat="1" x14ac:dyDescent="0.25">
      <c r="A22" s="4">
        <v>3711</v>
      </c>
      <c r="B22" s="4">
        <v>397876</v>
      </c>
      <c r="C22" s="4" t="s">
        <v>33</v>
      </c>
      <c r="D22" s="6" t="e">
        <f>IF(#REF!&lt;&gt;"",#REF!,"")</f>
        <v>#REF!</v>
      </c>
      <c r="E22" s="7" t="str" cm="1">
        <f t="array" ref="E22">IF(SUMPRODUCT(ISNUMBER(SEARCH(#REF!, '[1]IGNORAR-lista-edicoes'!$A$1:$A$21)) + 0) &gt; 0,#REF!, "")</f>
        <v/>
      </c>
      <c r="F22" s="7">
        <v>9</v>
      </c>
      <c r="G22" s="16"/>
      <c r="H22" s="3"/>
    </row>
    <row r="23" spans="1:8" s="10" customFormat="1" ht="240" x14ac:dyDescent="0.25">
      <c r="A23" s="11">
        <v>5350</v>
      </c>
      <c r="B23" s="12">
        <v>397880</v>
      </c>
      <c r="C23" s="12" t="s">
        <v>34</v>
      </c>
      <c r="D23" s="13"/>
      <c r="E23" s="13"/>
      <c r="F23" s="15" t="s">
        <v>35</v>
      </c>
      <c r="G23" s="3"/>
      <c r="H23" s="3"/>
    </row>
    <row r="24" spans="1:8" s="10" customFormat="1" x14ac:dyDescent="0.25">
      <c r="A24" s="4">
        <v>3727</v>
      </c>
      <c r="B24" s="4">
        <v>402917</v>
      </c>
      <c r="C24" s="4" t="s">
        <v>36</v>
      </c>
      <c r="D24" s="6" t="e">
        <f>IF(#REF!&lt;&gt;"",#REF!,"")</f>
        <v>#REF!</v>
      </c>
      <c r="E24" s="7" t="str" cm="1">
        <f t="array" ref="E24">IF(SUMPRODUCT(ISNUMBER(SEARCH(#REF!, '[1]IGNORAR-lista-edicoes'!$A$1:$A$21)) + 0) &gt; 0,#REF!, "")</f>
        <v/>
      </c>
      <c r="F24" s="7">
        <v>9</v>
      </c>
      <c r="G24" s="16"/>
      <c r="H24" s="3"/>
    </row>
    <row r="25" spans="1:8" s="10" customFormat="1" x14ac:dyDescent="0.25">
      <c r="A25" s="4">
        <v>3731</v>
      </c>
      <c r="B25" s="4">
        <v>404543</v>
      </c>
      <c r="C25" s="4" t="s">
        <v>37</v>
      </c>
      <c r="D25" s="6" t="e">
        <f>IF(#REF!&lt;&gt;"",#REF!,"")</f>
        <v>#REF!</v>
      </c>
      <c r="E25" s="7" t="str" cm="1">
        <f t="array" ref="E25">IF(SUMPRODUCT(ISNUMBER(SEARCH(#REF!, '[1]IGNORAR-lista-edicoes'!$A$1:$A$21)) + 0) &gt; 0,#REF!, "")</f>
        <v/>
      </c>
      <c r="F25" s="7">
        <v>7</v>
      </c>
      <c r="G25" s="16"/>
      <c r="H25" s="3"/>
    </row>
    <row r="26" spans="1:8" s="10" customFormat="1" x14ac:dyDescent="0.25">
      <c r="A26" s="4">
        <v>3734</v>
      </c>
      <c r="B26" s="4">
        <v>411542</v>
      </c>
      <c r="C26" s="4" t="s">
        <v>38</v>
      </c>
      <c r="D26" s="6" t="e">
        <f>IF(#REF!&lt;&gt;"",#REF!,"")</f>
        <v>#REF!</v>
      </c>
      <c r="E26" s="7" t="str" cm="1">
        <f t="array" ref="E26">IF(SUMPRODUCT(ISNUMBER(SEARCH(#REF!, '[1]IGNORAR-lista-edicoes'!$A$1:$A$21)) + 0) &gt; 0,#REF!, "")</f>
        <v/>
      </c>
      <c r="F26" s="7">
        <v>1</v>
      </c>
      <c r="G26" s="16"/>
      <c r="H26" s="3"/>
    </row>
    <row r="27" spans="1:8" s="10" customFormat="1" x14ac:dyDescent="0.25">
      <c r="A27" s="4">
        <v>3740</v>
      </c>
      <c r="B27" s="4">
        <v>446302</v>
      </c>
      <c r="C27" s="4" t="s">
        <v>39</v>
      </c>
      <c r="D27" s="6" t="e">
        <f>IF(#REF!&lt;&gt;"",#REF!,"")</f>
        <v>#REF!</v>
      </c>
      <c r="E27" s="7" t="str" cm="1">
        <f t="array" ref="E27">IF(SUMPRODUCT(ISNUMBER(SEARCH(#REF!, '[1]IGNORAR-lista-edicoes'!$A$1:$A$21)) + 0) &gt; 0,#REF!, "")</f>
        <v/>
      </c>
      <c r="F27" s="7">
        <v>11</v>
      </c>
      <c r="G27" s="16"/>
      <c r="H27" s="3"/>
    </row>
    <row r="28" spans="1:8" s="10" customFormat="1" ht="30" x14ac:dyDescent="0.25">
      <c r="A28" s="4">
        <v>4101</v>
      </c>
      <c r="B28" s="5">
        <v>458267</v>
      </c>
      <c r="C28" s="5" t="s">
        <v>40</v>
      </c>
      <c r="D28" s="6" t="e">
        <f>IF(#REF!&lt;&gt;"",#REF!,"")</f>
        <v>#REF!</v>
      </c>
      <c r="E28" s="7" t="str" cm="1">
        <f t="array" ref="E28">IF(SUMPRODUCT(ISNUMBER(SEARCH(#REF!, '[1]IGNORAR-lista-edicoes'!$A$1:$A$21)) + 0) &gt; 0,#REF!, "")</f>
        <v/>
      </c>
      <c r="F28" s="7" t="s">
        <v>30</v>
      </c>
      <c r="G28" s="16"/>
      <c r="H28" s="3"/>
    </row>
    <row r="29" spans="1:8" s="10" customFormat="1" x14ac:dyDescent="0.25">
      <c r="A29" s="11">
        <v>5380</v>
      </c>
      <c r="B29" s="12">
        <v>464811</v>
      </c>
      <c r="C29" s="12" t="s">
        <v>41</v>
      </c>
      <c r="D29" s="13"/>
      <c r="E29" s="13"/>
      <c r="F29" s="3">
        <v>10</v>
      </c>
      <c r="G29" s="3"/>
      <c r="H29" s="3"/>
    </row>
    <row r="30" spans="1:8" s="10" customFormat="1" x14ac:dyDescent="0.25">
      <c r="A30" s="11">
        <v>5383</v>
      </c>
      <c r="B30" s="12">
        <v>464977</v>
      </c>
      <c r="C30" s="12" t="s">
        <v>42</v>
      </c>
      <c r="D30" s="13"/>
      <c r="E30" s="13"/>
      <c r="F30" s="3" t="s">
        <v>43</v>
      </c>
      <c r="G30" s="3"/>
      <c r="H30" s="3"/>
    </row>
    <row r="31" spans="1:8" s="10" customFormat="1" x14ac:dyDescent="0.25">
      <c r="A31" s="4">
        <v>3777</v>
      </c>
      <c r="B31" s="4">
        <v>465606</v>
      </c>
      <c r="C31" s="4" t="s">
        <v>44</v>
      </c>
      <c r="D31" s="6" t="e">
        <f>IF(#REF!&lt;&gt;"",#REF!,"")</f>
        <v>#REF!</v>
      </c>
      <c r="E31" s="7" t="str" cm="1">
        <f t="array" ref="E31">IF(SUMPRODUCT(ISNUMBER(SEARCH(#REF!, '[1]IGNORAR-lista-edicoes'!$A$1:$A$21)) + 0) &gt; 0,#REF!, "")</f>
        <v/>
      </c>
      <c r="F31" s="7">
        <v>3</v>
      </c>
      <c r="G31" s="16"/>
      <c r="H31" s="3"/>
    </row>
    <row r="32" spans="1:8" s="10" customFormat="1" x14ac:dyDescent="0.25">
      <c r="A32" s="4">
        <v>3782</v>
      </c>
      <c r="B32" s="4">
        <v>471392</v>
      </c>
      <c r="C32" s="4" t="s">
        <v>45</v>
      </c>
      <c r="D32" s="6" t="e">
        <f>IF(#REF!&lt;&gt;"",#REF!,"")</f>
        <v>#REF!</v>
      </c>
      <c r="E32" s="7" t="str" cm="1">
        <f t="array" ref="E32">IF(SUMPRODUCT(ISNUMBER(SEARCH(#REF!, '[1]IGNORAR-lista-edicoes'!$A$1:$A$21)) + 0) &gt; 0,#REF!, "")</f>
        <v/>
      </c>
      <c r="F32" s="7">
        <v>5</v>
      </c>
      <c r="G32" s="16"/>
      <c r="H32" s="3"/>
    </row>
    <row r="33" spans="1:8" s="10" customFormat="1" ht="195" x14ac:dyDescent="0.25">
      <c r="A33" s="4">
        <v>4535</v>
      </c>
      <c r="B33" s="5">
        <v>473486</v>
      </c>
      <c r="C33" s="5" t="s">
        <v>46</v>
      </c>
      <c r="D33" s="6" t="e">
        <f>IF(#REF!&lt;&gt;"",#REF!,"")</f>
        <v>#REF!</v>
      </c>
      <c r="E33" s="7" t="str" cm="1">
        <f t="array" ref="E33">IF(SUMPRODUCT(ISNUMBER(SEARCH(#REF!, '[1]IGNORAR-lista-edicoes'!$A$1:$A$21)) + 0) &gt; 0,#REF!, "")</f>
        <v/>
      </c>
      <c r="F33" s="7" t="s">
        <v>47</v>
      </c>
      <c r="G33" s="16"/>
      <c r="H33" s="3"/>
    </row>
    <row r="34" spans="1:8" s="10" customFormat="1" ht="75" x14ac:dyDescent="0.25">
      <c r="A34" s="4">
        <v>4574</v>
      </c>
      <c r="B34" s="5">
        <v>473530</v>
      </c>
      <c r="C34" s="5" t="s">
        <v>48</v>
      </c>
      <c r="D34" s="6" t="e">
        <f>IF(#REF!&lt;&gt;"",#REF!,"")</f>
        <v>#REF!</v>
      </c>
      <c r="E34" s="7" t="str" cm="1">
        <f t="array" ref="E34">IF(SUMPRODUCT(ISNUMBER(SEARCH(#REF!, '[1]IGNORAR-lista-edicoes'!$A$1:$A$21)) + 0) &gt; 0,#REF!, "")</f>
        <v/>
      </c>
      <c r="F34" s="7" t="s">
        <v>49</v>
      </c>
      <c r="G34" s="16"/>
      <c r="H34" s="3"/>
    </row>
    <row r="35" spans="1:8" s="10" customFormat="1" x14ac:dyDescent="0.25">
      <c r="A35" s="4">
        <v>3786</v>
      </c>
      <c r="B35" s="4">
        <v>475214</v>
      </c>
      <c r="C35" s="4" t="s">
        <v>50</v>
      </c>
      <c r="D35" s="6" t="e">
        <f>IF(#REF!&lt;&gt;"",#REF!,"")</f>
        <v>#REF!</v>
      </c>
      <c r="E35" s="7" t="str" cm="1">
        <f t="array" ref="E35">IF(SUMPRODUCT(ISNUMBER(SEARCH(#REF!, '[1]IGNORAR-lista-edicoes'!$A$1:$A$21)) + 0) &gt; 0,#REF!, "")</f>
        <v/>
      </c>
      <c r="F35" s="7">
        <v>7</v>
      </c>
      <c r="G35" s="16"/>
      <c r="H35" s="3"/>
    </row>
    <row r="36" spans="1:8" s="10" customFormat="1" x14ac:dyDescent="0.25">
      <c r="A36" s="4">
        <v>3791</v>
      </c>
      <c r="B36" s="4">
        <v>476957</v>
      </c>
      <c r="C36" s="4" t="s">
        <v>51</v>
      </c>
      <c r="D36" s="6" t="e">
        <f>IF(#REF!&lt;&gt;"",#REF!,"")</f>
        <v>#REF!</v>
      </c>
      <c r="E36" s="7" t="str" cm="1">
        <f t="array" ref="E36">IF(SUMPRODUCT(ISNUMBER(SEARCH(#REF!, '[1]IGNORAR-lista-edicoes'!$A$1:$A$21)) + 0) &gt; 0,#REF!, "")</f>
        <v/>
      </c>
      <c r="F36" s="8" t="s">
        <v>52</v>
      </c>
      <c r="G36" s="9"/>
      <c r="H36" s="3"/>
    </row>
    <row r="37" spans="1:8" s="10" customFormat="1" ht="30" x14ac:dyDescent="0.25">
      <c r="A37" s="4">
        <v>4076</v>
      </c>
      <c r="B37" s="5">
        <v>742175</v>
      </c>
      <c r="C37" s="5" t="s">
        <v>53</v>
      </c>
      <c r="D37" s="6" t="e">
        <f>IF(#REF!&lt;&gt;"",#REF!,"")</f>
        <v>#REF!</v>
      </c>
      <c r="E37" s="7" t="str" cm="1">
        <f t="array" ref="E37">IF(SUMPRODUCT(ISNUMBER(SEARCH(#REF!, '[1]IGNORAR-lista-edicoes'!$A$1:$A$21)) + 0) &gt; 0,#REF!, "")</f>
        <v/>
      </c>
      <c r="F37" s="7" t="s">
        <v>5</v>
      </c>
      <c r="G37" s="16"/>
      <c r="H37" s="3"/>
    </row>
    <row r="38" spans="1:8" s="10" customFormat="1" ht="30" x14ac:dyDescent="0.25">
      <c r="A38" s="4">
        <v>4077</v>
      </c>
      <c r="B38" s="5">
        <v>742176</v>
      </c>
      <c r="C38" s="5" t="s">
        <v>54</v>
      </c>
      <c r="D38" s="6" t="e">
        <f>IF(#REF!&lt;&gt;"",#REF!,"")</f>
        <v>#REF!</v>
      </c>
      <c r="E38" s="7" t="str" cm="1">
        <f t="array" ref="E38">IF(SUMPRODUCT(ISNUMBER(SEARCH(#REF!, '[1]IGNORAR-lista-edicoes'!$A$1:$A$21)) + 0) &gt; 0,#REF!, "")</f>
        <v/>
      </c>
      <c r="F38" s="7" t="s">
        <v>55</v>
      </c>
      <c r="G38" s="16"/>
      <c r="H38" s="3"/>
    </row>
    <row r="39" spans="1:8" s="10" customFormat="1" ht="30" x14ac:dyDescent="0.25">
      <c r="A39" s="4">
        <v>4079</v>
      </c>
      <c r="B39" s="5">
        <v>742180</v>
      </c>
      <c r="C39" s="5" t="s">
        <v>56</v>
      </c>
      <c r="D39" s="6" t="e">
        <f>IF(#REF!&lt;&gt;"",#REF!,"")</f>
        <v>#REF!</v>
      </c>
      <c r="E39" s="7" t="str" cm="1">
        <f t="array" ref="E39">IF(SUMPRODUCT(ISNUMBER(SEARCH(#REF!, '[1]IGNORAR-lista-edicoes'!$A$1:$A$21)) + 0) &gt; 0,#REF!, "")</f>
        <v/>
      </c>
      <c r="F39" s="7" t="s">
        <v>30</v>
      </c>
      <c r="G39" s="16"/>
      <c r="H39" s="3"/>
    </row>
    <row r="40" spans="1:8" s="10" customFormat="1" x14ac:dyDescent="0.25">
      <c r="A40" s="1">
        <v>5597</v>
      </c>
      <c r="B40" s="2">
        <v>765484</v>
      </c>
      <c r="C40" s="2" t="s">
        <v>57</v>
      </c>
      <c r="D40" s="3"/>
      <c r="E40" s="3"/>
      <c r="F40" s="3" t="s">
        <v>58</v>
      </c>
      <c r="G40" s="3"/>
      <c r="H40" s="3"/>
    </row>
    <row r="41" spans="1:8" s="10" customFormat="1" ht="45" x14ac:dyDescent="0.25">
      <c r="A41" s="11">
        <v>5008</v>
      </c>
      <c r="B41" s="12">
        <v>766189</v>
      </c>
      <c r="C41" s="12" t="s">
        <v>59</v>
      </c>
      <c r="D41" s="13" t="e">
        <f>IF(#REF!&lt;&gt;"",#REF!,"")</f>
        <v>#REF!</v>
      </c>
      <c r="E41" s="13" t="str" cm="1">
        <f t="array" ref="E41">IF(SUMPRODUCT(ISNUMBER(SEARCH(#REF!, '[1]IGNORAR-lista-edicoes'!$A$1:$A$21)) + 0) &gt; 0,#REF!, "")</f>
        <v/>
      </c>
      <c r="F41" s="13" t="s">
        <v>60</v>
      </c>
      <c r="G41" s="14"/>
      <c r="H41" s="3"/>
    </row>
    <row r="42" spans="1:8" s="10" customFormat="1" x14ac:dyDescent="0.25">
      <c r="A42" s="11">
        <v>5433</v>
      </c>
      <c r="B42" s="12">
        <v>789264</v>
      </c>
      <c r="C42" s="12" t="s">
        <v>61</v>
      </c>
      <c r="D42" s="13"/>
      <c r="E42" s="13"/>
      <c r="F42" s="3" t="s">
        <v>62</v>
      </c>
      <c r="G42" s="3"/>
      <c r="H42" s="3"/>
    </row>
    <row r="43" spans="1:8" s="10" customFormat="1" ht="30" x14ac:dyDescent="0.25">
      <c r="A43" s="4">
        <v>3876</v>
      </c>
      <c r="B43" s="4">
        <v>798863</v>
      </c>
      <c r="C43" s="4" t="s">
        <v>63</v>
      </c>
      <c r="D43" s="6" t="e">
        <f>IF(#REF!&lt;&gt;"",#REF!,"")</f>
        <v>#REF!</v>
      </c>
      <c r="E43" s="7" t="str" cm="1">
        <f t="array" ref="E43">IF(SUMPRODUCT(ISNUMBER(SEARCH(#REF!, '[1]IGNORAR-lista-edicoes'!$A$1:$A$21)) + 0) &gt; 0,#REF!, "")</f>
        <v/>
      </c>
      <c r="F43" s="7" t="s">
        <v>30</v>
      </c>
      <c r="G43" s="16"/>
      <c r="H43" s="3"/>
    </row>
    <row r="44" spans="1:8" s="10" customFormat="1" ht="45" x14ac:dyDescent="0.25">
      <c r="A44" s="4">
        <v>3877</v>
      </c>
      <c r="B44" s="4">
        <v>798864</v>
      </c>
      <c r="C44" s="4" t="s">
        <v>64</v>
      </c>
      <c r="D44" s="6" t="e">
        <f>IF(#REF!&lt;&gt;"",#REF!,"")</f>
        <v>#REF!</v>
      </c>
      <c r="E44" s="7" t="str" cm="1">
        <f t="array" ref="E44">IF(SUMPRODUCT(ISNUMBER(SEARCH(#REF!, '[1]IGNORAR-lista-edicoes'!$A$1:$A$21)) + 0) &gt; 0,#REF!, "")</f>
        <v/>
      </c>
      <c r="F44" s="7" t="s">
        <v>65</v>
      </c>
      <c r="G44" s="16"/>
      <c r="H44" s="3"/>
    </row>
    <row r="45" spans="1:8" s="10" customFormat="1" ht="30" x14ac:dyDescent="0.25">
      <c r="A45" s="4">
        <v>3879</v>
      </c>
      <c r="B45" s="4">
        <v>798881</v>
      </c>
      <c r="C45" s="4" t="s">
        <v>66</v>
      </c>
      <c r="D45" s="6" t="e">
        <f>IF(#REF!&lt;&gt;"",#REF!,"")</f>
        <v>#REF!</v>
      </c>
      <c r="E45" s="7" t="str" cm="1">
        <f t="array" ref="E45">IF(SUMPRODUCT(ISNUMBER(SEARCH(#REF!, '[1]IGNORAR-lista-edicoes'!$A$1:$A$21)) + 0) &gt; 0,#REF!, "")</f>
        <v/>
      </c>
      <c r="F45" s="7" t="s">
        <v>30</v>
      </c>
      <c r="G45" s="16"/>
      <c r="H45" s="3"/>
    </row>
    <row r="46" spans="1:8" s="10" customFormat="1" x14ac:dyDescent="0.25">
      <c r="A46" s="4">
        <v>3888</v>
      </c>
      <c r="B46" s="4">
        <v>800863</v>
      </c>
      <c r="C46" s="4" t="s">
        <v>67</v>
      </c>
      <c r="D46" s="6" t="e">
        <f>IF(#REF!&lt;&gt;"",#REF!,"")</f>
        <v>#REF!</v>
      </c>
      <c r="E46" s="7" t="str" cm="1">
        <f t="array" ref="E46">IF(SUMPRODUCT(ISNUMBER(SEARCH(#REF!, '[1]IGNORAR-lista-edicoes'!$A$1:$A$21)) + 0) &gt; 0,#REF!, "")</f>
        <v/>
      </c>
      <c r="F46" s="18" t="s">
        <v>68</v>
      </c>
      <c r="G46" s="19"/>
      <c r="H46" s="3"/>
    </row>
    <row r="47" spans="1:8" s="10" customFormat="1" ht="30" x14ac:dyDescent="0.25">
      <c r="A47" s="4">
        <v>3889</v>
      </c>
      <c r="B47" s="4">
        <v>800870</v>
      </c>
      <c r="C47" s="4" t="s">
        <v>69</v>
      </c>
      <c r="D47" s="6" t="e">
        <f>IF(#REF!&lt;&gt;"",#REF!,"")</f>
        <v>#REF!</v>
      </c>
      <c r="E47" s="7" t="str" cm="1">
        <f t="array" ref="E47">IF(SUMPRODUCT(ISNUMBER(SEARCH(#REF!, '[1]IGNORAR-lista-edicoes'!$A$1:$A$21)) + 0) &gt; 0,#REF!, "")</f>
        <v/>
      </c>
      <c r="F47" s="7" t="s">
        <v>70</v>
      </c>
      <c r="G47" s="16"/>
      <c r="H47" s="3"/>
    </row>
    <row r="48" spans="1:8" s="10" customFormat="1" ht="60" x14ac:dyDescent="0.25">
      <c r="A48" s="4">
        <v>3899</v>
      </c>
      <c r="B48" s="4">
        <v>807561</v>
      </c>
      <c r="C48" s="4" t="s">
        <v>71</v>
      </c>
      <c r="D48" s="6" t="e">
        <f>IF(#REF!&lt;&gt;"",#REF!,"")</f>
        <v>#REF!</v>
      </c>
      <c r="E48" s="7" t="str" cm="1">
        <f t="array" ref="E48">IF(SUMPRODUCT(ISNUMBER(SEARCH(#REF!, '[1]IGNORAR-lista-edicoes'!$A$1:$A$21)) + 0) &gt; 0,#REF!, "")</f>
        <v/>
      </c>
      <c r="F48" s="7" t="s">
        <v>72</v>
      </c>
      <c r="G48" s="16"/>
      <c r="H48" s="3"/>
    </row>
    <row r="49" spans="1:8" s="10" customFormat="1" ht="30" x14ac:dyDescent="0.25">
      <c r="A49" s="4">
        <v>3903</v>
      </c>
      <c r="B49" s="4">
        <v>807675</v>
      </c>
      <c r="C49" s="4" t="s">
        <v>73</v>
      </c>
      <c r="D49" s="6" t="e">
        <f>IF(#REF!&lt;&gt;"",#REF!,"")</f>
        <v>#REF!</v>
      </c>
      <c r="E49" s="7" t="str" cm="1">
        <f t="array" ref="E49">IF(SUMPRODUCT(ISNUMBER(SEARCH(#REF!, '[1]IGNORAR-lista-edicoes'!$A$1:$A$21)) + 0) &gt; 0,#REF!, "")</f>
        <v/>
      </c>
      <c r="F49" s="7" t="s">
        <v>1</v>
      </c>
      <c r="G49" s="16"/>
      <c r="H49" s="3"/>
    </row>
    <row r="50" spans="1:8" s="10" customFormat="1" ht="150" x14ac:dyDescent="0.25">
      <c r="A50" s="4">
        <v>3904</v>
      </c>
      <c r="B50" s="4">
        <v>808481</v>
      </c>
      <c r="C50" s="4" t="s">
        <v>74</v>
      </c>
      <c r="D50" s="6" t="e">
        <f>IF(#REF!&lt;&gt;"",#REF!,"")</f>
        <v>#REF!</v>
      </c>
      <c r="E50" s="7" t="str" cm="1">
        <f t="array" ref="E50">IF(SUMPRODUCT(ISNUMBER(SEARCH(#REF!, '[1]IGNORAR-lista-edicoes'!$A$1:$A$21)) + 0) &gt; 0,#REF!, "")</f>
        <v/>
      </c>
      <c r="F50" s="8" t="s">
        <v>75</v>
      </c>
      <c r="G50" s="9"/>
      <c r="H50" s="3"/>
    </row>
    <row r="51" spans="1:8" s="10" customFormat="1" ht="105" x14ac:dyDescent="0.25">
      <c r="A51" s="4">
        <v>4596</v>
      </c>
      <c r="B51" s="5">
        <v>808486</v>
      </c>
      <c r="C51" s="5"/>
      <c r="D51" s="20" t="s">
        <v>76</v>
      </c>
      <c r="E51" s="21"/>
      <c r="F51" s="22" t="s">
        <v>77</v>
      </c>
      <c r="G51" s="14"/>
      <c r="H51" s="3"/>
    </row>
    <row r="52" spans="1:8" s="10" customFormat="1" ht="30" x14ac:dyDescent="0.25">
      <c r="A52" s="4">
        <v>3906</v>
      </c>
      <c r="B52" s="4">
        <v>808497</v>
      </c>
      <c r="C52" s="4" t="s">
        <v>78</v>
      </c>
      <c r="D52" s="6" t="e">
        <f>IF(#REF!&lt;&gt;"",#REF!,"")</f>
        <v>#REF!</v>
      </c>
      <c r="E52" s="7" t="str" cm="1">
        <f t="array" ref="E52">IF(SUMPRODUCT(ISNUMBER(SEARCH(#REF!, '[1]IGNORAR-lista-edicoes'!$A$1:$A$21)) + 0) &gt; 0,#REF!, "")</f>
        <v/>
      </c>
      <c r="F52" s="7" t="s">
        <v>5</v>
      </c>
      <c r="G52" s="16"/>
      <c r="H52" s="3"/>
    </row>
    <row r="53" spans="1:8" s="10" customFormat="1" ht="60" x14ac:dyDescent="0.25">
      <c r="A53" s="4">
        <v>3907</v>
      </c>
      <c r="B53" s="4">
        <v>808502</v>
      </c>
      <c r="C53" s="4" t="s">
        <v>79</v>
      </c>
      <c r="D53" s="6" t="e">
        <f>IF(#REF!&lt;&gt;"",#REF!,"")</f>
        <v>#REF!</v>
      </c>
      <c r="E53" s="7" t="str" cm="1">
        <f t="array" ref="E53">IF(SUMPRODUCT(ISNUMBER(SEARCH(#REF!, '[1]IGNORAR-lista-edicoes'!$A$1:$A$21)) + 0) &gt; 0,#REF!, "")</f>
        <v/>
      </c>
      <c r="F53" s="7" t="s">
        <v>80</v>
      </c>
      <c r="G53" s="16"/>
      <c r="H53" s="3"/>
    </row>
    <row r="54" spans="1:8" s="10" customFormat="1" ht="120" x14ac:dyDescent="0.25">
      <c r="A54" s="4">
        <v>3908</v>
      </c>
      <c r="B54" s="4">
        <v>808536</v>
      </c>
      <c r="C54" s="4" t="s">
        <v>81</v>
      </c>
      <c r="D54" s="6" t="e">
        <f>IF(#REF!&lt;&gt;"",#REF!,"")</f>
        <v>#REF!</v>
      </c>
      <c r="E54" s="7" t="str" cm="1">
        <f t="array" ref="E54">IF(SUMPRODUCT(ISNUMBER(SEARCH(#REF!, '[1]IGNORAR-lista-edicoes'!$A$1:$A$21)) + 0) &gt; 0,#REF!, "")</f>
        <v/>
      </c>
      <c r="F54" s="8" t="s">
        <v>82</v>
      </c>
      <c r="G54" s="9"/>
      <c r="H54" s="3"/>
    </row>
    <row r="55" spans="1:8" s="10" customFormat="1" x14ac:dyDescent="0.25">
      <c r="A55" s="4">
        <v>4598</v>
      </c>
      <c r="B55" s="5">
        <v>810044</v>
      </c>
      <c r="C55" s="5"/>
      <c r="D55" s="20" t="s">
        <v>76</v>
      </c>
      <c r="E55" s="21"/>
      <c r="F55" s="21">
        <v>1</v>
      </c>
      <c r="G55" s="14"/>
      <c r="H55" s="3"/>
    </row>
    <row r="56" spans="1:8" s="10" customFormat="1" x14ac:dyDescent="0.25">
      <c r="A56" s="4">
        <v>3912</v>
      </c>
      <c r="B56" s="4">
        <v>810055</v>
      </c>
      <c r="C56" s="4" t="s">
        <v>83</v>
      </c>
      <c r="D56" s="6" t="e">
        <f>IF(#REF!&lt;&gt;"",#REF!,"")</f>
        <v>#REF!</v>
      </c>
      <c r="E56" s="7" t="str" cm="1">
        <f t="array" ref="E56">IF(SUMPRODUCT(ISNUMBER(SEARCH(#REF!, '[1]IGNORAR-lista-edicoes'!$A$1:$A$21)) + 0) &gt; 0,#REF!, "")</f>
        <v/>
      </c>
      <c r="F56" s="7" t="s">
        <v>84</v>
      </c>
      <c r="G56" s="16"/>
      <c r="H56" s="3"/>
    </row>
    <row r="57" spans="1:8" s="10" customFormat="1" x14ac:dyDescent="0.25">
      <c r="A57" s="4">
        <v>3913</v>
      </c>
      <c r="B57" s="4">
        <v>810381</v>
      </c>
      <c r="C57" s="4" t="s">
        <v>85</v>
      </c>
      <c r="D57" s="6" t="e">
        <f>IF(#REF!&lt;&gt;"",#REF!,"")</f>
        <v>#REF!</v>
      </c>
      <c r="E57" s="7" t="str" cm="1">
        <f t="array" ref="E57">IF(SUMPRODUCT(ISNUMBER(SEARCH(#REF!, '[1]IGNORAR-lista-edicoes'!$A$1:$A$21)) + 0) &gt; 0,#REF!, "")</f>
        <v/>
      </c>
      <c r="F57" s="7">
        <v>7</v>
      </c>
      <c r="G57" s="16"/>
      <c r="H57" s="3"/>
    </row>
    <row r="58" spans="1:8" s="10" customFormat="1" ht="150" x14ac:dyDescent="0.25">
      <c r="A58" s="4">
        <v>4102</v>
      </c>
      <c r="B58" s="5">
        <v>849980</v>
      </c>
      <c r="C58" s="5" t="s">
        <v>86</v>
      </c>
      <c r="D58" s="6" t="e">
        <f>IF(#REF!&lt;&gt;"",#REF!,"")</f>
        <v>#REF!</v>
      </c>
      <c r="E58" s="7" t="str" cm="1">
        <f t="array" ref="E58">IF(SUMPRODUCT(ISNUMBER(SEARCH(#REF!, '[1]IGNORAR-lista-edicoes'!$A$1:$A$21)) + 0) &gt; 0,#REF!, "")</f>
        <v/>
      </c>
      <c r="F58" s="8" t="s">
        <v>87</v>
      </c>
      <c r="G58" s="9"/>
      <c r="H58" s="3"/>
    </row>
    <row r="59" spans="1:8" s="10" customFormat="1" ht="75" x14ac:dyDescent="0.25">
      <c r="A59" s="4">
        <v>4113</v>
      </c>
      <c r="B59" s="5">
        <v>849990</v>
      </c>
      <c r="C59" s="5" t="s">
        <v>88</v>
      </c>
      <c r="D59" s="6" t="e">
        <f>IF(#REF!&lt;&gt;"",#REF!,"")</f>
        <v>#REF!</v>
      </c>
      <c r="E59" s="7" t="str" cm="1">
        <f t="array" ref="E59">IF(SUMPRODUCT(ISNUMBER(SEARCH(#REF!, '[1]IGNORAR-lista-edicoes'!$A$1:$A$21)) + 0) &gt; 0,#REF!, "")</f>
        <v/>
      </c>
      <c r="F59" s="7" t="s">
        <v>89</v>
      </c>
      <c r="G59" s="16"/>
      <c r="H59" s="3"/>
    </row>
    <row r="60" spans="1:8" s="10" customFormat="1" ht="60" x14ac:dyDescent="0.25">
      <c r="A60" s="4">
        <v>3934</v>
      </c>
      <c r="B60" s="4">
        <v>851350</v>
      </c>
      <c r="C60" s="4" t="s">
        <v>90</v>
      </c>
      <c r="D60" s="6" t="e">
        <f>IF(#REF!&lt;&gt;"",#REF!,"")</f>
        <v>#REF!</v>
      </c>
      <c r="E60" s="7" t="str" cm="1">
        <f t="array" ref="E60">IF(SUMPRODUCT(ISNUMBER(SEARCH(#REF!, '[1]IGNORAR-lista-edicoes'!$A$1:$A$21)) + 0) &gt; 0,#REF!, "")</f>
        <v/>
      </c>
      <c r="F60" s="8" t="s">
        <v>91</v>
      </c>
      <c r="G60" s="9"/>
      <c r="H60" s="3"/>
    </row>
    <row r="61" spans="1:8" s="10" customFormat="1" x14ac:dyDescent="0.25">
      <c r="A61" s="4">
        <v>3942</v>
      </c>
      <c r="B61" s="4">
        <v>852833</v>
      </c>
      <c r="C61" s="4" t="s">
        <v>92</v>
      </c>
      <c r="D61" s="6" t="e">
        <f>IF(#REF!&lt;&gt;"",#REF!,"")</f>
        <v>#REF!</v>
      </c>
      <c r="E61" s="7" t="str" cm="1">
        <f t="array" ref="E61">IF(SUMPRODUCT(ISNUMBER(SEARCH(#REF!, '[1]IGNORAR-lista-edicoes'!$A$1:$A$21)) + 0) &gt; 0,#REF!, "")</f>
        <v/>
      </c>
      <c r="F61" s="7">
        <v>11</v>
      </c>
      <c r="G61" s="16"/>
      <c r="H61" s="3"/>
    </row>
    <row r="62" spans="1:8" s="10" customFormat="1" ht="30" x14ac:dyDescent="0.25">
      <c r="A62" s="4">
        <v>3950</v>
      </c>
      <c r="B62" s="4">
        <v>859037</v>
      </c>
      <c r="C62" s="4" t="s">
        <v>93</v>
      </c>
      <c r="D62" s="6" t="e">
        <f>IF(#REF!&lt;&gt;"",#REF!,"")</f>
        <v>#REF!</v>
      </c>
      <c r="E62" s="7" t="str" cm="1">
        <f t="array" ref="E62">IF(SUMPRODUCT(ISNUMBER(SEARCH(#REF!, '[1]IGNORAR-lista-edicoes'!$A$1:$A$21)) + 0) &gt; 0,#REF!, "")</f>
        <v/>
      </c>
      <c r="F62" s="7" t="s">
        <v>55</v>
      </c>
      <c r="G62" s="16"/>
      <c r="H62" s="3"/>
    </row>
    <row r="63" spans="1:8" s="10" customFormat="1" ht="30" x14ac:dyDescent="0.25">
      <c r="A63" s="4">
        <v>3954</v>
      </c>
      <c r="B63" s="4">
        <v>874327</v>
      </c>
      <c r="C63" s="4" t="s">
        <v>94</v>
      </c>
      <c r="D63" s="6" t="e">
        <f>IF(#REF!&lt;&gt;"",#REF!,"")</f>
        <v>#REF!</v>
      </c>
      <c r="E63" s="7" t="str" cm="1">
        <f t="array" ref="E63">IF(SUMPRODUCT(ISNUMBER(SEARCH(#REF!, '[1]IGNORAR-lista-edicoes'!$A$1:$A$21)) + 0) &gt; 0,#REF!, "")</f>
        <v/>
      </c>
      <c r="F63" s="7" t="s">
        <v>95</v>
      </c>
      <c r="G63" s="16"/>
      <c r="H63" s="3"/>
    </row>
    <row r="64" spans="1:8" s="10" customFormat="1" x14ac:dyDescent="0.25">
      <c r="A64" s="4">
        <v>3964</v>
      </c>
      <c r="B64" s="4">
        <v>1066418</v>
      </c>
      <c r="C64" s="4" t="s">
        <v>96</v>
      </c>
      <c r="D64" s="6" t="e">
        <f>IF(#REF!&lt;&gt;"",#REF!,"")</f>
        <v>#REF!</v>
      </c>
      <c r="E64" s="7" t="str" cm="1">
        <f t="array" ref="E64">IF(SUMPRODUCT(ISNUMBER(SEARCH(#REF!, '[1]IGNORAR-lista-edicoes'!$A$1:$A$21)) + 0) &gt; 0,#REF!, "")</f>
        <v/>
      </c>
      <c r="F64" s="2" t="s">
        <v>97</v>
      </c>
      <c r="G64" s="23"/>
      <c r="H64" s="3"/>
    </row>
    <row r="65" spans="1:8" s="10" customFormat="1" x14ac:dyDescent="0.25">
      <c r="A65" s="4">
        <v>3966</v>
      </c>
      <c r="B65" s="4">
        <v>1073960</v>
      </c>
      <c r="C65" s="4" t="s">
        <v>98</v>
      </c>
      <c r="D65" s="6" t="e">
        <f>IF(#REF!&lt;&gt;"",#REF!,"")</f>
        <v>#REF!</v>
      </c>
      <c r="E65" s="7" t="str" cm="1">
        <f t="array" ref="E65">IF(SUMPRODUCT(ISNUMBER(SEARCH(#REF!, '[1]IGNORAR-lista-edicoes'!$A$1:$A$21)) + 0) &gt; 0,#REF!, "")</f>
        <v/>
      </c>
      <c r="F65" s="7">
        <v>9</v>
      </c>
      <c r="G65" s="16"/>
      <c r="H65" s="3"/>
    </row>
    <row r="66" spans="1:8" s="10" customFormat="1" x14ac:dyDescent="0.25">
      <c r="A66" s="1">
        <v>5663</v>
      </c>
      <c r="B66" s="2">
        <v>2195211</v>
      </c>
      <c r="C66" s="2" t="s">
        <v>99</v>
      </c>
      <c r="D66" s="3"/>
      <c r="E66" s="3"/>
      <c r="F66" s="3" t="s">
        <v>100</v>
      </c>
      <c r="G66" s="3"/>
      <c r="H66" s="3"/>
    </row>
  </sheetData>
  <dataValidations disablePrompts="1" count="1">
    <dataValidation allowBlank="1" showInputMessage="1" showErrorMessage="1" sqref="E2:G2 F3:G8 E5 E9:G10 F11:G39 E40:G40 F41:G45 F47:G63 F65:G65 E66:G66" xr:uid="{3C797900-19D2-4EDC-941B-373E55624AF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de Ayala Serôdio de Sales Baptista</dc:creator>
  <cp:lastModifiedBy>Miguel de Ayala Serôdio de Sales Baptista</cp:lastModifiedBy>
  <dcterms:created xsi:type="dcterms:W3CDTF">2026-04-14T14:32:02Z</dcterms:created>
  <dcterms:modified xsi:type="dcterms:W3CDTF">2026-04-14T14:55:01Z</dcterms:modified>
</cp:coreProperties>
</file>