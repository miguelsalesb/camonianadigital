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portugalgovpt-my.sharepoint.com/personal/mbaptista_bnportugal_gov_pt/Documents/Documentos/python/camoniana/imagens/docs/"/>
    </mc:Choice>
  </mc:AlternateContent>
  <xr:revisionPtr revIDLastSave="231" documentId="8_{A4B5A3A2-5E02-4429-83DC-7795FB05592E}" xr6:coauthVersionLast="47" xr6:coauthVersionMax="47" xr10:uidLastSave="{5570890B-8C20-4F4D-9AD3-99E33F2B9FAB}"/>
  <bookViews>
    <workbookView xWindow="28680" yWindow="-120" windowWidth="29040" windowHeight="15720" tabRatio="596" activeTab="5" xr2:uid="{2D42789F-B562-4F1A-8A6B-788410E25B15}"/>
  </bookViews>
  <sheets>
    <sheet name="imagens" sheetId="8" r:id="rId1"/>
    <sheet name="imagens-partilhar" sheetId="7" r:id="rId2"/>
    <sheet name="imagens-regina" sheetId="1" r:id="rId3"/>
    <sheet name="todos" sheetId="2" r:id="rId4"/>
    <sheet name="verificar" sheetId="3" r:id="rId5"/>
    <sheet name="faltam" sheetId="4" r:id="rId6"/>
    <sheet name="ncb-para-extrair" sheetId="5" r:id="rId7"/>
    <sheet name="categorias" sheetId="6" r:id="rId8"/>
  </sheets>
  <definedNames>
    <definedName name="_xlnm._FilterDatabase" localSheetId="3" hidden="1">todos!$A$1:$B$798</definedName>
    <definedName name="_xlnm._FilterDatabase" localSheetId="4" hidden="1">verificar!$A$1:$B$870</definedName>
    <definedName name="DadosExternos_1" localSheetId="0" hidden="1">imagens!#REF!</definedName>
    <definedName name="DadosExternos_1" localSheetId="1" hidden="1">'imagens-partilhar'!$M$1:$N$867</definedName>
    <definedName name="DadosExternos_1" localSheetId="2" hidden="1">'imagens-regina'!$N$1:$O$867</definedName>
    <definedName name="DadosExternos_2" localSheetId="0" hidden="1">imagens!$I$1:$AF$867</definedName>
    <definedName name="DadosExternos_2" localSheetId="1" hidden="1">'imagens-partilhar'!$P$1:$AT$867</definedName>
    <definedName name="DadosExternos_2" localSheetId="2" hidden="1">'imagens-regina'!$Q$1:$AU$867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67" i="7" l="1"/>
  <c r="I867" i="7"/>
  <c r="O866" i="7"/>
  <c r="I866" i="7" s="1"/>
  <c r="O865" i="7"/>
  <c r="I865" i="7"/>
  <c r="O864" i="7"/>
  <c r="I864" i="7"/>
  <c r="O863" i="7"/>
  <c r="I863" i="7" s="1"/>
  <c r="O862" i="7"/>
  <c r="I862" i="7" s="1"/>
  <c r="O861" i="7"/>
  <c r="I861" i="7"/>
  <c r="O860" i="7"/>
  <c r="I860" i="7"/>
  <c r="O859" i="7"/>
  <c r="I859" i="7"/>
  <c r="O858" i="7"/>
  <c r="I858" i="7" s="1"/>
  <c r="O857" i="7"/>
  <c r="I857" i="7" s="1"/>
  <c r="O856" i="7"/>
  <c r="I856" i="7" s="1"/>
  <c r="O855" i="7"/>
  <c r="I855" i="7" s="1"/>
  <c r="O854" i="7"/>
  <c r="I854" i="7" s="1"/>
  <c r="O853" i="7"/>
  <c r="I853" i="7" s="1"/>
  <c r="O852" i="7"/>
  <c r="I852" i="7" s="1"/>
  <c r="O851" i="7"/>
  <c r="I851" i="7"/>
  <c r="O850" i="7"/>
  <c r="I850" i="7"/>
  <c r="O849" i="7"/>
  <c r="I849" i="7"/>
  <c r="O848" i="7"/>
  <c r="I848" i="7" s="1"/>
  <c r="O847" i="7"/>
  <c r="I847" i="7"/>
  <c r="O846" i="7"/>
  <c r="I846" i="7" s="1"/>
  <c r="O845" i="7"/>
  <c r="I845" i="7"/>
  <c r="O844" i="7"/>
  <c r="I844" i="7" s="1"/>
  <c r="O843" i="7"/>
  <c r="I843" i="7" s="1"/>
  <c r="O842" i="7"/>
  <c r="I842" i="7" s="1"/>
  <c r="O841" i="7"/>
  <c r="I841" i="7"/>
  <c r="O840" i="7"/>
  <c r="I840" i="7" s="1"/>
  <c r="O839" i="7"/>
  <c r="I839" i="7" s="1"/>
  <c r="O838" i="7"/>
  <c r="I838" i="7" s="1"/>
  <c r="O837" i="7"/>
  <c r="I837" i="7"/>
  <c r="O836" i="7"/>
  <c r="I836" i="7"/>
  <c r="O835" i="7"/>
  <c r="I835" i="7" s="1"/>
  <c r="O834" i="7"/>
  <c r="I834" i="7" s="1"/>
  <c r="O833" i="7"/>
  <c r="I833" i="7" s="1"/>
  <c r="O832" i="7"/>
  <c r="I832" i="7" s="1"/>
  <c r="O831" i="7"/>
  <c r="I831" i="7" s="1"/>
  <c r="O830" i="7"/>
  <c r="I830" i="7" s="1"/>
  <c r="O829" i="7"/>
  <c r="I829" i="7"/>
  <c r="O828" i="7"/>
  <c r="I828" i="7" s="1"/>
  <c r="O827" i="7"/>
  <c r="I827" i="7" s="1"/>
  <c r="O826" i="7"/>
  <c r="I826" i="7" s="1"/>
  <c r="O825" i="7"/>
  <c r="I825" i="7" s="1"/>
  <c r="O824" i="7"/>
  <c r="I824" i="7" s="1"/>
  <c r="O823" i="7"/>
  <c r="I823" i="7" s="1"/>
  <c r="O822" i="7"/>
  <c r="I822" i="7" s="1"/>
  <c r="O821" i="7"/>
  <c r="I821" i="7" s="1"/>
  <c r="O820" i="7"/>
  <c r="I820" i="7"/>
  <c r="O819" i="7"/>
  <c r="I819" i="7" s="1"/>
  <c r="O818" i="7"/>
  <c r="I818" i="7" s="1"/>
  <c r="O817" i="7"/>
  <c r="I817" i="7"/>
  <c r="O816" i="7"/>
  <c r="I816" i="7" s="1"/>
  <c r="O815" i="7"/>
  <c r="I815" i="7" s="1"/>
  <c r="O814" i="7"/>
  <c r="I814" i="7" s="1"/>
  <c r="O813" i="7"/>
  <c r="I813" i="7" s="1"/>
  <c r="O812" i="7"/>
  <c r="I812" i="7" s="1"/>
  <c r="O811" i="7"/>
  <c r="I811" i="7"/>
  <c r="O810" i="7"/>
  <c r="I810" i="7"/>
  <c r="O809" i="7"/>
  <c r="I809" i="7"/>
  <c r="O808" i="7"/>
  <c r="I808" i="7" s="1"/>
  <c r="O807" i="7"/>
  <c r="I807" i="7"/>
  <c r="O806" i="7"/>
  <c r="I806" i="7" s="1"/>
  <c r="O805" i="7"/>
  <c r="I805" i="7" s="1"/>
  <c r="O804" i="7"/>
  <c r="I804" i="7"/>
  <c r="O803" i="7"/>
  <c r="I803" i="7" s="1"/>
  <c r="O802" i="7"/>
  <c r="I802" i="7" s="1"/>
  <c r="O801" i="7"/>
  <c r="I801" i="7" s="1"/>
  <c r="O800" i="7"/>
  <c r="I800" i="7" s="1"/>
  <c r="O799" i="7"/>
  <c r="I799" i="7" s="1"/>
  <c r="O798" i="7"/>
  <c r="I798" i="7" s="1"/>
  <c r="O797" i="7"/>
  <c r="I797" i="7"/>
  <c r="O796" i="7"/>
  <c r="I796" i="7"/>
  <c r="O795" i="7"/>
  <c r="I795" i="7" s="1"/>
  <c r="O794" i="7"/>
  <c r="I794" i="7" s="1"/>
  <c r="O793" i="7"/>
  <c r="I793" i="7" s="1"/>
  <c r="O792" i="7"/>
  <c r="I792" i="7" s="1"/>
  <c r="O791" i="7"/>
  <c r="I791" i="7"/>
  <c r="O790" i="7"/>
  <c r="I790" i="7" s="1"/>
  <c r="O789" i="7"/>
  <c r="I789" i="7"/>
  <c r="O788" i="7"/>
  <c r="I788" i="7" s="1"/>
  <c r="O787" i="7"/>
  <c r="I787" i="7" s="1"/>
  <c r="O786" i="7"/>
  <c r="I786" i="7" s="1"/>
  <c r="O785" i="7"/>
  <c r="I785" i="7"/>
  <c r="O784" i="7"/>
  <c r="I784" i="7" s="1"/>
  <c r="O783" i="7"/>
  <c r="I783" i="7" s="1"/>
  <c r="O782" i="7"/>
  <c r="I782" i="7" s="1"/>
  <c r="O781" i="7"/>
  <c r="I781" i="7" s="1"/>
  <c r="O780" i="7"/>
  <c r="I780" i="7" s="1"/>
  <c r="O779" i="7"/>
  <c r="I779" i="7"/>
  <c r="O778" i="7"/>
  <c r="I778" i="7" s="1"/>
  <c r="O777" i="7"/>
  <c r="I777" i="7"/>
  <c r="O776" i="7"/>
  <c r="I776" i="7"/>
  <c r="O775" i="7"/>
  <c r="I775" i="7" s="1"/>
  <c r="O774" i="7"/>
  <c r="I774" i="7" s="1"/>
  <c r="O773" i="7"/>
  <c r="I773" i="7" s="1"/>
  <c r="O772" i="7"/>
  <c r="I772" i="7" s="1"/>
  <c r="O771" i="7"/>
  <c r="I771" i="7"/>
  <c r="O770" i="7"/>
  <c r="I770" i="7"/>
  <c r="O769" i="7"/>
  <c r="I769" i="7" s="1"/>
  <c r="O768" i="7"/>
  <c r="I768" i="7" s="1"/>
  <c r="O767" i="7"/>
  <c r="I767" i="7" s="1"/>
  <c r="O766" i="7"/>
  <c r="I766" i="7"/>
  <c r="O765" i="7"/>
  <c r="I765" i="7" s="1"/>
  <c r="O764" i="7"/>
  <c r="I764" i="7" s="1"/>
  <c r="O763" i="7"/>
  <c r="I763" i="7" s="1"/>
  <c r="O762" i="7"/>
  <c r="I762" i="7" s="1"/>
  <c r="O761" i="7"/>
  <c r="I761" i="7" s="1"/>
  <c r="O760" i="7"/>
  <c r="I760" i="7"/>
  <c r="O759" i="7"/>
  <c r="I759" i="7" s="1"/>
  <c r="O758" i="7"/>
  <c r="I758" i="7" s="1"/>
  <c r="O757" i="7"/>
  <c r="I757" i="7" s="1"/>
  <c r="O756" i="7"/>
  <c r="I756" i="7" s="1"/>
  <c r="O755" i="7"/>
  <c r="I755" i="7" s="1"/>
  <c r="O754" i="7"/>
  <c r="I754" i="7" s="1"/>
  <c r="O753" i="7"/>
  <c r="I753" i="7" s="1"/>
  <c r="O752" i="7"/>
  <c r="I752" i="7" s="1"/>
  <c r="O751" i="7"/>
  <c r="I751" i="7"/>
  <c r="O750" i="7"/>
  <c r="I750" i="7"/>
  <c r="O749" i="7"/>
  <c r="I749" i="7"/>
  <c r="O748" i="7"/>
  <c r="I748" i="7" s="1"/>
  <c r="O747" i="7"/>
  <c r="I747" i="7"/>
  <c r="O746" i="7"/>
  <c r="I746" i="7" s="1"/>
  <c r="O745" i="7"/>
  <c r="I745" i="7"/>
  <c r="O744" i="7"/>
  <c r="I744" i="7" s="1"/>
  <c r="O743" i="7"/>
  <c r="I743" i="7" s="1"/>
  <c r="O742" i="7"/>
  <c r="I742" i="7" s="1"/>
  <c r="O741" i="7"/>
  <c r="I741" i="7"/>
  <c r="O740" i="7"/>
  <c r="I740" i="7" s="1"/>
  <c r="O739" i="7"/>
  <c r="I739" i="7" s="1"/>
  <c r="O738" i="7"/>
  <c r="I738" i="7" s="1"/>
  <c r="O737" i="7"/>
  <c r="I737" i="7"/>
  <c r="O736" i="7"/>
  <c r="I736" i="7"/>
  <c r="O735" i="7"/>
  <c r="I735" i="7" s="1"/>
  <c r="O734" i="7"/>
  <c r="I734" i="7" s="1"/>
  <c r="O733" i="7"/>
  <c r="I733" i="7" s="1"/>
  <c r="O732" i="7"/>
  <c r="I732" i="7" s="1"/>
  <c r="O731" i="7"/>
  <c r="I731" i="7" s="1"/>
  <c r="O730" i="7"/>
  <c r="I730" i="7" s="1"/>
  <c r="O729" i="7"/>
  <c r="I729" i="7"/>
  <c r="O728" i="7"/>
  <c r="I728" i="7" s="1"/>
  <c r="O727" i="7"/>
  <c r="I727" i="7" s="1"/>
  <c r="O726" i="7"/>
  <c r="I726" i="7" s="1"/>
  <c r="O725" i="7"/>
  <c r="I725" i="7" s="1"/>
  <c r="O724" i="7"/>
  <c r="I724" i="7" s="1"/>
  <c r="O723" i="7"/>
  <c r="I723" i="7" s="1"/>
  <c r="O722" i="7"/>
  <c r="I722" i="7" s="1"/>
  <c r="O721" i="7"/>
  <c r="I721" i="7" s="1"/>
  <c r="O720" i="7"/>
  <c r="I720" i="7"/>
  <c r="O719" i="7"/>
  <c r="I719" i="7" s="1"/>
  <c r="O718" i="7"/>
  <c r="I718" i="7" s="1"/>
  <c r="O717" i="7"/>
  <c r="I717" i="7"/>
  <c r="O716" i="7"/>
  <c r="I716" i="7" s="1"/>
  <c r="O715" i="7"/>
  <c r="I715" i="7" s="1"/>
  <c r="O714" i="7"/>
  <c r="I714" i="7" s="1"/>
  <c r="O713" i="7"/>
  <c r="I713" i="7" s="1"/>
  <c r="O712" i="7"/>
  <c r="I712" i="7" s="1"/>
  <c r="O711" i="7"/>
  <c r="I711" i="7"/>
  <c r="O710" i="7"/>
  <c r="I710" i="7"/>
  <c r="O709" i="7"/>
  <c r="I709" i="7"/>
  <c r="O708" i="7"/>
  <c r="I708" i="7" s="1"/>
  <c r="O707" i="7"/>
  <c r="I707" i="7"/>
  <c r="O706" i="7"/>
  <c r="I706" i="7" s="1"/>
  <c r="O705" i="7"/>
  <c r="I705" i="7" s="1"/>
  <c r="O704" i="7"/>
  <c r="I704" i="7"/>
  <c r="O703" i="7"/>
  <c r="I703" i="7" s="1"/>
  <c r="O702" i="7"/>
  <c r="I702" i="7" s="1"/>
  <c r="O701" i="7"/>
  <c r="I701" i="7" s="1"/>
  <c r="O700" i="7"/>
  <c r="I700" i="7" s="1"/>
  <c r="O699" i="7"/>
  <c r="I699" i="7" s="1"/>
  <c r="O698" i="7"/>
  <c r="I698" i="7" s="1"/>
  <c r="O697" i="7"/>
  <c r="I697" i="7"/>
  <c r="O696" i="7"/>
  <c r="I696" i="7"/>
  <c r="O695" i="7"/>
  <c r="I695" i="7" s="1"/>
  <c r="O694" i="7"/>
  <c r="I694" i="7" s="1"/>
  <c r="O693" i="7"/>
  <c r="I693" i="7" s="1"/>
  <c r="O692" i="7"/>
  <c r="I692" i="7" s="1"/>
  <c r="O691" i="7"/>
  <c r="I691" i="7"/>
  <c r="O690" i="7"/>
  <c r="I690" i="7" s="1"/>
  <c r="O689" i="7"/>
  <c r="I689" i="7"/>
  <c r="O688" i="7"/>
  <c r="I688" i="7" s="1"/>
  <c r="O687" i="7"/>
  <c r="I687" i="7" s="1"/>
  <c r="O686" i="7"/>
  <c r="I686" i="7" s="1"/>
  <c r="O685" i="7"/>
  <c r="I685" i="7"/>
  <c r="O684" i="7"/>
  <c r="I684" i="7" s="1"/>
  <c r="O683" i="7"/>
  <c r="I683" i="7" s="1"/>
  <c r="O682" i="7"/>
  <c r="I682" i="7" s="1"/>
  <c r="O681" i="7"/>
  <c r="I681" i="7" s="1"/>
  <c r="O680" i="7"/>
  <c r="I680" i="7" s="1"/>
  <c r="O679" i="7"/>
  <c r="I679" i="7"/>
  <c r="O678" i="7"/>
  <c r="I678" i="7" s="1"/>
  <c r="O677" i="7"/>
  <c r="I677" i="7"/>
  <c r="O676" i="7"/>
  <c r="I676" i="7"/>
  <c r="O675" i="7"/>
  <c r="I675" i="7" s="1"/>
  <c r="O674" i="7"/>
  <c r="I674" i="7" s="1"/>
  <c r="O673" i="7"/>
  <c r="I673" i="7" s="1"/>
  <c r="O672" i="7"/>
  <c r="I672" i="7" s="1"/>
  <c r="O671" i="7"/>
  <c r="I671" i="7"/>
  <c r="O670" i="7"/>
  <c r="I670" i="7"/>
  <c r="O669" i="7"/>
  <c r="I669" i="7" s="1"/>
  <c r="O668" i="7"/>
  <c r="I668" i="7" s="1"/>
  <c r="O667" i="7"/>
  <c r="I667" i="7" s="1"/>
  <c r="O666" i="7"/>
  <c r="I666" i="7"/>
  <c r="O665" i="7"/>
  <c r="I665" i="7" s="1"/>
  <c r="O664" i="7"/>
  <c r="I664" i="7" s="1"/>
  <c r="O663" i="7"/>
  <c r="I663" i="7" s="1"/>
  <c r="O662" i="7"/>
  <c r="I662" i="7" s="1"/>
  <c r="O661" i="7"/>
  <c r="I661" i="7" s="1"/>
  <c r="O660" i="7"/>
  <c r="I660" i="7"/>
  <c r="O659" i="7"/>
  <c r="I659" i="7" s="1"/>
  <c r="O658" i="7"/>
  <c r="I658" i="7" s="1"/>
  <c r="O657" i="7"/>
  <c r="I657" i="7" s="1"/>
  <c r="O656" i="7"/>
  <c r="I656" i="7" s="1"/>
  <c r="O655" i="7"/>
  <c r="I655" i="7" s="1"/>
  <c r="O654" i="7"/>
  <c r="I654" i="7" s="1"/>
  <c r="O653" i="7"/>
  <c r="I653" i="7" s="1"/>
  <c r="O652" i="7"/>
  <c r="I652" i="7" s="1"/>
  <c r="O651" i="7"/>
  <c r="I651" i="7"/>
  <c r="O650" i="7"/>
  <c r="I650" i="7"/>
  <c r="O649" i="7"/>
  <c r="I649" i="7"/>
  <c r="O648" i="7"/>
  <c r="I648" i="7" s="1"/>
  <c r="O647" i="7"/>
  <c r="I647" i="7"/>
  <c r="O646" i="7"/>
  <c r="I646" i="7" s="1"/>
  <c r="O645" i="7"/>
  <c r="I645" i="7"/>
  <c r="O644" i="7"/>
  <c r="I644" i="7" s="1"/>
  <c r="O643" i="7"/>
  <c r="I643" i="7" s="1"/>
  <c r="O642" i="7"/>
  <c r="I642" i="7" s="1"/>
  <c r="O641" i="7"/>
  <c r="I641" i="7"/>
  <c r="O640" i="7"/>
  <c r="I640" i="7" s="1"/>
  <c r="O639" i="7"/>
  <c r="I639" i="7" s="1"/>
  <c r="O638" i="7"/>
  <c r="I638" i="7" s="1"/>
  <c r="O637" i="7"/>
  <c r="I637" i="7"/>
  <c r="O636" i="7"/>
  <c r="I636" i="7"/>
  <c r="O635" i="7"/>
  <c r="I635" i="7" s="1"/>
  <c r="O634" i="7"/>
  <c r="I634" i="7" s="1"/>
  <c r="O633" i="7"/>
  <c r="I633" i="7" s="1"/>
  <c r="O632" i="7"/>
  <c r="I632" i="7" s="1"/>
  <c r="O631" i="7"/>
  <c r="I631" i="7" s="1"/>
  <c r="O630" i="7"/>
  <c r="I630" i="7" s="1"/>
  <c r="O629" i="7"/>
  <c r="I629" i="7"/>
  <c r="O628" i="7"/>
  <c r="I628" i="7" s="1"/>
  <c r="O627" i="7"/>
  <c r="I627" i="7" s="1"/>
  <c r="O626" i="7"/>
  <c r="I626" i="7" s="1"/>
  <c r="O625" i="7"/>
  <c r="I625" i="7" s="1"/>
  <c r="O624" i="7"/>
  <c r="I624" i="7" s="1"/>
  <c r="O623" i="7"/>
  <c r="I623" i="7" s="1"/>
  <c r="O622" i="7"/>
  <c r="I622" i="7" s="1"/>
  <c r="O621" i="7"/>
  <c r="I621" i="7" s="1"/>
  <c r="O620" i="7"/>
  <c r="I620" i="7"/>
  <c r="O619" i="7"/>
  <c r="I619" i="7" s="1"/>
  <c r="O618" i="7"/>
  <c r="I618" i="7" s="1"/>
  <c r="O617" i="7"/>
  <c r="I617" i="7"/>
  <c r="O616" i="7"/>
  <c r="I616" i="7" s="1"/>
  <c r="O615" i="7"/>
  <c r="I615" i="7" s="1"/>
  <c r="O614" i="7"/>
  <c r="I614" i="7" s="1"/>
  <c r="O613" i="7"/>
  <c r="I613" i="7" s="1"/>
  <c r="O612" i="7"/>
  <c r="I612" i="7" s="1"/>
  <c r="O611" i="7"/>
  <c r="I611" i="7"/>
  <c r="O610" i="7"/>
  <c r="I610" i="7"/>
  <c r="O609" i="7"/>
  <c r="I609" i="7"/>
  <c r="O608" i="7"/>
  <c r="I608" i="7"/>
  <c r="O607" i="7"/>
  <c r="I607" i="7" s="1"/>
  <c r="O606" i="7"/>
  <c r="I606" i="7" s="1"/>
  <c r="O605" i="7"/>
  <c r="I605" i="7"/>
  <c r="O604" i="7"/>
  <c r="I604" i="7" s="1"/>
  <c r="O603" i="7"/>
  <c r="I603" i="7" s="1"/>
  <c r="O602" i="7"/>
  <c r="I602" i="7" s="1"/>
  <c r="O601" i="7"/>
  <c r="I601" i="7"/>
  <c r="O600" i="7"/>
  <c r="I600" i="7"/>
  <c r="O599" i="7"/>
  <c r="I599" i="7"/>
  <c r="O598" i="7"/>
  <c r="I598" i="7" s="1"/>
  <c r="O597" i="7"/>
  <c r="I597" i="7" s="1"/>
  <c r="O596" i="7"/>
  <c r="I596" i="7"/>
  <c r="O595" i="7"/>
  <c r="I595" i="7" s="1"/>
  <c r="O594" i="7"/>
  <c r="I594" i="7" s="1"/>
  <c r="O593" i="7"/>
  <c r="I593" i="7" s="1"/>
  <c r="O592" i="7"/>
  <c r="I592" i="7" s="1"/>
  <c r="O591" i="7"/>
  <c r="I591" i="7"/>
  <c r="O590" i="7"/>
  <c r="I590" i="7" s="1"/>
  <c r="O589" i="7"/>
  <c r="I589" i="7" s="1"/>
  <c r="O588" i="7"/>
  <c r="I588" i="7" s="1"/>
  <c r="O587" i="7"/>
  <c r="I587" i="7" s="1"/>
  <c r="O586" i="7"/>
  <c r="I586" i="7"/>
  <c r="O585" i="7"/>
  <c r="I585" i="7" s="1"/>
  <c r="O584" i="7"/>
  <c r="I584" i="7"/>
  <c r="O583" i="7"/>
  <c r="I583" i="7" s="1"/>
  <c r="O582" i="7"/>
  <c r="I582" i="7" s="1"/>
  <c r="O581" i="7"/>
  <c r="I581" i="7" s="1"/>
  <c r="O580" i="7"/>
  <c r="I580" i="7"/>
  <c r="O579" i="7"/>
  <c r="I579" i="7" s="1"/>
  <c r="O578" i="7"/>
  <c r="I578" i="7" s="1"/>
  <c r="O577" i="7"/>
  <c r="I577" i="7"/>
  <c r="O576" i="7"/>
  <c r="I576" i="7"/>
  <c r="O575" i="7"/>
  <c r="I575" i="7" s="1"/>
  <c r="O574" i="7"/>
  <c r="I574" i="7" s="1"/>
  <c r="O573" i="7"/>
  <c r="I573" i="7" s="1"/>
  <c r="O572" i="7"/>
  <c r="I572" i="7" s="1"/>
  <c r="O571" i="7"/>
  <c r="I571" i="7"/>
  <c r="O570" i="7"/>
  <c r="I570" i="7" s="1"/>
  <c r="O569" i="7"/>
  <c r="I569" i="7" s="1"/>
  <c r="O568" i="7"/>
  <c r="I568" i="7"/>
  <c r="O567" i="7"/>
  <c r="I567" i="7" s="1"/>
  <c r="O566" i="7"/>
  <c r="I566" i="7"/>
  <c r="O565" i="7"/>
  <c r="I565" i="7"/>
  <c r="O564" i="7"/>
  <c r="I564" i="7"/>
  <c r="O563" i="7"/>
  <c r="I563" i="7" s="1"/>
  <c r="O562" i="7"/>
  <c r="I562" i="7" s="1"/>
  <c r="O561" i="7"/>
  <c r="I561" i="7"/>
  <c r="O560" i="7"/>
  <c r="I560" i="7"/>
  <c r="O559" i="7"/>
  <c r="I559" i="7" s="1"/>
  <c r="O558" i="7"/>
  <c r="I558" i="7" s="1"/>
  <c r="O557" i="7"/>
  <c r="I557" i="7" s="1"/>
  <c r="O556" i="7"/>
  <c r="I556" i="7"/>
  <c r="O555" i="7"/>
  <c r="I555" i="7" s="1"/>
  <c r="O554" i="7"/>
  <c r="I554" i="7" s="1"/>
  <c r="O553" i="7"/>
  <c r="I553" i="7" s="1"/>
  <c r="O552" i="7"/>
  <c r="I552" i="7" s="1"/>
  <c r="O551" i="7"/>
  <c r="I551" i="7" s="1"/>
  <c r="O550" i="7"/>
  <c r="I550" i="7"/>
  <c r="O549" i="7"/>
  <c r="I549" i="7"/>
  <c r="O548" i="7"/>
  <c r="I548" i="7" s="1"/>
  <c r="O547" i="7"/>
  <c r="I547" i="7"/>
  <c r="O546" i="7"/>
  <c r="I546" i="7" s="1"/>
  <c r="O545" i="7"/>
  <c r="I545" i="7" s="1"/>
  <c r="O544" i="7"/>
  <c r="I544" i="7"/>
  <c r="O543" i="7"/>
  <c r="I543" i="7" s="1"/>
  <c r="O542" i="7"/>
  <c r="I542" i="7" s="1"/>
  <c r="O541" i="7"/>
  <c r="I541" i="7" s="1"/>
  <c r="O540" i="7"/>
  <c r="I540" i="7" s="1"/>
  <c r="O539" i="7"/>
  <c r="I539" i="7"/>
  <c r="O538" i="7"/>
  <c r="I538" i="7" s="1"/>
  <c r="O537" i="7"/>
  <c r="I537" i="7"/>
  <c r="O536" i="7"/>
  <c r="I536" i="7"/>
  <c r="O535" i="7"/>
  <c r="I535" i="7" s="1"/>
  <c r="O534" i="7"/>
  <c r="I534" i="7" s="1"/>
  <c r="O533" i="7"/>
  <c r="I533" i="7" s="1"/>
  <c r="O532" i="7"/>
  <c r="I532" i="7" s="1"/>
  <c r="O531" i="7"/>
  <c r="I531" i="7"/>
  <c r="O530" i="7"/>
  <c r="I530" i="7" s="1"/>
  <c r="O529" i="7"/>
  <c r="I529" i="7"/>
  <c r="O528" i="7"/>
  <c r="I528" i="7"/>
  <c r="O527" i="7"/>
  <c r="I527" i="7"/>
  <c r="O526" i="7"/>
  <c r="I526" i="7"/>
  <c r="O525" i="7"/>
  <c r="I525" i="7"/>
  <c r="O524" i="7"/>
  <c r="I524" i="7"/>
  <c r="O523" i="7"/>
  <c r="I523" i="7" s="1"/>
  <c r="O522" i="7"/>
  <c r="I522" i="7" s="1"/>
  <c r="O521" i="7"/>
  <c r="I521" i="7" s="1"/>
  <c r="O520" i="7"/>
  <c r="I520" i="7"/>
  <c r="O519" i="7"/>
  <c r="I519" i="7" s="1"/>
  <c r="O518" i="7"/>
  <c r="I518" i="7" s="1"/>
  <c r="O517" i="7"/>
  <c r="I517" i="7" s="1"/>
  <c r="O516" i="7"/>
  <c r="I516" i="7" s="1"/>
  <c r="O515" i="7"/>
  <c r="I515" i="7" s="1"/>
  <c r="O514" i="7"/>
  <c r="I514" i="7" s="1"/>
  <c r="O513" i="7"/>
  <c r="I513" i="7" s="1"/>
  <c r="O512" i="7"/>
  <c r="I512" i="7" s="1"/>
  <c r="O511" i="7"/>
  <c r="I511" i="7" s="1"/>
  <c r="O510" i="7"/>
  <c r="I510" i="7"/>
  <c r="O509" i="7"/>
  <c r="I509" i="7" s="1"/>
  <c r="O508" i="7"/>
  <c r="I508" i="7" s="1"/>
  <c r="O507" i="7"/>
  <c r="I507" i="7"/>
  <c r="O506" i="7"/>
  <c r="I506" i="7" s="1"/>
  <c r="O505" i="7"/>
  <c r="I505" i="7" s="1"/>
  <c r="O504" i="7"/>
  <c r="I504" i="7" s="1"/>
  <c r="O503" i="7"/>
  <c r="I503" i="7" s="1"/>
  <c r="O502" i="7"/>
  <c r="I502" i="7" s="1"/>
  <c r="O501" i="7"/>
  <c r="I501" i="7"/>
  <c r="O500" i="7"/>
  <c r="I500" i="7" s="1"/>
  <c r="O499" i="7"/>
  <c r="I499" i="7"/>
  <c r="O498" i="7"/>
  <c r="I498" i="7" s="1"/>
  <c r="O497" i="7"/>
  <c r="I497" i="7" s="1"/>
  <c r="O496" i="7"/>
  <c r="I496" i="7"/>
  <c r="O495" i="7"/>
  <c r="I495" i="7" s="1"/>
  <c r="O494" i="7"/>
  <c r="I494" i="7" s="1"/>
  <c r="O493" i="7"/>
  <c r="I493" i="7" s="1"/>
  <c r="O492" i="7"/>
  <c r="I492" i="7" s="1"/>
  <c r="O491" i="7"/>
  <c r="I491" i="7"/>
  <c r="O490" i="7"/>
  <c r="I490" i="7"/>
  <c r="O489" i="7"/>
  <c r="I489" i="7"/>
  <c r="O488" i="7"/>
  <c r="I488" i="7"/>
  <c r="O487" i="7"/>
  <c r="I487" i="7"/>
  <c r="O486" i="7"/>
  <c r="I486" i="7" s="1"/>
  <c r="O485" i="7"/>
  <c r="I485" i="7" s="1"/>
  <c r="O484" i="7"/>
  <c r="I484" i="7"/>
  <c r="O483" i="7"/>
  <c r="I483" i="7" s="1"/>
  <c r="O482" i="7"/>
  <c r="I482" i="7" s="1"/>
  <c r="O481" i="7"/>
  <c r="I481" i="7"/>
  <c r="O480" i="7"/>
  <c r="I480" i="7"/>
  <c r="O479" i="7"/>
  <c r="I479" i="7"/>
  <c r="O478" i="7"/>
  <c r="I478" i="7"/>
  <c r="O477" i="7"/>
  <c r="I477" i="7"/>
  <c r="O476" i="7"/>
  <c r="I476" i="7" s="1"/>
  <c r="O475" i="7"/>
  <c r="I475" i="7" s="1"/>
  <c r="O474" i="7"/>
  <c r="I474" i="7" s="1"/>
  <c r="O473" i="7"/>
  <c r="I473" i="7" s="1"/>
  <c r="O472" i="7"/>
  <c r="I472" i="7"/>
  <c r="O471" i="7"/>
  <c r="I471" i="7" s="1"/>
  <c r="O470" i="7"/>
  <c r="I470" i="7" s="1"/>
  <c r="O469" i="7"/>
  <c r="I469" i="7" s="1"/>
  <c r="O468" i="7"/>
  <c r="I468" i="7" s="1"/>
  <c r="O467" i="7"/>
  <c r="I467" i="7" s="1"/>
  <c r="O466" i="7"/>
  <c r="I466" i="7" s="1"/>
  <c r="O465" i="7"/>
  <c r="I465" i="7" s="1"/>
  <c r="O464" i="7"/>
  <c r="I464" i="7"/>
  <c r="O463" i="7"/>
  <c r="I463" i="7" s="1"/>
  <c r="O462" i="7"/>
  <c r="I462" i="7"/>
  <c r="O461" i="7"/>
  <c r="I461" i="7" s="1"/>
  <c r="O460" i="7"/>
  <c r="I460" i="7" s="1"/>
  <c r="O459" i="7"/>
  <c r="I459" i="7"/>
  <c r="O458" i="7"/>
  <c r="I458" i="7" s="1"/>
  <c r="O457" i="7"/>
  <c r="I457" i="7" s="1"/>
  <c r="O456" i="7"/>
  <c r="I456" i="7" s="1"/>
  <c r="O455" i="7"/>
  <c r="I455" i="7" s="1"/>
  <c r="O454" i="7"/>
  <c r="I454" i="7"/>
  <c r="O453" i="7"/>
  <c r="I453" i="7"/>
  <c r="O452" i="7"/>
  <c r="I452" i="7" s="1"/>
  <c r="O451" i="7"/>
  <c r="I451" i="7" s="1"/>
  <c r="O450" i="7"/>
  <c r="I450" i="7" s="1"/>
  <c r="O449" i="7"/>
  <c r="I449" i="7" s="1"/>
  <c r="O448" i="7"/>
  <c r="I448" i="7" s="1"/>
  <c r="O447" i="7"/>
  <c r="I447" i="7" s="1"/>
  <c r="O446" i="7"/>
  <c r="I446" i="7" s="1"/>
  <c r="O445" i="7"/>
  <c r="I445" i="7" s="1"/>
  <c r="O444" i="7"/>
  <c r="I444" i="7"/>
  <c r="O443" i="7"/>
  <c r="I443" i="7"/>
  <c r="O442" i="7"/>
  <c r="I442" i="7"/>
  <c r="O441" i="7"/>
  <c r="I441" i="7"/>
  <c r="O440" i="7"/>
  <c r="I440" i="7"/>
  <c r="O439" i="7"/>
  <c r="I439" i="7"/>
  <c r="O438" i="7"/>
  <c r="I438" i="7" s="1"/>
  <c r="O437" i="7"/>
  <c r="I437" i="7" s="1"/>
  <c r="O436" i="7"/>
  <c r="I436" i="7" s="1"/>
  <c r="O435" i="7"/>
  <c r="I435" i="7" s="1"/>
  <c r="O434" i="7"/>
  <c r="I434" i="7" s="1"/>
  <c r="O433" i="7"/>
  <c r="I433" i="7"/>
  <c r="O432" i="7"/>
  <c r="I432" i="7"/>
  <c r="O431" i="7"/>
  <c r="I431" i="7" s="1"/>
  <c r="O430" i="7"/>
  <c r="I430" i="7"/>
  <c r="O429" i="7"/>
  <c r="I429" i="7"/>
  <c r="O428" i="7"/>
  <c r="I428" i="7" s="1"/>
  <c r="O427" i="7"/>
  <c r="I427" i="7" s="1"/>
  <c r="O426" i="7"/>
  <c r="I426" i="7" s="1"/>
  <c r="O425" i="7"/>
  <c r="I425" i="7" s="1"/>
  <c r="O424" i="7"/>
  <c r="I424" i="7" s="1"/>
  <c r="O423" i="7"/>
  <c r="I423" i="7" s="1"/>
  <c r="O422" i="7"/>
  <c r="I422" i="7"/>
  <c r="O421" i="7"/>
  <c r="I421" i="7" s="1"/>
  <c r="O420" i="7"/>
  <c r="I420" i="7" s="1"/>
  <c r="O419" i="7"/>
  <c r="I419" i="7" s="1"/>
  <c r="O418" i="7"/>
  <c r="I418" i="7"/>
  <c r="O417" i="7"/>
  <c r="I417" i="7"/>
  <c r="O416" i="7"/>
  <c r="I416" i="7" s="1"/>
  <c r="O415" i="7"/>
  <c r="I415" i="7" s="1"/>
  <c r="O414" i="7"/>
  <c r="I414" i="7"/>
  <c r="O413" i="7"/>
  <c r="I413" i="7" s="1"/>
  <c r="O412" i="7"/>
  <c r="I412" i="7" s="1"/>
  <c r="O411" i="7"/>
  <c r="I411" i="7" s="1"/>
  <c r="O410" i="7"/>
  <c r="I410" i="7" s="1"/>
  <c r="O409" i="7"/>
  <c r="I409" i="7"/>
  <c r="O408" i="7"/>
  <c r="I408" i="7" s="1"/>
  <c r="O407" i="7"/>
  <c r="I407" i="7" s="1"/>
  <c r="O406" i="7"/>
  <c r="I406" i="7" s="1"/>
  <c r="O405" i="7"/>
  <c r="I405" i="7" s="1"/>
  <c r="O404" i="7"/>
  <c r="I404" i="7"/>
  <c r="O403" i="7"/>
  <c r="I403" i="7" s="1"/>
  <c r="O402" i="7"/>
  <c r="I402" i="7"/>
  <c r="O401" i="7"/>
  <c r="I401" i="7" s="1"/>
  <c r="O400" i="7"/>
  <c r="I400" i="7" s="1"/>
  <c r="O399" i="7"/>
  <c r="I399" i="7"/>
  <c r="O398" i="7"/>
  <c r="I398" i="7" s="1"/>
  <c r="O397" i="7"/>
  <c r="I397" i="7" s="1"/>
  <c r="O396" i="7"/>
  <c r="I396" i="7" s="1"/>
  <c r="O395" i="7"/>
  <c r="I395" i="7" s="1"/>
  <c r="O394" i="7"/>
  <c r="I394" i="7" s="1"/>
  <c r="O393" i="7"/>
  <c r="I393" i="7"/>
  <c r="O392" i="7"/>
  <c r="I392" i="7" s="1"/>
  <c r="O391" i="7"/>
  <c r="I391" i="7" s="1"/>
  <c r="O390" i="7"/>
  <c r="I390" i="7" s="1"/>
  <c r="O389" i="7"/>
  <c r="I389" i="7" s="1"/>
  <c r="O388" i="7"/>
  <c r="I388" i="7" s="1"/>
  <c r="O387" i="7"/>
  <c r="I387" i="7" s="1"/>
  <c r="O386" i="7"/>
  <c r="I386" i="7" s="1"/>
  <c r="O385" i="7"/>
  <c r="I385" i="7" s="1"/>
  <c r="O384" i="7"/>
  <c r="I384" i="7" s="1"/>
  <c r="O383" i="7"/>
  <c r="I383" i="7" s="1"/>
  <c r="O382" i="7"/>
  <c r="I382" i="7" s="1"/>
  <c r="O381" i="7"/>
  <c r="I381" i="7"/>
  <c r="O380" i="7"/>
  <c r="I380" i="7" s="1"/>
  <c r="O379" i="7"/>
  <c r="I379" i="7"/>
  <c r="O378" i="7"/>
  <c r="I378" i="7" s="1"/>
  <c r="O377" i="7"/>
  <c r="I377" i="7" s="1"/>
  <c r="O376" i="7"/>
  <c r="I376" i="7" s="1"/>
  <c r="O375" i="7"/>
  <c r="I375" i="7" s="1"/>
  <c r="O374" i="7"/>
  <c r="I374" i="7" s="1"/>
  <c r="O373" i="7"/>
  <c r="I373" i="7" s="1"/>
  <c r="O372" i="7"/>
  <c r="I372" i="7" s="1"/>
  <c r="O371" i="7"/>
  <c r="I371" i="7" s="1"/>
  <c r="O370" i="7"/>
  <c r="I370" i="7"/>
  <c r="O369" i="7"/>
  <c r="I369" i="7"/>
  <c r="O368" i="7"/>
  <c r="I368" i="7" s="1"/>
  <c r="O367" i="7"/>
  <c r="I367" i="7" s="1"/>
  <c r="O366" i="7"/>
  <c r="I366" i="7" s="1"/>
  <c r="O365" i="7"/>
  <c r="I365" i="7" s="1"/>
  <c r="O364" i="7"/>
  <c r="I364" i="7" s="1"/>
  <c r="O363" i="7"/>
  <c r="I363" i="7"/>
  <c r="O362" i="7"/>
  <c r="I362" i="7" s="1"/>
  <c r="O361" i="7"/>
  <c r="I361" i="7" s="1"/>
  <c r="O360" i="7"/>
  <c r="I360" i="7" s="1"/>
  <c r="O359" i="7"/>
  <c r="I359" i="7" s="1"/>
  <c r="O358" i="7"/>
  <c r="I358" i="7"/>
  <c r="O357" i="7"/>
  <c r="I357" i="7" s="1"/>
  <c r="O356" i="7"/>
  <c r="I356" i="7" s="1"/>
  <c r="O355" i="7"/>
  <c r="I355" i="7" s="1"/>
  <c r="O354" i="7"/>
  <c r="I354" i="7" s="1"/>
  <c r="O353" i="7"/>
  <c r="I353" i="7" s="1"/>
  <c r="O352" i="7"/>
  <c r="I352" i="7"/>
  <c r="O351" i="7"/>
  <c r="I351" i="7" s="1"/>
  <c r="O350" i="7"/>
  <c r="I350" i="7"/>
  <c r="O349" i="7"/>
  <c r="I349" i="7"/>
  <c r="O348" i="7"/>
  <c r="I348" i="7" s="1"/>
  <c r="O347" i="7"/>
  <c r="I347" i="7" s="1"/>
  <c r="O346" i="7"/>
  <c r="I346" i="7" s="1"/>
  <c r="O345" i="7"/>
  <c r="I345" i="7"/>
  <c r="O344" i="7"/>
  <c r="I344" i="7" s="1"/>
  <c r="O343" i="7"/>
  <c r="I343" i="7"/>
  <c r="O342" i="7"/>
  <c r="I342" i="7" s="1"/>
  <c r="O341" i="7"/>
  <c r="I341" i="7" s="1"/>
  <c r="O340" i="7"/>
  <c r="I340" i="7"/>
  <c r="O339" i="7"/>
  <c r="I339" i="7" s="1"/>
  <c r="O338" i="7"/>
  <c r="I338" i="7" s="1"/>
  <c r="O337" i="7"/>
  <c r="I337" i="7" s="1"/>
  <c r="O336" i="7"/>
  <c r="I336" i="7" s="1"/>
  <c r="O335" i="7"/>
  <c r="I335" i="7" s="1"/>
  <c r="O334" i="7"/>
  <c r="I334" i="7"/>
  <c r="O333" i="7"/>
  <c r="I333" i="7" s="1"/>
  <c r="O332" i="7"/>
  <c r="I332" i="7"/>
  <c r="O331" i="7"/>
  <c r="I331" i="7" s="1"/>
  <c r="O330" i="7"/>
  <c r="I330" i="7" s="1"/>
  <c r="O329" i="7"/>
  <c r="I329" i="7"/>
  <c r="O328" i="7"/>
  <c r="I328" i="7" s="1"/>
  <c r="O327" i="7"/>
  <c r="I327" i="7" s="1"/>
  <c r="O326" i="7"/>
  <c r="I326" i="7" s="1"/>
  <c r="O325" i="7"/>
  <c r="I325" i="7" s="1"/>
  <c r="O324" i="7"/>
  <c r="I324" i="7" s="1"/>
  <c r="O323" i="7"/>
  <c r="I323" i="7" s="1"/>
  <c r="O322" i="7"/>
  <c r="I322" i="7"/>
  <c r="O321" i="7"/>
  <c r="I321" i="7" s="1"/>
  <c r="O320" i="7"/>
  <c r="I320" i="7"/>
  <c r="O319" i="7"/>
  <c r="I319" i="7" s="1"/>
  <c r="O318" i="7"/>
  <c r="I318" i="7" s="1"/>
  <c r="O317" i="7"/>
  <c r="I317" i="7"/>
  <c r="O316" i="7"/>
  <c r="I316" i="7" s="1"/>
  <c r="O315" i="7"/>
  <c r="I315" i="7" s="1"/>
  <c r="O314" i="7"/>
  <c r="I314" i="7" s="1"/>
  <c r="O313" i="7"/>
  <c r="I313" i="7" s="1"/>
  <c r="O312" i="7"/>
  <c r="I312" i="7" s="1"/>
  <c r="O311" i="7"/>
  <c r="I311" i="7" s="1"/>
  <c r="O310" i="7"/>
  <c r="I310" i="7"/>
  <c r="O309" i="7"/>
  <c r="I309" i="7"/>
  <c r="O308" i="7"/>
  <c r="I308" i="7" s="1"/>
  <c r="O307" i="7"/>
  <c r="I307" i="7" s="1"/>
  <c r="O306" i="7"/>
  <c r="I306" i="7" s="1"/>
  <c r="O305" i="7"/>
  <c r="I305" i="7" s="1"/>
  <c r="O304" i="7"/>
  <c r="I304" i="7"/>
  <c r="O303" i="7"/>
  <c r="I303" i="7" s="1"/>
  <c r="O302" i="7"/>
  <c r="I302" i="7" s="1"/>
  <c r="O301" i="7"/>
  <c r="I301" i="7" s="1"/>
  <c r="O300" i="7"/>
  <c r="I300" i="7" s="1"/>
  <c r="O299" i="7"/>
  <c r="I299" i="7"/>
  <c r="O298" i="7"/>
  <c r="I298" i="7" s="1"/>
  <c r="O297" i="7"/>
  <c r="I297" i="7"/>
  <c r="O296" i="7"/>
  <c r="I296" i="7" s="1"/>
  <c r="O295" i="7"/>
  <c r="I295" i="7" s="1"/>
  <c r="O294" i="7"/>
  <c r="I294" i="7" s="1"/>
  <c r="O293" i="7"/>
  <c r="I293" i="7"/>
  <c r="O292" i="7"/>
  <c r="I292" i="7" s="1"/>
  <c r="O291" i="7"/>
  <c r="I291" i="7" s="1"/>
  <c r="O290" i="7"/>
  <c r="I290" i="7"/>
  <c r="O289" i="7"/>
  <c r="I289" i="7"/>
  <c r="O288" i="7"/>
  <c r="I288" i="7" s="1"/>
  <c r="O287" i="7"/>
  <c r="I287" i="7" s="1"/>
  <c r="O286" i="7"/>
  <c r="I286" i="7" s="1"/>
  <c r="O285" i="7"/>
  <c r="I285" i="7" s="1"/>
  <c r="O284" i="7"/>
  <c r="I284" i="7"/>
  <c r="O283" i="7"/>
  <c r="I283" i="7" s="1"/>
  <c r="O282" i="7"/>
  <c r="I282" i="7" s="1"/>
  <c r="O281" i="7"/>
  <c r="I281" i="7"/>
  <c r="O280" i="7"/>
  <c r="I280" i="7" s="1"/>
  <c r="O279" i="7"/>
  <c r="I279" i="7" s="1"/>
  <c r="O278" i="7"/>
  <c r="I278" i="7" s="1"/>
  <c r="O277" i="7"/>
  <c r="I277" i="7" s="1"/>
  <c r="O276" i="7"/>
  <c r="I276" i="7" s="1"/>
  <c r="O275" i="7"/>
  <c r="I275" i="7" s="1"/>
  <c r="O274" i="7"/>
  <c r="I274" i="7" s="1"/>
  <c r="O273" i="7"/>
  <c r="I273" i="7"/>
  <c r="O272" i="7"/>
  <c r="I272" i="7" s="1"/>
  <c r="O271" i="7"/>
  <c r="I271" i="7" s="1"/>
  <c r="O270" i="7"/>
  <c r="I270" i="7"/>
  <c r="O269" i="7"/>
  <c r="I269" i="7" s="1"/>
  <c r="O268" i="7"/>
  <c r="I268" i="7" s="1"/>
  <c r="O267" i="7"/>
  <c r="I267" i="7" s="1"/>
  <c r="O266" i="7"/>
  <c r="I266" i="7" s="1"/>
  <c r="O265" i="7"/>
  <c r="I265" i="7" s="1"/>
  <c r="O264" i="7"/>
  <c r="I264" i="7" s="1"/>
  <c r="O263" i="7"/>
  <c r="I263" i="7"/>
  <c r="O262" i="7"/>
  <c r="I262" i="7" s="1"/>
  <c r="O261" i="7"/>
  <c r="I261" i="7"/>
  <c r="O260" i="7"/>
  <c r="I260" i="7" s="1"/>
  <c r="O259" i="7"/>
  <c r="I259" i="7" s="1"/>
  <c r="O258" i="7"/>
  <c r="I258" i="7"/>
  <c r="O257" i="7"/>
  <c r="I257" i="7" s="1"/>
  <c r="O256" i="7"/>
  <c r="I256" i="7" s="1"/>
  <c r="O255" i="7"/>
  <c r="I255" i="7" s="1"/>
  <c r="O254" i="7"/>
  <c r="I254" i="7" s="1"/>
  <c r="O253" i="7"/>
  <c r="I253" i="7" s="1"/>
  <c r="O252" i="7"/>
  <c r="I252" i="7"/>
  <c r="O251" i="7"/>
  <c r="I251" i="7" s="1"/>
  <c r="O250" i="7"/>
  <c r="I250" i="7"/>
  <c r="O249" i="7"/>
  <c r="I249" i="7" s="1"/>
  <c r="O248" i="7"/>
  <c r="I248" i="7" s="1"/>
  <c r="O247" i="7"/>
  <c r="I247" i="7" s="1"/>
  <c r="O246" i="7"/>
  <c r="I246" i="7" s="1"/>
  <c r="O245" i="7"/>
  <c r="I245" i="7"/>
  <c r="O244" i="7"/>
  <c r="I244" i="7" s="1"/>
  <c r="O243" i="7"/>
  <c r="I243" i="7" s="1"/>
  <c r="O242" i="7"/>
  <c r="I242" i="7" s="1"/>
  <c r="O241" i="7"/>
  <c r="I241" i="7" s="1"/>
  <c r="O240" i="7"/>
  <c r="I240" i="7"/>
  <c r="O239" i="7"/>
  <c r="I239" i="7" s="1"/>
  <c r="O238" i="7"/>
  <c r="I238" i="7"/>
  <c r="O237" i="7"/>
  <c r="I237" i="7" s="1"/>
  <c r="O236" i="7"/>
  <c r="I236" i="7" s="1"/>
  <c r="O235" i="7"/>
  <c r="I235" i="7" s="1"/>
  <c r="O234" i="7"/>
  <c r="I234" i="7"/>
  <c r="O233" i="7"/>
  <c r="I233" i="7" s="1"/>
  <c r="O232" i="7"/>
  <c r="I232" i="7" s="1"/>
  <c r="O231" i="7"/>
  <c r="I231" i="7" s="1"/>
  <c r="O230" i="7"/>
  <c r="I230" i="7"/>
  <c r="O229" i="7"/>
  <c r="I229" i="7"/>
  <c r="O228" i="7"/>
  <c r="I228" i="7" s="1"/>
  <c r="O227" i="7"/>
  <c r="I227" i="7" s="1"/>
  <c r="O226" i="7"/>
  <c r="I226" i="7" s="1"/>
  <c r="O225" i="7"/>
  <c r="I225" i="7"/>
  <c r="O224" i="7"/>
  <c r="I224" i="7" s="1"/>
  <c r="O223" i="7"/>
  <c r="I223" i="7" s="1"/>
  <c r="O222" i="7"/>
  <c r="I222" i="7"/>
  <c r="O221" i="7"/>
  <c r="I221" i="7" s="1"/>
  <c r="O220" i="7"/>
  <c r="I220" i="7" s="1"/>
  <c r="O219" i="7"/>
  <c r="I219" i="7" s="1"/>
  <c r="O218" i="7"/>
  <c r="I218" i="7" s="1"/>
  <c r="O217" i="7"/>
  <c r="I217" i="7"/>
  <c r="O216" i="7"/>
  <c r="I216" i="7" s="1"/>
  <c r="O215" i="7"/>
  <c r="I215" i="7" s="1"/>
  <c r="O214" i="7"/>
  <c r="I214" i="7"/>
  <c r="O213" i="7"/>
  <c r="I213" i="7" s="1"/>
  <c r="O212" i="7"/>
  <c r="I212" i="7" s="1"/>
  <c r="O211" i="7"/>
  <c r="I211" i="7" s="1"/>
  <c r="O210" i="7"/>
  <c r="I210" i="7" s="1"/>
  <c r="O209" i="7"/>
  <c r="I209" i="7"/>
  <c r="O208" i="7"/>
  <c r="I208" i="7" s="1"/>
  <c r="O207" i="7"/>
  <c r="I207" i="7" s="1"/>
  <c r="O206" i="7"/>
  <c r="I206" i="7" s="1"/>
  <c r="O205" i="7"/>
  <c r="I205" i="7" s="1"/>
  <c r="O204" i="7"/>
  <c r="I204" i="7"/>
  <c r="O203" i="7"/>
  <c r="I203" i="7" s="1"/>
  <c r="O202" i="7"/>
  <c r="I202" i="7"/>
  <c r="O201" i="7"/>
  <c r="I201" i="7" s="1"/>
  <c r="O200" i="7"/>
  <c r="I200" i="7" s="1"/>
  <c r="O199" i="7"/>
  <c r="I199" i="7"/>
  <c r="O198" i="7"/>
  <c r="I198" i="7" s="1"/>
  <c r="O197" i="7"/>
  <c r="I197" i="7" s="1"/>
  <c r="O196" i="7"/>
  <c r="I196" i="7" s="1"/>
  <c r="O195" i="7"/>
  <c r="I195" i="7" s="1"/>
  <c r="O194" i="7"/>
  <c r="I194" i="7" s="1"/>
  <c r="O193" i="7"/>
  <c r="I193" i="7"/>
  <c r="O192" i="7"/>
  <c r="I192" i="7" s="1"/>
  <c r="O191" i="7"/>
  <c r="I191" i="7" s="1"/>
  <c r="O190" i="7"/>
  <c r="I190" i="7" s="1"/>
  <c r="O189" i="7"/>
  <c r="I189" i="7" s="1"/>
  <c r="O188" i="7"/>
  <c r="I188" i="7" s="1"/>
  <c r="O187" i="7"/>
  <c r="I187" i="7" s="1"/>
  <c r="O186" i="7"/>
  <c r="I186" i="7" s="1"/>
  <c r="O185" i="7"/>
  <c r="I185" i="7" s="1"/>
  <c r="O184" i="7"/>
  <c r="I184" i="7" s="1"/>
  <c r="O183" i="7"/>
  <c r="I183" i="7" s="1"/>
  <c r="O182" i="7"/>
  <c r="I182" i="7" s="1"/>
  <c r="O181" i="7"/>
  <c r="I181" i="7"/>
  <c r="O180" i="7"/>
  <c r="I180" i="7" s="1"/>
  <c r="O179" i="7"/>
  <c r="I179" i="7"/>
  <c r="O178" i="7"/>
  <c r="I178" i="7" s="1"/>
  <c r="O177" i="7"/>
  <c r="I177" i="7" s="1"/>
  <c r="O176" i="7"/>
  <c r="I176" i="7" s="1"/>
  <c r="O175" i="7"/>
  <c r="I175" i="7" s="1"/>
  <c r="O174" i="7"/>
  <c r="I174" i="7" s="1"/>
  <c r="O173" i="7"/>
  <c r="I173" i="7" s="1"/>
  <c r="O172" i="7"/>
  <c r="I172" i="7" s="1"/>
  <c r="O171" i="7"/>
  <c r="I171" i="7" s="1"/>
  <c r="O170" i="7"/>
  <c r="I170" i="7"/>
  <c r="O169" i="7"/>
  <c r="I169" i="7"/>
  <c r="O168" i="7"/>
  <c r="I168" i="7" s="1"/>
  <c r="O167" i="7"/>
  <c r="I167" i="7" s="1"/>
  <c r="O166" i="7"/>
  <c r="I166" i="7" s="1"/>
  <c r="O165" i="7"/>
  <c r="I165" i="7" s="1"/>
  <c r="O164" i="7"/>
  <c r="I164" i="7" s="1"/>
  <c r="O163" i="7"/>
  <c r="I163" i="7"/>
  <c r="O162" i="7"/>
  <c r="I162" i="7" s="1"/>
  <c r="O161" i="7"/>
  <c r="I161" i="7" s="1"/>
  <c r="O160" i="7"/>
  <c r="I160" i="7" s="1"/>
  <c r="O159" i="7"/>
  <c r="I159" i="7" s="1"/>
  <c r="O158" i="7"/>
  <c r="I158" i="7"/>
  <c r="O157" i="7"/>
  <c r="I157" i="7" s="1"/>
  <c r="O156" i="7"/>
  <c r="I156" i="7" s="1"/>
  <c r="O155" i="7"/>
  <c r="I155" i="7" s="1"/>
  <c r="O154" i="7"/>
  <c r="I154" i="7" s="1"/>
  <c r="O153" i="7"/>
  <c r="I153" i="7" s="1"/>
  <c r="O152" i="7"/>
  <c r="I152" i="7"/>
  <c r="O151" i="7"/>
  <c r="I151" i="7" s="1"/>
  <c r="O150" i="7"/>
  <c r="I150" i="7"/>
  <c r="O149" i="7"/>
  <c r="I149" i="7"/>
  <c r="O148" i="7"/>
  <c r="I148" i="7" s="1"/>
  <c r="O147" i="7"/>
  <c r="I147" i="7" s="1"/>
  <c r="O146" i="7"/>
  <c r="I146" i="7" s="1"/>
  <c r="O145" i="7"/>
  <c r="I145" i="7"/>
  <c r="O144" i="7"/>
  <c r="I144" i="7" s="1"/>
  <c r="O143" i="7"/>
  <c r="I143" i="7"/>
  <c r="O142" i="7"/>
  <c r="I142" i="7" s="1"/>
  <c r="O141" i="7"/>
  <c r="I141" i="7" s="1"/>
  <c r="O140" i="7"/>
  <c r="I140" i="7"/>
  <c r="O139" i="7"/>
  <c r="I139" i="7" s="1"/>
  <c r="O138" i="7"/>
  <c r="I138" i="7" s="1"/>
  <c r="O137" i="7"/>
  <c r="I137" i="7" s="1"/>
  <c r="O136" i="7"/>
  <c r="I136" i="7" s="1"/>
  <c r="O135" i="7"/>
  <c r="I135" i="7" s="1"/>
  <c r="O134" i="7"/>
  <c r="I134" i="7"/>
  <c r="O133" i="7"/>
  <c r="I133" i="7" s="1"/>
  <c r="O132" i="7"/>
  <c r="I132" i="7"/>
  <c r="O131" i="7"/>
  <c r="I131" i="7" s="1"/>
  <c r="O130" i="7"/>
  <c r="I130" i="7"/>
  <c r="O129" i="7"/>
  <c r="I129" i="7"/>
  <c r="O128" i="7"/>
  <c r="I128" i="7" s="1"/>
  <c r="O127" i="7"/>
  <c r="I127" i="7" s="1"/>
  <c r="O126" i="7"/>
  <c r="I126" i="7" s="1"/>
  <c r="O125" i="7"/>
  <c r="I125" i="7" s="1"/>
  <c r="O124" i="7"/>
  <c r="I124" i="7" s="1"/>
  <c r="O123" i="7"/>
  <c r="I123" i="7" s="1"/>
  <c r="O122" i="7"/>
  <c r="I122" i="7"/>
  <c r="O121" i="7"/>
  <c r="I121" i="7" s="1"/>
  <c r="O120" i="7"/>
  <c r="I120" i="7"/>
  <c r="O119" i="7"/>
  <c r="I119" i="7" s="1"/>
  <c r="O118" i="7"/>
  <c r="I118" i="7" s="1"/>
  <c r="O117" i="7"/>
  <c r="I117" i="7"/>
  <c r="O116" i="7"/>
  <c r="I116" i="7" s="1"/>
  <c r="O115" i="7"/>
  <c r="I115" i="7" s="1"/>
  <c r="O114" i="7"/>
  <c r="I114" i="7" s="1"/>
  <c r="O113" i="7"/>
  <c r="I113" i="7" s="1"/>
  <c r="O112" i="7"/>
  <c r="I112" i="7" s="1"/>
  <c r="O111" i="7"/>
  <c r="I111" i="7" s="1"/>
  <c r="O110" i="7"/>
  <c r="I110" i="7"/>
  <c r="O109" i="7"/>
  <c r="I109" i="7"/>
  <c r="O108" i="7"/>
  <c r="I108" i="7" s="1"/>
  <c r="O107" i="7"/>
  <c r="I107" i="7" s="1"/>
  <c r="O106" i="7"/>
  <c r="I106" i="7" s="1"/>
  <c r="O105" i="7"/>
  <c r="I105" i="7" s="1"/>
  <c r="O104" i="7"/>
  <c r="I104" i="7"/>
  <c r="O103" i="7"/>
  <c r="I103" i="7" s="1"/>
  <c r="O102" i="7"/>
  <c r="I102" i="7" s="1"/>
  <c r="O101" i="7"/>
  <c r="I101" i="7" s="1"/>
  <c r="O100" i="7"/>
  <c r="I100" i="7" s="1"/>
  <c r="O99" i="7"/>
  <c r="I99" i="7"/>
  <c r="O98" i="7"/>
  <c r="I98" i="7" s="1"/>
  <c r="O97" i="7"/>
  <c r="I97" i="7"/>
  <c r="O96" i="7"/>
  <c r="I96" i="7" s="1"/>
  <c r="O95" i="7"/>
  <c r="I95" i="7" s="1"/>
  <c r="O94" i="7"/>
  <c r="I94" i="7" s="1"/>
  <c r="O93" i="7"/>
  <c r="I93" i="7"/>
  <c r="O92" i="7"/>
  <c r="I92" i="7" s="1"/>
  <c r="O91" i="7"/>
  <c r="I91" i="7" s="1"/>
  <c r="O90" i="7"/>
  <c r="I90" i="7"/>
  <c r="O89" i="7"/>
  <c r="I89" i="7"/>
  <c r="O88" i="7"/>
  <c r="I88" i="7" s="1"/>
  <c r="O87" i="7"/>
  <c r="I87" i="7" s="1"/>
  <c r="O86" i="7"/>
  <c r="I86" i="7" s="1"/>
  <c r="O85" i="7"/>
  <c r="I85" i="7" s="1"/>
  <c r="O84" i="7"/>
  <c r="I84" i="7"/>
  <c r="O83" i="7"/>
  <c r="I83" i="7" s="1"/>
  <c r="O82" i="7"/>
  <c r="I82" i="7" s="1"/>
  <c r="O81" i="7"/>
  <c r="I81" i="7"/>
  <c r="O80" i="7"/>
  <c r="I80" i="7" s="1"/>
  <c r="O79" i="7"/>
  <c r="I79" i="7" s="1"/>
  <c r="O78" i="7"/>
  <c r="I78" i="7" s="1"/>
  <c r="O77" i="7"/>
  <c r="I77" i="7" s="1"/>
  <c r="O76" i="7"/>
  <c r="I76" i="7" s="1"/>
  <c r="O75" i="7"/>
  <c r="I75" i="7" s="1"/>
  <c r="O74" i="7"/>
  <c r="I74" i="7" s="1"/>
  <c r="O73" i="7"/>
  <c r="I73" i="7"/>
  <c r="O72" i="7"/>
  <c r="I72" i="7" s="1"/>
  <c r="O71" i="7"/>
  <c r="I71" i="7" s="1"/>
  <c r="O70" i="7"/>
  <c r="I70" i="7"/>
  <c r="O69" i="7"/>
  <c r="I69" i="7" s="1"/>
  <c r="O68" i="7"/>
  <c r="I68" i="7" s="1"/>
  <c r="O67" i="7"/>
  <c r="I67" i="7" s="1"/>
  <c r="O66" i="7"/>
  <c r="I66" i="7" s="1"/>
  <c r="O65" i="7"/>
  <c r="I65" i="7" s="1"/>
  <c r="O64" i="7"/>
  <c r="I64" i="7" s="1"/>
  <c r="O63" i="7"/>
  <c r="I63" i="7"/>
  <c r="O62" i="7"/>
  <c r="I62" i="7" s="1"/>
  <c r="O61" i="7"/>
  <c r="I61" i="7"/>
  <c r="O60" i="7"/>
  <c r="I60" i="7" s="1"/>
  <c r="O59" i="7"/>
  <c r="I59" i="7" s="1"/>
  <c r="O58" i="7"/>
  <c r="I58" i="7"/>
  <c r="O57" i="7"/>
  <c r="I57" i="7" s="1"/>
  <c r="O56" i="7"/>
  <c r="I56" i="7" s="1"/>
  <c r="O55" i="7"/>
  <c r="I55" i="7" s="1"/>
  <c r="O54" i="7"/>
  <c r="I54" i="7" s="1"/>
  <c r="O53" i="7"/>
  <c r="I53" i="7" s="1"/>
  <c r="O52" i="7"/>
  <c r="I52" i="7"/>
  <c r="O51" i="7"/>
  <c r="I51" i="7" s="1"/>
  <c r="O50" i="7"/>
  <c r="I50" i="7"/>
  <c r="O49" i="7"/>
  <c r="I49" i="7" s="1"/>
  <c r="O48" i="7"/>
  <c r="I48" i="7" s="1"/>
  <c r="O47" i="7"/>
  <c r="I47" i="7" s="1"/>
  <c r="O46" i="7"/>
  <c r="I46" i="7" s="1"/>
  <c r="O45" i="7"/>
  <c r="I45" i="7"/>
  <c r="O44" i="7"/>
  <c r="I44" i="7" s="1"/>
  <c r="O43" i="7"/>
  <c r="I43" i="7" s="1"/>
  <c r="O42" i="7"/>
  <c r="I42" i="7" s="1"/>
  <c r="O41" i="7"/>
  <c r="I41" i="7" s="1"/>
  <c r="O40" i="7"/>
  <c r="I40" i="7"/>
  <c r="O39" i="7"/>
  <c r="I39" i="7" s="1"/>
  <c r="O38" i="7"/>
  <c r="I38" i="7"/>
  <c r="O37" i="7"/>
  <c r="I37" i="7" s="1"/>
  <c r="O36" i="7"/>
  <c r="I36" i="7" s="1"/>
  <c r="O35" i="7"/>
  <c r="I35" i="7" s="1"/>
  <c r="O34" i="7"/>
  <c r="I34" i="7"/>
  <c r="O33" i="7"/>
  <c r="I33" i="7" s="1"/>
  <c r="O32" i="7"/>
  <c r="I32" i="7" s="1"/>
  <c r="O31" i="7"/>
  <c r="I31" i="7" s="1"/>
  <c r="O30" i="7"/>
  <c r="I30" i="7"/>
  <c r="O29" i="7"/>
  <c r="I29" i="7"/>
  <c r="O28" i="7"/>
  <c r="I28" i="7" s="1"/>
  <c r="O27" i="7"/>
  <c r="I27" i="7" s="1"/>
  <c r="O26" i="7"/>
  <c r="I26" i="7" s="1"/>
  <c r="O25" i="7"/>
  <c r="I25" i="7"/>
  <c r="O24" i="7"/>
  <c r="I24" i="7" s="1"/>
  <c r="O23" i="7"/>
  <c r="I23" i="7" s="1"/>
  <c r="O22" i="7"/>
  <c r="I22" i="7"/>
  <c r="O21" i="7"/>
  <c r="I21" i="7" s="1"/>
  <c r="O20" i="7"/>
  <c r="I20" i="7" s="1"/>
  <c r="O19" i="7"/>
  <c r="I19" i="7" s="1"/>
  <c r="O18" i="7"/>
  <c r="I18" i="7" s="1"/>
  <c r="O17" i="7"/>
  <c r="I17" i="7"/>
  <c r="O16" i="7"/>
  <c r="I16" i="7" s="1"/>
  <c r="O15" i="7"/>
  <c r="I15" i="7" s="1"/>
  <c r="O14" i="7"/>
  <c r="I14" i="7"/>
  <c r="O13" i="7"/>
  <c r="I13" i="7" s="1"/>
  <c r="O12" i="7"/>
  <c r="I12" i="7" s="1"/>
  <c r="O11" i="7"/>
  <c r="I11" i="7" s="1"/>
  <c r="O10" i="7"/>
  <c r="I10" i="7" s="1"/>
  <c r="O9" i="7"/>
  <c r="I9" i="7"/>
  <c r="O8" i="7"/>
  <c r="I8" i="7" s="1"/>
  <c r="O7" i="7"/>
  <c r="I7" i="7" s="1"/>
  <c r="O6" i="7"/>
  <c r="I6" i="7" s="1"/>
  <c r="O5" i="7"/>
  <c r="I5" i="7" s="1"/>
  <c r="O4" i="7"/>
  <c r="I4" i="7"/>
  <c r="O3" i="7"/>
  <c r="I3" i="7" s="1"/>
  <c r="O2" i="7"/>
  <c r="I2" i="7"/>
  <c r="J14" i="1"/>
  <c r="J17" i="1"/>
  <c r="J18" i="1"/>
  <c r="J19" i="1"/>
  <c r="J20" i="1"/>
  <c r="J21" i="1"/>
  <c r="J22" i="1"/>
  <c r="J34" i="1"/>
  <c r="J35" i="1"/>
  <c r="J36" i="1"/>
  <c r="J37" i="1"/>
  <c r="J38" i="1"/>
  <c r="J39" i="1"/>
  <c r="J40" i="1"/>
  <c r="J41" i="1"/>
  <c r="J42" i="1"/>
  <c r="J54" i="1"/>
  <c r="J57" i="1"/>
  <c r="J58" i="1"/>
  <c r="J59" i="1"/>
  <c r="J60" i="1"/>
  <c r="J61" i="1"/>
  <c r="J62" i="1"/>
  <c r="J74" i="1"/>
  <c r="J75" i="1"/>
  <c r="J76" i="1"/>
  <c r="J77" i="1"/>
  <c r="J78" i="1"/>
  <c r="J79" i="1"/>
  <c r="J80" i="1"/>
  <c r="J81" i="1"/>
  <c r="J82" i="1"/>
  <c r="J94" i="1"/>
  <c r="J97" i="1"/>
  <c r="J98" i="1"/>
  <c r="J99" i="1"/>
  <c r="J100" i="1"/>
  <c r="J101" i="1"/>
  <c r="J102" i="1"/>
  <c r="J114" i="1"/>
  <c r="J115" i="1"/>
  <c r="J116" i="1"/>
  <c r="J117" i="1"/>
  <c r="J118" i="1"/>
  <c r="J119" i="1"/>
  <c r="J120" i="1"/>
  <c r="J121" i="1"/>
  <c r="J122" i="1"/>
  <c r="J134" i="1"/>
  <c r="J137" i="1"/>
  <c r="J138" i="1"/>
  <c r="J139" i="1"/>
  <c r="J140" i="1"/>
  <c r="J141" i="1"/>
  <c r="J142" i="1"/>
  <c r="J154" i="1"/>
  <c r="J155" i="1"/>
  <c r="J156" i="1"/>
  <c r="J157" i="1"/>
  <c r="J158" i="1"/>
  <c r="J159" i="1"/>
  <c r="J160" i="1"/>
  <c r="J161" i="1"/>
  <c r="J162" i="1"/>
  <c r="J174" i="1"/>
  <c r="J177" i="1"/>
  <c r="J178" i="1"/>
  <c r="J179" i="1"/>
  <c r="J180" i="1"/>
  <c r="J181" i="1"/>
  <c r="J182" i="1"/>
  <c r="J194" i="1"/>
  <c r="J195" i="1"/>
  <c r="J196" i="1"/>
  <c r="J197" i="1"/>
  <c r="J198" i="1"/>
  <c r="J199" i="1"/>
  <c r="J200" i="1"/>
  <c r="J201" i="1"/>
  <c r="J202" i="1"/>
  <c r="J214" i="1"/>
  <c r="J217" i="1"/>
  <c r="J218" i="1"/>
  <c r="J219" i="1"/>
  <c r="J220" i="1"/>
  <c r="J221" i="1"/>
  <c r="J222" i="1"/>
  <c r="J234" i="1"/>
  <c r="J235" i="1"/>
  <c r="J236" i="1"/>
  <c r="J237" i="1"/>
  <c r="J238" i="1"/>
  <c r="J239" i="1"/>
  <c r="J240" i="1"/>
  <c r="J241" i="1"/>
  <c r="J242" i="1"/>
  <c r="J254" i="1"/>
  <c r="J257" i="1"/>
  <c r="J258" i="1"/>
  <c r="J259" i="1"/>
  <c r="J260" i="1"/>
  <c r="J261" i="1"/>
  <c r="J262" i="1"/>
  <c r="J274" i="1"/>
  <c r="J275" i="1"/>
  <c r="J276" i="1"/>
  <c r="J277" i="1"/>
  <c r="J278" i="1"/>
  <c r="J279" i="1"/>
  <c r="J280" i="1"/>
  <c r="J281" i="1"/>
  <c r="J282" i="1"/>
  <c r="J294" i="1"/>
  <c r="J297" i="1"/>
  <c r="J298" i="1"/>
  <c r="J299" i="1"/>
  <c r="J300" i="1"/>
  <c r="J301" i="1"/>
  <c r="J302" i="1"/>
  <c r="J314" i="1"/>
  <c r="J315" i="1"/>
  <c r="J316" i="1"/>
  <c r="J317" i="1"/>
  <c r="J318" i="1"/>
  <c r="J319" i="1"/>
  <c r="J320" i="1"/>
  <c r="J321" i="1"/>
  <c r="J322" i="1"/>
  <c r="J334" i="1"/>
  <c r="J337" i="1"/>
  <c r="J338" i="1"/>
  <c r="J339" i="1"/>
  <c r="J340" i="1"/>
  <c r="J341" i="1"/>
  <c r="J342" i="1"/>
  <c r="J354" i="1"/>
  <c r="J355" i="1"/>
  <c r="J356" i="1"/>
  <c r="J357" i="1"/>
  <c r="J358" i="1"/>
  <c r="J359" i="1"/>
  <c r="J360" i="1"/>
  <c r="J361" i="1"/>
  <c r="J362" i="1"/>
  <c r="J374" i="1"/>
  <c r="J377" i="1"/>
  <c r="J378" i="1"/>
  <c r="J379" i="1"/>
  <c r="J380" i="1"/>
  <c r="J381" i="1"/>
  <c r="J382" i="1"/>
  <c r="J394" i="1"/>
  <c r="J395" i="1"/>
  <c r="J396" i="1"/>
  <c r="J397" i="1"/>
  <c r="J398" i="1"/>
  <c r="J399" i="1"/>
  <c r="J400" i="1"/>
  <c r="J401" i="1"/>
  <c r="J402" i="1"/>
  <c r="J414" i="1"/>
  <c r="J417" i="1"/>
  <c r="J418" i="1"/>
  <c r="J419" i="1"/>
  <c r="J420" i="1"/>
  <c r="J421" i="1"/>
  <c r="J422" i="1"/>
  <c r="J434" i="1"/>
  <c r="J435" i="1"/>
  <c r="J436" i="1"/>
  <c r="J437" i="1"/>
  <c r="J438" i="1"/>
  <c r="J439" i="1"/>
  <c r="J440" i="1"/>
  <c r="J441" i="1"/>
  <c r="J442" i="1"/>
  <c r="J454" i="1"/>
  <c r="J457" i="1"/>
  <c r="J458" i="1"/>
  <c r="J459" i="1"/>
  <c r="J460" i="1"/>
  <c r="J461" i="1"/>
  <c r="J462" i="1"/>
  <c r="J474" i="1"/>
  <c r="J475" i="1"/>
  <c r="J476" i="1"/>
  <c r="J477" i="1"/>
  <c r="J478" i="1"/>
  <c r="J479" i="1"/>
  <c r="J480" i="1"/>
  <c r="J481" i="1"/>
  <c r="J482" i="1"/>
  <c r="J494" i="1"/>
  <c r="J497" i="1"/>
  <c r="J498" i="1"/>
  <c r="J499" i="1"/>
  <c r="J500" i="1"/>
  <c r="J501" i="1"/>
  <c r="J502" i="1"/>
  <c r="J514" i="1"/>
  <c r="J515" i="1"/>
  <c r="J516" i="1"/>
  <c r="J517" i="1"/>
  <c r="J518" i="1"/>
  <c r="J519" i="1"/>
  <c r="J520" i="1"/>
  <c r="J521" i="1"/>
  <c r="J522" i="1"/>
  <c r="J534" i="1"/>
  <c r="J537" i="1"/>
  <c r="J538" i="1"/>
  <c r="J539" i="1"/>
  <c r="J540" i="1"/>
  <c r="J541" i="1"/>
  <c r="J542" i="1"/>
  <c r="J554" i="1"/>
  <c r="J555" i="1"/>
  <c r="J556" i="1"/>
  <c r="J557" i="1"/>
  <c r="J558" i="1"/>
  <c r="J559" i="1"/>
  <c r="J560" i="1"/>
  <c r="J561" i="1"/>
  <c r="J562" i="1"/>
  <c r="J574" i="1"/>
  <c r="J577" i="1"/>
  <c r="J578" i="1"/>
  <c r="J579" i="1"/>
  <c r="J580" i="1"/>
  <c r="J581" i="1"/>
  <c r="J594" i="1"/>
  <c r="J595" i="1"/>
  <c r="J596" i="1"/>
  <c r="J597" i="1"/>
  <c r="J598" i="1"/>
  <c r="J599" i="1"/>
  <c r="J600" i="1"/>
  <c r="J601" i="1"/>
  <c r="J602" i="1"/>
  <c r="J614" i="1"/>
  <c r="J617" i="1"/>
  <c r="J618" i="1"/>
  <c r="J619" i="1"/>
  <c r="J620" i="1"/>
  <c r="J621" i="1"/>
  <c r="J622" i="1"/>
  <c r="J634" i="1"/>
  <c r="J635" i="1"/>
  <c r="J636" i="1"/>
  <c r="J637" i="1"/>
  <c r="J638" i="1"/>
  <c r="J639" i="1"/>
  <c r="J640" i="1"/>
  <c r="J641" i="1"/>
  <c r="J642" i="1"/>
  <c r="J654" i="1"/>
  <c r="J657" i="1"/>
  <c r="J658" i="1"/>
  <c r="J659" i="1"/>
  <c r="J660" i="1"/>
  <c r="J661" i="1"/>
  <c r="J674" i="1"/>
  <c r="J675" i="1"/>
  <c r="J676" i="1"/>
  <c r="J677" i="1"/>
  <c r="J678" i="1"/>
  <c r="J679" i="1"/>
  <c r="J680" i="1"/>
  <c r="J681" i="1"/>
  <c r="J682" i="1"/>
  <c r="J694" i="1"/>
  <c r="J697" i="1"/>
  <c r="J698" i="1"/>
  <c r="J699" i="1"/>
  <c r="J700" i="1"/>
  <c r="J701" i="1"/>
  <c r="J714" i="1"/>
  <c r="J715" i="1"/>
  <c r="J716" i="1"/>
  <c r="J717" i="1"/>
  <c r="J718" i="1"/>
  <c r="J719" i="1"/>
  <c r="J720" i="1"/>
  <c r="J721" i="1"/>
  <c r="J722" i="1"/>
  <c r="J734" i="1"/>
  <c r="J737" i="1"/>
  <c r="J738" i="1"/>
  <c r="J739" i="1"/>
  <c r="J741" i="1"/>
  <c r="J754" i="1"/>
  <c r="J755" i="1"/>
  <c r="J756" i="1"/>
  <c r="J757" i="1"/>
  <c r="J758" i="1"/>
  <c r="J759" i="1"/>
  <c r="J760" i="1"/>
  <c r="J761" i="1"/>
  <c r="J762" i="1"/>
  <c r="J769" i="1"/>
  <c r="J774" i="1"/>
  <c r="J777" i="1"/>
  <c r="J778" i="1"/>
  <c r="J779" i="1"/>
  <c r="J780" i="1"/>
  <c r="J781" i="1"/>
  <c r="J794" i="1"/>
  <c r="J795" i="1"/>
  <c r="J796" i="1"/>
  <c r="J797" i="1"/>
  <c r="J798" i="1"/>
  <c r="J799" i="1"/>
  <c r="J800" i="1"/>
  <c r="J801" i="1"/>
  <c r="J809" i="1"/>
  <c r="J814" i="1"/>
  <c r="J817" i="1"/>
  <c r="J818" i="1"/>
  <c r="J819" i="1"/>
  <c r="J820" i="1"/>
  <c r="J821" i="1"/>
  <c r="J834" i="1"/>
  <c r="J835" i="1"/>
  <c r="J836" i="1"/>
  <c r="J837" i="1"/>
  <c r="J838" i="1"/>
  <c r="J839" i="1"/>
  <c r="J840" i="1"/>
  <c r="J841" i="1"/>
  <c r="J842" i="1"/>
  <c r="J849" i="1"/>
  <c r="J854" i="1"/>
  <c r="J857" i="1"/>
  <c r="J858" i="1"/>
  <c r="J859" i="1"/>
  <c r="J860" i="1"/>
  <c r="J861" i="1"/>
  <c r="P3" i="1"/>
  <c r="J3" i="1" s="1"/>
  <c r="P4" i="1"/>
  <c r="J4" i="1" s="1"/>
  <c r="P5" i="1"/>
  <c r="J5" i="1" s="1"/>
  <c r="P6" i="1"/>
  <c r="J6" i="1" s="1"/>
  <c r="P7" i="1"/>
  <c r="J7" i="1" s="1"/>
  <c r="P8" i="1"/>
  <c r="J8" i="1" s="1"/>
  <c r="P9" i="1"/>
  <c r="J9" i="1" s="1"/>
  <c r="P10" i="1"/>
  <c r="J10" i="1" s="1"/>
  <c r="P11" i="1"/>
  <c r="J11" i="1" s="1"/>
  <c r="P12" i="1"/>
  <c r="J12" i="1" s="1"/>
  <c r="P13" i="1"/>
  <c r="J13" i="1" s="1"/>
  <c r="P14" i="1"/>
  <c r="P15" i="1"/>
  <c r="J15" i="1" s="1"/>
  <c r="P16" i="1"/>
  <c r="J16" i="1" s="1"/>
  <c r="P17" i="1"/>
  <c r="P18" i="1"/>
  <c r="P19" i="1"/>
  <c r="P20" i="1"/>
  <c r="P21" i="1"/>
  <c r="P22" i="1"/>
  <c r="P23" i="1"/>
  <c r="J23" i="1" s="1"/>
  <c r="P24" i="1"/>
  <c r="J24" i="1" s="1"/>
  <c r="P25" i="1"/>
  <c r="J25" i="1" s="1"/>
  <c r="P26" i="1"/>
  <c r="J26" i="1" s="1"/>
  <c r="P27" i="1"/>
  <c r="J27" i="1" s="1"/>
  <c r="P28" i="1"/>
  <c r="J28" i="1" s="1"/>
  <c r="P29" i="1"/>
  <c r="J29" i="1" s="1"/>
  <c r="P30" i="1"/>
  <c r="J30" i="1" s="1"/>
  <c r="P31" i="1"/>
  <c r="J31" i="1" s="1"/>
  <c r="P32" i="1"/>
  <c r="J32" i="1" s="1"/>
  <c r="P33" i="1"/>
  <c r="J33" i="1" s="1"/>
  <c r="P34" i="1"/>
  <c r="P35" i="1"/>
  <c r="P36" i="1"/>
  <c r="P37" i="1"/>
  <c r="P38" i="1"/>
  <c r="P39" i="1"/>
  <c r="P40" i="1"/>
  <c r="P41" i="1"/>
  <c r="P42" i="1"/>
  <c r="P43" i="1"/>
  <c r="J43" i="1" s="1"/>
  <c r="P44" i="1"/>
  <c r="J44" i="1" s="1"/>
  <c r="P45" i="1"/>
  <c r="J45" i="1" s="1"/>
  <c r="P46" i="1"/>
  <c r="J46" i="1" s="1"/>
  <c r="P47" i="1"/>
  <c r="J47" i="1" s="1"/>
  <c r="P48" i="1"/>
  <c r="J48" i="1" s="1"/>
  <c r="P49" i="1"/>
  <c r="J49" i="1" s="1"/>
  <c r="P50" i="1"/>
  <c r="J50" i="1" s="1"/>
  <c r="P51" i="1"/>
  <c r="J51" i="1" s="1"/>
  <c r="P52" i="1"/>
  <c r="J52" i="1" s="1"/>
  <c r="P53" i="1"/>
  <c r="J53" i="1" s="1"/>
  <c r="P54" i="1"/>
  <c r="P55" i="1"/>
  <c r="J55" i="1" s="1"/>
  <c r="P56" i="1"/>
  <c r="J56" i="1" s="1"/>
  <c r="P57" i="1"/>
  <c r="P58" i="1"/>
  <c r="P59" i="1"/>
  <c r="P60" i="1"/>
  <c r="P61" i="1"/>
  <c r="P62" i="1"/>
  <c r="P63" i="1"/>
  <c r="J63" i="1" s="1"/>
  <c r="P64" i="1"/>
  <c r="J64" i="1" s="1"/>
  <c r="P65" i="1"/>
  <c r="J65" i="1" s="1"/>
  <c r="P66" i="1"/>
  <c r="J66" i="1" s="1"/>
  <c r="P67" i="1"/>
  <c r="J67" i="1" s="1"/>
  <c r="P68" i="1"/>
  <c r="J68" i="1" s="1"/>
  <c r="P69" i="1"/>
  <c r="J69" i="1" s="1"/>
  <c r="P70" i="1"/>
  <c r="J70" i="1" s="1"/>
  <c r="P71" i="1"/>
  <c r="J71" i="1" s="1"/>
  <c r="P72" i="1"/>
  <c r="J72" i="1" s="1"/>
  <c r="P73" i="1"/>
  <c r="J73" i="1" s="1"/>
  <c r="P74" i="1"/>
  <c r="P75" i="1"/>
  <c r="P76" i="1"/>
  <c r="P77" i="1"/>
  <c r="P78" i="1"/>
  <c r="P79" i="1"/>
  <c r="P80" i="1"/>
  <c r="P81" i="1"/>
  <c r="P82" i="1"/>
  <c r="P83" i="1"/>
  <c r="J83" i="1" s="1"/>
  <c r="P84" i="1"/>
  <c r="J84" i="1" s="1"/>
  <c r="P85" i="1"/>
  <c r="J85" i="1" s="1"/>
  <c r="P86" i="1"/>
  <c r="J86" i="1" s="1"/>
  <c r="P87" i="1"/>
  <c r="J87" i="1" s="1"/>
  <c r="P88" i="1"/>
  <c r="J88" i="1" s="1"/>
  <c r="P89" i="1"/>
  <c r="J89" i="1" s="1"/>
  <c r="P90" i="1"/>
  <c r="J90" i="1" s="1"/>
  <c r="P91" i="1"/>
  <c r="J91" i="1" s="1"/>
  <c r="P92" i="1"/>
  <c r="J92" i="1" s="1"/>
  <c r="P93" i="1"/>
  <c r="J93" i="1" s="1"/>
  <c r="P94" i="1"/>
  <c r="P95" i="1"/>
  <c r="J95" i="1" s="1"/>
  <c r="P96" i="1"/>
  <c r="J96" i="1" s="1"/>
  <c r="P97" i="1"/>
  <c r="P98" i="1"/>
  <c r="P99" i="1"/>
  <c r="P100" i="1"/>
  <c r="P101" i="1"/>
  <c r="P102" i="1"/>
  <c r="P103" i="1"/>
  <c r="J103" i="1" s="1"/>
  <c r="P104" i="1"/>
  <c r="J104" i="1" s="1"/>
  <c r="P105" i="1"/>
  <c r="J105" i="1" s="1"/>
  <c r="P106" i="1"/>
  <c r="J106" i="1" s="1"/>
  <c r="P107" i="1"/>
  <c r="J107" i="1" s="1"/>
  <c r="P108" i="1"/>
  <c r="J108" i="1" s="1"/>
  <c r="P109" i="1"/>
  <c r="J109" i="1" s="1"/>
  <c r="P110" i="1"/>
  <c r="J110" i="1" s="1"/>
  <c r="P111" i="1"/>
  <c r="J111" i="1" s="1"/>
  <c r="P112" i="1"/>
  <c r="J112" i="1" s="1"/>
  <c r="P113" i="1"/>
  <c r="J113" i="1" s="1"/>
  <c r="P114" i="1"/>
  <c r="P115" i="1"/>
  <c r="P116" i="1"/>
  <c r="P117" i="1"/>
  <c r="P118" i="1"/>
  <c r="P119" i="1"/>
  <c r="P120" i="1"/>
  <c r="P121" i="1"/>
  <c r="P122" i="1"/>
  <c r="P123" i="1"/>
  <c r="J123" i="1" s="1"/>
  <c r="P124" i="1"/>
  <c r="J124" i="1" s="1"/>
  <c r="P125" i="1"/>
  <c r="J125" i="1" s="1"/>
  <c r="P126" i="1"/>
  <c r="J126" i="1" s="1"/>
  <c r="P127" i="1"/>
  <c r="J127" i="1" s="1"/>
  <c r="P128" i="1"/>
  <c r="J128" i="1" s="1"/>
  <c r="P129" i="1"/>
  <c r="J129" i="1" s="1"/>
  <c r="P130" i="1"/>
  <c r="J130" i="1" s="1"/>
  <c r="P131" i="1"/>
  <c r="J131" i="1" s="1"/>
  <c r="P132" i="1"/>
  <c r="J132" i="1" s="1"/>
  <c r="P133" i="1"/>
  <c r="J133" i="1" s="1"/>
  <c r="P134" i="1"/>
  <c r="P135" i="1"/>
  <c r="J135" i="1" s="1"/>
  <c r="P136" i="1"/>
  <c r="J136" i="1" s="1"/>
  <c r="P137" i="1"/>
  <c r="P138" i="1"/>
  <c r="P139" i="1"/>
  <c r="P140" i="1"/>
  <c r="P141" i="1"/>
  <c r="P142" i="1"/>
  <c r="P143" i="1"/>
  <c r="J143" i="1" s="1"/>
  <c r="P144" i="1"/>
  <c r="J144" i="1" s="1"/>
  <c r="P145" i="1"/>
  <c r="J145" i="1" s="1"/>
  <c r="P146" i="1"/>
  <c r="J146" i="1" s="1"/>
  <c r="P147" i="1"/>
  <c r="J147" i="1" s="1"/>
  <c r="P148" i="1"/>
  <c r="J148" i="1" s="1"/>
  <c r="P149" i="1"/>
  <c r="J149" i="1" s="1"/>
  <c r="P150" i="1"/>
  <c r="J150" i="1" s="1"/>
  <c r="P151" i="1"/>
  <c r="J151" i="1" s="1"/>
  <c r="P152" i="1"/>
  <c r="J152" i="1" s="1"/>
  <c r="P153" i="1"/>
  <c r="J153" i="1" s="1"/>
  <c r="P154" i="1"/>
  <c r="P155" i="1"/>
  <c r="P156" i="1"/>
  <c r="P157" i="1"/>
  <c r="P158" i="1"/>
  <c r="P159" i="1"/>
  <c r="P160" i="1"/>
  <c r="P161" i="1"/>
  <c r="P162" i="1"/>
  <c r="P163" i="1"/>
  <c r="J163" i="1" s="1"/>
  <c r="P164" i="1"/>
  <c r="J164" i="1" s="1"/>
  <c r="P165" i="1"/>
  <c r="J165" i="1" s="1"/>
  <c r="P166" i="1"/>
  <c r="J166" i="1" s="1"/>
  <c r="P167" i="1"/>
  <c r="J167" i="1" s="1"/>
  <c r="P168" i="1"/>
  <c r="J168" i="1" s="1"/>
  <c r="P169" i="1"/>
  <c r="J169" i="1" s="1"/>
  <c r="P170" i="1"/>
  <c r="J170" i="1" s="1"/>
  <c r="P171" i="1"/>
  <c r="J171" i="1" s="1"/>
  <c r="P172" i="1"/>
  <c r="J172" i="1" s="1"/>
  <c r="P173" i="1"/>
  <c r="J173" i="1" s="1"/>
  <c r="P174" i="1"/>
  <c r="P175" i="1"/>
  <c r="J175" i="1" s="1"/>
  <c r="P176" i="1"/>
  <c r="J176" i="1" s="1"/>
  <c r="P177" i="1"/>
  <c r="P178" i="1"/>
  <c r="P179" i="1"/>
  <c r="P180" i="1"/>
  <c r="P181" i="1"/>
  <c r="P182" i="1"/>
  <c r="P183" i="1"/>
  <c r="J183" i="1" s="1"/>
  <c r="P184" i="1"/>
  <c r="J184" i="1" s="1"/>
  <c r="P185" i="1"/>
  <c r="J185" i="1" s="1"/>
  <c r="P186" i="1"/>
  <c r="J186" i="1" s="1"/>
  <c r="P187" i="1"/>
  <c r="J187" i="1" s="1"/>
  <c r="P188" i="1"/>
  <c r="J188" i="1" s="1"/>
  <c r="P189" i="1"/>
  <c r="J189" i="1" s="1"/>
  <c r="P190" i="1"/>
  <c r="J190" i="1" s="1"/>
  <c r="P191" i="1"/>
  <c r="J191" i="1" s="1"/>
  <c r="P192" i="1"/>
  <c r="J192" i="1" s="1"/>
  <c r="P193" i="1"/>
  <c r="J193" i="1" s="1"/>
  <c r="P194" i="1"/>
  <c r="P195" i="1"/>
  <c r="P196" i="1"/>
  <c r="P197" i="1"/>
  <c r="P198" i="1"/>
  <c r="P199" i="1"/>
  <c r="P200" i="1"/>
  <c r="P201" i="1"/>
  <c r="P202" i="1"/>
  <c r="P203" i="1"/>
  <c r="J203" i="1" s="1"/>
  <c r="P204" i="1"/>
  <c r="J204" i="1" s="1"/>
  <c r="P205" i="1"/>
  <c r="J205" i="1" s="1"/>
  <c r="P206" i="1"/>
  <c r="J206" i="1" s="1"/>
  <c r="P207" i="1"/>
  <c r="J207" i="1" s="1"/>
  <c r="P208" i="1"/>
  <c r="J208" i="1" s="1"/>
  <c r="P209" i="1"/>
  <c r="J209" i="1" s="1"/>
  <c r="P210" i="1"/>
  <c r="J210" i="1" s="1"/>
  <c r="P211" i="1"/>
  <c r="J211" i="1" s="1"/>
  <c r="P212" i="1"/>
  <c r="J212" i="1" s="1"/>
  <c r="P213" i="1"/>
  <c r="J213" i="1" s="1"/>
  <c r="P214" i="1"/>
  <c r="P215" i="1"/>
  <c r="J215" i="1" s="1"/>
  <c r="P216" i="1"/>
  <c r="J216" i="1" s="1"/>
  <c r="P217" i="1"/>
  <c r="P218" i="1"/>
  <c r="P219" i="1"/>
  <c r="P220" i="1"/>
  <c r="P221" i="1"/>
  <c r="P222" i="1"/>
  <c r="P223" i="1"/>
  <c r="J223" i="1" s="1"/>
  <c r="P224" i="1"/>
  <c r="J224" i="1" s="1"/>
  <c r="P225" i="1"/>
  <c r="J225" i="1" s="1"/>
  <c r="P226" i="1"/>
  <c r="J226" i="1" s="1"/>
  <c r="P227" i="1"/>
  <c r="J227" i="1" s="1"/>
  <c r="P228" i="1"/>
  <c r="J228" i="1" s="1"/>
  <c r="P229" i="1"/>
  <c r="J229" i="1" s="1"/>
  <c r="P230" i="1"/>
  <c r="J230" i="1" s="1"/>
  <c r="P231" i="1"/>
  <c r="J231" i="1" s="1"/>
  <c r="P232" i="1"/>
  <c r="J232" i="1" s="1"/>
  <c r="P233" i="1"/>
  <c r="J233" i="1" s="1"/>
  <c r="P234" i="1"/>
  <c r="P235" i="1"/>
  <c r="P236" i="1"/>
  <c r="P237" i="1"/>
  <c r="P238" i="1"/>
  <c r="P239" i="1"/>
  <c r="P240" i="1"/>
  <c r="P241" i="1"/>
  <c r="P242" i="1"/>
  <c r="P243" i="1"/>
  <c r="J243" i="1" s="1"/>
  <c r="P244" i="1"/>
  <c r="J244" i="1" s="1"/>
  <c r="P245" i="1"/>
  <c r="J245" i="1" s="1"/>
  <c r="P246" i="1"/>
  <c r="J246" i="1" s="1"/>
  <c r="P247" i="1"/>
  <c r="J247" i="1" s="1"/>
  <c r="P248" i="1"/>
  <c r="J248" i="1" s="1"/>
  <c r="P249" i="1"/>
  <c r="J249" i="1" s="1"/>
  <c r="P250" i="1"/>
  <c r="J250" i="1" s="1"/>
  <c r="P251" i="1"/>
  <c r="J251" i="1" s="1"/>
  <c r="P252" i="1"/>
  <c r="J252" i="1" s="1"/>
  <c r="P253" i="1"/>
  <c r="J253" i="1" s="1"/>
  <c r="P254" i="1"/>
  <c r="P255" i="1"/>
  <c r="J255" i="1" s="1"/>
  <c r="P256" i="1"/>
  <c r="J256" i="1" s="1"/>
  <c r="P257" i="1"/>
  <c r="P258" i="1"/>
  <c r="P259" i="1"/>
  <c r="P260" i="1"/>
  <c r="P261" i="1"/>
  <c r="P262" i="1"/>
  <c r="P263" i="1"/>
  <c r="J263" i="1" s="1"/>
  <c r="P264" i="1"/>
  <c r="J264" i="1" s="1"/>
  <c r="P265" i="1"/>
  <c r="J265" i="1" s="1"/>
  <c r="P266" i="1"/>
  <c r="J266" i="1" s="1"/>
  <c r="P267" i="1"/>
  <c r="J267" i="1" s="1"/>
  <c r="P268" i="1"/>
  <c r="J268" i="1" s="1"/>
  <c r="P269" i="1"/>
  <c r="J269" i="1" s="1"/>
  <c r="P270" i="1"/>
  <c r="J270" i="1" s="1"/>
  <c r="P271" i="1"/>
  <c r="J271" i="1" s="1"/>
  <c r="P272" i="1"/>
  <c r="J272" i="1" s="1"/>
  <c r="P273" i="1"/>
  <c r="J273" i="1" s="1"/>
  <c r="P274" i="1"/>
  <c r="P275" i="1"/>
  <c r="P276" i="1"/>
  <c r="P277" i="1"/>
  <c r="P278" i="1"/>
  <c r="P279" i="1"/>
  <c r="P280" i="1"/>
  <c r="P281" i="1"/>
  <c r="P282" i="1"/>
  <c r="P283" i="1"/>
  <c r="J283" i="1" s="1"/>
  <c r="P284" i="1"/>
  <c r="J284" i="1" s="1"/>
  <c r="P285" i="1"/>
  <c r="J285" i="1" s="1"/>
  <c r="P286" i="1"/>
  <c r="J286" i="1" s="1"/>
  <c r="P287" i="1"/>
  <c r="J287" i="1" s="1"/>
  <c r="P288" i="1"/>
  <c r="J288" i="1" s="1"/>
  <c r="P289" i="1"/>
  <c r="J289" i="1" s="1"/>
  <c r="P290" i="1"/>
  <c r="J290" i="1" s="1"/>
  <c r="P291" i="1"/>
  <c r="J291" i="1" s="1"/>
  <c r="P292" i="1"/>
  <c r="J292" i="1" s="1"/>
  <c r="P293" i="1"/>
  <c r="J293" i="1" s="1"/>
  <c r="P294" i="1"/>
  <c r="P295" i="1"/>
  <c r="J295" i="1" s="1"/>
  <c r="P296" i="1"/>
  <c r="J296" i="1" s="1"/>
  <c r="P297" i="1"/>
  <c r="P298" i="1"/>
  <c r="P299" i="1"/>
  <c r="P300" i="1"/>
  <c r="P301" i="1"/>
  <c r="P302" i="1"/>
  <c r="P303" i="1"/>
  <c r="J303" i="1" s="1"/>
  <c r="P304" i="1"/>
  <c r="J304" i="1" s="1"/>
  <c r="P305" i="1"/>
  <c r="J305" i="1" s="1"/>
  <c r="P306" i="1"/>
  <c r="J306" i="1" s="1"/>
  <c r="P307" i="1"/>
  <c r="J307" i="1" s="1"/>
  <c r="P308" i="1"/>
  <c r="J308" i="1" s="1"/>
  <c r="P309" i="1"/>
  <c r="J309" i="1" s="1"/>
  <c r="P310" i="1"/>
  <c r="J310" i="1" s="1"/>
  <c r="P311" i="1"/>
  <c r="J311" i="1" s="1"/>
  <c r="P312" i="1"/>
  <c r="J312" i="1" s="1"/>
  <c r="P313" i="1"/>
  <c r="J313" i="1" s="1"/>
  <c r="P314" i="1"/>
  <c r="P315" i="1"/>
  <c r="P316" i="1"/>
  <c r="P317" i="1"/>
  <c r="P318" i="1"/>
  <c r="P319" i="1"/>
  <c r="P320" i="1"/>
  <c r="P321" i="1"/>
  <c r="P322" i="1"/>
  <c r="P323" i="1"/>
  <c r="J323" i="1" s="1"/>
  <c r="P324" i="1"/>
  <c r="J324" i="1" s="1"/>
  <c r="P325" i="1"/>
  <c r="J325" i="1" s="1"/>
  <c r="P326" i="1"/>
  <c r="J326" i="1" s="1"/>
  <c r="P327" i="1"/>
  <c r="J327" i="1" s="1"/>
  <c r="P328" i="1"/>
  <c r="J328" i="1" s="1"/>
  <c r="P329" i="1"/>
  <c r="J329" i="1" s="1"/>
  <c r="P330" i="1"/>
  <c r="J330" i="1" s="1"/>
  <c r="P331" i="1"/>
  <c r="J331" i="1" s="1"/>
  <c r="P332" i="1"/>
  <c r="J332" i="1" s="1"/>
  <c r="P333" i="1"/>
  <c r="J333" i="1" s="1"/>
  <c r="P334" i="1"/>
  <c r="P335" i="1"/>
  <c r="J335" i="1" s="1"/>
  <c r="P336" i="1"/>
  <c r="J336" i="1" s="1"/>
  <c r="P337" i="1"/>
  <c r="P338" i="1"/>
  <c r="P339" i="1"/>
  <c r="P340" i="1"/>
  <c r="P341" i="1"/>
  <c r="P342" i="1"/>
  <c r="P343" i="1"/>
  <c r="J343" i="1" s="1"/>
  <c r="P344" i="1"/>
  <c r="J344" i="1" s="1"/>
  <c r="P345" i="1"/>
  <c r="J345" i="1" s="1"/>
  <c r="P346" i="1"/>
  <c r="J346" i="1" s="1"/>
  <c r="P347" i="1"/>
  <c r="J347" i="1" s="1"/>
  <c r="P348" i="1"/>
  <c r="J348" i="1" s="1"/>
  <c r="P349" i="1"/>
  <c r="J349" i="1" s="1"/>
  <c r="P350" i="1"/>
  <c r="J350" i="1" s="1"/>
  <c r="P351" i="1"/>
  <c r="J351" i="1" s="1"/>
  <c r="P352" i="1"/>
  <c r="J352" i="1" s="1"/>
  <c r="P353" i="1"/>
  <c r="J353" i="1" s="1"/>
  <c r="P354" i="1"/>
  <c r="P355" i="1"/>
  <c r="P356" i="1"/>
  <c r="P357" i="1"/>
  <c r="P358" i="1"/>
  <c r="P359" i="1"/>
  <c r="P360" i="1"/>
  <c r="P361" i="1"/>
  <c r="P362" i="1"/>
  <c r="P363" i="1"/>
  <c r="J363" i="1" s="1"/>
  <c r="P364" i="1"/>
  <c r="J364" i="1" s="1"/>
  <c r="P365" i="1"/>
  <c r="J365" i="1" s="1"/>
  <c r="P366" i="1"/>
  <c r="J366" i="1" s="1"/>
  <c r="P367" i="1"/>
  <c r="J367" i="1" s="1"/>
  <c r="P368" i="1"/>
  <c r="J368" i="1" s="1"/>
  <c r="P369" i="1"/>
  <c r="J369" i="1" s="1"/>
  <c r="P370" i="1"/>
  <c r="J370" i="1" s="1"/>
  <c r="P371" i="1"/>
  <c r="J371" i="1" s="1"/>
  <c r="P372" i="1"/>
  <c r="J372" i="1" s="1"/>
  <c r="P373" i="1"/>
  <c r="J373" i="1" s="1"/>
  <c r="P374" i="1"/>
  <c r="P375" i="1"/>
  <c r="J375" i="1" s="1"/>
  <c r="P376" i="1"/>
  <c r="J376" i="1" s="1"/>
  <c r="P377" i="1"/>
  <c r="P378" i="1"/>
  <c r="P379" i="1"/>
  <c r="P380" i="1"/>
  <c r="P381" i="1"/>
  <c r="P382" i="1"/>
  <c r="P383" i="1"/>
  <c r="J383" i="1" s="1"/>
  <c r="P384" i="1"/>
  <c r="J384" i="1" s="1"/>
  <c r="P385" i="1"/>
  <c r="J385" i="1" s="1"/>
  <c r="P386" i="1"/>
  <c r="J386" i="1" s="1"/>
  <c r="P387" i="1"/>
  <c r="J387" i="1" s="1"/>
  <c r="P388" i="1"/>
  <c r="J388" i="1" s="1"/>
  <c r="P389" i="1"/>
  <c r="J389" i="1" s="1"/>
  <c r="P390" i="1"/>
  <c r="J390" i="1" s="1"/>
  <c r="P391" i="1"/>
  <c r="J391" i="1" s="1"/>
  <c r="P392" i="1"/>
  <c r="J392" i="1" s="1"/>
  <c r="P393" i="1"/>
  <c r="J393" i="1" s="1"/>
  <c r="P394" i="1"/>
  <c r="P395" i="1"/>
  <c r="P396" i="1"/>
  <c r="P397" i="1"/>
  <c r="P398" i="1"/>
  <c r="P399" i="1"/>
  <c r="P400" i="1"/>
  <c r="P401" i="1"/>
  <c r="P402" i="1"/>
  <c r="P403" i="1"/>
  <c r="J403" i="1" s="1"/>
  <c r="P404" i="1"/>
  <c r="J404" i="1" s="1"/>
  <c r="P405" i="1"/>
  <c r="J405" i="1" s="1"/>
  <c r="P406" i="1"/>
  <c r="J406" i="1" s="1"/>
  <c r="P407" i="1"/>
  <c r="J407" i="1" s="1"/>
  <c r="P408" i="1"/>
  <c r="J408" i="1" s="1"/>
  <c r="P409" i="1"/>
  <c r="J409" i="1" s="1"/>
  <c r="P410" i="1"/>
  <c r="J410" i="1" s="1"/>
  <c r="P411" i="1"/>
  <c r="J411" i="1" s="1"/>
  <c r="P412" i="1"/>
  <c r="J412" i="1" s="1"/>
  <c r="P413" i="1"/>
  <c r="J413" i="1" s="1"/>
  <c r="P414" i="1"/>
  <c r="P415" i="1"/>
  <c r="J415" i="1" s="1"/>
  <c r="P416" i="1"/>
  <c r="J416" i="1" s="1"/>
  <c r="P417" i="1"/>
  <c r="P418" i="1"/>
  <c r="P419" i="1"/>
  <c r="P420" i="1"/>
  <c r="P421" i="1"/>
  <c r="P422" i="1"/>
  <c r="P423" i="1"/>
  <c r="J423" i="1" s="1"/>
  <c r="P424" i="1"/>
  <c r="J424" i="1" s="1"/>
  <c r="P425" i="1"/>
  <c r="J425" i="1" s="1"/>
  <c r="P426" i="1"/>
  <c r="J426" i="1" s="1"/>
  <c r="P427" i="1"/>
  <c r="J427" i="1" s="1"/>
  <c r="P428" i="1"/>
  <c r="J428" i="1" s="1"/>
  <c r="P429" i="1"/>
  <c r="J429" i="1" s="1"/>
  <c r="P430" i="1"/>
  <c r="J430" i="1" s="1"/>
  <c r="P431" i="1"/>
  <c r="J431" i="1" s="1"/>
  <c r="P432" i="1"/>
  <c r="J432" i="1" s="1"/>
  <c r="P433" i="1"/>
  <c r="J433" i="1" s="1"/>
  <c r="P434" i="1"/>
  <c r="P435" i="1"/>
  <c r="P436" i="1"/>
  <c r="P437" i="1"/>
  <c r="P438" i="1"/>
  <c r="P439" i="1"/>
  <c r="P440" i="1"/>
  <c r="P441" i="1"/>
  <c r="P442" i="1"/>
  <c r="P443" i="1"/>
  <c r="J443" i="1" s="1"/>
  <c r="P444" i="1"/>
  <c r="J444" i="1" s="1"/>
  <c r="P445" i="1"/>
  <c r="J445" i="1" s="1"/>
  <c r="P446" i="1"/>
  <c r="J446" i="1" s="1"/>
  <c r="P447" i="1"/>
  <c r="J447" i="1" s="1"/>
  <c r="P448" i="1"/>
  <c r="J448" i="1" s="1"/>
  <c r="P449" i="1"/>
  <c r="J449" i="1" s="1"/>
  <c r="P450" i="1"/>
  <c r="J450" i="1" s="1"/>
  <c r="P451" i="1"/>
  <c r="J451" i="1" s="1"/>
  <c r="P452" i="1"/>
  <c r="J452" i="1" s="1"/>
  <c r="P453" i="1"/>
  <c r="J453" i="1" s="1"/>
  <c r="P454" i="1"/>
  <c r="P455" i="1"/>
  <c r="J455" i="1" s="1"/>
  <c r="P456" i="1"/>
  <c r="J456" i="1" s="1"/>
  <c r="P457" i="1"/>
  <c r="P458" i="1"/>
  <c r="P459" i="1"/>
  <c r="P460" i="1"/>
  <c r="P461" i="1"/>
  <c r="P462" i="1"/>
  <c r="P463" i="1"/>
  <c r="J463" i="1" s="1"/>
  <c r="P464" i="1"/>
  <c r="J464" i="1" s="1"/>
  <c r="P465" i="1"/>
  <c r="J465" i="1" s="1"/>
  <c r="P466" i="1"/>
  <c r="J466" i="1" s="1"/>
  <c r="P467" i="1"/>
  <c r="J467" i="1" s="1"/>
  <c r="P468" i="1"/>
  <c r="J468" i="1" s="1"/>
  <c r="P469" i="1"/>
  <c r="J469" i="1" s="1"/>
  <c r="P470" i="1"/>
  <c r="J470" i="1" s="1"/>
  <c r="P471" i="1"/>
  <c r="J471" i="1" s="1"/>
  <c r="P472" i="1"/>
  <c r="J472" i="1" s="1"/>
  <c r="P473" i="1"/>
  <c r="J473" i="1" s="1"/>
  <c r="P474" i="1"/>
  <c r="P475" i="1"/>
  <c r="P476" i="1"/>
  <c r="P477" i="1"/>
  <c r="P478" i="1"/>
  <c r="P479" i="1"/>
  <c r="P480" i="1"/>
  <c r="P481" i="1"/>
  <c r="P482" i="1"/>
  <c r="P483" i="1"/>
  <c r="J483" i="1" s="1"/>
  <c r="P484" i="1"/>
  <c r="J484" i="1" s="1"/>
  <c r="P485" i="1"/>
  <c r="J485" i="1" s="1"/>
  <c r="P486" i="1"/>
  <c r="J486" i="1" s="1"/>
  <c r="P487" i="1"/>
  <c r="J487" i="1" s="1"/>
  <c r="P488" i="1"/>
  <c r="J488" i="1" s="1"/>
  <c r="P489" i="1"/>
  <c r="J489" i="1" s="1"/>
  <c r="P490" i="1"/>
  <c r="J490" i="1" s="1"/>
  <c r="P491" i="1"/>
  <c r="J491" i="1" s="1"/>
  <c r="P492" i="1"/>
  <c r="J492" i="1" s="1"/>
  <c r="P493" i="1"/>
  <c r="J493" i="1" s="1"/>
  <c r="P494" i="1"/>
  <c r="P495" i="1"/>
  <c r="J495" i="1" s="1"/>
  <c r="P496" i="1"/>
  <c r="J496" i="1" s="1"/>
  <c r="P497" i="1"/>
  <c r="P498" i="1"/>
  <c r="P499" i="1"/>
  <c r="P500" i="1"/>
  <c r="P501" i="1"/>
  <c r="P502" i="1"/>
  <c r="P503" i="1"/>
  <c r="J503" i="1" s="1"/>
  <c r="P504" i="1"/>
  <c r="J504" i="1" s="1"/>
  <c r="P505" i="1"/>
  <c r="J505" i="1" s="1"/>
  <c r="P506" i="1"/>
  <c r="J506" i="1" s="1"/>
  <c r="P507" i="1"/>
  <c r="J507" i="1" s="1"/>
  <c r="P508" i="1"/>
  <c r="J508" i="1" s="1"/>
  <c r="P509" i="1"/>
  <c r="J509" i="1" s="1"/>
  <c r="P510" i="1"/>
  <c r="J510" i="1" s="1"/>
  <c r="P511" i="1"/>
  <c r="J511" i="1" s="1"/>
  <c r="P512" i="1"/>
  <c r="J512" i="1" s="1"/>
  <c r="P513" i="1"/>
  <c r="J513" i="1" s="1"/>
  <c r="P514" i="1"/>
  <c r="P515" i="1"/>
  <c r="P516" i="1"/>
  <c r="P517" i="1"/>
  <c r="P518" i="1"/>
  <c r="P519" i="1"/>
  <c r="P520" i="1"/>
  <c r="P521" i="1"/>
  <c r="P522" i="1"/>
  <c r="P523" i="1"/>
  <c r="J523" i="1" s="1"/>
  <c r="P524" i="1"/>
  <c r="J524" i="1" s="1"/>
  <c r="P525" i="1"/>
  <c r="J525" i="1" s="1"/>
  <c r="P526" i="1"/>
  <c r="J526" i="1" s="1"/>
  <c r="P527" i="1"/>
  <c r="J527" i="1" s="1"/>
  <c r="P528" i="1"/>
  <c r="J528" i="1" s="1"/>
  <c r="P529" i="1"/>
  <c r="J529" i="1" s="1"/>
  <c r="P530" i="1"/>
  <c r="J530" i="1" s="1"/>
  <c r="P531" i="1"/>
  <c r="J531" i="1" s="1"/>
  <c r="P532" i="1"/>
  <c r="J532" i="1" s="1"/>
  <c r="P533" i="1"/>
  <c r="J533" i="1" s="1"/>
  <c r="P534" i="1"/>
  <c r="P535" i="1"/>
  <c r="J535" i="1" s="1"/>
  <c r="P536" i="1"/>
  <c r="J536" i="1" s="1"/>
  <c r="P537" i="1"/>
  <c r="P538" i="1"/>
  <c r="P539" i="1"/>
  <c r="P540" i="1"/>
  <c r="P541" i="1"/>
  <c r="P542" i="1"/>
  <c r="P543" i="1"/>
  <c r="J543" i="1" s="1"/>
  <c r="P544" i="1"/>
  <c r="J544" i="1" s="1"/>
  <c r="P545" i="1"/>
  <c r="J545" i="1" s="1"/>
  <c r="P546" i="1"/>
  <c r="J546" i="1" s="1"/>
  <c r="P547" i="1"/>
  <c r="J547" i="1" s="1"/>
  <c r="P548" i="1"/>
  <c r="J548" i="1" s="1"/>
  <c r="P549" i="1"/>
  <c r="J549" i="1" s="1"/>
  <c r="P550" i="1"/>
  <c r="J550" i="1" s="1"/>
  <c r="P551" i="1"/>
  <c r="J551" i="1" s="1"/>
  <c r="P552" i="1"/>
  <c r="J552" i="1" s="1"/>
  <c r="P553" i="1"/>
  <c r="J553" i="1" s="1"/>
  <c r="P554" i="1"/>
  <c r="P555" i="1"/>
  <c r="P556" i="1"/>
  <c r="P557" i="1"/>
  <c r="P558" i="1"/>
  <c r="P559" i="1"/>
  <c r="P560" i="1"/>
  <c r="P561" i="1"/>
  <c r="P562" i="1"/>
  <c r="P563" i="1"/>
  <c r="J563" i="1" s="1"/>
  <c r="P564" i="1"/>
  <c r="J564" i="1" s="1"/>
  <c r="P565" i="1"/>
  <c r="J565" i="1" s="1"/>
  <c r="P566" i="1"/>
  <c r="J566" i="1" s="1"/>
  <c r="P567" i="1"/>
  <c r="J567" i="1" s="1"/>
  <c r="P568" i="1"/>
  <c r="J568" i="1" s="1"/>
  <c r="P569" i="1"/>
  <c r="J569" i="1" s="1"/>
  <c r="P570" i="1"/>
  <c r="J570" i="1" s="1"/>
  <c r="P571" i="1"/>
  <c r="J571" i="1" s="1"/>
  <c r="P572" i="1"/>
  <c r="J572" i="1" s="1"/>
  <c r="P573" i="1"/>
  <c r="J573" i="1" s="1"/>
  <c r="P574" i="1"/>
  <c r="P575" i="1"/>
  <c r="J575" i="1" s="1"/>
  <c r="P576" i="1"/>
  <c r="J576" i="1" s="1"/>
  <c r="P577" i="1"/>
  <c r="P578" i="1"/>
  <c r="P579" i="1"/>
  <c r="P580" i="1"/>
  <c r="P581" i="1"/>
  <c r="P582" i="1"/>
  <c r="J582" i="1" s="1"/>
  <c r="P583" i="1"/>
  <c r="J583" i="1" s="1"/>
  <c r="P584" i="1"/>
  <c r="J584" i="1" s="1"/>
  <c r="P585" i="1"/>
  <c r="J585" i="1" s="1"/>
  <c r="P586" i="1"/>
  <c r="J586" i="1" s="1"/>
  <c r="P587" i="1"/>
  <c r="J587" i="1" s="1"/>
  <c r="P588" i="1"/>
  <c r="J588" i="1" s="1"/>
  <c r="P589" i="1"/>
  <c r="J589" i="1" s="1"/>
  <c r="P590" i="1"/>
  <c r="J590" i="1" s="1"/>
  <c r="P591" i="1"/>
  <c r="J591" i="1" s="1"/>
  <c r="P592" i="1"/>
  <c r="J592" i="1" s="1"/>
  <c r="P593" i="1"/>
  <c r="J593" i="1" s="1"/>
  <c r="P594" i="1"/>
  <c r="P595" i="1"/>
  <c r="P596" i="1"/>
  <c r="P597" i="1"/>
  <c r="P598" i="1"/>
  <c r="P599" i="1"/>
  <c r="P600" i="1"/>
  <c r="P601" i="1"/>
  <c r="P602" i="1"/>
  <c r="P603" i="1"/>
  <c r="J603" i="1" s="1"/>
  <c r="P604" i="1"/>
  <c r="J604" i="1" s="1"/>
  <c r="P605" i="1"/>
  <c r="J605" i="1" s="1"/>
  <c r="P606" i="1"/>
  <c r="J606" i="1" s="1"/>
  <c r="P607" i="1"/>
  <c r="J607" i="1" s="1"/>
  <c r="P608" i="1"/>
  <c r="J608" i="1" s="1"/>
  <c r="P609" i="1"/>
  <c r="J609" i="1" s="1"/>
  <c r="P610" i="1"/>
  <c r="J610" i="1" s="1"/>
  <c r="P611" i="1"/>
  <c r="J611" i="1" s="1"/>
  <c r="P612" i="1"/>
  <c r="J612" i="1" s="1"/>
  <c r="P613" i="1"/>
  <c r="J613" i="1" s="1"/>
  <c r="P614" i="1"/>
  <c r="P615" i="1"/>
  <c r="J615" i="1" s="1"/>
  <c r="P616" i="1"/>
  <c r="J616" i="1" s="1"/>
  <c r="P617" i="1"/>
  <c r="P618" i="1"/>
  <c r="P619" i="1"/>
  <c r="P620" i="1"/>
  <c r="P621" i="1"/>
  <c r="P622" i="1"/>
  <c r="P623" i="1"/>
  <c r="J623" i="1" s="1"/>
  <c r="P624" i="1"/>
  <c r="J624" i="1" s="1"/>
  <c r="P625" i="1"/>
  <c r="J625" i="1" s="1"/>
  <c r="P626" i="1"/>
  <c r="J626" i="1" s="1"/>
  <c r="P627" i="1"/>
  <c r="J627" i="1" s="1"/>
  <c r="P628" i="1"/>
  <c r="J628" i="1" s="1"/>
  <c r="P629" i="1"/>
  <c r="J629" i="1" s="1"/>
  <c r="P630" i="1"/>
  <c r="J630" i="1" s="1"/>
  <c r="P631" i="1"/>
  <c r="J631" i="1" s="1"/>
  <c r="P632" i="1"/>
  <c r="J632" i="1" s="1"/>
  <c r="P633" i="1"/>
  <c r="J633" i="1" s="1"/>
  <c r="P634" i="1"/>
  <c r="P635" i="1"/>
  <c r="P636" i="1"/>
  <c r="P637" i="1"/>
  <c r="P638" i="1"/>
  <c r="P639" i="1"/>
  <c r="P640" i="1"/>
  <c r="P641" i="1"/>
  <c r="P642" i="1"/>
  <c r="P643" i="1"/>
  <c r="J643" i="1" s="1"/>
  <c r="P644" i="1"/>
  <c r="J644" i="1" s="1"/>
  <c r="P645" i="1"/>
  <c r="J645" i="1" s="1"/>
  <c r="P646" i="1"/>
  <c r="J646" i="1" s="1"/>
  <c r="P647" i="1"/>
  <c r="J647" i="1" s="1"/>
  <c r="P648" i="1"/>
  <c r="J648" i="1" s="1"/>
  <c r="P649" i="1"/>
  <c r="J649" i="1" s="1"/>
  <c r="P650" i="1"/>
  <c r="J650" i="1" s="1"/>
  <c r="P651" i="1"/>
  <c r="J651" i="1" s="1"/>
  <c r="P652" i="1"/>
  <c r="J652" i="1" s="1"/>
  <c r="P653" i="1"/>
  <c r="J653" i="1" s="1"/>
  <c r="P654" i="1"/>
  <c r="P655" i="1"/>
  <c r="J655" i="1" s="1"/>
  <c r="P656" i="1"/>
  <c r="J656" i="1" s="1"/>
  <c r="P657" i="1"/>
  <c r="P658" i="1"/>
  <c r="P659" i="1"/>
  <c r="P660" i="1"/>
  <c r="P661" i="1"/>
  <c r="P662" i="1"/>
  <c r="J662" i="1" s="1"/>
  <c r="P663" i="1"/>
  <c r="J663" i="1" s="1"/>
  <c r="P664" i="1"/>
  <c r="J664" i="1" s="1"/>
  <c r="P665" i="1"/>
  <c r="J665" i="1" s="1"/>
  <c r="P666" i="1"/>
  <c r="J666" i="1" s="1"/>
  <c r="P667" i="1"/>
  <c r="J667" i="1" s="1"/>
  <c r="P668" i="1"/>
  <c r="J668" i="1" s="1"/>
  <c r="P669" i="1"/>
  <c r="J669" i="1" s="1"/>
  <c r="P670" i="1"/>
  <c r="J670" i="1" s="1"/>
  <c r="P671" i="1"/>
  <c r="J671" i="1" s="1"/>
  <c r="P672" i="1"/>
  <c r="J672" i="1" s="1"/>
  <c r="P673" i="1"/>
  <c r="J673" i="1" s="1"/>
  <c r="P674" i="1"/>
  <c r="P675" i="1"/>
  <c r="P676" i="1"/>
  <c r="P677" i="1"/>
  <c r="P678" i="1"/>
  <c r="P679" i="1"/>
  <c r="P680" i="1"/>
  <c r="P681" i="1"/>
  <c r="P682" i="1"/>
  <c r="P683" i="1"/>
  <c r="J683" i="1" s="1"/>
  <c r="P684" i="1"/>
  <c r="J684" i="1" s="1"/>
  <c r="P685" i="1"/>
  <c r="J685" i="1" s="1"/>
  <c r="P686" i="1"/>
  <c r="J686" i="1" s="1"/>
  <c r="P687" i="1"/>
  <c r="J687" i="1" s="1"/>
  <c r="P688" i="1"/>
  <c r="J688" i="1" s="1"/>
  <c r="P689" i="1"/>
  <c r="J689" i="1" s="1"/>
  <c r="P690" i="1"/>
  <c r="J690" i="1" s="1"/>
  <c r="P691" i="1"/>
  <c r="J691" i="1" s="1"/>
  <c r="P692" i="1"/>
  <c r="J692" i="1" s="1"/>
  <c r="P693" i="1"/>
  <c r="J693" i="1" s="1"/>
  <c r="P694" i="1"/>
  <c r="P695" i="1"/>
  <c r="J695" i="1" s="1"/>
  <c r="P696" i="1"/>
  <c r="J696" i="1" s="1"/>
  <c r="P697" i="1"/>
  <c r="P698" i="1"/>
  <c r="P699" i="1"/>
  <c r="P700" i="1"/>
  <c r="P701" i="1"/>
  <c r="P702" i="1"/>
  <c r="J702" i="1" s="1"/>
  <c r="P703" i="1"/>
  <c r="J703" i="1" s="1"/>
  <c r="P704" i="1"/>
  <c r="J704" i="1" s="1"/>
  <c r="P705" i="1"/>
  <c r="J705" i="1" s="1"/>
  <c r="P706" i="1"/>
  <c r="J706" i="1" s="1"/>
  <c r="P707" i="1"/>
  <c r="J707" i="1" s="1"/>
  <c r="P708" i="1"/>
  <c r="J708" i="1" s="1"/>
  <c r="P709" i="1"/>
  <c r="J709" i="1" s="1"/>
  <c r="P710" i="1"/>
  <c r="J710" i="1" s="1"/>
  <c r="P711" i="1"/>
  <c r="J711" i="1" s="1"/>
  <c r="P712" i="1"/>
  <c r="J712" i="1" s="1"/>
  <c r="P713" i="1"/>
  <c r="J713" i="1" s="1"/>
  <c r="P714" i="1"/>
  <c r="P715" i="1"/>
  <c r="P716" i="1"/>
  <c r="P717" i="1"/>
  <c r="P718" i="1"/>
  <c r="P719" i="1"/>
  <c r="P720" i="1"/>
  <c r="P721" i="1"/>
  <c r="P722" i="1"/>
  <c r="P723" i="1"/>
  <c r="J723" i="1" s="1"/>
  <c r="P724" i="1"/>
  <c r="J724" i="1" s="1"/>
  <c r="P725" i="1"/>
  <c r="J725" i="1" s="1"/>
  <c r="P726" i="1"/>
  <c r="J726" i="1" s="1"/>
  <c r="P727" i="1"/>
  <c r="J727" i="1" s="1"/>
  <c r="P728" i="1"/>
  <c r="J728" i="1" s="1"/>
  <c r="P729" i="1"/>
  <c r="J729" i="1" s="1"/>
  <c r="P730" i="1"/>
  <c r="J730" i="1" s="1"/>
  <c r="P731" i="1"/>
  <c r="J731" i="1" s="1"/>
  <c r="P732" i="1"/>
  <c r="J732" i="1" s="1"/>
  <c r="P733" i="1"/>
  <c r="J733" i="1" s="1"/>
  <c r="P734" i="1"/>
  <c r="P735" i="1"/>
  <c r="J735" i="1" s="1"/>
  <c r="P736" i="1"/>
  <c r="J736" i="1" s="1"/>
  <c r="P737" i="1"/>
  <c r="P738" i="1"/>
  <c r="P739" i="1"/>
  <c r="P740" i="1"/>
  <c r="J740" i="1" s="1"/>
  <c r="P741" i="1"/>
  <c r="P742" i="1"/>
  <c r="J742" i="1" s="1"/>
  <c r="P743" i="1"/>
  <c r="J743" i="1" s="1"/>
  <c r="P744" i="1"/>
  <c r="J744" i="1" s="1"/>
  <c r="P745" i="1"/>
  <c r="J745" i="1" s="1"/>
  <c r="P746" i="1"/>
  <c r="J746" i="1" s="1"/>
  <c r="P747" i="1"/>
  <c r="J747" i="1" s="1"/>
  <c r="P748" i="1"/>
  <c r="J748" i="1" s="1"/>
  <c r="P749" i="1"/>
  <c r="J749" i="1" s="1"/>
  <c r="P750" i="1"/>
  <c r="J750" i="1" s="1"/>
  <c r="P751" i="1"/>
  <c r="J751" i="1" s="1"/>
  <c r="P752" i="1"/>
  <c r="J752" i="1" s="1"/>
  <c r="P753" i="1"/>
  <c r="J753" i="1" s="1"/>
  <c r="P754" i="1"/>
  <c r="P755" i="1"/>
  <c r="P756" i="1"/>
  <c r="P757" i="1"/>
  <c r="P758" i="1"/>
  <c r="P759" i="1"/>
  <c r="P760" i="1"/>
  <c r="P761" i="1"/>
  <c r="P762" i="1"/>
  <c r="P763" i="1"/>
  <c r="J763" i="1" s="1"/>
  <c r="P764" i="1"/>
  <c r="J764" i="1" s="1"/>
  <c r="P765" i="1"/>
  <c r="J765" i="1" s="1"/>
  <c r="P766" i="1"/>
  <c r="J766" i="1" s="1"/>
  <c r="P767" i="1"/>
  <c r="J767" i="1" s="1"/>
  <c r="P768" i="1"/>
  <c r="J768" i="1" s="1"/>
  <c r="P769" i="1"/>
  <c r="P770" i="1"/>
  <c r="J770" i="1" s="1"/>
  <c r="P771" i="1"/>
  <c r="J771" i="1" s="1"/>
  <c r="P772" i="1"/>
  <c r="J772" i="1" s="1"/>
  <c r="P773" i="1"/>
  <c r="J773" i="1" s="1"/>
  <c r="P774" i="1"/>
  <c r="P775" i="1"/>
  <c r="J775" i="1" s="1"/>
  <c r="P776" i="1"/>
  <c r="J776" i="1" s="1"/>
  <c r="P777" i="1"/>
  <c r="P778" i="1"/>
  <c r="P779" i="1"/>
  <c r="P780" i="1"/>
  <c r="P781" i="1"/>
  <c r="P782" i="1"/>
  <c r="J782" i="1" s="1"/>
  <c r="P783" i="1"/>
  <c r="J783" i="1" s="1"/>
  <c r="P784" i="1"/>
  <c r="J784" i="1" s="1"/>
  <c r="P785" i="1"/>
  <c r="J785" i="1" s="1"/>
  <c r="P786" i="1"/>
  <c r="J786" i="1" s="1"/>
  <c r="P787" i="1"/>
  <c r="J787" i="1" s="1"/>
  <c r="P788" i="1"/>
  <c r="J788" i="1" s="1"/>
  <c r="P789" i="1"/>
  <c r="J789" i="1" s="1"/>
  <c r="P790" i="1"/>
  <c r="J790" i="1" s="1"/>
  <c r="P791" i="1"/>
  <c r="J791" i="1" s="1"/>
  <c r="P792" i="1"/>
  <c r="J792" i="1" s="1"/>
  <c r="P793" i="1"/>
  <c r="J793" i="1" s="1"/>
  <c r="P794" i="1"/>
  <c r="P795" i="1"/>
  <c r="P796" i="1"/>
  <c r="P797" i="1"/>
  <c r="P798" i="1"/>
  <c r="P799" i="1"/>
  <c r="P800" i="1"/>
  <c r="P801" i="1"/>
  <c r="P802" i="1"/>
  <c r="J802" i="1" s="1"/>
  <c r="P803" i="1"/>
  <c r="J803" i="1" s="1"/>
  <c r="P804" i="1"/>
  <c r="J804" i="1" s="1"/>
  <c r="P805" i="1"/>
  <c r="J805" i="1" s="1"/>
  <c r="P806" i="1"/>
  <c r="J806" i="1" s="1"/>
  <c r="P807" i="1"/>
  <c r="J807" i="1" s="1"/>
  <c r="P808" i="1"/>
  <c r="J808" i="1" s="1"/>
  <c r="P809" i="1"/>
  <c r="P810" i="1"/>
  <c r="J810" i="1" s="1"/>
  <c r="P811" i="1"/>
  <c r="J811" i="1" s="1"/>
  <c r="P812" i="1"/>
  <c r="J812" i="1" s="1"/>
  <c r="P813" i="1"/>
  <c r="J813" i="1" s="1"/>
  <c r="P814" i="1"/>
  <c r="P815" i="1"/>
  <c r="J815" i="1" s="1"/>
  <c r="P816" i="1"/>
  <c r="J816" i="1" s="1"/>
  <c r="P817" i="1"/>
  <c r="P818" i="1"/>
  <c r="P819" i="1"/>
  <c r="P820" i="1"/>
  <c r="P821" i="1"/>
  <c r="P822" i="1"/>
  <c r="J822" i="1" s="1"/>
  <c r="P823" i="1"/>
  <c r="J823" i="1" s="1"/>
  <c r="P824" i="1"/>
  <c r="J824" i="1" s="1"/>
  <c r="P825" i="1"/>
  <c r="J825" i="1" s="1"/>
  <c r="P826" i="1"/>
  <c r="J826" i="1" s="1"/>
  <c r="P827" i="1"/>
  <c r="J827" i="1" s="1"/>
  <c r="P828" i="1"/>
  <c r="J828" i="1" s="1"/>
  <c r="P829" i="1"/>
  <c r="J829" i="1" s="1"/>
  <c r="P830" i="1"/>
  <c r="J830" i="1" s="1"/>
  <c r="P831" i="1"/>
  <c r="J831" i="1" s="1"/>
  <c r="P832" i="1"/>
  <c r="J832" i="1" s="1"/>
  <c r="P833" i="1"/>
  <c r="J833" i="1" s="1"/>
  <c r="P834" i="1"/>
  <c r="P835" i="1"/>
  <c r="P836" i="1"/>
  <c r="P837" i="1"/>
  <c r="P838" i="1"/>
  <c r="P839" i="1"/>
  <c r="P840" i="1"/>
  <c r="P841" i="1"/>
  <c r="P842" i="1"/>
  <c r="P843" i="1"/>
  <c r="J843" i="1" s="1"/>
  <c r="P844" i="1"/>
  <c r="J844" i="1" s="1"/>
  <c r="P845" i="1"/>
  <c r="J845" i="1" s="1"/>
  <c r="P846" i="1"/>
  <c r="J846" i="1" s="1"/>
  <c r="P847" i="1"/>
  <c r="J847" i="1" s="1"/>
  <c r="P848" i="1"/>
  <c r="J848" i="1" s="1"/>
  <c r="P849" i="1"/>
  <c r="P850" i="1"/>
  <c r="J850" i="1" s="1"/>
  <c r="P851" i="1"/>
  <c r="J851" i="1" s="1"/>
  <c r="P852" i="1"/>
  <c r="J852" i="1" s="1"/>
  <c r="P853" i="1"/>
  <c r="J853" i="1" s="1"/>
  <c r="P854" i="1"/>
  <c r="P855" i="1"/>
  <c r="J855" i="1" s="1"/>
  <c r="P856" i="1"/>
  <c r="J856" i="1" s="1"/>
  <c r="P857" i="1"/>
  <c r="P858" i="1"/>
  <c r="P859" i="1"/>
  <c r="P860" i="1"/>
  <c r="P861" i="1"/>
  <c r="P862" i="1"/>
  <c r="J862" i="1" s="1"/>
  <c r="P863" i="1"/>
  <c r="J863" i="1" s="1"/>
  <c r="P864" i="1"/>
  <c r="J864" i="1" s="1"/>
  <c r="P865" i="1"/>
  <c r="J865" i="1" s="1"/>
  <c r="P866" i="1"/>
  <c r="J866" i="1" s="1"/>
  <c r="P867" i="1"/>
  <c r="J867" i="1" s="1"/>
  <c r="P2" i="1"/>
  <c r="J2" i="1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1" i="6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6E020E-A5B6-4AFF-86B2-6C0B3DC82AA6}" keepAlive="1" name="Consulta - info-bibliografica" description="Ligação à consulta 'info-bibliografica' no livro." type="5" refreshedVersion="8" background="1" saveData="1">
    <dbPr connection="Provider=Microsoft.Mashup.OleDb.1;Data Source=$Workbook$;Location=info-bibliografica;Extended Properties=&quot;&quot;" command="SELECT * FROM [info-bibliografica]"/>
  </connection>
  <connection id="2" xr16:uid="{9196D41B-F284-493D-AE61-4BEB755E8A97}" keepAlive="1" name="Consulta - info-bibliografica (2)" description="Ligação à consulta 'info-bibliografica (2)' no livro." type="5" refreshedVersion="8" background="1" saveData="1">
    <dbPr connection="Provider=Microsoft.Mashup.OleDb.1;Data Source=$Workbook$;Location=&quot;info-bibliografica (2)&quot;;Extended Properties=&quot;&quot;" command="SELECT * FROM [info-bibliografica (2)]"/>
  </connection>
  <connection id="3" xr16:uid="{6E84AA68-2EB0-4139-929D-1C5DAF9FE43B}" keepAlive="1" name="Consulta - info-bibliografica (3)" description="Ligação à consulta 'info-bibliografica (3)' no livro." type="5" refreshedVersion="8" background="1" saveData="1">
    <dbPr connection="Provider=Microsoft.Mashup.OleDb.1;Data Source=$Workbook$;Location=&quot;info-bibliografica (3)&quot;;Extended Properties=&quot;&quot;" command="SELECT * FROM [info-bibliografica (3)]"/>
  </connection>
  <connection id="4" xr16:uid="{CB6AA93C-69C3-43E5-98B8-0C4AC0BA29E7}" keepAlive="1" name="Consulta - links-bndigital" description="Ligação à consulta 'links-bndigital' no livro." type="5" refreshedVersion="8" background="1" saveData="1">
    <dbPr connection="Provider=Microsoft.Mashup.OleDb.1;Data Source=$Workbook$;Location=links-bndigital;Extended Properties=&quot;&quot;" command="SELECT * FROM [links-bndigital]"/>
  </connection>
  <connection id="5" xr16:uid="{4A33C1CE-2BEB-4997-B1B9-522A62FC1722}" keepAlive="1" name="Consulta - links-bndigital (2)" description="Ligação à consulta 'links-bndigital (2)' no livro." type="5" refreshedVersion="8" background="1" saveData="1">
    <dbPr connection="Provider=Microsoft.Mashup.OleDb.1;Data Source=$Workbook$;Location=&quot;links-bndigital (2)&quot;;Extended Properties=&quot;&quot;" command="SELECT * FROM [links-bndigital (2)]"/>
  </connection>
  <connection id="6" xr16:uid="{C4D5A37C-AB46-4B1A-A8CF-EABA69D4E9AD}" keepAlive="1" name="Consulta - links-bndigital (3)" description="Ligação à consulta 'links-bndigital (3)' no livro." type="5" refreshedVersion="8" background="1" saveData="1">
    <dbPr connection="Provider=Microsoft.Mashup.OleDb.1;Data Source=$Workbook$;Location=&quot;links-bndigital (3)&quot;;Extended Properties=&quot;&quot;" command="SELECT * FROM [links-bndigital (3)]"/>
  </connection>
</connections>
</file>

<file path=xl/sharedStrings.xml><?xml version="1.0" encoding="utf-8"?>
<sst xmlns="http://schemas.openxmlformats.org/spreadsheetml/2006/main" count="74827" uniqueCount="3914">
  <si>
    <t>id</t>
  </si>
  <si>
    <t>purl</t>
  </si>
  <si>
    <t>imagens_texto</t>
  </si>
  <si>
    <t>imagens</t>
  </si>
  <si>
    <t>imagem</t>
  </si>
  <si>
    <t>url</t>
  </si>
  <si>
    <t>https://purl.pt/43428</t>
  </si>
  <si>
    <t>https://permalinkbnd.bnportugal.gov.pt/viewer/272369/?offset=#page=1&amp;viewer=picture&amp;o=info&amp;n=0&amp;q=</t>
  </si>
  <si>
    <t>https://purl.pt/43747</t>
  </si>
  <si>
    <t>10 [site], 11, 103 [site pelicano direita], 107, 142, 107, 142, 145, 185, 235, 270 [site assassinato de Inês], 273, 306, 309 [site ninfas], 342, 345, 374, 377, 410, 413, 447, 499, 526 [site apontamento]  [pintura de Camões por Columbano, portada, fac-símile do frontispício da 1.ª Ed. de Os Lusíadas, ilustrações da obra]</t>
  </si>
  <si>
    <t>10, 11, 103, 145, 235, 270, 273, 306, 309, 342, 345, 374, 377, 410, 413, 447, 499</t>
  </si>
  <si>
    <t>https://purl.pt/43233</t>
  </si>
  <si>
    <t>5 [site], 10 [site], 11 [site], 43, 46 [Vasco da Gama], 47, 100, 101, 160, 161, 163, 235, 237, 289, 291 [site Adamastor], 293, 343 [site apontamento livros e pena], 345, 347, 397, 443, 445, 495 [site Mercúrio, caduceu e navegador], 545 [site máquina do mundo], 547, 625, 627, 644 [monge com livro] [portadas, retrato de Camões, fotogravuras em cada Canto]</t>
  </si>
  <si>
    <t>5, 10, 11, 43, 46 , 47, 101, 160, 161, 163, 235, 237, 291, 293, 343, 345, 347, 397, 443, 445, 495 , 545, 547, 627, 644</t>
  </si>
  <si>
    <t>https://purl.pt/43745</t>
  </si>
  <si>
    <t>8 [site retrato de Camões]</t>
  </si>
  <si>
    <t>https://purl.pt/43724</t>
  </si>
  <si>
    <t>https://purl.pt/43659</t>
  </si>
  <si>
    <t>1 [Inês de Castro, Vasco da Gama, Catarina de Ataíde e retrato de Camões]</t>
  </si>
  <si>
    <t>https://purl.pt/42920</t>
  </si>
  <si>
    <t>5 [1.º]</t>
  </si>
  <si>
    <t>https://purl.pt/42835</t>
  </si>
  <si>
    <t>7 [site], 19, 23 [frisos site, esta obra contém mais apontamentos e frisos belíssimos]</t>
  </si>
  <si>
    <t>https://purl.pt/43815</t>
  </si>
  <si>
    <t>11 [caravela com Vasco da Gama]</t>
  </si>
  <si>
    <t>https://purl.pt/43227</t>
  </si>
  <si>
    <t>https://purl.pt/43816</t>
  </si>
  <si>
    <t>6 [site, retrato do Poeta laureado]</t>
  </si>
  <si>
    <t>https://purl.pt/43819</t>
  </si>
  <si>
    <t>14 [site, imagem da medalha/gravura comemorativa do monumento erigido à memória do Poeta]</t>
  </si>
  <si>
    <t>https://purl.pt/43823</t>
  </si>
  <si>
    <t>7 [site], 13 [site, itinerário do cortejo triunfal], 15 [site préstito cívico e triunfal]</t>
  </si>
  <si>
    <t xml:space="preserve">7, 13, 15 </t>
  </si>
  <si>
    <t>https://purl.pt/43818</t>
  </si>
  <si>
    <t>https://purl.pt/43873</t>
  </si>
  <si>
    <t>10 [fotografia do autor], 11 [portada], 15</t>
  </si>
  <si>
    <t>https://purl.pt/43866</t>
  </si>
  <si>
    <t>https://purl.pt/43871</t>
  </si>
  <si>
    <t>https://purl.pt/43661</t>
  </si>
  <si>
    <t>https://purl.pt/6115</t>
  </si>
  <si>
    <t>https://purl.pt/43874</t>
  </si>
  <si>
    <t>11, 13 [apontamento sobre o Centenário de Camões, site?]</t>
  </si>
  <si>
    <t>https://purl.pt/43426</t>
  </si>
  <si>
    <t>6, 106 [retrato de Camões, padrão levantado por Vasco da Gama]</t>
  </si>
  <si>
    <t>https://purl.pt/43741</t>
  </si>
  <si>
    <t>7, 388 [apontamento site]</t>
  </si>
  <si>
    <t>https://purl.pt/43811</t>
  </si>
  <si>
    <t>14 [vinheta site]</t>
  </si>
  <si>
    <t>https://purl.pt/43931</t>
  </si>
  <si>
    <t>11 [portada]</t>
  </si>
  <si>
    <t>https://purl.pt/43825</t>
  </si>
  <si>
    <t>https://purl.pt/43875</t>
  </si>
  <si>
    <t>9 [retrato de Camões]</t>
  </si>
  <si>
    <t>https://purl.pt/43662</t>
  </si>
  <si>
    <t>1, 3 [site] [portada, retrato Camões]</t>
  </si>
  <si>
    <t>https://purl.pt/43862</t>
  </si>
  <si>
    <t>https://purl.pt/43865</t>
  </si>
  <si>
    <t>https://purl.pt/43891</t>
  </si>
  <si>
    <t>16 [site], 22</t>
  </si>
  <si>
    <t>16, 22</t>
  </si>
  <si>
    <t>https://purl.pt/43923</t>
  </si>
  <si>
    <t>https://purl.pt/43827</t>
  </si>
  <si>
    <t>https://purl.pt/43914</t>
  </si>
  <si>
    <t>3, 21, 69</t>
  </si>
  <si>
    <t>21, 69</t>
  </si>
  <si>
    <t>https://purl.pt/43911</t>
  </si>
  <si>
    <t>6 [site]</t>
  </si>
  <si>
    <t>https://purl.pt/43786</t>
  </si>
  <si>
    <t>https://purl.pt/43588</t>
  </si>
  <si>
    <t>https://purl.pt/43429</t>
  </si>
  <si>
    <t>https://purl.pt/11841</t>
  </si>
  <si>
    <t>1 site</t>
  </si>
  <si>
    <t>https://purl.pt/43792</t>
  </si>
  <si>
    <t>https://purl.pt/43793</t>
  </si>
  <si>
    <t>https://purl.pt/42934</t>
  </si>
  <si>
    <t>8, 62 [1.º: retrato de Camões e visita do Rei de Melinde a V. da Gama] 8 [2.º: Vasco da Gama em Calecute]</t>
  </si>
  <si>
    <t>8, 62, 8</t>
  </si>
  <si>
    <t>https://purl.pt/42943</t>
  </si>
  <si>
    <t>10, 13 [1.º: retrato de Camões, portada, 426 apontamento caravela; 3.º: 154, apontamento site]</t>
  </si>
  <si>
    <t>https://purl.pt/43921</t>
  </si>
  <si>
    <t>10, 11 [7, 15 e 37 apontamentos site]</t>
  </si>
  <si>
    <t>https://purl.pt/42928</t>
  </si>
  <si>
    <t>5, 11 [1.º: imagem, portada], 5 [2.º retrato de Camões], 12 [3.º: partida de V. da Gama para a Índia], 12 [4.º: O espírito do Cabo surge à frota de V. da Gama], 11 [7.º: portada], 12 [8.º: Ilha dos Amores]</t>
  </si>
  <si>
    <t>11, 5, 12, 12, 11, 12</t>
  </si>
  <si>
    <t>https://purl.pt/43836</t>
  </si>
  <si>
    <t>https://purl.pt/43854</t>
  </si>
  <si>
    <t>https://purl.pt/43413</t>
  </si>
  <si>
    <t>https://purl.pt/43856</t>
  </si>
  <si>
    <t>https://purl.pt/43768</t>
  </si>
  <si>
    <t>https://purl.pt/43675</t>
  </si>
  <si>
    <t>https://purl.pt/43755</t>
  </si>
  <si>
    <t>1, 7 [site]</t>
  </si>
  <si>
    <t>https://purl.pt/42929</t>
  </si>
  <si>
    <t>1 [2.º Vol.]</t>
  </si>
  <si>
    <t>https://purl.pt/42930</t>
  </si>
  <si>
    <t>https://purl.pt/43673</t>
  </si>
  <si>
    <t>https://purl.pt/43384</t>
  </si>
  <si>
    <t>1 [retrato do Poeta, antes da folha de rosto]</t>
  </si>
  <si>
    <t>https://purl.pt/1066</t>
  </si>
  <si>
    <t>https://purl.pt/27537</t>
  </si>
  <si>
    <t>1 site carta da geografia de Os Lusíadas</t>
  </si>
  <si>
    <t>https://purl.pt/43563</t>
  </si>
  <si>
    <t>https://purl.pt/1127</t>
  </si>
  <si>
    <t>https://purl.pt/12554</t>
  </si>
  <si>
    <t>https://purl.pt/12562</t>
  </si>
  <si>
    <t>https://purl.pt/5762</t>
  </si>
  <si>
    <t>https://purl.pt/5763</t>
  </si>
  <si>
    <t>https://purl.pt/5756</t>
  </si>
  <si>
    <t>https://purl.pt/5757</t>
  </si>
  <si>
    <t>https://purl.pt/5761</t>
  </si>
  <si>
    <t>https://purl.pt/4762</t>
  </si>
  <si>
    <t>https://purl.pt/4760</t>
  </si>
  <si>
    <t>https://purl.pt/5904</t>
  </si>
  <si>
    <t>https://purl.pt/6773</t>
  </si>
  <si>
    <t>https://purl.pt/6771</t>
  </si>
  <si>
    <t>https://purl.pt/1227</t>
  </si>
  <si>
    <t>https://purl.pt/6901</t>
  </si>
  <si>
    <t>https://purl.pt/6844</t>
  </si>
  <si>
    <t>https://purl.pt/12937</t>
  </si>
  <si>
    <t>https://purl.pt/12929</t>
  </si>
  <si>
    <t>https://purl.pt/12938</t>
  </si>
  <si>
    <t>https://purl.pt/43810</t>
  </si>
  <si>
    <t>10, 18 [retratos de Camões e de Vasco da Gama]</t>
  </si>
  <si>
    <t xml:space="preserve">10, 18 </t>
  </si>
  <si>
    <t>https://purl.pt/42608</t>
  </si>
  <si>
    <t>7 [portada e 46 apontamento final Canto I]</t>
  </si>
  <si>
    <t>https://purl.pt/43749</t>
  </si>
  <si>
    <t>https://purl.pt/43772</t>
  </si>
  <si>
    <t>https://purl.pt/43415</t>
  </si>
  <si>
    <t>6, 286, 322</t>
  </si>
  <si>
    <t>https://purl.pt/43424</t>
  </si>
  <si>
    <t>21, 24, 25, 28, 29 [site], 32, 33, 36, 37, 40, 41</t>
  </si>
  <si>
    <t>21, 24, 25, 28, 29, 32, 33, 36, 37, 40, 41</t>
  </si>
  <si>
    <t>https://purl.pt/43416</t>
  </si>
  <si>
    <t>https://purl.pt/43407</t>
  </si>
  <si>
    <t>8, 9 [retrato do Poeta, portada]</t>
  </si>
  <si>
    <t>https://purl.pt/43414</t>
  </si>
  <si>
    <t>6, 50, 100, 138, 166, 216 [site] [Adeus de Heitor e Andrómaca; Rinaldo e Armida; Medoro e Angélica; Adão e Eva; Rainha de Cartago; Vénus]</t>
  </si>
  <si>
    <t>https://purl.pt/43421</t>
  </si>
  <si>
    <t>10 [site]</t>
  </si>
  <si>
    <t>https://purl.pt/42612</t>
  </si>
  <si>
    <t>8, 11 [retrato do Poeta, portada]</t>
  </si>
  <si>
    <t>https://purl.pt/43430</t>
  </si>
  <si>
    <t>5 [portada]</t>
  </si>
  <si>
    <t>https://purl.pt/43423</t>
  </si>
  <si>
    <t>2 [brasão livraria]</t>
  </si>
  <si>
    <t>https://purl.pt/43139</t>
  </si>
  <si>
    <t>https://purl.pt/43379</t>
  </si>
  <si>
    <t>5 [12 apontamento site]</t>
  </si>
  <si>
    <t>https://purl.pt/42945</t>
  </si>
  <si>
    <t> 7 [portada; 11 apontamento site]</t>
  </si>
  <si>
    <t>https://purl.pt/43887</t>
  </si>
  <si>
    <t>13 [portada]</t>
  </si>
  <si>
    <t>https://purl.pt/43383</t>
  </si>
  <si>
    <t>https://purl.pt/43740</t>
  </si>
  <si>
    <t>8 [site]</t>
  </si>
  <si>
    <t>https://purl.pt/43403</t>
  </si>
  <si>
    <t>8 [site], 42 [retratos de Camões e de V. da Gama]</t>
  </si>
  <si>
    <t xml:space="preserve">8, 42 </t>
  </si>
  <si>
    <t>https://purl.pt/42825</t>
  </si>
  <si>
    <t>10 [1.º Vol.: retrato de Camões, site], 10, 43, 174, 388 [6.º Vol.: retrato de Vasco da Gama, ilustração da obra, espécie de medalhas de Paulo da Gama, Vasco da Gama, Nicolau Coelho e Pedro  Álvares Cabral]</t>
  </si>
  <si>
    <t xml:space="preserve">10, 10, 43, 174, 388 </t>
  </si>
  <si>
    <t>https://purl.pt/42615</t>
  </si>
  <si>
    <t>https://purl.pt/43817</t>
  </si>
  <si>
    <t>8 [retrato do tradutor]</t>
  </si>
  <si>
    <t>https://purl.pt/42617</t>
  </si>
  <si>
    <t>10, 54 [1.º Vol.: retrato do tradutor; mapa Índia Vasco da Gama]</t>
  </si>
  <si>
    <t>https://purl.pt/43868</t>
  </si>
  <si>
    <t>9 [portada]</t>
  </si>
  <si>
    <t>https://purl.pt/43870</t>
  </si>
  <si>
    <t>17, 26, 29 [1.ª Ed. do Poema, pelicano esquerda, apontamentos site ?]</t>
  </si>
  <si>
    <t>https://purl.pt/43932</t>
  </si>
  <si>
    <t>7 [portada]</t>
  </si>
  <si>
    <t>https://purl.pt/42915</t>
  </si>
  <si>
    <t>12 [retrato do tradutor]</t>
  </si>
  <si>
    <t>https://purl.pt/42822</t>
  </si>
  <si>
    <t>7, 17, 79, 89, 97, 104, 105 [1.º: portada, apontamentos site]</t>
  </si>
  <si>
    <t>https://purl.pt/43857</t>
  </si>
  <si>
    <t>10 [retrato do Poeta]</t>
  </si>
  <si>
    <t>5, 11 [Vasco da Gama]</t>
  </si>
  <si>
    <t>https://purl.pt/43756</t>
  </si>
  <si>
    <t>1, 5</t>
  </si>
  <si>
    <t>https://purl.pt/43913</t>
  </si>
  <si>
    <t>https://purl.pt/43757</t>
  </si>
  <si>
    <t>https://purl.pt/43922</t>
  </si>
  <si>
    <t>5 [apontamento site]</t>
  </si>
  <si>
    <t>https://purl.pt/43927</t>
  </si>
  <si>
    <t>https://purl.pt/43752</t>
  </si>
  <si>
    <t>3 [portada]</t>
  </si>
  <si>
    <t>https://purl.pt/42601</t>
  </si>
  <si>
    <t>https://purl.pt/43876</t>
  </si>
  <si>
    <t>1 ou 3 [portada]</t>
  </si>
  <si>
    <t>https://purl.pt/43557</t>
  </si>
  <si>
    <t>https://purl.pt/43561</t>
  </si>
  <si>
    <t>https://purl.pt/12259</t>
  </si>
  <si>
    <t>https://purl.pt/12253</t>
  </si>
  <si>
    <t>https://purl.pt/27596</t>
  </si>
  <si>
    <t>https://purl.pt/43841</t>
  </si>
  <si>
    <t>https://purl.pt/43556</t>
  </si>
  <si>
    <t>https://purl.pt/43744</t>
  </si>
  <si>
    <t>cf. separadores, Imagens 126 e 217site.</t>
  </si>
  <si>
    <t>https://purl.pt/43436</t>
  </si>
  <si>
    <t>https://purl.pt/42613</t>
  </si>
  <si>
    <t>1, 13, 35</t>
  </si>
  <si>
    <t>https://purl.pt/6233</t>
  </si>
  <si>
    <t>https://purl.pt/43574</t>
  </si>
  <si>
    <t>https://purl.pt/31492</t>
  </si>
  <si>
    <t>https://purl.pt/43578</t>
  </si>
  <si>
    <t>https://purl.pt/13721</t>
  </si>
  <si>
    <t>https://purl.pt/13722</t>
  </si>
  <si>
    <t>https://purl.pt/13740</t>
  </si>
  <si>
    <t>https://purl.pt/13738</t>
  </si>
  <si>
    <t>https://purl.pt/13739</t>
  </si>
  <si>
    <t>https://purl.pt/15135</t>
  </si>
  <si>
    <t>https://purl.pt/43564</t>
  </si>
  <si>
    <t>https://purl.pt/43566</t>
  </si>
  <si>
    <t>https://purl.pt/43555</t>
  </si>
  <si>
    <t>https://purl.pt/43565</t>
  </si>
  <si>
    <t>https://purl.pt/32817</t>
  </si>
  <si>
    <t>1 [capa], 3 [retrato Camões e soneto]</t>
  </si>
  <si>
    <t xml:space="preserve">1, 3 </t>
  </si>
  <si>
    <t>https://purl.pt/42660</t>
  </si>
  <si>
    <t>https://purl.pt/25720</t>
  </si>
  <si>
    <t>https://purl.pt/43560</t>
  </si>
  <si>
    <t>https://purl.pt/43562</t>
  </si>
  <si>
    <t>https://purl.pt/43558</t>
  </si>
  <si>
    <t>https://purl.pt/42921</t>
  </si>
  <si>
    <t>1, 8 [site], 10, 12 [site], 52, 53 [site, portada da Ed. princeps], 86, 87 [site, imagem de Camões], 88, 166, 167 [site, deuses], 168, 241 [site, morte de Inês], 329 [site, sonho de D. Manuel], 330, 389 [site, Adamastor], 390, 449, 450 [site, intercessão de Vénus], 505, 506, 559, 560, 615 [site, Vénus], 616 [site, ninfas], 670 [site, ninfas a coroar os navegantes], 671, 672, 792, 793, 794, 795 [site Camões e Jau], 796, 797, 798, 799, 800, 804.</t>
  </si>
  <si>
    <t>1, 8, 10, 12, 52, 53, 86, 87, 88, 166, 167, 168, 241, 329, 330, 389, 390, 449, 450, 505, 506, 559, 560, 615, 616, 670, 671, 672, 792, 793, 794, 795, 796, 797, 798, 799, 800, 804</t>
  </si>
  <si>
    <t>https://purl.pt/43559</t>
  </si>
  <si>
    <t>https://purl.pt/38119</t>
  </si>
  <si>
    <t>https://purl.pt/43576</t>
  </si>
  <si>
    <t>https://purl.pt/43584</t>
  </si>
  <si>
    <t>https://purl.pt/43585</t>
  </si>
  <si>
    <t>https://purl.pt/43591</t>
  </si>
  <si>
    <t xml:space="preserve">7, 9 [desenho de figuras geométricas] </t>
  </si>
  <si>
    <t>7, 9</t>
  </si>
  <si>
    <t>https://purl.pt/44278</t>
  </si>
  <si>
    <t>https://purl.pt/43997</t>
  </si>
  <si>
    <t>https://purl.pt/43998</t>
  </si>
  <si>
    <t>https://purl.pt/43999</t>
  </si>
  <si>
    <t>https://purl.pt/43980</t>
  </si>
  <si>
    <t>https://purl.pt/44000</t>
  </si>
  <si>
    <t>[11, portada, 17 [site], 37, 68, 69 [site] frisos, 71 [site], 73 [site], 75, 85 e 102 e 122 [exemplos frisos e apontamentos site, que atravessam todas as pp. desta edição maravilhosa] 103, 105, 135 [site], 137, 175, 17, 205 [site], 207, 233, 235, 261, 263, 287, 289, 315 [site], 317, 343, 345, 392 [apontamento grotesco], 394 desenhos e iluminuras para cada Canto]</t>
  </si>
  <si>
    <t>69, 71, 73, 102, 122, 103, 135, 175, 205, 233, 261, 287, 315, 343</t>
  </si>
  <si>
    <t>https://purl.pt/44973</t>
  </si>
  <si>
    <t>23, 63, 105, 157, 197, 268, 309, 375</t>
  </si>
  <si>
    <t>https://purl.pt/44001</t>
  </si>
  <si>
    <t>10, 11, 49, 268, 302 [apontamentos site]</t>
  </si>
  <si>
    <t>10, 11</t>
  </si>
  <si>
    <t>https://purl.pt/43971</t>
  </si>
  <si>
    <t>https://purl.pt/44002</t>
  </si>
  <si>
    <t>96, 97, 100, 101 [portadas das primeiras edições de Os Lusíadas]</t>
  </si>
  <si>
    <t>https://purl.pt/44062</t>
  </si>
  <si>
    <t>8, 9  [caravela com Adamastor, portada]</t>
  </si>
  <si>
    <t>https://purl.pt/44065</t>
  </si>
  <si>
    <t>https://purl.pt/44063</t>
  </si>
  <si>
    <t>7 [apontamento Tricentenário]</t>
  </si>
  <si>
    <t>https://purl.pt/44344</t>
  </si>
  <si>
    <t>281 [figuras históricas: Henrique de Portugual] 33, 38, 46, 54, 58, 66, 76, 79, 84 [portadas edição do Poema, Rimas e Comédia], 100, 121, 125, 129, 137, 151, 157, 159 site, 226, 294, 325, 468, 500 [estampas e retratos, gravuras do Poeta], 255 [ensaio sobre ep. Inês de Castro, portada], 159 [imagem Camões], 151 [ilustrações], 72, 91, 192-193 [cópia manuscrita de um excerto do Canto I]</t>
  </si>
  <si>
    <t xml:space="preserve"> 100, 121, 125, 129, 137, 151, 157, 159, 192, 193, 226, 281, 294, 325, 468, 500</t>
  </si>
  <si>
    <t>https://purl.pt/44061</t>
  </si>
  <si>
    <t>https://purl.pt/44064</t>
  </si>
  <si>
    <t>https://purl.pt/44095</t>
  </si>
  <si>
    <t>4  [imagem do monumento a Camões pelo estatuário Victor Bastos]</t>
  </si>
  <si>
    <t>https://purl.pt/45009</t>
  </si>
  <si>
    <t>https://purl.pt/44993</t>
  </si>
  <si>
    <t>6 [imagem de Inês de Castro]</t>
  </si>
  <si>
    <t>https://purl.pt/44155</t>
  </si>
  <si>
    <t>1 [portada]</t>
  </si>
  <si>
    <t>https://purl.pt/45036</t>
  </si>
  <si>
    <t>https://purl.pt/44185</t>
  </si>
  <si>
    <t>8 [site, retrato de Camões]</t>
  </si>
  <si>
    <t>https://purl.pt/44190</t>
  </si>
  <si>
    <t>16, 9, 475  [Retrato de Camões, portada, apontamento grotesco]</t>
  </si>
  <si>
    <t>9, 16</t>
  </si>
  <si>
    <t>https://purl.pt/44005</t>
  </si>
  <si>
    <t>7 [site], 12 [site], 13, 25, 43, 48 [retrato Vasco da Gama], 49, 102, 103, 162, 163, 165, 237, 239, 291, 293 [site], 295, 345, 347, 349, 399, 401, 445, 447, 497 [site], 499, 547 [site], 549, 627, 629, 646</t>
  </si>
  <si>
    <t>7, 12, 25, 48, 103, 163, 237, 239, 293, 347, 349, 399, 401, 445, 447, 497, 499, 547, 549</t>
  </si>
  <si>
    <t>https://purl.pt/43957</t>
  </si>
  <si>
    <t>65 [site], 67 [site iluminura Camões], 70 [apontamento site], 71, 73, 74 [friso site exemplo, pois são todos diferentes e muito bonitos], 100, 101, 133, 173, 203 [site, Canto V, Adamastor], 231, 259, 285, 313 [site], 333 [friso site exemplo], 341, 390 [apontamento grotesco]</t>
  </si>
  <si>
    <t>67, 71, 101, 133, 173, 203, 231, 259, 285, 313, 341</t>
  </si>
  <si>
    <t>https://purl.pt/44314</t>
  </si>
  <si>
    <t>8 [site], 9, 63,  101 [site], 143, 195, 233 [site], 269 [site], 305, 337, 373, 409 [retrato de Camões laureado e desenhos a ilustrar o início de cada canto]</t>
  </si>
  <si>
    <t xml:space="preserve">8, 63,  101, 143, 195, 233, 269, 305, 337, 373, 409 </t>
  </si>
  <si>
    <t>https://purl.pt/44308</t>
  </si>
  <si>
    <t>12 [retrato do Poeta], 110 [A morte de Inês de Castro], 146 [portada das Rimas], 178 [Imagem de Jacob],  207 [ilustrador José Maria], 273 [estátua sepulcral de Inês de Castro], 287 [Imagem do Duque de Palmela], 352, 355 [imagem da casa de Faria de Sousa e retrato do autor], 438 [imagem de Camilo]</t>
  </si>
  <si>
    <t xml:space="preserve">12, 110, 273, </t>
  </si>
  <si>
    <t>https://purl.pt/44007</t>
  </si>
  <si>
    <t>23, 102 [planisfério], 135, 138, 143, 146, 194, 198</t>
  </si>
  <si>
    <t>23, 102, 198</t>
  </si>
  <si>
    <t>https://purl.pt/44315</t>
  </si>
  <si>
    <t>8 [site], 9, 59, 97, 139, 191, 229, 265, 301, 333, 369 [site], 405 [retrato de Camões laureado, portada, desenhos a ilustrar o início de cada Canto]</t>
  </si>
  <si>
    <t xml:space="preserve">8, 59, 97, 139, 191, 229, 265, 301, 333, 369, 405 </t>
  </si>
  <si>
    <t>https://purl.pt/44312</t>
  </si>
  <si>
    <t>6 [site retrato de Camões laureado com Os Lusíadas.</t>
  </si>
  <si>
    <t>https://purl.pt/45043</t>
  </si>
  <si>
    <t>https://purl.pt/44309</t>
  </si>
  <si>
    <t>6 [retrato de Camões laureado]</t>
  </si>
  <si>
    <t>https://purl.pt/44311</t>
  </si>
  <si>
    <t>6, 250, 282, 318 [retrato de Camões; desenhos a ilustrar o final dos Cantos VI a VIII: dama com caduceu a ver partir as caravelas; anjo a tocar cítara/harpa]</t>
  </si>
  <si>
    <t>6, 282, 318</t>
  </si>
  <si>
    <t>https://purl.pt/43961</t>
  </si>
  <si>
    <t>63 [padrão], 101 [ilustração Canto II], 159 (ilustração Inês de Castro, site), 201 [ilustração Adamastor], 307 [ilustração ilha dos Amores]</t>
  </si>
  <si>
    <t>101, 159, 201, 307</t>
  </si>
  <si>
    <t>https://purl.pt/44009</t>
  </si>
  <si>
    <t>5, 63 [exemplar tipográfico, site], 65 [sonetos site], 203, 291 [retrato do Poeta, com epígrafe, site], 397 [retrato do Poeta, site]</t>
  </si>
  <si>
    <t>5, 63, 65, 203, 291, 397</t>
  </si>
  <si>
    <t>https://purl.pt/44313</t>
  </si>
  <si>
    <t>10, 398, 434  [retratos Camões laureado e desenhos no final dos Cantos VII e VIII; dama com caduceu e anjo, iguais a ref. acima ]</t>
  </si>
  <si>
    <t>https://purl.pt/44277</t>
  </si>
  <si>
    <t>11 [site], 180 [retratos de Camões e Vasco da Gama]</t>
  </si>
  <si>
    <t>11, 180</t>
  </si>
  <si>
    <t>https://purl.pt/44285</t>
  </si>
  <si>
    <t>5, 6 [portada com retrato esfumado, retrato de Camões, 53, 133, 185, 363 frisos site]</t>
  </si>
  <si>
    <t>5, 6</t>
  </si>
  <si>
    <t>https://purl.pt/44282</t>
  </si>
  <si>
    <t>4,  162 [retratos de Camões e Vasco da Gama]</t>
  </si>
  <si>
    <t xml:space="preserve">4,  162 </t>
  </si>
  <si>
    <t>https://purl.pt/44284</t>
  </si>
  <si>
    <t>6, 106 [Camões laureado e estampa do padrão levantado por Vasco da Gama em Melinde].</t>
  </si>
  <si>
    <t>https://purl.pt/45110</t>
  </si>
  <si>
    <t>10 [site, Adamastor]</t>
  </si>
  <si>
    <t>https://purl.pt/45100</t>
  </si>
  <si>
    <t>https://purl.pt/45115</t>
  </si>
  <si>
    <t>11, 21</t>
  </si>
  <si>
    <t>https://purl.pt/45107</t>
  </si>
  <si>
    <t>https://purl.pt/44283</t>
  </si>
  <si>
    <t>10 [estampa Camões laureado, perfil site]</t>
  </si>
  <si>
    <t>https://purl.pt/43985</t>
  </si>
  <si>
    <t>1 [imagem de um Poeta, com uma fala de Camões extraída do drama]</t>
  </si>
  <si>
    <t>https://purl.pt/44029</t>
  </si>
  <si>
    <t>14, 74, 89, 103 [mapa rota Gama], 210 [porta da cidade em Goa], 221 [igreja das Relíquias Vidigueira], 232 [relicário legado pelo padre André Coutinho], 241 [jazigo dos Gamas], 256 [túmulo V. da Gama]</t>
  </si>
  <si>
    <t>14, 74, 89, 103</t>
  </si>
  <si>
    <t>https://purl.pt/43981</t>
  </si>
  <si>
    <t>10, 13 [apontamento máscara de teatro com louros e pena]</t>
  </si>
  <si>
    <t>https://purl.pt/44317</t>
  </si>
  <si>
    <t>https://purl.pt/44110</t>
  </si>
  <si>
    <t>8 [Camões com Os Lusíadas, site]</t>
  </si>
  <si>
    <t>https://purl.pt/43963</t>
  </si>
  <si>
    <t>13 [site], 49, 51 [site]  [Neptuno portada (repete imag. nas várias portadas), Vasco da Gama, Camões sem estar laureado]</t>
  </si>
  <si>
    <t xml:space="preserve">49, 51 </t>
  </si>
  <si>
    <t>https://purl.pt/44010</t>
  </si>
  <si>
    <t xml:space="preserve"> 10, 13 [retrato Camões, portada, 39, 115, 206 apontamentos frisos site]</t>
  </si>
  <si>
    <t>https://purl.pt/44331</t>
  </si>
  <si>
    <t>10, 11 [caravelas por Vittorio, portada]</t>
  </si>
  <si>
    <t>https://purl.pt/44332</t>
  </si>
  <si>
    <t>9 [site]</t>
  </si>
  <si>
    <t>https://purl.pt/44333</t>
  </si>
  <si>
    <t>5, 15 [portada de Os Lusíadas, pelicano direita]</t>
  </si>
  <si>
    <t>https://purl.pt/44365</t>
  </si>
  <si>
    <t>8, 77</t>
  </si>
  <si>
    <t>https://purl.pt/44012</t>
  </si>
  <si>
    <t>9, 23 [site imagem/desenho de Camões], 79, 139, 141, 213, 215, 269 [site], 271 [ilustrações Cantos], [11, 21 apontamentos site]</t>
  </si>
  <si>
    <t xml:space="preserve">23, 79, 139, 141, 213, 215, 269, 271 </t>
  </si>
  <si>
    <t>https://purl.pt/44138</t>
  </si>
  <si>
    <t>10 [retrato de Camões na gruta com Jau site, 345 apontamento site]</t>
  </si>
  <si>
    <t>https://purl.pt/44350</t>
  </si>
  <si>
    <t>2 [portada da colecção],7</t>
  </si>
  <si>
    <t>https://purl.pt/44354</t>
  </si>
  <si>
    <t>45, 47, 49 [torre de Belém], 77, 105, 131, 227, 473, 493 [mapa por mares nunca dantes navegados, que inclui rota, site]</t>
  </si>
  <si>
    <t>45, 47, 77, 105, 131, 227, 473, 493</t>
  </si>
  <si>
    <t>https://purl.pt/44379</t>
  </si>
  <si>
    <t>https://purl.pt/44369</t>
  </si>
  <si>
    <t>https://purl.pt/44013</t>
  </si>
  <si>
    <t>9, 27, 404 [portada, frontispício da 1.ª edição, pelicano esquerda, frontispício da 2.ª edição]</t>
  </si>
  <si>
    <t>https://purl.pt/44217</t>
  </si>
  <si>
    <t>https://purl.pt/44401</t>
  </si>
  <si>
    <t>8, 40 [Vasco da Gama]</t>
  </si>
  <si>
    <t>https://purl.pt/44033</t>
  </si>
  <si>
    <t>https://purl.pt/44111</t>
  </si>
  <si>
    <t>[31, 35, 39, 40, 41, 52, 58, 92, 115, 139, 155 apontamentos frisos site]</t>
  </si>
  <si>
    <t>https://purl.pt/44395</t>
  </si>
  <si>
    <t>7 [site]</t>
  </si>
  <si>
    <t>https://purl.pt/44114</t>
  </si>
  <si>
    <t>10 [retrato do Poeta], 271 [rota Gama]</t>
  </si>
  <si>
    <t>10, 271</t>
  </si>
  <si>
    <t>https://purl.pt/43958</t>
  </si>
  <si>
    <t>12, 13, 173, 363, 391 [retrato do Poeta "Iluminura de Goa", site, portada, infanta D. Maria, nau S. Bento, mapa com epígrafe do Poeta site: a vida/por o mundo em pedaços repartida]</t>
  </si>
  <si>
    <t>12, 173, 363, 391</t>
  </si>
  <si>
    <t>https://purl.pt/44449</t>
  </si>
  <si>
    <t>https://purl.pt/44451</t>
  </si>
  <si>
    <t>https://purl.pt/44459</t>
  </si>
  <si>
    <t>8, 118 [imagem da estátua]</t>
  </si>
  <si>
    <t>8, 118</t>
  </si>
  <si>
    <t>https://purl.pt/44490</t>
  </si>
  <si>
    <t>24 [a varanda de Natércia, com epígrafe do Poeta]</t>
  </si>
  <si>
    <t>https://purl.pt/44489</t>
  </si>
  <si>
    <t>8, 303 [casa da família de Camões?]</t>
  </si>
  <si>
    <t>8, 303</t>
  </si>
  <si>
    <t>https://purl.pt/44488</t>
  </si>
  <si>
    <t>68 [Brasão do marquês em biografia de Gama na edição dos Lusíadas]</t>
  </si>
  <si>
    <t>https://purl.pt/44475</t>
  </si>
  <si>
    <t>1 ["armas de Camões"]</t>
  </si>
  <si>
    <t>https://purl.pt/44521</t>
  </si>
  <si>
    <t xml:space="preserve">136, 138,  Planta da Igreja do Mosteiro das Freiras de Santana; planta da pedra da sepultura; alçado de parede, Im. 140;  a mesma Igreja, Im. 142; planta da Biblioteca de Lisboa, Im. 144. </t>
  </si>
  <si>
    <t>136, 138, 140, 142, 144</t>
  </si>
  <si>
    <t>https://purl.pt/44525</t>
  </si>
  <si>
    <t>8 ["Os portugueses"]</t>
  </si>
  <si>
    <t>https://purl.pt/44558</t>
  </si>
  <si>
    <t>5, 39 [Vasco da Gama], 71 [Afonso de Albuquerque], 151 [Camões]</t>
  </si>
  <si>
    <t>5, 39, 71, 151</t>
  </si>
  <si>
    <t>https://purl.pt/44551</t>
  </si>
  <si>
    <t>9, 10, 11, 12, 13, 14, 15, 16, 17, 18, 19, 20, 21, 22, 23, 24, 25, 26, 27, 28, 39, 30, 31, 32,  33, 34, 35, 36, 37, [mapa, caravela, Vasco da Gama, plano de uma nau; Gama; caravelas; batéis; lápide e monograma de Gama; montante de Gama; monumento a Gama; Mosteiro de Belém século XVI, várias caravelas e embarcações distintas]</t>
  </si>
  <si>
    <t>9, 11, 37</t>
  </si>
  <si>
    <t>https://purl.pt/44562</t>
  </si>
  <si>
    <t>13, 15 [retratos Vasco da Gama]</t>
  </si>
  <si>
    <t>https://purl.pt/44585</t>
  </si>
  <si>
    <t>6 [retrato do Poeta]</t>
  </si>
  <si>
    <t>https://purl.pt/44594</t>
  </si>
  <si>
    <t>7 [retrato do Poeta]</t>
  </si>
  <si>
    <t>https://purl.pt/44588</t>
  </si>
  <si>
    <t xml:space="preserve"> 7 [20, 34, 48, 85, 90 apontamentos frisos site]</t>
  </si>
  <si>
    <t xml:space="preserve">35 "A gruta de Camões", com estátua do Poeta;  3, 5, monumento a V. da Gama, 13, 19, 27, 31, 35, 39, 41, 45, 49, 53, 60  [portada comemorações; Gravuras: Projecto do monumento a Vasco da Gama; Praia Grande; Real Senado, Avenida Vasco da Gama, Sé, Gruta de Camões, Convento de S. Paulo, Farol da Guia, Pagode da Barra, Porta do Cerco, Porto interior, frisos e desenhos  de página: 56, 57]. </t>
  </si>
  <si>
    <t>https://purl.pt/44016</t>
  </si>
  <si>
    <t xml:space="preserve"> 10 [site], 11, 103, 107, 142, 145, 185, 235, 270 [site], 273, 306, 309, 342, 345, 374, 377, 410, 413, 447, 499 [Reprod. Pintura de Columbano de Camões; fac-símile da portada da 1.ª ed. de Os Lusíadas; morte de D. Inês de Castro, entre outras, desenhos/ilustrações de abertura de Cantos]</t>
  </si>
  <si>
    <t xml:space="preserve"> 10, 103, 107, 145, 185, 235, 270, 273, 306, 309, 342, 345, 374, 377, 410, 413, 447, 499 </t>
  </si>
  <si>
    <t>https://purl.pt/23629</t>
  </si>
  <si>
    <t>https://purl.pt/39844</t>
  </si>
  <si>
    <t>5, 11, 13 (site), 15, 17, 19, 21, 23, 25, 27, 29, 31, 33, 35, 37, 39, 41, 43, 45, 47, 49, 51</t>
  </si>
  <si>
    <t>5, 11, 13, 15, 17, 19, 21, 23, 25, 27, 29, 31, 33, 35, 37, 39, 41, 43, 45, 47, 49, 51</t>
  </si>
  <si>
    <t>https://purl.pt/44015</t>
  </si>
  <si>
    <t xml:space="preserve">1 [apontamento site] 54, 366 [Visita do Rei de Melinde a Vasco da Gama; barco de Vasco da Gama em Calecute, site] </t>
  </si>
  <si>
    <t>54, 366</t>
  </si>
  <si>
    <t>https://purl.pt/37882</t>
  </si>
  <si>
    <t>7 site, 21 site, 48, 100, 129 site, 152, 191, 209, 264, 297</t>
  </si>
  <si>
    <t>7, 21, 48, 100, 129, 152, 191, 209, 264, 297</t>
  </si>
  <si>
    <t>https://purl.pt/23636</t>
  </si>
  <si>
    <t>10, 86, 168, 266 [T. 1], 12, 102 (site), 202, 282 [T.2], 12 (site), 98, 176</t>
  </si>
  <si>
    <t>10, 86, 168, 266, 12, 102, 202, 282, 12, 98, 176</t>
  </si>
  <si>
    <t>https://purl.pt/23649</t>
  </si>
  <si>
    <t>9, 37, 75, 115, 171, 211, 259, 293, 325, 365, 401</t>
  </si>
  <si>
    <t>https://purl.pt/19852</t>
  </si>
  <si>
    <t>https://purl.pt/14997</t>
  </si>
  <si>
    <t>https://purl.pt/1</t>
  </si>
  <si>
    <t>https://purl.pt/17473</t>
  </si>
  <si>
    <t>23, 45</t>
  </si>
  <si>
    <t>https://purl.pt/14689</t>
  </si>
  <si>
    <t>https://purl.pt/14773</t>
  </si>
  <si>
    <t>https://purl.pt/14880</t>
  </si>
  <si>
    <t>https://purl.pt/14111</t>
  </si>
  <si>
    <t>3 [portada caravela], 8 [retrato do Poeta] , 12 [brasão]</t>
  </si>
  <si>
    <t>3, 8, 12</t>
  </si>
  <si>
    <t>https://purl.pt/37844</t>
  </si>
  <si>
    <t>10 [Inês de Castro], 11 [Sonho de D. Manuel]</t>
  </si>
  <si>
    <t>https://purl.pt/44017</t>
  </si>
  <si>
    <t xml:space="preserve"> 6, 12 [retrato do Poeta laureado, Inês de Castro]</t>
  </si>
  <si>
    <t xml:space="preserve"> 6, 12 </t>
  </si>
  <si>
    <t>https://purl.pt/44632</t>
  </si>
  <si>
    <t>1 [retrato do Poeta]</t>
  </si>
  <si>
    <t>https://purl.pt/23676</t>
  </si>
  <si>
    <t>1.º vol: 29 [retrato de Camões e Manuel de Faria], 100, 216, 297 [Vasco da Gama], 308, 347, 348, 349 [brasões], 424, 530; 2.º Vol: 7, 10, 76, 114, 194, 274, 418, 454, 463, 465, 466, 468, 472, 473, 474, 476, 480 [figuras históricas], 514, 520 [mapa], 521 [mapa]</t>
  </si>
  <si>
    <t>29, 100, 216, 297, 308, 424, 530, 7, 10, 76, 114, 194, 274, 418, 454, 463, 465, 466, 468, 472, 473, 474, 476, 480, 514, 520, 521</t>
  </si>
  <si>
    <t>https://purl.pt/37883</t>
  </si>
  <si>
    <t>9, 23, 33, 57, 77, 99, 125 [site], 147, 157 [site], 173, 185 [site], 223, 231, 255, 265, 289, 295, 323 [site], 331, 340 [apontamento site], 365, 385</t>
  </si>
  <si>
    <t>9, 23, 33, 57, 77, 99, 125, 147, 157, 173, 185, 223, 231, 255, 265, 289, 295, 323, 331, 365, 385</t>
  </si>
  <si>
    <t>https://purl.pt/14655</t>
  </si>
  <si>
    <t>8 [retrato do Poeta], 30 [Príncipe Henrique de Portugal], 31 [Vasco da Gama]</t>
  </si>
  <si>
    <t>8, 30, 31</t>
  </si>
  <si>
    <t>https://purl.pt/19853</t>
  </si>
  <si>
    <t>6 [Entrega no Olimpo[?] de Os Lusíadas: Alegoria?], 35 [mapa Vasco da Gama]</t>
  </si>
  <si>
    <t xml:space="preserve">6, 35 </t>
  </si>
  <si>
    <t>https://purl.pt/44665</t>
  </si>
  <si>
    <t>13 [portada do Poema], 22 [apontamento]</t>
  </si>
  <si>
    <t>https://purl.pt/39041</t>
  </si>
  <si>
    <t>12, 21 [Rei D. Sebastião], 108 [naves portuguesas], 125 [mapa itinerário Camões site]</t>
  </si>
  <si>
    <t xml:space="preserve">12, 21, 108, 125 </t>
  </si>
  <si>
    <t>https://purl.pt/25641</t>
  </si>
  <si>
    <t>6 [retrato do Poeta], 11 [portada da tradução italiana]</t>
  </si>
  <si>
    <t>6, 11</t>
  </si>
  <si>
    <t>https://purl.pt/44696</t>
  </si>
  <si>
    <t>17 [portada da Obra]</t>
  </si>
  <si>
    <t>https://purl.pt/43948</t>
  </si>
  <si>
    <t>8 [retrato do Poeta], 55 ["António contava as campanhas do seu amo"], 81 ["Trava-se uma luta... desarma-o"], 198 ["Ontem ainda era para vós um desconhecido], 307 ["Saem pela porta secreta do jardim"], 369 ["Traidor..."]</t>
  </si>
  <si>
    <t>8, 55, 81, 198, 307, 369</t>
  </si>
  <si>
    <t>https://purl.pt/16331</t>
  </si>
  <si>
    <t>1 [retrato do Poeta], [6, 7 sobre vegetação] 10 [Ilha dos Amores, ilustração, com epígrafe do Canto], 11 [ilustração Canto V, com epígrafe, site], 14 [ilustração Canto V, com epígrafe, site], 16 [ilustração Velho do Restelo, Canto IV, com epígrafe] 20 [A leitura de Os Lusíadas]</t>
  </si>
  <si>
    <t>1, 10, 11, 14, 16, 20</t>
  </si>
  <si>
    <t>https://purl.pt/6946</t>
  </si>
  <si>
    <t>https://purl.pt/14100</t>
  </si>
  <si>
    <t>160 [apontamento]</t>
  </si>
  <si>
    <t>https://purl.pt/44728</t>
  </si>
  <si>
    <t>10 [estátua de Camões]</t>
  </si>
  <si>
    <t>https://purl.pt/44737</t>
  </si>
  <si>
    <t>8 [retrato do Poeta]</t>
  </si>
  <si>
    <t>https://purl.pt/44738</t>
  </si>
  <si>
    <t>https://purl.pt/44788</t>
  </si>
  <si>
    <t>https://purl.pt/44793</t>
  </si>
  <si>
    <t>https://purl.pt/44792</t>
  </si>
  <si>
    <t>https://purl.pt/44804</t>
  </si>
  <si>
    <t>https://purl.pt/44796</t>
  </si>
  <si>
    <t>6 [retrato do Poeta], 7 [portada]</t>
  </si>
  <si>
    <t>https://purl.pt/43959</t>
  </si>
  <si>
    <t>1, 8 [site], 9, 12, 25 [site], 27, 29 [site], 59, 71 [site], 89, 95, 127 [site], 135, 161 [site], 167, 181 [site], 197, 207, 227, 241, 253, 271, 283, 307 [site], 311, 349 [Retrato de Camões. Retrato de António José Gomes Monteiro. Portadas dos Cantos: o grafismo não altera, apenas o número do Canto. Camões salvando Os Lusíadas, C. na gruta, Venús, rei de Melinde assasínio de Inês de Castro, Velho do Restelo, Adamastor, Baco e Júpiter, Catual e V. da Gama, Samorim e V. da Gama, coroação do Poeta, D. Manuel] [15, 31 [site], 57, 61, 97, 137, 169, 199, 229, 255, 285, 313 [frisos no início de cada Canto]</t>
  </si>
  <si>
    <t>1, 8, 9, 25, 27, 29, 31, 59, 71, 89, 95, 127, 135, 161, 167, 181, 197, 207, 227, 241, 253, 271, 283, 307, 311, 349</t>
  </si>
  <si>
    <t>https://purl.pt/44818</t>
  </si>
  <si>
    <t>5 [ilustração capa], 7 [retrato]</t>
  </si>
  <si>
    <t>5, 7</t>
  </si>
  <si>
    <t>https://purl.pt/44832</t>
  </si>
  <si>
    <t>4 [retrato do Poeta], 104 [padrão]</t>
  </si>
  <si>
    <t>https://purl.pt/44938</t>
  </si>
  <si>
    <t>1 [retrato do Poeta], 83 [repetição]</t>
  </si>
  <si>
    <t>https://purl.pt/7452</t>
  </si>
  <si>
    <t>1 [cartaz com retrato do Poeta]</t>
  </si>
  <si>
    <t>https://purl.pt/8384</t>
  </si>
  <si>
    <t>1 [cartaz para visita ao Mosteiro]</t>
  </si>
  <si>
    <t>https://purl.pt/14465</t>
  </si>
  <si>
    <t>1, 5, 9 [apontamentos], 13 [retrato do Poeta, site], 30 [ilustração Canto I, Vasco da Gama e globo, site], 32 [Vénus, site], 33 [figura], 54 [ilustração Canto II], 55, 76, 78 [ilustração Canto III], 106 [Vasco da Gama], 107, 128 [Adamastor], 129 [sereia com caravela], 148 [desenho de palmeira com ave], 150 [ilustração Canto VI], 151 [Portugal], 170, 171 [ilustrações Canto VII], 188, 189 [ilustrações Canto VIII], 208, 209 [ilustrações Canto IX, Ilha dos Amores e Calecute], 228, 229 [ilustrações Canto X] 256, 257 [apontamentos].</t>
  </si>
  <si>
    <t>13, 30, 32, 54, 78, 106, 128, 129, 150, 151, 170, 171, 188, 189, 208, 209, 228, 229</t>
  </si>
  <si>
    <t>https://purl.pt/27836</t>
  </si>
  <si>
    <t>https://purl.pt/43582</t>
  </si>
  <si>
    <t>4 [estátua do Poeta]</t>
  </si>
  <si>
    <t>https://purl.pt/44933</t>
  </si>
  <si>
    <t>https://purl.pt/44628</t>
  </si>
  <si>
    <t>15, 109, 121, 135, 145, 165 [apontamentos frisos site]</t>
  </si>
  <si>
    <t>https://purl.pt/44736</t>
  </si>
  <si>
    <t>5, 8 figuras zoológicas que parecem não pertencer à edição</t>
  </si>
  <si>
    <t>https://purl.pt/44671</t>
  </si>
  <si>
    <t>https://purl.pt/44739</t>
  </si>
  <si>
    <t>4 [estátua sepulcral de Inês de Castro]</t>
  </si>
  <si>
    <t>https://purl.pt/44834</t>
  </si>
  <si>
    <t>3 [portada], 5 apontamentos frisos, 8 [ilha de São Lázaro, Veneza], 10 tipografia do convento de S. Lázaro</t>
  </si>
  <si>
    <t>https://purl.pt/44583</t>
  </si>
  <si>
    <t>12 [retrato do Poeta]</t>
  </si>
  <si>
    <t>https://purl.pt/44713</t>
  </si>
  <si>
    <t>https://purl.pt/44712</t>
  </si>
  <si>
    <t>8 [posições de Vénus na eclíptica]</t>
  </si>
  <si>
    <t>https://purl.pt/44726</t>
  </si>
  <si>
    <t>https://purl.pt/44727</t>
  </si>
  <si>
    <t>5 [retrato do Poeta]</t>
  </si>
  <si>
    <t>https://purl.pt/44799</t>
  </si>
  <si>
    <t>1 [retrato do poeta], 8 [retrato do poeta], 59 [Ilustração Canto I], 97 [Ilustração Canto II], 139 [Ilustração Canto III], 191 [Ilustração Canto IV], 229 [Ilustração Canto V], 265 [Ilustração Canto VI], 301 [Ilustração Canto VII], 333[Ilustração Canto VIII], 369 [Ilustração Canto IX], 405 [Ilustração Canto X]</t>
  </si>
  <si>
    <t>8, 59, 97, 139, 191, 229, 265, 301, 333, 369, 405</t>
  </si>
  <si>
    <t>https://purl.pt/44828</t>
  </si>
  <si>
    <t>24, 22 [apontamentos]</t>
  </si>
  <si>
    <t>https://purl.pt/44930</t>
  </si>
  <si>
    <t>5 [retrato do Poeta], 7 [Vasco da Gama]</t>
  </si>
  <si>
    <t>https://purl.pt/44675</t>
  </si>
  <si>
    <t>9, 11 [a morte de Inês de Castro e friso site]</t>
  </si>
  <si>
    <t>https://purl.pt/40198</t>
  </si>
  <si>
    <t>1 [retrato-capa do Poeta], 9 [retratos do poeta e Ilha dos Amores por Júlio Pereira], 14 [imagem fim de página], 19 [desenho de Jorge Vieira], 20 [desenho musa ou ninfa por José António Flores], 39 [desenho de Rogério Ribeiro], 42 [desenho de Cipriano Dourado], 45 [desenho de José Rodrigues, figura de um Poeta laureado pela Natureza e coroa de louros suspensa], 48 [desenho de Henrique Ruivo], 59 [desenho de José Rodrigues], 66 [pequenos retratos do Poeta em edições]</t>
  </si>
  <si>
    <t>1, 9, 14, 19, 20, 39, 42, 45, 48, 59, 66</t>
  </si>
  <si>
    <t>https://purl.pt/23692</t>
  </si>
  <si>
    <t>https://purl.pt/20913</t>
  </si>
  <si>
    <t>2 [retrato do Poeta, cópia fidelíssima]; 3 [retrato de Camões na prisão em Goa]; 4 [retrato do Poeta, Miniatura de Goa]</t>
  </si>
  <si>
    <t>2, 3, 4</t>
  </si>
  <si>
    <t>https://purl.pt/14682</t>
  </si>
  <si>
    <t>https://purl.pt/37926</t>
  </si>
  <si>
    <t>https://purl.pt/39791</t>
  </si>
  <si>
    <t>75 [porta de entrada da casa de 1574], 76 [ruínas da casa que "foi Tribunal"], 77 [A casa de Valdazirna: A escada antiga], 78 [A casa de Valdazirna: A parede velha]</t>
  </si>
  <si>
    <t>75, 76, 77, 78</t>
  </si>
  <si>
    <t>https://purl.pt/14104</t>
  </si>
  <si>
    <t>133, 257 [apontamentos]</t>
  </si>
  <si>
    <t>https://purl.pt/14197</t>
  </si>
  <si>
    <t>136 [apontamento]</t>
  </si>
  <si>
    <t>https://purl.pt/17237</t>
  </si>
  <si>
    <t>1 [retrato do Poeta], 21 [imagem naufrágio de Camões] , 39 [estátua do Poeta], 57 [túmulo do Poeta]</t>
  </si>
  <si>
    <t>1, 21, 39, 57</t>
  </si>
  <si>
    <t>https://purl.pt/19851</t>
  </si>
  <si>
    <t xml:space="preserve"> [O início da obra contem a identificação dos artistas que colaboraram na edição] 7 [Camões na gruta de Macau], 10 [retrato do Poeta], 19 [Imagem do Poeta], 72 [apontamento Pégaso], 73, 75 [Canto I], 79 [Camões na gruta de Macau], 90 [Il. Canto I], 110 [Ilustração Canto I], 117 [apontamento], 118 [mapa Canto II], 120 [Canto II], 134 [Il. Canto II], 156 [Il. Canto II], 162 [C. III], 164 [C. III], 205 [Il. C. III], 215 [C. IV], 217 [Il. C. IV], 242 [Il. C. V], 252 [Il. C. V], 257 [apontamento], 258 [C. V], 260 [C. V], 277 [Il. C. V], 291 [Il. C. V], 299 [C. VI], 301 [C. VI], 311 [Il. C. VI], 334 [Il. C. VI], 339 [apontamento], 340 [C. VII], 342 [C. VII], 357 [Il. C. VII], 371 [Il. C. Vii], 376 [apontamento], 377 [C. VIII], 379 [C. VIII], 381 [Il. C. VIII], 402 [Il. C. VIII], 417 [apontamento], 418 [C. IX], 420 [C. IX], 436 [Il. C. IX], 444 [Il. C. IX], 453 [Il. C. IX], 459 [C. X], 461 [C. X], 463 [Il. C. X], 512 [Il. C. X], 641 [apontamento]</t>
  </si>
  <si>
    <t>7, 10, 19, 75, 79, 90, 110, 118, 120, 134, 156, 162, 164, 205, 215, 217, 242, 252, 258, 260, 277, 291, 299, 301, 311, 334, 340, 342, 357, 371, 377, 379, 381, 402, 418, 420, 436, 444, 453, 459, 461, 463, 512</t>
  </si>
  <si>
    <t>https://purl.pt/37881</t>
  </si>
  <si>
    <t>10 [retrato do Poeta], 69 [imagem do Poeta], 156 [Canto I: Concílio/"Conselho" dos Deuses], 196 [C. II: Visita do Rei de Melinde a Gama]; 238 [C. III: Assassínio de Inês de Castro], 290 [C. IV: Sonho d'El-Rei D. Manuel, no qual lhe aparecem os rios Indo e Ganges], 330 [C. V: Aparição do gigante Adamastor na passagem do Cabo de B. Esperança], 368 [C. VI: Vénus aplaca os Ventos e a tormenta], 406 [C. VII: Desembarque de Gama em Calecut], 440 [C. VIII: Segunda Audiência do Samorim a Gama], 478 [C. IX: Ilha de Vénus], 514 [C. X: Audiência d’El-Rei D. Manuel a Gama]</t>
  </si>
  <si>
    <t>10, 69, 156, 196, 238, 290, 330, 368, 406, 440, 478, 514</t>
  </si>
  <si>
    <t>https://purl.pt/37776</t>
  </si>
  <si>
    <t>10 [retrato do Poeta], 49 [Canto I], 83 [C. II], 119 [C. III], 161 [C. IV], 195 [C. V], 227 [C. VI], 259 [C. VII], 287 [C. VIII], 319 [C. IX], 349 [C. X]</t>
  </si>
  <si>
    <t>10, 49, 83, 119, 161, 195, 227, 259, 287, 319, 349</t>
  </si>
  <si>
    <t>https://purl.pt/15053</t>
  </si>
  <si>
    <t>1 [estátua de Camões], 3 [retrato do Poeta], 7 [retrato]</t>
  </si>
  <si>
    <t>1, 3, 7</t>
  </si>
  <si>
    <t>https://purl.pt/25652</t>
  </si>
  <si>
    <t>https://purl.pt/26367</t>
  </si>
  <si>
    <t>https://purl.pt/5416</t>
  </si>
  <si>
    <t>https://purl.pt/21930</t>
  </si>
  <si>
    <t>5 [1.º Vol.], 2 [2.º Vol.]</t>
  </si>
  <si>
    <t>https://purl.pt/15027</t>
  </si>
  <si>
    <t xml:space="preserve"> 1 [capa Tricentenário], 8 [estátua sepulcral de D. Pedro], 9 [estátua sepulcral de Inês de Castro], 39 [Pedro e Inês]</t>
  </si>
  <si>
    <t>8,9, 39</t>
  </si>
  <si>
    <t>https://purl.pt/26342</t>
  </si>
  <si>
    <t>página 120, que antecede a p. 121 da biografia</t>
  </si>
  <si>
    <t>https://purl.pt/44208</t>
  </si>
  <si>
    <t>1 [retrato do Poeta], 2 [casa], 3 [A Apoteose dos Heróis]</t>
  </si>
  <si>
    <t>1, 2, 3</t>
  </si>
  <si>
    <t>https://purl.pt/43905</t>
  </si>
  <si>
    <t>1 [retrato do Poeta no topo]</t>
  </si>
  <si>
    <t>https://purl.pt/43900</t>
  </si>
  <si>
    <t>1 [Camões e Jau na gruta de Macau]</t>
  </si>
  <si>
    <t>https://purl.pt/44169</t>
  </si>
  <si>
    <t>https://purl.pt/44206</t>
  </si>
  <si>
    <t>https://purl.pt/44170</t>
  </si>
  <si>
    <t>https://purl.pt/43942</t>
  </si>
  <si>
    <t>https://purl.pt/44323</t>
  </si>
  <si>
    <t>5 [retrato do Poeta], 7 [Imagem de Camões, versão dandy], 8 [episódios paródicos do dia 10 de Junho de 1880], 9 ["[...] Neste dia quem tem só um olho é... Camões"], 10 [Porto, Praça de Camões], 11 ["Ele morreu... para ser ditoso!!!", Jau e Camões]</t>
  </si>
  <si>
    <t>5, 7, 8, 9, 10, 11</t>
  </si>
  <si>
    <t>https://purl.pt/44319</t>
  </si>
  <si>
    <t>https://purl.pt/44445</t>
  </si>
  <si>
    <t>11 [Nau S. Gabriel]</t>
  </si>
  <si>
    <t>volume</t>
  </si>
  <si>
    <t>pasta</t>
  </si>
  <si>
    <t/>
  </si>
  <si>
    <t>1, 6</t>
  </si>
  <si>
    <t xml:space="preserve"> 8 [20, 34, 48, 85, 90 apontamentos frisos site]</t>
  </si>
  <si>
    <t xml:space="preserve"> 9 [20, 34, 48, 85, 90 apontamentos frisos site]</t>
  </si>
  <si>
    <t xml:space="preserve"> 10 [20, 34, 48, 85, 90 apontamentos frisos site]</t>
  </si>
  <si>
    <t xml:space="preserve"> 11 [20, 34, 48, 85, 90 apontamentos frisos site]</t>
  </si>
  <si>
    <t xml:space="preserve"> 12 [20, 34, 48, 85, 90 apontamentos frisos site]</t>
  </si>
  <si>
    <t>https://purl.pt/44164</t>
  </si>
  <si>
    <t>https://purl.pt/44192</t>
  </si>
  <si>
    <t>https://purl.pt/44139</t>
  </si>
  <si>
    <t>4 [portada], 5 apontamentos frisos, 8 [ilha de São Lázaro, Veneza], 10 tipografia do convento de S. Lázaro</t>
  </si>
  <si>
    <t>5 [portada], 5 apontamentos frisos, 8 [ilha de São Lázaro, Veneza], 10 tipografia do convento de S. Lázaro</t>
  </si>
  <si>
    <t>6 [portada], 5 apontamentos frisos, 8 [ilha de São Lázaro, Veneza], 10 tipografia do convento de S. Lázaro</t>
  </si>
  <si>
    <t>imagem pouco vísivel</t>
  </si>
  <si>
    <t>sem imagem</t>
  </si>
  <si>
    <t>pag. assumida 13</t>
  </si>
  <si>
    <t>pag. assumida 7</t>
  </si>
  <si>
    <t>pag. assumida 3</t>
  </si>
  <si>
    <t>pag. assumida 8</t>
  </si>
  <si>
    <t>pag. assumida 5</t>
  </si>
  <si>
    <t>pag. assumida 2</t>
  </si>
  <si>
    <t>pag. assumida 10</t>
  </si>
  <si>
    <t>pag. assumida 1</t>
  </si>
  <si>
    <t>pag. assumida 9</t>
  </si>
  <si>
    <t>pag. assumida 14</t>
  </si>
  <si>
    <t>pag. assumida 11</t>
  </si>
  <si>
    <t>repetido do anterior</t>
  </si>
  <si>
    <t>má imagem</t>
  </si>
  <si>
    <t>1 vs. 9</t>
  </si>
  <si>
    <t>imagem torta</t>
  </si>
  <si>
    <t>1 vs. 2</t>
  </si>
  <si>
    <t>volume 2 inexistente, opção pelo volume 1</t>
  </si>
  <si>
    <t>sem link</t>
  </si>
  <si>
    <t>filtrar</t>
  </si>
  <si>
    <t>ncb em falta</t>
  </si>
  <si>
    <t>https://permalinkbnd.bnportugal.gov.pt/viewer/274089/?offset=#page=499&amp;viewer=picture&amp;o=info&amp;n=0&amp;q=</t>
  </si>
  <si>
    <t>https://permalinkbnd.bnportugal.gov.pt/viewer/271573/?offset=#page=644&amp;viewer=picture&amp;o=info&amp;n=0&amp;q=</t>
  </si>
  <si>
    <t>https://permalinkbnd.bnportugal.gov.pt/viewer/274087/?offset=#page=8&amp;viewer=picture&amp;o=info&amp;n=0&amp;q=</t>
  </si>
  <si>
    <t>https://permalinkbnd.bnportugal.gov.pt/viewer/281141/?offset=#page=11&amp;viewer=picture&amp;o=info&amp;n=0&amp;q=</t>
  </si>
  <si>
    <t>https://permalinkbnd.bnportugal.gov.pt/viewer/273118/?offset=#page=1&amp;viewer=picture&amp;o=info&amp;n=0&amp;q=</t>
  </si>
  <si>
    <t>https://permalinkbnd.bnportugal.gov.pt/viewer/270037/?offset=#page=5&amp;viewer=picture&amp;o=info&amp;n=0&amp;q=</t>
  </si>
  <si>
    <t>https://permalinkbnd.bnportugal.gov.pt/viewer/270109/?offset=#page=7&amp;viewer=picture&amp;o=info&amp;n=0&amp;q=</t>
  </si>
  <si>
    <t>https://permalinkbnd.bnportugal.gov.pt/viewer/270109/?offset=#page=19&amp;viewer=picture&amp;o=info&amp;n=0&amp;q=</t>
  </si>
  <si>
    <t>https://permalinkbnd.bnportugal.gov.pt/viewer/270109/?offset=#page=23&amp;viewer=picture&amp;o=info&amp;n=0&amp;q=</t>
  </si>
  <si>
    <t>https://permalinkbnd.bnportugal.gov.pt/viewer/273316/?offset=#page=11&amp;viewer=picture&amp;o=info&amp;n=0&amp;q=</t>
  </si>
  <si>
    <t>https://permalinkbnd.bnportugal.gov.pt/viewer/271559/?offset=#page=3&amp;viewer=picture&amp;o=info&amp;n=0&amp;q=</t>
  </si>
  <si>
    <t>https://permalinkbnd.bnportugal.gov.pt/viewer/274171/?offset=#page=6&amp;viewer=picture&amp;o=info&amp;n=0&amp;q=</t>
  </si>
  <si>
    <t>https://permalinkbnd.bnportugal.gov.pt/viewer/274229/?offset=#page=14&amp;viewer=picture&amp;o=info&amp;n=0&amp;q=</t>
  </si>
  <si>
    <t>https://permalinkbnd.bnportugal.gov.pt/viewer/274235/?offset=#page=7&amp;viewer=picture&amp;o=info&amp;n=0&amp;q=</t>
  </si>
  <si>
    <t>https://permalinkbnd.bnportugal.gov.pt/viewer/274235/?offset=#page=13&amp;viewer=picture&amp;o=info&amp;n=0&amp;q=</t>
  </si>
  <si>
    <t>https://permalinkbnd.bnportugal.gov.pt/viewer/274235/?offset=#page=15&amp;viewer=picture&amp;o=info&amp;n=0&amp;q=</t>
  </si>
  <si>
    <t>https://permalinkbnd.bnportugal.gov.pt/viewer/1880/?offset=#page=9&amp;viewer=picture&amp;o=info&amp;n=0&amp;q=</t>
  </si>
  <si>
    <t>https://permalinkbnd.bnportugal.gov.pt/viewer/273149/?offset=#page=15&amp;viewer=picture&amp;o=info&amp;n=0&amp;q=</t>
  </si>
  <si>
    <t>https://permalinkbnd.bnportugal.gov.pt/viewer/274256/?offset=#page=1&amp;viewer=picture&amp;o=info&amp;n=0&amp;q=</t>
  </si>
  <si>
    <t>https://permalinkbnd.bnportugal.gov.pt/viewer/273122/?offset=#page=1&amp;viewer=picture&amp;o=info&amp;n=0&amp;q=</t>
  </si>
  <si>
    <t>https://permalinkbnd.bnportugal.gov.pt/viewer/273124/?offset=#page=1&amp;viewer=picture&amp;o=info&amp;n=0&amp;q=</t>
  </si>
  <si>
    <t>https://permalinkbnd.bnportugal.gov.pt/viewer/36059/?offset=#page=1&amp;viewer=picture&amp;o=info&amp;n=0&amp;q=</t>
  </si>
  <si>
    <t>https://permalinkbnd.bnportugal.gov.pt/viewer/273150/?offset=#page=11&amp;viewer=picture&amp;o=info&amp;n=0&amp;q=</t>
  </si>
  <si>
    <t>https://permalinkbnd.bnportugal.gov.pt/viewer/272368/?offset=#page=6&amp;viewer=picture&amp;o=info&amp;n=0&amp;q=</t>
  </si>
  <si>
    <t>https://permalinkbnd.bnportugal.gov.pt/viewer/274090/?offset=#page=7&amp;viewer=picture&amp;o=info&amp;n=0&amp;q=</t>
  </si>
  <si>
    <t>https://permalinkbnd.bnportugal.gov.pt/viewer/274172/?offset=#page=14&amp;viewer=picture&amp;o=info&amp;n=0&amp;q=</t>
  </si>
  <si>
    <t>https://permalinkbnd.bnportugal.gov.pt/viewer/273148/?offset=#page=11&amp;viewer=picture&amp;o=info&amp;n=0&amp;q=</t>
  </si>
  <si>
    <t>https://permalinkbnd.bnportugal.gov.pt/viewer/274230/?offset=#page=9&amp;viewer=picture&amp;o=info&amp;n=0&amp;q=</t>
  </si>
  <si>
    <t>https://permalinkbnd.bnportugal.gov.pt/viewer/1576/?offset=#page=9&amp;viewer=picture&amp;o=info&amp;n=0&amp;q=</t>
  </si>
  <si>
    <t>https://permalinkbnd.bnportugal.gov.pt/viewer/273125/?offset=#page=3&amp;viewer=picture&amp;o=info&amp;n=0&amp;q=</t>
  </si>
  <si>
    <t>https://permalinkbnd.bnportugal.gov.pt/viewer/3/?offset=#page=1&amp;viewer=picture&amp;o=info&amp;n=0&amp;q=</t>
  </si>
  <si>
    <t>https://permalinkbnd.bnportugal.gov.pt/viewer/274260/?offset=#page=1&amp;viewer=picture&amp;o=info&amp;n=0&amp;q=</t>
  </si>
  <si>
    <t>https://permalinkbnd.bnportugal.gov.pt/viewer/274280/?offset=#page=16&amp;viewer=picture&amp;o=info&amp;n=0&amp;q=</t>
  </si>
  <si>
    <t>https://permalinkbnd.bnportugal.gov.pt/viewer/274280/?offset=#page=22&amp;viewer=picture&amp;o=info&amp;n=0&amp;q=</t>
  </si>
  <si>
    <t>https://permalinkbnd.bnportugal.gov.pt/viewer/273560/?offset=#page=9&amp;viewer=picture&amp;o=info&amp;n=0&amp;q=</t>
  </si>
  <si>
    <t>https://permalinkbnd.bnportugal.gov.pt/viewer/273347/?offset=#page=7&amp;viewer=picture&amp;o=info&amp;n=0&amp;q=</t>
  </si>
  <si>
    <t>https://permalinkbnd.bnportugal.gov.pt/viewer/274348/?offset=#page=21&amp;viewer=picture&amp;o=info&amp;n=0&amp;q=</t>
  </si>
  <si>
    <t>https://permalinkbnd.bnportugal.gov.pt/viewer/274348/?offset=#page=69&amp;viewer=picture&amp;o=info&amp;n=0&amp;q=</t>
  </si>
  <si>
    <t>https://permalinkbnd.bnportugal.gov.pt/viewer/274346/?offset=#page=6&amp;viewer=picture&amp;o=info&amp;n=0&amp;q=</t>
  </si>
  <si>
    <t>https://permalinkbnd.bnportugal.gov.pt/viewer/273798/?offset=#page=1&amp;viewer=picture&amp;o=info&amp;n=0&amp;q=</t>
  </si>
  <si>
    <t>https://permalinkbnd.bnportugal.gov.pt/viewer/272882/?offset=#page=1&amp;viewer=picture&amp;o=info&amp;n=0&amp;q=</t>
  </si>
  <si>
    <t>https://permalinkbnd.bnportugal.gov.pt/viewer/1880/?offset=#page=11&amp;viewer=picture&amp;o=info&amp;n=0&amp;q=</t>
  </si>
  <si>
    <t>https://permalinkbnd.bnportugal.gov.pt/viewer/35644/?offset=#page=1&amp;viewer=picture&amp;o=info&amp;n=0&amp;q=</t>
  </si>
  <si>
    <t>https://permalinkbnd.bnportugal.gov.pt/viewer/273923/?offset=#page=3&amp;viewer=picture&amp;o=info&amp;n=0&amp;q=</t>
  </si>
  <si>
    <t>https://permalinkbnd.bnportugal.gov.pt/viewer/270331/?offset=#page=8&amp;viewer=picture&amp;o=info&amp;n=0&amp;q=</t>
  </si>
  <si>
    <t>https://permalinkbnd.bnportugal.gov.pt/viewer/270331/?offset=#page=62&amp;viewer=picture&amp;o=info&amp;n=0&amp;q=</t>
  </si>
  <si>
    <t>https://permalinkbnd.bnportugal.gov.pt/viewer/270345/?offset=#page=10&amp;viewer=picture&amp;o=info&amp;n=0&amp;q=</t>
  </si>
  <si>
    <t>https://permalinkbnd.bnportugal.gov.pt/viewer/273525/?offset=#page=10&amp;viewer=picture&amp;o=info&amp;n=0&amp;q=</t>
  </si>
  <si>
    <t>https://permalinkbnd.bnportugal.gov.pt/viewer/270116/?offset=#page=11&amp;viewer=picture&amp;o=info&amp;n=0&amp;q=</t>
  </si>
  <si>
    <t>https://permalinkbnd.bnportugal.gov.pt/viewer/270116/?offset=#page=5&amp;viewer=picture&amp;o=info&amp;n=0&amp;q=</t>
  </si>
  <si>
    <t>https://permalinkbnd.bnportugal.gov.pt/viewer/270116/?offset=#page=12&amp;viewer=picture&amp;o=info&amp;n=0&amp;q=</t>
  </si>
  <si>
    <t>https://permalinkbnd.bnportugal.gov.pt/viewer/274117/?offset=#page=3&amp;viewer=picture&amp;o=info&amp;n=0&amp;q=</t>
  </si>
  <si>
    <t>https://permalinkbnd.bnportugal.gov.pt/viewer/274153/?offset=#page=5&amp;viewer=picture&amp;o=info&amp;n=0&amp;q=</t>
  </si>
  <si>
    <t>https://permalinkbnd.bnportugal.gov.pt/viewer/272371/?offset=#page=13&amp;viewer=picture&amp;o=info&amp;n=0&amp;q=</t>
  </si>
  <si>
    <t>https://permalinkbnd.bnportugal.gov.pt/viewer/273182/?offset=#page=7&amp;viewer=picture&amp;o=info&amp;n=0&amp;q=</t>
  </si>
  <si>
    <t>https://permalinkbnd.bnportugal.gov.pt/viewer/273318/?offset=#page=1&amp;viewer=picture&amp;o=info&amp;n=0&amp;q=</t>
  </si>
  <si>
    <t>https://permalinkbnd.bnportugal.gov.pt/viewer/273319/?offset=#page=1&amp;viewer=picture&amp;o=info&amp;n=0&amp;q=</t>
  </si>
  <si>
    <t>https://permalinkbnd.bnportugal.gov.pt/viewer/273102/?offset=#page=5&amp;viewer=picture&amp;o=info&amp;n=0&amp;q=</t>
  </si>
  <si>
    <t>https://permalinkbnd.bnportugal.gov.pt/viewer/270341/?offset=#page=1&amp;viewer=picture&amp;o=info&amp;n=0&amp;q=</t>
  </si>
  <si>
    <t>https://permalinkbnd.bnportugal.gov.pt/viewer/270336/?offset=#page=1&amp;viewer=picture&amp;o=info&amp;n=0&amp;q=</t>
  </si>
  <si>
    <t>https://permalinkbnd.bnportugal.gov.pt/viewer/273314/?offset=#page=1&amp;viewer=picture&amp;o=info&amp;n=0&amp;q=</t>
  </si>
  <si>
    <t>https://permalinkbnd.bnportugal.gov.pt/viewer/281908/?offset=#page=10&amp;viewer=picture&amp;o=info&amp;n=0&amp;q=</t>
  </si>
  <si>
    <t>https://permalinkbnd.bnportugal.gov.pt/viewer/36540/?offset=#page=1&amp;viewer=picture&amp;o=info&amp;n=0&amp;q=</t>
  </si>
  <si>
    <t>https://permalinkbnd.bnportugal.gov.pt/viewer/14040/?offset=#page=1&amp;viewer=picture&amp;o=info&amp;n=0&amp;q=</t>
  </si>
  <si>
    <t>https://permalinkbnd.bnportugal.gov.pt/viewer/272734/?offset=#page=1&amp;viewer=picture&amp;o=info&amp;n=0&amp;q=</t>
  </si>
  <si>
    <t>https://permalinkbnd.bnportugal.gov.pt/viewer/36741/?offset=#page=1&amp;viewer=picture&amp;o=info&amp;n=0&amp;q=</t>
  </si>
  <si>
    <t>https://permalinkbnd.bnportugal.gov.pt/viewer/37180/?offset=#page=1&amp;viewer=picture&amp;o=info&amp;n=0&amp;q=</t>
  </si>
  <si>
    <t>https://permalinkbnd.bnportugal.gov.pt/viewer/37208/?offset=#page=1&amp;viewer=picture&amp;o=info&amp;n=0&amp;q=</t>
  </si>
  <si>
    <t>https://permalinkbnd.bnportugal.gov.pt/viewer/35147/?offset=#page=1&amp;viewer=picture&amp;o=info&amp;n=0&amp;q=</t>
  </si>
  <si>
    <t>https://permalinkbnd.bnportugal.gov.pt/viewer/1880/?offset=#page=1&amp;viewer=picture&amp;o=info&amp;n=0&amp;q=</t>
  </si>
  <si>
    <t>https://permalinkbnd.bnportugal.gov.pt/viewer/35133/?offset=#page=1&amp;viewer=picture&amp;o=info&amp;n=0&amp;q=</t>
  </si>
  <si>
    <t>https://permalinkbnd.bnportugal.gov.pt/viewer/35127/?offset=#page=1&amp;viewer=picture&amp;o=info&amp;n=0&amp;q=</t>
  </si>
  <si>
    <t>https://permalinkbnd.bnportugal.gov.pt/viewer/35137/?offset=#page=1&amp;viewer=picture&amp;o=info&amp;n=0&amp;q=</t>
  </si>
  <si>
    <t>https://permalinkbnd.bnportugal.gov.pt/viewer/37203/?offset=#page=1&amp;viewer=picture&amp;o=info&amp;n=0&amp;q=</t>
  </si>
  <si>
    <t>https://permalinkbnd.bnportugal.gov.pt/viewer/37132/?offset=#page=1&amp;viewer=picture&amp;o=info&amp;n=0&amp;q=</t>
  </si>
  <si>
    <t>https://permalinkbnd.bnportugal.gov.pt/viewer/34623/?offset=#page=1&amp;viewer=picture&amp;o=info&amp;n=0&amp;q=</t>
  </si>
  <si>
    <t>https://permalinkbnd.bnportugal.gov.pt/viewer/37092/?offset=#page=1&amp;viewer=picture&amp;o=info&amp;n=0&amp;q=</t>
  </si>
  <si>
    <t>https://permalinkbnd.bnportugal.gov.pt/viewer/37325/?offset=#page=1&amp;viewer=picture&amp;o=info&amp;n=0&amp;q=</t>
  </si>
  <si>
    <t>https://permalinkbnd.bnportugal.gov.pt/viewer/33427/?offset=#page=1&amp;viewer=picture&amp;o=info&amp;n=0&amp;q=</t>
  </si>
  <si>
    <t>https://permalinkbnd.bnportugal.gov.pt/viewer/36374/?offset=#page=1&amp;viewer=picture&amp;o=info&amp;n=0&amp;q=</t>
  </si>
  <si>
    <t>https://permalinkbnd.bnportugal.gov.pt/viewer/36554/?offset=#page=1&amp;viewer=picture&amp;o=info&amp;n=0&amp;q=</t>
  </si>
  <si>
    <t>https://permalinkbnd.bnportugal.gov.pt/viewer/37663/?offset=#page=1&amp;viewer=picture&amp;o=info&amp;n=0&amp;q=</t>
  </si>
  <si>
    <t>https://permalinkbnd.bnportugal.gov.pt/viewer/37195/?offset=#page=1&amp;viewer=picture&amp;o=info&amp;n=0&amp;q=</t>
  </si>
  <si>
    <t>https://permalinkbnd.bnportugal.gov.pt/viewer/37674/?offset=#page=1&amp;viewer=picture&amp;o=info&amp;n=0&amp;q=</t>
  </si>
  <si>
    <t>https://permalinkbnd.bnportugal.gov.pt/viewer/274166/?offset=#page=10&amp;viewer=picture&amp;o=info&amp;n=0&amp;q=</t>
  </si>
  <si>
    <t>https://permalinkbnd.bnportugal.gov.pt/viewer/274166/?offset=#page=18&amp;viewer=picture&amp;o=info&amp;n=0&amp;q=</t>
  </si>
  <si>
    <t>https://permalinkbnd.bnportugal.gov.pt/viewer/270042/?offset=#page=7&amp;viewer=picture&amp;o=info&amp;n=0&amp;q=</t>
  </si>
  <si>
    <t>https://permalinkbnd.bnportugal.gov.pt/viewer/273943/?offset=#page=4&amp;viewer=picture&amp;o=info&amp;n=0&amp;q=</t>
  </si>
  <si>
    <t>https://permalinkbnd.bnportugal.gov.pt/viewer/273427/?offset=#page=3&amp;viewer=picture&amp;o=info&amp;n=0&amp;q=</t>
  </si>
  <si>
    <t>https://permalinkbnd.bnportugal.gov.pt/viewer/272372/?offset=#page=6&amp;viewer=picture&amp;o=info&amp;n=0&amp;q=</t>
  </si>
  <si>
    <t>https://permalinkbnd.bnportugal.gov.pt/viewer/272381/?offset=#page=21&amp;viewer=picture&amp;o=info&amp;n=0&amp;q=</t>
  </si>
  <si>
    <t>https://permalinkbnd.bnportugal.gov.pt/viewer/272381/?offset=#page=24&amp;viewer=picture&amp;o=info&amp;n=0&amp;q=</t>
  </si>
  <si>
    <t>https://permalinkbnd.bnportugal.gov.pt/viewer/272381/?offset=#page=25&amp;viewer=picture&amp;o=info&amp;n=0&amp;q=</t>
  </si>
  <si>
    <t>https://permalinkbnd.bnportugal.gov.pt/viewer/272381/?offset=#page=28&amp;viewer=picture&amp;o=info&amp;n=0&amp;q=</t>
  </si>
  <si>
    <t>https://permalinkbnd.bnportugal.gov.pt/viewer/272381/?offset=#page=29&amp;viewer=picture&amp;o=info&amp;n=0&amp;q=</t>
  </si>
  <si>
    <t>https://permalinkbnd.bnportugal.gov.pt/viewer/272381/?offset=#page=32&amp;viewer=picture&amp;o=info&amp;n=0&amp;q=</t>
  </si>
  <si>
    <t>https://permalinkbnd.bnportugal.gov.pt/viewer/272381/?offset=#page=33&amp;viewer=picture&amp;o=info&amp;n=0&amp;q=</t>
  </si>
  <si>
    <t>https://permalinkbnd.bnportugal.gov.pt/viewer/272381/?offset=#page=36&amp;viewer=picture&amp;o=info&amp;n=0&amp;q=</t>
  </si>
  <si>
    <t>https://permalinkbnd.bnportugal.gov.pt/viewer/272381/?offset=#page=37&amp;viewer=picture&amp;o=info&amp;n=0&amp;q=</t>
  </si>
  <si>
    <t>https://permalinkbnd.bnportugal.gov.pt/viewer/272381/?offset=#page=40&amp;viewer=picture&amp;o=info&amp;n=0&amp;q=</t>
  </si>
  <si>
    <t>https://permalinkbnd.bnportugal.gov.pt/viewer/272381/?offset=#page=41&amp;viewer=picture&amp;o=info&amp;n=0&amp;q=</t>
  </si>
  <si>
    <t>https://permalinkbnd.bnportugal.gov.pt/viewer/280474/?offset=#page=10&amp;viewer=picture&amp;o=info&amp;n=0&amp;q=</t>
  </si>
  <si>
    <t>https://permalinkbnd.bnportugal.gov.pt/viewer/272359/?offset=#page=8&amp;viewer=picture&amp;o=info&amp;n=0&amp;q=</t>
  </si>
  <si>
    <t>https://permalinkbnd.bnportugal.gov.pt/viewer/272367/?offset=#page=216&amp;viewer=picture&amp;o=info&amp;n=0&amp;q=</t>
  </si>
  <si>
    <t>https://permalinkbnd.bnportugal.gov.pt/viewer/272379/?offset=#page=10&amp;viewer=picture&amp;o=info&amp;n=0&amp;q=</t>
  </si>
  <si>
    <t>https://permalinkbnd.bnportugal.gov.pt/viewer/272383/?offset=#page=8&amp;viewer=picture&amp;o=info&amp;n=0&amp;q=</t>
  </si>
  <si>
    <t>https://permalinkbnd.bnportugal.gov.pt/viewer/272376/?offset=#page=5&amp;viewer=picture&amp;o=info&amp;n=0&amp;q=</t>
  </si>
  <si>
    <t>https://permalinkbnd.bnportugal.gov.pt/viewer/272380/?offset=#page=2&amp;viewer=picture&amp;o=info&amp;n=0&amp;q=</t>
  </si>
  <si>
    <t>https://permalinkbnd.bnportugal.gov.pt/viewer/272389/?offset=#page=5&amp;viewer=picture&amp;o=info&amp;n=0&amp;q=</t>
  </si>
  <si>
    <t>https://permalinkbnd.bnportugal.gov.pt/viewer/272392/?offset=#page=5&amp;viewer=picture&amp;o=info&amp;n=0&amp;q=</t>
  </si>
  <si>
    <t>https://permalinkbnd.bnportugal.gov.pt/viewer/270350/?offset=#page=7&amp;viewer=picture&amp;o=info&amp;n=0&amp;q=</t>
  </si>
  <si>
    <t>https://permalinkbnd.bnportugal.gov.pt/viewer/274038/?offset=#page=13&amp;viewer=picture&amp;o=info&amp;n=0&amp;q=</t>
  </si>
  <si>
    <t>https://permalinkbnd.bnportugal.gov.pt/viewer/272399/?offset=#page=3&amp;viewer=picture&amp;o=info&amp;n=0&amp;q=</t>
  </si>
  <si>
    <t>https://permalinkbnd.bnportugal.gov.pt/viewer/274084/?offset=#page=8&amp;viewer=picture&amp;o=info&amp;n=0&amp;q=</t>
  </si>
  <si>
    <t>https://permalinkbnd.bnportugal.gov.pt/viewer/272355/?offset=#page=8&amp;viewer=picture&amp;o=info&amp;n=0&amp;q=</t>
  </si>
  <si>
    <t>https://permalinkbnd.bnportugal.gov.pt/viewer/272355/?offset=#page=42&amp;viewer=picture&amp;o=info&amp;n=0&amp;q=</t>
  </si>
  <si>
    <t>https://permalinkbnd.bnportugal.gov.pt/viewer/270138/?offset=#page=10&amp;viewer=picture&amp;o=info&amp;n=0&amp;q=</t>
  </si>
  <si>
    <t>https://permalinkbnd.bnportugal.gov.pt/viewer/270138/?offset=#page=43&amp;viewer=picture&amp;o=info&amp;n=0&amp;q=</t>
  </si>
  <si>
    <t>https://permalinkbnd.bnportugal.gov.pt/viewer/270138/?offset=#page=174&amp;viewer=picture&amp;o=info&amp;n=0&amp;q=</t>
  </si>
  <si>
    <t>https://permalinkbnd.bnportugal.gov.pt/viewer/270138/?offset=#page=388&amp;viewer=picture&amp;o=info&amp;n=0&amp;q=</t>
  </si>
  <si>
    <t>https://permalinkbnd.bnportugal.gov.pt/viewer/270047/?offset=#page=7&amp;viewer=picture&amp;o=info&amp;n=0&amp;q=</t>
  </si>
  <si>
    <t>https://permalinkbnd.bnportugal.gov.pt/viewer/274169/?offset=#page=8&amp;viewer=picture&amp;o=info&amp;n=0&amp;q=</t>
  </si>
  <si>
    <t>https://permalinkbnd.bnportugal.gov.pt/viewer/270089/?offset=#page=54&amp;viewer=picture&amp;o=info&amp;n=0&amp;q=</t>
  </si>
  <si>
    <t>https://permalinkbnd.bnportugal.gov.pt/viewer/281023/?offset=#page=1 vs. 9&amp;viewer=picture&amp;o=info&amp;n=0&amp;q=</t>
  </si>
  <si>
    <t>https://permalinkbnd.bnportugal.gov.pt/viewer/274252/?offset=#page=17&amp;viewer=picture&amp;o=info&amp;n=0&amp;q=</t>
  </si>
  <si>
    <t>https://permalinkbnd.bnportugal.gov.pt/viewer/274252/?offset=#page=26&amp;viewer=picture&amp;o=info&amp;n=0&amp;q=</t>
  </si>
  <si>
    <t>https://permalinkbnd.bnportugal.gov.pt/viewer/274252/?offset=#page=29&amp;viewer=picture&amp;o=info&amp;n=0&amp;q=</t>
  </si>
  <si>
    <t>https://permalinkbnd.bnportugal.gov.pt/viewer/273233/?offset=#page=7&amp;viewer=picture&amp;o=info&amp;n=0&amp;q=</t>
  </si>
  <si>
    <t>https://permalinkbnd.bnportugal.gov.pt/viewer/270086/?offset=#page=12&amp;viewer=picture&amp;o=info&amp;n=0&amp;q=</t>
  </si>
  <si>
    <t>https://permalinkbnd.bnportugal.gov.pt/viewer/270087/?offset=#page=7&amp;viewer=picture&amp;o=info&amp;n=0&amp;q=</t>
  </si>
  <si>
    <t>https://permalinkbnd.bnportugal.gov.pt/viewer/270087/?offset=#page=17&amp;viewer=picture&amp;o=info&amp;n=0&amp;q=</t>
  </si>
  <si>
    <t>https://permalinkbnd.bnportugal.gov.pt/viewer/270087/?offset=#page=79&amp;viewer=picture&amp;o=info&amp;n=0&amp;q=</t>
  </si>
  <si>
    <t>https://permalinkbnd.bnportugal.gov.pt/viewer/270087/?offset=#page=89&amp;viewer=picture&amp;o=info&amp;n=0&amp;q=</t>
  </si>
  <si>
    <t>https://permalinkbnd.bnportugal.gov.pt/viewer/270087/?offset=#page=97&amp;viewer=picture&amp;o=info&amp;n=0&amp;q=</t>
  </si>
  <si>
    <t>https://permalinkbnd.bnportugal.gov.pt/viewer/270087/?offset=#page=104&amp;viewer=picture&amp;o=info&amp;n=0&amp;q=</t>
  </si>
  <si>
    <t>https://permalinkbnd.bnportugal.gov.pt/viewer/270087/?offset=#page=105&amp;viewer=picture&amp;o=info&amp;n=0&amp;q=</t>
  </si>
  <si>
    <t>https://permalinkbnd.bnportugal.gov.pt/viewer/273350/?offset=#page=10&amp;viewer=picture&amp;o=info&amp;n=0&amp;q=</t>
  </si>
  <si>
    <t>https://permalinkbnd.bnportugal.gov.pt/viewer/273346/?offset=#page=1&amp;viewer=picture&amp;o=info&amp;n=0&amp;q=</t>
  </si>
  <si>
    <t>https://permalinkbnd.bnportugal.gov.pt/viewer/273346/?offset=#page=5&amp;viewer=picture&amp;o=info&amp;n=0&amp;q=</t>
  </si>
  <si>
    <t>https://permalinkbnd.bnportugal.gov.pt/viewer/274342/?offset=#page=7&amp;viewer=picture&amp;o=info&amp;n=0&amp;q=</t>
  </si>
  <si>
    <t>https://permalinkbnd.bnportugal.gov.pt/viewer/273439/?offset=#page=3&amp;viewer=picture&amp;o=info&amp;n=0&amp;q=</t>
  </si>
  <si>
    <t>https://permalinkbnd.bnportugal.gov.pt/viewer/273527/?offset=#page=5&amp;viewer=picture&amp;o=info&amp;n=0&amp;q=</t>
  </si>
  <si>
    <t>https://permalinkbnd.bnportugal.gov.pt/viewer/273731/?offset=#page=11&amp;viewer=picture&amp;o=info&amp;n=0&amp;q=</t>
  </si>
  <si>
    <t>https://permalinkbnd.bnportugal.gov.pt/viewer/272628/?offset=#page=3&amp;viewer=picture&amp;o=info&amp;n=0&amp;q=</t>
  </si>
  <si>
    <t>https://permalinkbnd.bnportugal.gov.pt/viewer/281130/?offset=#page=1&amp;viewer=picture&amp;o=info&amp;n=0&amp;q=</t>
  </si>
  <si>
    <t>https://permalinkbnd.bnportugal.gov.pt/viewer/273183/?offset=#page=&amp;viewer=picture&amp;o=info&amp;n=0&amp;q=</t>
  </si>
  <si>
    <t>https://permalinkbnd.bnportugal.gov.pt/viewer/272728/?offset=#page=1&amp;viewer=picture&amp;o=info&amp;n=0&amp;q=</t>
  </si>
  <si>
    <t>https://permalinkbnd.bnportugal.gov.pt/viewer/272733/?offset=#page=1&amp;viewer=picture&amp;o=info&amp;n=0&amp;q=</t>
  </si>
  <si>
    <t>https://permalinkbnd.bnportugal.gov.pt/viewer/33718/?offset=#page=1&amp;viewer=picture&amp;o=info&amp;n=0&amp;q=</t>
  </si>
  <si>
    <t>https://permalinkbnd.bnportugal.gov.pt/viewer/33721/?offset=#page=1&amp;viewer=picture&amp;o=info&amp;n=0&amp;q=</t>
  </si>
  <si>
    <t>https://permalinkbnd.bnportugal.gov.pt/viewer/36775/?offset=#page=1&amp;viewer=picture&amp;o=info&amp;n=0&amp;q=</t>
  </si>
  <si>
    <t>https://permalinkbnd.bnportugal.gov.pt/viewer/274123/?offset=#page=3&amp;viewer=picture&amp;o=info&amp;n=0&amp;q=</t>
  </si>
  <si>
    <t>https://permalinkbnd.bnportugal.gov.pt/viewer/272738/?offset=#page=1&amp;viewer=picture&amp;o=info&amp;n=0&amp;q=</t>
  </si>
  <si>
    <t>https://permalinkbnd.bnportugal.gov.pt/viewer/274092/?offset=#page=126&amp;viewer=picture&amp;o=info&amp;n=0&amp;q=</t>
  </si>
  <si>
    <t>https://permalinkbnd.bnportugal.gov.pt/viewer/274092/?offset=#page=217&amp;viewer=picture&amp;o=info&amp;n=0&amp;q=</t>
  </si>
  <si>
    <t>https://permalinkbnd.bnportugal.gov.pt/viewer/272390/?offset=#page=9&amp;viewer=picture&amp;o=info&amp;n=0&amp;q=</t>
  </si>
  <si>
    <t>https://permalinkbnd.bnportugal.gov.pt/viewer/280467/?offset=#page=1&amp;viewer=picture&amp;o=info&amp;n=0&amp;q=</t>
  </si>
  <si>
    <t>https://permalinkbnd.bnportugal.gov.pt/viewer/280467/?offset=#page=13&amp;viewer=picture&amp;o=info&amp;n=0&amp;q=</t>
  </si>
  <si>
    <t>https://permalinkbnd.bnportugal.gov.pt/viewer/280467/?offset=#page=35&amp;viewer=picture&amp;o=info&amp;n=0&amp;q=</t>
  </si>
  <si>
    <t>https://permalinkbnd.bnportugal.gov.pt/viewer/36160/?offset=#page=1&amp;viewer=picture&amp;o=info&amp;n=0&amp;q=</t>
  </si>
  <si>
    <t>https://permalinkbnd.bnportugal.gov.pt/viewer/272788/?offset=#page=1&amp;viewer=picture&amp;o=info&amp;n=0&amp;q=</t>
  </si>
  <si>
    <t>https://permalinkbnd.bnportugal.gov.pt/viewer/88185/?offset=#page=1&amp;viewer=picture&amp;o=info&amp;n=0&amp;q=</t>
  </si>
  <si>
    <t>https://permalinkbnd.bnportugal.gov.pt/viewer/272785/?offset=#page=1&amp;viewer=picture&amp;o=info&amp;n=0&amp;q=</t>
  </si>
  <si>
    <t>https://permalinkbnd.bnportugal.gov.pt/viewer/38463/?offset=#page=1&amp;viewer=picture&amp;o=info&amp;n=0&amp;q=</t>
  </si>
  <si>
    <t>https://permalinkbnd.bnportugal.gov.pt/viewer/38591/?offset=#page=1&amp;viewer=picture&amp;o=info&amp;n=0&amp;q=</t>
  </si>
  <si>
    <t>https://permalinkbnd.bnportugal.gov.pt/viewer/1843/?offset=#page=1&amp;viewer=picture&amp;o=info&amp;n=0&amp;q=</t>
  </si>
  <si>
    <t>https://permalinkbnd.bnportugal.gov.pt/viewer/37955/?offset=#page=1&amp;viewer=picture&amp;o=info&amp;n=0&amp;q=</t>
  </si>
  <si>
    <t>https://permalinkbnd.bnportugal.gov.pt/viewer/38270/?offset=#page=1&amp;viewer=picture&amp;o=info&amp;n=0&amp;q=</t>
  </si>
  <si>
    <t>https://permalinkbnd.bnportugal.gov.pt/viewer/39315/?offset=#page=1&amp;viewer=picture&amp;o=info&amp;n=0&amp;q=</t>
  </si>
  <si>
    <t>https://permalinkbnd.bnportugal.gov.pt/viewer/272735/?offset=#page=1&amp;viewer=picture&amp;o=info&amp;n=0&amp;q=</t>
  </si>
  <si>
    <t>https://permalinkbnd.bnportugal.gov.pt/viewer/272737/?offset=#page=1&amp;viewer=picture&amp;o=info&amp;n=0&amp;q=</t>
  </si>
  <si>
    <t>https://permalinkbnd.bnportugal.gov.pt/viewer/272727/?offset=#page=1&amp;viewer=picture&amp;o=info&amp;n=0&amp;q=</t>
  </si>
  <si>
    <t>https://permalinkbnd.bnportugal.gov.pt/viewer/272736/?offset=#page=1&amp;viewer=picture&amp;o=info&amp;n=0&amp;q=</t>
  </si>
  <si>
    <t>https://permalinkbnd.bnportugal.gov.pt/viewer/16732/?offset=#page=1&amp;viewer=picture&amp;o=info&amp;n=0&amp;q=</t>
  </si>
  <si>
    <t>https://permalinkbnd.bnportugal.gov.pt/viewer/16732/?offset=#page=3&amp;viewer=picture&amp;o=info&amp;n=0&amp;q=</t>
  </si>
  <si>
    <t>https://permalinkbnd.bnportugal.gov.pt/viewer/268841/?offset=#page=1&amp;viewer=picture&amp;o=info&amp;n=0&amp;q=</t>
  </si>
  <si>
    <t>https://permalinkbnd.bnportugal.gov.pt/viewer/33216/?offset=#page=1&amp;viewer=picture&amp;o=info&amp;n=0&amp;q=</t>
  </si>
  <si>
    <t>https://permalinkbnd.bnportugal.gov.pt/viewer/272731/?offset=#page=1&amp;viewer=picture&amp;o=info&amp;n=0&amp;q=</t>
  </si>
  <si>
    <t>https://permalinkbnd.bnportugal.gov.pt/viewer/272732/?offset=#page=1&amp;viewer=picture&amp;o=info&amp;n=0&amp;q=</t>
  </si>
  <si>
    <t>https://permalinkbnd.bnportugal.gov.pt/viewer/272729/?offset=#page=1&amp;viewer=picture&amp;o=info&amp;n=0&amp;q=</t>
  </si>
  <si>
    <t>https://permalinkbnd.bnportugal.gov.pt/viewer/272786/?offset=#page=1&amp;viewer=picture&amp;o=info&amp;n=0&amp;q=</t>
  </si>
  <si>
    <t>https://permalinkbnd.bnportugal.gov.pt/viewer/272786/?offset=#page=8&amp;viewer=picture&amp;o=info&amp;n=0&amp;q=</t>
  </si>
  <si>
    <t>https://permalinkbnd.bnportugal.gov.pt/viewer/272786/?offset=#page=10&amp;viewer=picture&amp;o=info&amp;n=0&amp;q=</t>
  </si>
  <si>
    <t>https://permalinkbnd.bnportugal.gov.pt/viewer/272786/?offset=#page=12&amp;viewer=picture&amp;o=info&amp;n=0&amp;q=</t>
  </si>
  <si>
    <t>https://permalinkbnd.bnportugal.gov.pt/viewer/272786/?offset=#page=52&amp;viewer=picture&amp;o=info&amp;n=0&amp;q=</t>
  </si>
  <si>
    <t>https://permalinkbnd.bnportugal.gov.pt/viewer/272786/?offset=#page=53&amp;viewer=picture&amp;o=info&amp;n=0&amp;q=</t>
  </si>
  <si>
    <t>https://permalinkbnd.bnportugal.gov.pt/viewer/272786/?offset=#page=86&amp;viewer=picture&amp;o=info&amp;n=0&amp;q=</t>
  </si>
  <si>
    <t>https://permalinkbnd.bnportugal.gov.pt/viewer/272786/?offset=#page=87&amp;viewer=picture&amp;o=info&amp;n=0&amp;q=</t>
  </si>
  <si>
    <t>https://permalinkbnd.bnportugal.gov.pt/viewer/272786/?offset=#page=88&amp;viewer=picture&amp;o=info&amp;n=0&amp;q=</t>
  </si>
  <si>
    <t>https://permalinkbnd.bnportugal.gov.pt/viewer/272786/?offset=#page=166&amp;viewer=picture&amp;o=info&amp;n=0&amp;q=</t>
  </si>
  <si>
    <t>https://permalinkbnd.bnportugal.gov.pt/viewer/272786/?offset=#page=167&amp;viewer=picture&amp;o=info&amp;n=0&amp;q=</t>
  </si>
  <si>
    <t>https://permalinkbnd.bnportugal.gov.pt/viewer/272786/?offset=#page=168&amp;viewer=picture&amp;o=info&amp;n=0&amp;q=</t>
  </si>
  <si>
    <t>https://permalinkbnd.bnportugal.gov.pt/viewer/272786/?offset=#page=241&amp;viewer=picture&amp;o=info&amp;n=0&amp;q=</t>
  </si>
  <si>
    <t>https://permalinkbnd.bnportugal.gov.pt/viewer/272786/?offset=#page=329&amp;viewer=picture&amp;o=info&amp;n=0&amp;q=</t>
  </si>
  <si>
    <t>https://permalinkbnd.bnportugal.gov.pt/viewer/272786/?offset=#page=330&amp;viewer=picture&amp;o=info&amp;n=0&amp;q=</t>
  </si>
  <si>
    <t>https://permalinkbnd.bnportugal.gov.pt/viewer/272786/?offset=#page=389&amp;viewer=picture&amp;o=info&amp;n=0&amp;q=</t>
  </si>
  <si>
    <t>https://permalinkbnd.bnportugal.gov.pt/viewer/272786/?offset=#page=390&amp;viewer=picture&amp;o=info&amp;n=0&amp;q=</t>
  </si>
  <si>
    <t>https://permalinkbnd.bnportugal.gov.pt/viewer/272786/?offset=#page=449&amp;viewer=picture&amp;o=info&amp;n=0&amp;q=</t>
  </si>
  <si>
    <t>https://permalinkbnd.bnportugal.gov.pt/viewer/272786/?offset=#page=450&amp;viewer=picture&amp;o=info&amp;n=0&amp;q=</t>
  </si>
  <si>
    <t>https://permalinkbnd.bnportugal.gov.pt/viewer/272786/?offset=#page=505&amp;viewer=picture&amp;o=info&amp;n=0&amp;q=</t>
  </si>
  <si>
    <t>https://permalinkbnd.bnportugal.gov.pt/viewer/272786/?offset=#page=506&amp;viewer=picture&amp;o=info&amp;n=0&amp;q=</t>
  </si>
  <si>
    <t>https://permalinkbnd.bnportugal.gov.pt/viewer/272786/?offset=#page=559&amp;viewer=picture&amp;o=info&amp;n=0&amp;q=</t>
  </si>
  <si>
    <t>https://permalinkbnd.bnportugal.gov.pt/viewer/272786/?offset=#page=560&amp;viewer=picture&amp;o=info&amp;n=0&amp;q=</t>
  </si>
  <si>
    <t>https://permalinkbnd.bnportugal.gov.pt/viewer/272786/?offset=#page=615&amp;viewer=picture&amp;o=info&amp;n=0&amp;q=</t>
  </si>
  <si>
    <t>https://permalinkbnd.bnportugal.gov.pt/viewer/272786/?offset=#page=616&amp;viewer=picture&amp;o=info&amp;n=0&amp;q=</t>
  </si>
  <si>
    <t>https://permalinkbnd.bnportugal.gov.pt/viewer/272786/?offset=#page=670&amp;viewer=picture&amp;o=info&amp;n=0&amp;q=</t>
  </si>
  <si>
    <t>https://permalinkbnd.bnportugal.gov.pt/viewer/272786/?offset=#page=671&amp;viewer=picture&amp;o=info&amp;n=0&amp;q=</t>
  </si>
  <si>
    <t>https://permalinkbnd.bnportugal.gov.pt/viewer/272786/?offset=#page=672&amp;viewer=picture&amp;o=info&amp;n=0&amp;q=</t>
  </si>
  <si>
    <t>https://permalinkbnd.bnportugal.gov.pt/viewer/272786/?offset=#page=792&amp;viewer=picture&amp;o=info&amp;n=0&amp;q=</t>
  </si>
  <si>
    <t>https://permalinkbnd.bnportugal.gov.pt/viewer/272786/?offset=#page=793&amp;viewer=picture&amp;o=info&amp;n=0&amp;q=</t>
  </si>
  <si>
    <t>https://permalinkbnd.bnportugal.gov.pt/viewer/272786/?offset=#page=794&amp;viewer=picture&amp;o=info&amp;n=0&amp;q=</t>
  </si>
  <si>
    <t>https://permalinkbnd.bnportugal.gov.pt/viewer/272786/?offset=#page=795&amp;viewer=picture&amp;o=info&amp;n=0&amp;q=</t>
  </si>
  <si>
    <t>https://permalinkbnd.bnportugal.gov.pt/viewer/272786/?offset=#page=796&amp;viewer=picture&amp;o=info&amp;n=0&amp;q=</t>
  </si>
  <si>
    <t>https://permalinkbnd.bnportugal.gov.pt/viewer/272786/?offset=#page=797&amp;viewer=picture&amp;o=info&amp;n=0&amp;q=</t>
  </si>
  <si>
    <t>https://permalinkbnd.bnportugal.gov.pt/viewer/272786/?offset=#page=798&amp;viewer=picture&amp;o=info&amp;n=0&amp;q=</t>
  </si>
  <si>
    <t>https://permalinkbnd.bnportugal.gov.pt/viewer/272786/?offset=#page=799&amp;viewer=picture&amp;o=info&amp;n=0&amp;q=</t>
  </si>
  <si>
    <t>https://permalinkbnd.bnportugal.gov.pt/viewer/272786/?offset=#page=800&amp;viewer=picture&amp;o=info&amp;n=0&amp;q=</t>
  </si>
  <si>
    <t>https://permalinkbnd.bnportugal.gov.pt/viewer/272786/?offset=#page=804&amp;viewer=picture&amp;o=info&amp;n=0&amp;q=</t>
  </si>
  <si>
    <t>https://permalinkbnd.bnportugal.gov.pt/viewer/272730/?offset=#page=1&amp;viewer=picture&amp;o=info&amp;n=0&amp;q=</t>
  </si>
  <si>
    <t>https://permalinkbnd.bnportugal.gov.pt/viewer/67153/?offset=#page=3&amp;viewer=picture&amp;o=info&amp;n=0&amp;q=</t>
  </si>
  <si>
    <t>https://permalinkbnd.bnportugal.gov.pt/viewer/272792/?offset=#page=1&amp;viewer=picture&amp;o=info&amp;n=0&amp;q=</t>
  </si>
  <si>
    <t>https://permalinkbnd.bnportugal.gov.pt/viewer/272811/?offset=#page=1&amp;viewer=picture&amp;o=info&amp;n=0&amp;q=</t>
  </si>
  <si>
    <t>https://permalinkbnd.bnportugal.gov.pt/viewer/272812/?offset=#page=1&amp;viewer=picture&amp;o=info&amp;n=0&amp;q=</t>
  </si>
  <si>
    <t>https://permalinkbnd.bnportugal.gov.pt/viewer/281142/?offset=#page=7&amp;viewer=picture&amp;o=info&amp;n=0&amp;q=</t>
  </si>
  <si>
    <t>https://permalinkbnd.bnportugal.gov.pt/viewer/281142/?offset=#page=9&amp;viewer=picture&amp;o=info&amp;n=0&amp;q=</t>
  </si>
  <si>
    <t>https://permalinkbnd.bnportugal.gov.pt/viewer/276786/?offset=#page=1&amp;viewer=picture&amp;o=info&amp;n=0&amp;q=</t>
  </si>
  <si>
    <t>https://permalinkbnd.bnportugal.gov.pt/viewer/274457/?offset=#page=1&amp;viewer=picture&amp;o=info&amp;n=0&amp;q=</t>
  </si>
  <si>
    <t>https://permalinkbnd.bnportugal.gov.pt/viewer/274458/?offset=#page=7&amp;viewer=picture&amp;o=info&amp;n=0&amp;q=</t>
  </si>
  <si>
    <t>https://permalinkbnd.bnportugal.gov.pt/viewer/274459/?offset=#page=3&amp;viewer=picture&amp;o=info&amp;n=0&amp;q=</t>
  </si>
  <si>
    <t>https://permalinkbnd.bnportugal.gov.pt/viewer/274957/?offset=#page=5&amp;viewer=picture&amp;o=info&amp;n=0&amp;q=</t>
  </si>
  <si>
    <t>https://permalinkbnd.bnportugal.gov.pt/viewer/272626/?offset=#page=69&amp;viewer=picture&amp;o=info&amp;n=0&amp;q=</t>
  </si>
  <si>
    <t>https://permalinkbnd.bnportugal.gov.pt/viewer/272626/?offset=#page=71&amp;viewer=picture&amp;o=info&amp;n=0&amp;q=</t>
  </si>
  <si>
    <t>https://permalinkbnd.bnportugal.gov.pt/viewer/272626/?offset=#page=73&amp;viewer=picture&amp;o=info&amp;n=0&amp;q=</t>
  </si>
  <si>
    <t>https://permalinkbnd.bnportugal.gov.pt/viewer/272626/?offset=#page=102&amp;viewer=picture&amp;o=info&amp;n=0&amp;q=</t>
  </si>
  <si>
    <t>https://permalinkbnd.bnportugal.gov.pt/viewer/272626/?offset=#page=122&amp;viewer=picture&amp;o=info&amp;n=0&amp;q=</t>
  </si>
  <si>
    <t>https://permalinkbnd.bnportugal.gov.pt/viewer/272626/?offset=#page=103&amp;viewer=picture&amp;o=info&amp;n=0&amp;q=</t>
  </si>
  <si>
    <t>https://permalinkbnd.bnportugal.gov.pt/viewer/272626/?offset=#page=135&amp;viewer=picture&amp;o=info&amp;n=0&amp;q=</t>
  </si>
  <si>
    <t>https://permalinkbnd.bnportugal.gov.pt/viewer/272626/?offset=#page=175&amp;viewer=picture&amp;o=info&amp;n=0&amp;q=</t>
  </si>
  <si>
    <t>https://permalinkbnd.bnportugal.gov.pt/viewer/272626/?offset=#page=205&amp;viewer=picture&amp;o=info&amp;n=0&amp;q=</t>
  </si>
  <si>
    <t>https://permalinkbnd.bnportugal.gov.pt/viewer/272626/?offset=#page=233&amp;viewer=picture&amp;o=info&amp;n=0&amp;q=</t>
  </si>
  <si>
    <t>https://permalinkbnd.bnportugal.gov.pt/viewer/272626/?offset=#page=261&amp;viewer=picture&amp;o=info&amp;n=0&amp;q=</t>
  </si>
  <si>
    <t>https://permalinkbnd.bnportugal.gov.pt/viewer/272626/?offset=#page=287&amp;viewer=picture&amp;o=info&amp;n=0&amp;q=</t>
  </si>
  <si>
    <t>https://permalinkbnd.bnportugal.gov.pt/viewer/272626/?offset=#page=315&amp;viewer=picture&amp;o=info&amp;n=0&amp;q=</t>
  </si>
  <si>
    <t>https://permalinkbnd.bnportugal.gov.pt/viewer/272626/?offset=#page=343&amp;viewer=picture&amp;o=info&amp;n=0&amp;q=</t>
  </si>
  <si>
    <t>https://permalinkbnd.bnportugal.gov.pt/viewer/279168/?offset=#page=23&amp;viewer=picture&amp;o=info&amp;n=0&amp;q=</t>
  </si>
  <si>
    <t>https://permalinkbnd.bnportugal.gov.pt/viewer/279168/?offset=#page=63&amp;viewer=picture&amp;o=info&amp;n=0&amp;q=</t>
  </si>
  <si>
    <t>https://permalinkbnd.bnportugal.gov.pt/viewer/279168/?offset=#page=105&amp;viewer=picture&amp;o=info&amp;n=0&amp;q=</t>
  </si>
  <si>
    <t>https://permalinkbnd.bnportugal.gov.pt/viewer/279168/?offset=#page=157&amp;viewer=picture&amp;o=info&amp;n=0&amp;q=</t>
  </si>
  <si>
    <t>https://permalinkbnd.bnportugal.gov.pt/viewer/279168/?offset=#page=197&amp;viewer=picture&amp;o=info&amp;n=0&amp;q=</t>
  </si>
  <si>
    <t>https://permalinkbnd.bnportugal.gov.pt/viewer/279168/?offset=#page=268&amp;viewer=picture&amp;o=info&amp;n=0&amp;q=</t>
  </si>
  <si>
    <t>https://permalinkbnd.bnportugal.gov.pt/viewer/279168/?offset=#page=309&amp;viewer=picture&amp;o=info&amp;n=0&amp;q=</t>
  </si>
  <si>
    <t>https://permalinkbnd.bnportugal.gov.pt/viewer/279168/?offset=#page=375&amp;viewer=picture&amp;o=info&amp;n=0&amp;q=</t>
  </si>
  <si>
    <t>https://permalinkbnd.bnportugal.gov.pt/viewer/273511/?offset=#page=10&amp;viewer=picture&amp;o=info&amp;n=0&amp;q=</t>
  </si>
  <si>
    <t>https://permalinkbnd.bnportugal.gov.pt/viewer/273511/?offset=#page=11&amp;viewer=picture&amp;o=info&amp;n=0&amp;q=</t>
  </si>
  <si>
    <t>https://permalinkbnd.bnportugal.gov.pt/viewer/274951/?offset=#page=5&amp;viewer=picture&amp;o=info&amp;n=0&amp;q=</t>
  </si>
  <si>
    <t>https://permalinkbnd.bnportugal.gov.pt/viewer/273524/?offset=#page=96&amp;viewer=picture&amp;o=info&amp;n=0&amp;q=</t>
  </si>
  <si>
    <t>https://permalinkbnd.bnportugal.gov.pt/viewer/273524/?offset=#page=97&amp;viewer=picture&amp;o=info&amp;n=0&amp;q=</t>
  </si>
  <si>
    <t>https://permalinkbnd.bnportugal.gov.pt/viewer/273524/?offset=#page=100&amp;viewer=picture&amp;o=info&amp;n=0&amp;q=</t>
  </si>
  <si>
    <t>https://permalinkbnd.bnportugal.gov.pt/viewer/273524/?offset=#page=101&amp;viewer=picture&amp;o=info&amp;n=0&amp;q=</t>
  </si>
  <si>
    <t>https://permalinkbnd.bnportugal.gov.pt/viewer/275168/?offset=#page=8&amp;viewer=picture&amp;o=info&amp;n=0&amp;q=</t>
  </si>
  <si>
    <t>https://permalinkbnd.bnportugal.gov.pt/viewer/275163/?offset=#page=7&amp;viewer=picture&amp;o=info&amp;n=0&amp;q=</t>
  </si>
  <si>
    <t>https://permalinkbnd.bnportugal.gov.pt/viewer/275167/?offset=#page=7&amp;viewer=picture&amp;o=info&amp;n=0&amp;q=</t>
  </si>
  <si>
    <t>https://permalinkbnd.bnportugal.gov.pt/viewer/280465/?offset=#page=100&amp;viewer=picture&amp;o=info&amp;n=0&amp;q=</t>
  </si>
  <si>
    <t>https://permalinkbnd.bnportugal.gov.pt/viewer/280465/?offset=#page=121&amp;viewer=picture&amp;o=info&amp;n=0&amp;q=</t>
  </si>
  <si>
    <t>https://permalinkbnd.bnportugal.gov.pt/viewer/280465/?offset=#page=125&amp;viewer=picture&amp;o=info&amp;n=0&amp;q=</t>
  </si>
  <si>
    <t>https://permalinkbnd.bnportugal.gov.pt/viewer/280465/?offset=#page=129&amp;viewer=picture&amp;o=info&amp;n=0&amp;q=</t>
  </si>
  <si>
    <t>https://permalinkbnd.bnportugal.gov.pt/viewer/280465/?offset=#page=137&amp;viewer=picture&amp;o=info&amp;n=0&amp;q=</t>
  </si>
  <si>
    <t>https://permalinkbnd.bnportugal.gov.pt/viewer/280465/?offset=#page=151&amp;viewer=picture&amp;o=info&amp;n=0&amp;q=</t>
  </si>
  <si>
    <t>https://permalinkbnd.bnportugal.gov.pt/viewer/280465/?offset=#page=157&amp;viewer=picture&amp;o=info&amp;n=0&amp;q=</t>
  </si>
  <si>
    <t>https://permalinkbnd.bnportugal.gov.pt/viewer/280465/?offset=#page=159&amp;viewer=picture&amp;o=info&amp;n=0&amp;q=</t>
  </si>
  <si>
    <t>https://permalinkbnd.bnportugal.gov.pt/viewer/280465/?offset=#page=192&amp;viewer=picture&amp;o=info&amp;n=0&amp;q=</t>
  </si>
  <si>
    <t>https://permalinkbnd.bnportugal.gov.pt/viewer/280465/?offset=#page=193&amp;viewer=picture&amp;o=info&amp;n=0&amp;q=</t>
  </si>
  <si>
    <t>https://permalinkbnd.bnportugal.gov.pt/viewer/280465/?offset=#page=226&amp;viewer=picture&amp;o=info&amp;n=0&amp;q=</t>
  </si>
  <si>
    <t>https://permalinkbnd.bnportugal.gov.pt/viewer/280465/?offset=#page=281&amp;viewer=picture&amp;o=info&amp;n=0&amp;q=</t>
  </si>
  <si>
    <t>https://permalinkbnd.bnportugal.gov.pt/viewer/280465/?offset=#page=294&amp;viewer=picture&amp;o=info&amp;n=0&amp;q=</t>
  </si>
  <si>
    <t>https://permalinkbnd.bnportugal.gov.pt/viewer/280465/?offset=#page=325&amp;viewer=picture&amp;o=info&amp;n=0&amp;q=</t>
  </si>
  <si>
    <t>https://permalinkbnd.bnportugal.gov.pt/viewer/280465/?offset=#page=468&amp;viewer=picture&amp;o=info&amp;n=0&amp;q=</t>
  </si>
  <si>
    <t>https://permalinkbnd.bnportugal.gov.pt/viewer/280465/?offset=#page=500&amp;viewer=picture&amp;o=info&amp;n=0&amp;q=</t>
  </si>
  <si>
    <t>https://permalinkbnd.bnportugal.gov.pt/viewer/275169/?offset=#page=5&amp;viewer=picture&amp;o=info&amp;n=0&amp;q=</t>
  </si>
  <si>
    <t>https://permalinkbnd.bnportugal.gov.pt/viewer/275164/?offset=#page=5&amp;viewer=picture&amp;o=info&amp;n=0&amp;q=</t>
  </si>
  <si>
    <t>https://permalinkbnd.bnportugal.gov.pt/viewer/275364/?offset=#page=4&amp;viewer=picture&amp;o=info&amp;n=0&amp;q=</t>
  </si>
  <si>
    <t>https://permalinkbnd.bnportugal.gov.pt/viewer/279243/?offset=#page=6&amp;viewer=picture&amp;o=info&amp;n=0&amp;q=</t>
  </si>
  <si>
    <t>https://permalinkbnd.bnportugal.gov.pt/viewer/279232/?offset=#page=6&amp;viewer=picture&amp;o=info&amp;n=0&amp;q=</t>
  </si>
  <si>
    <t>https://permalinkbnd.bnportugal.gov.pt/viewer/276120/?offset=#page=1&amp;viewer=picture&amp;o=info&amp;n=0&amp;q=</t>
  </si>
  <si>
    <t>https://permalinkbnd.bnportugal.gov.pt/viewer/279340/?offset=#page=10&amp;viewer=picture&amp;o=info&amp;n=0&amp;q=</t>
  </si>
  <si>
    <t>https://permalinkbnd.bnportugal.gov.pt/viewer/276130/?offset=#page=8&amp;viewer=picture&amp;o=info&amp;n=0&amp;q=</t>
  </si>
  <si>
    <t>https://permalinkbnd.bnportugal.gov.pt/viewer/273100/?offset=#page=9&amp;viewer=picture&amp;o=info&amp;n=0&amp;q=</t>
  </si>
  <si>
    <t>https://permalinkbnd.bnportugal.gov.pt/viewer/273100/?offset=#page=16&amp;viewer=picture&amp;o=info&amp;n=0&amp;q=</t>
  </si>
  <si>
    <t>https://permalinkbnd.bnportugal.gov.pt/viewer/273782/?offset=#page=7&amp;viewer=picture&amp;o=info&amp;n=0&amp;q=</t>
  </si>
  <si>
    <t>https://permalinkbnd.bnportugal.gov.pt/viewer/273782/?offset=#page=12&amp;viewer=picture&amp;o=info&amp;n=0&amp;q=</t>
  </si>
  <si>
    <t>https://permalinkbnd.bnportugal.gov.pt/viewer/273782/?offset=#page=25&amp;viewer=picture&amp;o=info&amp;n=0&amp;q=</t>
  </si>
  <si>
    <t>https://permalinkbnd.bnportugal.gov.pt/viewer/273782/?offset=#page=48&amp;viewer=picture&amp;o=info&amp;n=0&amp;q=</t>
  </si>
  <si>
    <t>https://permalinkbnd.bnportugal.gov.pt/viewer/273782/?offset=#page=103&amp;viewer=picture&amp;o=info&amp;n=0&amp;q=</t>
  </si>
  <si>
    <t>https://permalinkbnd.bnportugal.gov.pt/viewer/273782/?offset=#page=163&amp;viewer=picture&amp;o=info&amp;n=0&amp;q=</t>
  </si>
  <si>
    <t>https://permalinkbnd.bnportugal.gov.pt/viewer/273782/?offset=#page=237&amp;viewer=picture&amp;o=info&amp;n=0&amp;q=</t>
  </si>
  <si>
    <t>https://permalinkbnd.bnportugal.gov.pt/viewer/273782/?offset=#page=239&amp;viewer=picture&amp;o=info&amp;n=0&amp;q=</t>
  </si>
  <si>
    <t>https://permalinkbnd.bnportugal.gov.pt/viewer/273782/?offset=#page=293&amp;viewer=picture&amp;o=info&amp;n=0&amp;q=</t>
  </si>
  <si>
    <t>https://permalinkbnd.bnportugal.gov.pt/viewer/273782/?offset=#page=347&amp;viewer=picture&amp;o=info&amp;n=0&amp;q=</t>
  </si>
  <si>
    <t>https://permalinkbnd.bnportugal.gov.pt/viewer/273782/?offset=#page=349&amp;viewer=picture&amp;o=info&amp;n=0&amp;q=</t>
  </si>
  <si>
    <t>https://permalinkbnd.bnportugal.gov.pt/viewer/273782/?offset=#page=399&amp;viewer=picture&amp;o=info&amp;n=0&amp;q=</t>
  </si>
  <si>
    <t>https://permalinkbnd.bnportugal.gov.pt/viewer/273782/?offset=#page=401&amp;viewer=picture&amp;o=info&amp;n=0&amp;q=</t>
  </si>
  <si>
    <t>https://permalinkbnd.bnportugal.gov.pt/viewer/273782/?offset=#page=445&amp;viewer=picture&amp;o=info&amp;n=0&amp;q=</t>
  </si>
  <si>
    <t>https://permalinkbnd.bnportugal.gov.pt/viewer/273782/?offset=#page=447&amp;viewer=picture&amp;o=info&amp;n=0&amp;q=</t>
  </si>
  <si>
    <t>https://permalinkbnd.bnportugal.gov.pt/viewer/273782/?offset=#page=497&amp;viewer=picture&amp;o=info&amp;n=0&amp;q=</t>
  </si>
  <si>
    <t>https://permalinkbnd.bnportugal.gov.pt/viewer/273782/?offset=#page=499&amp;viewer=picture&amp;o=info&amp;n=0&amp;q=</t>
  </si>
  <si>
    <t>https://permalinkbnd.bnportugal.gov.pt/viewer/273782/?offset=#page=547&amp;viewer=picture&amp;o=info&amp;n=0&amp;q=</t>
  </si>
  <si>
    <t>https://permalinkbnd.bnportugal.gov.pt/viewer/273782/?offset=#page=549&amp;viewer=picture&amp;o=info&amp;n=0&amp;q=</t>
  </si>
  <si>
    <t>https://permalinkbnd.bnportugal.gov.pt/viewer/272627/?offset=#page=67&amp;viewer=picture&amp;o=info&amp;n=0&amp;q=</t>
  </si>
  <si>
    <t>https://permalinkbnd.bnportugal.gov.pt/viewer/272627/?offset=#page=71&amp;viewer=picture&amp;o=info&amp;n=0&amp;q=</t>
  </si>
  <si>
    <t>https://permalinkbnd.bnportugal.gov.pt/viewer/272627/?offset=#page=101&amp;viewer=picture&amp;o=info&amp;n=0&amp;q=</t>
  </si>
  <si>
    <t>https://permalinkbnd.bnportugal.gov.pt/viewer/272627/?offset=#page=133&amp;viewer=picture&amp;o=info&amp;n=0&amp;q=</t>
  </si>
  <si>
    <t>https://permalinkbnd.bnportugal.gov.pt/viewer/272627/?offset=#page=173&amp;viewer=picture&amp;o=info&amp;n=0&amp;q=</t>
  </si>
  <si>
    <t>https://permalinkbnd.bnportugal.gov.pt/viewer/272627/?offset=#page=203&amp;viewer=picture&amp;o=info&amp;n=0&amp;q=</t>
  </si>
  <si>
    <t>https://permalinkbnd.bnportugal.gov.pt/viewer/272627/?offset=#page=231&amp;viewer=picture&amp;o=info&amp;n=0&amp;q=</t>
  </si>
  <si>
    <t>https://permalinkbnd.bnportugal.gov.pt/viewer/272627/?offset=#page=259&amp;viewer=picture&amp;o=info&amp;n=0&amp;q=</t>
  </si>
  <si>
    <t>https://permalinkbnd.bnportugal.gov.pt/viewer/272627/?offset=#page=285&amp;viewer=picture&amp;o=info&amp;n=0&amp;q=</t>
  </si>
  <si>
    <t>https://permalinkbnd.bnportugal.gov.pt/viewer/272627/?offset=#page=313&amp;viewer=picture&amp;o=info&amp;n=0&amp;q=</t>
  </si>
  <si>
    <t>https://permalinkbnd.bnportugal.gov.pt/viewer/272627/?offset=#page=341&amp;viewer=picture&amp;o=info&amp;n=0&amp;q=</t>
  </si>
  <si>
    <t>https://permalinkbnd.bnportugal.gov.pt/viewer/277151/?offset=#page=8&amp;viewer=picture&amp;o=info&amp;n=0&amp;q=</t>
  </si>
  <si>
    <t>https://permalinkbnd.bnportugal.gov.pt/viewer/277151/?offset=#page=63&amp;viewer=picture&amp;o=info&amp;n=0&amp;q=</t>
  </si>
  <si>
    <t>https://permalinkbnd.bnportugal.gov.pt/viewer/277151/?offset=#page=101&amp;viewer=picture&amp;o=info&amp;n=0&amp;q=</t>
  </si>
  <si>
    <t>https://permalinkbnd.bnportugal.gov.pt/viewer/277151/?offset=#page=143&amp;viewer=picture&amp;o=info&amp;n=0&amp;q=</t>
  </si>
  <si>
    <t>https://permalinkbnd.bnportugal.gov.pt/viewer/277151/?offset=#page=195&amp;viewer=picture&amp;o=info&amp;n=0&amp;q=</t>
  </si>
  <si>
    <t>https://permalinkbnd.bnportugal.gov.pt/viewer/277151/?offset=#page=233&amp;viewer=picture&amp;o=info&amp;n=0&amp;q=</t>
  </si>
  <si>
    <t>https://permalinkbnd.bnportugal.gov.pt/viewer/277151/?offset=#page=269&amp;viewer=picture&amp;o=info&amp;n=0&amp;q=</t>
  </si>
  <si>
    <t>https://permalinkbnd.bnportugal.gov.pt/viewer/277151/?offset=#page=305&amp;viewer=picture&amp;o=info&amp;n=0&amp;q=</t>
  </si>
  <si>
    <t>https://permalinkbnd.bnportugal.gov.pt/viewer/277151/?offset=#page=337&amp;viewer=picture&amp;o=info&amp;n=0&amp;q=</t>
  </si>
  <si>
    <t>https://permalinkbnd.bnportugal.gov.pt/viewer/277151/?offset=#page=373&amp;viewer=picture&amp;o=info&amp;n=0&amp;q=</t>
  </si>
  <si>
    <t>https://permalinkbnd.bnportugal.gov.pt/viewer/277151/?offset=#page=409&amp;viewer=picture&amp;o=info&amp;n=0&amp;q=</t>
  </si>
  <si>
    <t>https://permalinkbnd.bnportugal.gov.pt/viewer/277145/?offset=#page=12&amp;viewer=picture&amp;o=info&amp;n=0&amp;q=</t>
  </si>
  <si>
    <t>https://permalinkbnd.bnportugal.gov.pt/viewer/277145/?offset=#page=110&amp;viewer=picture&amp;o=info&amp;n=0&amp;q=</t>
  </si>
  <si>
    <t>https://permalinkbnd.bnportugal.gov.pt/viewer/277145/?offset=#page=273&amp;viewer=picture&amp;o=info&amp;n=0&amp;q=</t>
  </si>
  <si>
    <t>https://permalinkbnd.bnportugal.gov.pt/viewer/273814/?offset=#page=23&amp;viewer=picture&amp;o=info&amp;n=0&amp;q=</t>
  </si>
  <si>
    <t>https://permalinkbnd.bnportugal.gov.pt/viewer/273814/?offset=#page=102&amp;viewer=picture&amp;o=info&amp;n=0&amp;q=</t>
  </si>
  <si>
    <t>https://permalinkbnd.bnportugal.gov.pt/viewer/273814/?offset=#page=198&amp;viewer=picture&amp;o=info&amp;n=0&amp;q=</t>
  </si>
  <si>
    <t>https://permalinkbnd.bnportugal.gov.pt/viewer/277150/?offset=#page=8&amp;viewer=picture&amp;o=info&amp;n=0&amp;q=</t>
  </si>
  <si>
    <t>https://permalinkbnd.bnportugal.gov.pt/viewer/277150/?offset=#page=59&amp;viewer=picture&amp;o=info&amp;n=0&amp;q=</t>
  </si>
  <si>
    <t>https://permalinkbnd.bnportugal.gov.pt/viewer/277150/?offset=#page=97&amp;viewer=picture&amp;o=info&amp;n=0&amp;q=</t>
  </si>
  <si>
    <t>https://permalinkbnd.bnportugal.gov.pt/viewer/277150/?offset=#page=139&amp;viewer=picture&amp;o=info&amp;n=0&amp;q=</t>
  </si>
  <si>
    <t>https://permalinkbnd.bnportugal.gov.pt/viewer/277150/?offset=#page=191&amp;viewer=picture&amp;o=info&amp;n=0&amp;q=</t>
  </si>
  <si>
    <t>https://permalinkbnd.bnportugal.gov.pt/viewer/277150/?offset=#page=229&amp;viewer=picture&amp;o=info&amp;n=0&amp;q=</t>
  </si>
  <si>
    <t>https://permalinkbnd.bnportugal.gov.pt/viewer/277150/?offset=#page=265&amp;viewer=picture&amp;o=info&amp;n=0&amp;q=</t>
  </si>
  <si>
    <t>https://permalinkbnd.bnportugal.gov.pt/viewer/277150/?offset=#page=301&amp;viewer=picture&amp;o=info&amp;n=0&amp;q=</t>
  </si>
  <si>
    <t>https://permalinkbnd.bnportugal.gov.pt/viewer/277150/?offset=#page=333&amp;viewer=picture&amp;o=info&amp;n=0&amp;q=</t>
  </si>
  <si>
    <t>https://permalinkbnd.bnportugal.gov.pt/viewer/277150/?offset=#page=369&amp;viewer=picture&amp;o=info&amp;n=0&amp;q=</t>
  </si>
  <si>
    <t>https://permalinkbnd.bnportugal.gov.pt/viewer/277150/?offset=#page=405&amp;viewer=picture&amp;o=info&amp;n=0&amp;q=</t>
  </si>
  <si>
    <t>https://permalinkbnd.bnportugal.gov.pt/viewer/281138/?offset=#page=6&amp;viewer=picture&amp;o=info&amp;n=0&amp;q=</t>
  </si>
  <si>
    <t>https://permalinkbnd.bnportugal.gov.pt/viewer/1892/?offset=#page=11&amp;viewer=picture&amp;o=info&amp;n=0&amp;q=</t>
  </si>
  <si>
    <t>https://permalinkbnd.bnportugal.gov.pt/viewer/277143/?offset=#page=6&amp;viewer=picture&amp;o=info&amp;n=0&amp;q=</t>
  </si>
  <si>
    <t>https://permalinkbnd.bnportugal.gov.pt/viewer/277149/?offset=#page=6&amp;viewer=picture&amp;o=info&amp;n=0&amp;q=</t>
  </si>
  <si>
    <t>https://permalinkbnd.bnportugal.gov.pt/viewer/277149/?offset=#page=282&amp;viewer=picture&amp;o=info&amp;n=0&amp;q=</t>
  </si>
  <si>
    <t>https://permalinkbnd.bnportugal.gov.pt/viewer/277149/?offset=#page=318&amp;viewer=picture&amp;o=info&amp;n=0&amp;q=</t>
  </si>
  <si>
    <t>https://permalinkbnd.bnportugal.gov.pt/viewer/272672/?offset=#page=101&amp;viewer=picture&amp;o=info&amp;n=0&amp;q=</t>
  </si>
  <si>
    <t>https://permalinkbnd.bnportugal.gov.pt/viewer/272672/?offset=#page=159&amp;viewer=picture&amp;o=info&amp;n=0&amp;q=</t>
  </si>
  <si>
    <t>https://permalinkbnd.bnportugal.gov.pt/viewer/272672/?offset=#page=201&amp;viewer=picture&amp;o=info&amp;n=0&amp;q=</t>
  </si>
  <si>
    <t>https://permalinkbnd.bnportugal.gov.pt/viewer/272672/?offset=#page=307&amp;viewer=picture&amp;o=info&amp;n=0&amp;q=</t>
  </si>
  <si>
    <t>https://permalinkbnd.bnportugal.gov.pt/viewer/272668/?offset=#page=5&amp;viewer=picture&amp;o=info&amp;n=0&amp;q=</t>
  </si>
  <si>
    <t>https://permalinkbnd.bnportugal.gov.pt/viewer/272668/?offset=#page=63&amp;viewer=picture&amp;o=info&amp;n=0&amp;q=</t>
  </si>
  <si>
    <t>https://permalinkbnd.bnportugal.gov.pt/viewer/272668/?offset=#page=65&amp;viewer=picture&amp;o=info&amp;n=0&amp;q=</t>
  </si>
  <si>
    <t>https://permalinkbnd.bnportugal.gov.pt/viewer/272668/?offset=#page=203&amp;viewer=picture&amp;o=info&amp;n=0&amp;q=</t>
  </si>
  <si>
    <t>https://permalinkbnd.bnportugal.gov.pt/viewer/272668/?offset=#page=291&amp;viewer=picture&amp;o=info&amp;n=0&amp;q=</t>
  </si>
  <si>
    <t>https://permalinkbnd.bnportugal.gov.pt/viewer/272668/?offset=#page=397&amp;viewer=picture&amp;o=info&amp;n=0&amp;q=</t>
  </si>
  <si>
    <t>https://permalinkbnd.bnportugal.gov.pt/viewer/277147/?offset=#page=10&amp;viewer=picture&amp;o=info&amp;n=0&amp;q=</t>
  </si>
  <si>
    <t>https://permalinkbnd.bnportugal.gov.pt/viewer/276783/?offset=#page=11&amp;viewer=picture&amp;o=info&amp;n=0&amp;q=</t>
  </si>
  <si>
    <t>https://permalinkbnd.bnportugal.gov.pt/viewer/276783/?offset=#page=180&amp;viewer=picture&amp;o=info&amp;n=0&amp;q=</t>
  </si>
  <si>
    <t>https://permalinkbnd.bnportugal.gov.pt/viewer/276790/?offset=#page=5&amp;viewer=picture&amp;o=info&amp;n=0&amp;q=</t>
  </si>
  <si>
    <t>https://permalinkbnd.bnportugal.gov.pt/viewer/276790/?offset=#page=6&amp;viewer=picture&amp;o=info&amp;n=0&amp;q=</t>
  </si>
  <si>
    <t>https://permalinkbnd.bnportugal.gov.pt/viewer/276785/?offset=#page=4&amp;viewer=picture&amp;o=info&amp;n=0&amp;q=</t>
  </si>
  <si>
    <t>https://permalinkbnd.bnportugal.gov.pt/viewer/276785/?offset=#page=162&amp;viewer=picture&amp;o=info&amp;n=0&amp;q=</t>
  </si>
  <si>
    <t>https://permalinkbnd.bnportugal.gov.pt/viewer/276792/?offset=#page=6&amp;viewer=picture&amp;o=info&amp;n=0&amp;q=</t>
  </si>
  <si>
    <t>https://permalinkbnd.bnportugal.gov.pt/viewer/279509/?offset=#page=10&amp;viewer=picture&amp;o=info&amp;n=0&amp;q=</t>
  </si>
  <si>
    <t>https://permalinkbnd.bnportugal.gov.pt/viewer/279502/?offset=#page=10&amp;viewer=picture&amp;o=info&amp;n=0&amp;q=</t>
  </si>
  <si>
    <t>https://permalinkbnd.bnportugal.gov.pt/viewer/279513/?offset=#page=11&amp;viewer=picture&amp;o=info&amp;n=0&amp;q=</t>
  </si>
  <si>
    <t>https://permalinkbnd.bnportugal.gov.pt/viewer/279513/?offset=#page=21&amp;viewer=picture&amp;o=info&amp;n=0&amp;q=</t>
  </si>
  <si>
    <t>https://permalinkbnd.bnportugal.gov.pt/viewer/279512/?offset=#page=7&amp;viewer=picture&amp;o=info&amp;n=0&amp;q=</t>
  </si>
  <si>
    <t>https://permalinkbnd.bnportugal.gov.pt/viewer/276787/?offset=#page=10&amp;viewer=picture&amp;o=info&amp;n=0&amp;q=</t>
  </si>
  <si>
    <t>https://permalinkbnd.bnportugal.gov.pt/viewer/275409/?offset=#page=1&amp;viewer=picture&amp;o=info&amp;n=0&amp;q=</t>
  </si>
  <si>
    <t>https://permalinkbnd.bnportugal.gov.pt/viewer/273746/?offset=#page=14&amp;viewer=picture&amp;o=info&amp;n=0&amp;q=</t>
  </si>
  <si>
    <t>https://permalinkbnd.bnportugal.gov.pt/viewer/273746/?offset=#page=74&amp;viewer=picture&amp;o=info&amp;n=0&amp;q=</t>
  </si>
  <si>
    <t>https://permalinkbnd.bnportugal.gov.pt/viewer/273746/?offset=#page=89&amp;viewer=picture&amp;o=info&amp;n=0&amp;q=</t>
  </si>
  <si>
    <t>https://permalinkbnd.bnportugal.gov.pt/viewer/273746/?offset=#page=103&amp;viewer=picture&amp;o=info&amp;n=0&amp;q=</t>
  </si>
  <si>
    <t>https://permalinkbnd.bnportugal.gov.pt/viewer/275415/?offset=#page=10&amp;viewer=picture&amp;o=info&amp;n=0&amp;q=</t>
  </si>
  <si>
    <t>https://permalinkbnd.bnportugal.gov.pt/viewer/277335/?offset=#page=5&amp;viewer=picture&amp;o=info&amp;n=0&amp;q=</t>
  </si>
  <si>
    <t>https://permalinkbnd.bnportugal.gov.pt/viewer/273811/?offset=#page=8&amp;viewer=picture&amp;o=info&amp;n=0&amp;q=</t>
  </si>
  <si>
    <t>https://permalinkbnd.bnportugal.gov.pt/viewer/273796/?offset=#page=49&amp;viewer=picture&amp;o=info&amp;n=0&amp;q=</t>
  </si>
  <si>
    <t>https://permalinkbnd.bnportugal.gov.pt/viewer/273796/?offset=#page=51&amp;viewer=picture&amp;o=info&amp;n=0&amp;q=</t>
  </si>
  <si>
    <t>https://permalinkbnd.bnportugal.gov.pt/viewer/273101/?offset=#page=10&amp;viewer=picture&amp;o=info&amp;n=0&amp;q=</t>
  </si>
  <si>
    <t>https://permalinkbnd.bnportugal.gov.pt/viewer/277366/?offset=#page=10&amp;viewer=picture&amp;o=info&amp;n=0&amp;q=</t>
  </si>
  <si>
    <t>https://permalinkbnd.bnportugal.gov.pt/viewer/277369/?offset=#page=9&amp;viewer=picture&amp;o=info&amp;n=0&amp;q=</t>
  </si>
  <si>
    <t>https://permalinkbnd.bnportugal.gov.pt/viewer/277364/?offset=#page=15&amp;viewer=picture&amp;o=info&amp;n=0&amp;q=</t>
  </si>
  <si>
    <t>https://permalinkbnd.bnportugal.gov.pt/viewer/277455/?offset=#page=8&amp;viewer=picture&amp;o=info&amp;n=0&amp;q=</t>
  </si>
  <si>
    <t>https://permalinkbnd.bnportugal.gov.pt/viewer/277455/?offset=#page=77&amp;viewer=picture&amp;o=info&amp;n=0&amp;q=</t>
  </si>
  <si>
    <t>https://permalinkbnd.bnportugal.gov.pt/viewer/273117/?offset=#page=23&amp;viewer=picture&amp;o=info&amp;n=0&amp;q=</t>
  </si>
  <si>
    <t>https://permalinkbnd.bnportugal.gov.pt/viewer/273117/?offset=#page=79&amp;viewer=picture&amp;o=info&amp;n=0&amp;q=</t>
  </si>
  <si>
    <t>https://permalinkbnd.bnportugal.gov.pt/viewer/273117/?offset=#page=139&amp;viewer=picture&amp;o=info&amp;n=0&amp;q=</t>
  </si>
  <si>
    <t>https://permalinkbnd.bnportugal.gov.pt/viewer/273117/?offset=#page=141&amp;viewer=picture&amp;o=info&amp;n=0&amp;q=</t>
  </si>
  <si>
    <t>https://permalinkbnd.bnportugal.gov.pt/viewer/273117/?offset=#page=213&amp;viewer=picture&amp;o=info&amp;n=0&amp;q=</t>
  </si>
  <si>
    <t>https://permalinkbnd.bnportugal.gov.pt/viewer/273117/?offset=#page=215&amp;viewer=picture&amp;o=info&amp;n=0&amp;q=</t>
  </si>
  <si>
    <t>https://permalinkbnd.bnportugal.gov.pt/viewer/273117/?offset=#page=269&amp;viewer=picture&amp;o=info&amp;n=0&amp;q=</t>
  </si>
  <si>
    <t>https://permalinkbnd.bnportugal.gov.pt/viewer/273117/?offset=#page=271&amp;viewer=picture&amp;o=info&amp;n=0&amp;q=</t>
  </si>
  <si>
    <t>https://permalinkbnd.bnportugal.gov.pt/viewer/273120/?offset=#page=10&amp;viewer=picture&amp;o=info&amp;n=0&amp;q=</t>
  </si>
  <si>
    <t>https://permalinkbnd.bnportugal.gov.pt/viewer/277449/?offset=#page=7&amp;viewer=picture&amp;o=info&amp;n=0&amp;q=</t>
  </si>
  <si>
    <t>https://permalinkbnd.bnportugal.gov.pt/viewer/277452/?offset=#page=45&amp;viewer=picture&amp;o=info&amp;n=0&amp;q=</t>
  </si>
  <si>
    <t>https://permalinkbnd.bnportugal.gov.pt/viewer/277452/?offset=#page=47&amp;viewer=picture&amp;o=info&amp;n=0&amp;q=</t>
  </si>
  <si>
    <t>https://permalinkbnd.bnportugal.gov.pt/viewer/277452/?offset=#page=77&amp;viewer=picture&amp;o=info&amp;n=0&amp;q=</t>
  </si>
  <si>
    <t>https://permalinkbnd.bnportugal.gov.pt/viewer/277452/?offset=#page=105&amp;viewer=picture&amp;o=info&amp;n=0&amp;q=</t>
  </si>
  <si>
    <t>https://permalinkbnd.bnportugal.gov.pt/viewer/277452/?offset=#page=131&amp;viewer=picture&amp;o=info&amp;n=0&amp;q=</t>
  </si>
  <si>
    <t>https://permalinkbnd.bnportugal.gov.pt/viewer/277452/?offset=#page=227&amp;viewer=picture&amp;o=info&amp;n=0&amp;q=</t>
  </si>
  <si>
    <t>https://permalinkbnd.bnportugal.gov.pt/viewer/277452/?offset=#page=473&amp;viewer=picture&amp;o=info&amp;n=0&amp;q=</t>
  </si>
  <si>
    <t>https://permalinkbnd.bnportugal.gov.pt/viewer/277452/?offset=#page=493&amp;viewer=picture&amp;o=info&amp;n=0&amp;q=</t>
  </si>
  <si>
    <t>https://permalinkbnd.bnportugal.gov.pt/viewer/277482/?offset=#page=10&amp;viewer=picture&amp;o=info&amp;n=0&amp;q=</t>
  </si>
  <si>
    <t>https://permalinkbnd.bnportugal.gov.pt/viewer/277488/?offset=#page=12&amp;viewer=picture&amp;o=info&amp;n=0&amp;q=</t>
  </si>
  <si>
    <t>https://permalinkbnd.bnportugal.gov.pt/viewer/272638/?offset=#page=9&amp;viewer=picture&amp;o=info&amp;n=0&amp;q=</t>
  </si>
  <si>
    <t>https://permalinkbnd.bnportugal.gov.pt/viewer/272638/?offset=#page=27&amp;viewer=picture&amp;o=info&amp;n=0&amp;q=</t>
  </si>
  <si>
    <t>https://permalinkbnd.bnportugal.gov.pt/viewer/272638/?offset=#page=404&amp;viewer=picture&amp;o=info&amp;n=0&amp;q=</t>
  </si>
  <si>
    <t>https://permalinkbnd.bnportugal.gov.pt/viewer/273872/?offset=#page=1&amp;viewer=picture&amp;o=info&amp;n=0&amp;q=</t>
  </si>
  <si>
    <t>https://permalinkbnd.bnportugal.gov.pt/viewer/277739/?offset=#page=8&amp;viewer=picture&amp;o=info&amp;n=0&amp;q=</t>
  </si>
  <si>
    <t>https://permalinkbnd.bnportugal.gov.pt/viewer/273879/?offset=#page=12&amp;viewer=picture&amp;o=info&amp;n=0&amp;q=</t>
  </si>
  <si>
    <t>https://permalinkbnd.bnportugal.gov.pt/viewer/273869/?offset=#page=31&amp;viewer=picture&amp;o=info&amp;n=0&amp;q=</t>
  </si>
  <si>
    <t>https://permalinkbnd.bnportugal.gov.pt/viewer/273869/?offset=#page=35&amp;viewer=picture&amp;o=info&amp;n=0&amp;q=</t>
  </si>
  <si>
    <t>https://permalinkbnd.bnportugal.gov.pt/viewer/273869/?offset=#page=39&amp;viewer=picture&amp;o=info&amp;n=0&amp;q=</t>
  </si>
  <si>
    <t>https://permalinkbnd.bnportugal.gov.pt/viewer/273869/?offset=#page=40&amp;viewer=picture&amp;o=info&amp;n=0&amp;q=</t>
  </si>
  <si>
    <t>https://permalinkbnd.bnportugal.gov.pt/viewer/273869/?offset=#page=41&amp;viewer=picture&amp;o=info&amp;n=0&amp;q=</t>
  </si>
  <si>
    <t>https://permalinkbnd.bnportugal.gov.pt/viewer/273869/?offset=#page=52&amp;viewer=picture&amp;o=info&amp;n=0&amp;q=</t>
  </si>
  <si>
    <t>https://permalinkbnd.bnportugal.gov.pt/viewer/273869/?offset=#page=58&amp;viewer=picture&amp;o=info&amp;n=0&amp;q=</t>
  </si>
  <si>
    <t>https://permalinkbnd.bnportugal.gov.pt/viewer/273869/?offset=#page=92&amp;viewer=picture&amp;o=info&amp;n=0&amp;q=</t>
  </si>
  <si>
    <t>https://permalinkbnd.bnportugal.gov.pt/viewer/273869/?offset=#page=115&amp;viewer=picture&amp;o=info&amp;n=0&amp;q=</t>
  </si>
  <si>
    <t>https://permalinkbnd.bnportugal.gov.pt/viewer/273869/?offset=#page=139&amp;viewer=picture&amp;o=info&amp;n=0&amp;q=</t>
  </si>
  <si>
    <t>https://permalinkbnd.bnportugal.gov.pt/viewer/273869/?offset=#page=155&amp;viewer=picture&amp;o=info&amp;n=0&amp;q=</t>
  </si>
  <si>
    <t>https://permalinkbnd.bnportugal.gov.pt/viewer/277738/?offset=#page=7&amp;viewer=picture&amp;o=info&amp;n=0&amp;q=</t>
  </si>
  <si>
    <t>https://permalinkbnd.bnportugal.gov.pt/viewer/273912/?offset=#page=10&amp;viewer=picture&amp;o=info&amp;n=0&amp;q=</t>
  </si>
  <si>
    <t>https://permalinkbnd.bnportugal.gov.pt/viewer/273912/?offset=#page=271&amp;viewer=picture&amp;o=info&amp;n=0&amp;q=</t>
  </si>
  <si>
    <t>https://permalinkbnd.bnportugal.gov.pt/viewer/272639/?offset=#page=12&amp;viewer=picture&amp;o=info&amp;n=0&amp;q=</t>
  </si>
  <si>
    <t>https://permalinkbnd.bnportugal.gov.pt/viewer/272639/?offset=#page=173&amp;viewer=picture&amp;o=info&amp;n=0&amp;q=</t>
  </si>
  <si>
    <t>https://permalinkbnd.bnportugal.gov.pt/viewer/272639/?offset=#page=363&amp;viewer=picture&amp;o=info&amp;n=0&amp;q=</t>
  </si>
  <si>
    <t>https://permalinkbnd.bnportugal.gov.pt/viewer/272639/?offset=#page=391&amp;viewer=picture&amp;o=info&amp;n=0&amp;q=</t>
  </si>
  <si>
    <t>https://permalinkbnd.bnportugal.gov.pt/viewer/277836/?offset=#page=1&amp;viewer=picture&amp;o=info&amp;n=0&amp;q=</t>
  </si>
  <si>
    <t>https://permalinkbnd.bnportugal.gov.pt/viewer/277820/?offset=#page=10&amp;viewer=picture&amp;o=info&amp;n=0&amp;q=</t>
  </si>
  <si>
    <t>https://permalinkbnd.bnportugal.gov.pt/viewer/277966/?offset=#page=8&amp;viewer=picture&amp;o=info&amp;n=0&amp;q=</t>
  </si>
  <si>
    <t>https://permalinkbnd.bnportugal.gov.pt/viewer/277966/?offset=#page=118&amp;viewer=picture&amp;o=info&amp;n=0&amp;q=</t>
  </si>
  <si>
    <t>https://permalinkbnd.bnportugal.gov.pt/viewer/278039/?offset=#page=24&amp;viewer=picture&amp;o=info&amp;n=0&amp;q=</t>
  </si>
  <si>
    <t>https://permalinkbnd.bnportugal.gov.pt/viewer/278038/?offset=#page=8&amp;viewer=picture&amp;o=info&amp;n=0&amp;q=</t>
  </si>
  <si>
    <t>https://permalinkbnd.bnportugal.gov.pt/viewer/278038/?offset=#page=303&amp;viewer=picture&amp;o=info&amp;n=0&amp;q=</t>
  </si>
  <si>
    <t>https://permalinkbnd.bnportugal.gov.pt/viewer/278031/?offset=#page=68&amp;viewer=picture&amp;o=info&amp;n=0&amp;q=</t>
  </si>
  <si>
    <t>https://permalinkbnd.bnportugal.gov.pt/viewer/278032/?offset=#page=1&amp;viewer=picture&amp;o=info&amp;n=0&amp;q=</t>
  </si>
  <si>
    <t>https://permalinkbnd.bnportugal.gov.pt/viewer/278097/?offset=#page=136&amp;viewer=picture&amp;o=info&amp;n=0&amp;q=</t>
  </si>
  <si>
    <t>https://permalinkbnd.bnportugal.gov.pt/viewer/278097/?offset=#page=138&amp;viewer=picture&amp;o=info&amp;n=0&amp;q=</t>
  </si>
  <si>
    <t>https://permalinkbnd.bnportugal.gov.pt/viewer/278097/?offset=#page=140&amp;viewer=picture&amp;o=info&amp;n=0&amp;q=</t>
  </si>
  <si>
    <t>https://permalinkbnd.bnportugal.gov.pt/viewer/278097/?offset=#page=142&amp;viewer=picture&amp;o=info&amp;n=0&amp;q=</t>
  </si>
  <si>
    <t>https://permalinkbnd.bnportugal.gov.pt/viewer/278097/?offset=#page=144&amp;viewer=picture&amp;o=info&amp;n=0&amp;q=</t>
  </si>
  <si>
    <t>https://permalinkbnd.bnportugal.gov.pt/viewer/278099/?offset=#page=8&amp;viewer=picture&amp;o=info&amp;n=0&amp;q=</t>
  </si>
  <si>
    <t>https://permalinkbnd.bnportugal.gov.pt/viewer/1897/?offset=#page=5&amp;viewer=picture&amp;o=info&amp;n=0&amp;q=</t>
  </si>
  <si>
    <t>https://permalinkbnd.bnportugal.gov.pt/viewer/1897/?offset=#page=39&amp;viewer=picture&amp;o=info&amp;n=0&amp;q=</t>
  </si>
  <si>
    <t>https://permalinkbnd.bnportugal.gov.pt/viewer/1897/?offset=#page=71&amp;viewer=picture&amp;o=info&amp;n=0&amp;q=</t>
  </si>
  <si>
    <t>https://permalinkbnd.bnportugal.gov.pt/viewer/1897/?offset=#page=151&amp;viewer=picture&amp;o=info&amp;n=0&amp;q=</t>
  </si>
  <si>
    <t>https://permalinkbnd.bnportugal.gov.pt/viewer/278157/?offset=#page=9&amp;viewer=picture&amp;o=info&amp;n=0&amp;q=</t>
  </si>
  <si>
    <t>https://permalinkbnd.bnportugal.gov.pt/viewer/278157/?offset=#page=11&amp;viewer=picture&amp;o=info&amp;n=0&amp;q=</t>
  </si>
  <si>
    <t>https://permalinkbnd.bnportugal.gov.pt/viewer/278157/?offset=#page=37&amp;viewer=picture&amp;o=info&amp;n=0&amp;q=</t>
  </si>
  <si>
    <t>https://permalinkbnd.bnportugal.gov.pt/viewer/278166/?offset=#page=13&amp;viewer=picture&amp;o=info&amp;n=0&amp;q=</t>
  </si>
  <si>
    <t>https://permalinkbnd.bnportugal.gov.pt/viewer/278166/?offset=#page=15&amp;viewer=picture&amp;o=info&amp;n=0&amp;q=</t>
  </si>
  <si>
    <t>https://permalinkbnd.bnportugal.gov.pt/viewer/278323/?offset=#page=6&amp;viewer=picture&amp;o=info&amp;n=0&amp;q=</t>
  </si>
  <si>
    <t>https://permalinkbnd.bnportugal.gov.pt/viewer/278325/?offset=#page=7&amp;viewer=picture&amp;o=info&amp;n=0&amp;q=</t>
  </si>
  <si>
    <t>https://permalinkbnd.bnportugal.gov.pt/viewer/278334/?offset=#page=12&amp;viewer=picture&amp;o=info&amp;n=0&amp;q=</t>
  </si>
  <si>
    <t>https://permalinkbnd.bnportugal.gov.pt/viewer/273607/?offset=#page=12&amp;viewer=picture&amp;o=info&amp;n=0&amp;q=</t>
  </si>
  <si>
    <t>https://permalinkbnd.bnportugal.gov.pt/viewer/273178/?offset=#page=7&amp;viewer=picture&amp;o=info&amp;n=0&amp;q=</t>
  </si>
  <si>
    <t>https://permalinkbnd.bnportugal.gov.pt/viewer/273178/?offset=#page=20&amp;viewer=picture&amp;o=info&amp;n=0&amp;q=</t>
  </si>
  <si>
    <t>https://permalinkbnd.bnportugal.gov.pt/viewer/273178/?offset=#page=34&amp;viewer=picture&amp;o=info&amp;n=0&amp;q=</t>
  </si>
  <si>
    <t>https://permalinkbnd.bnportugal.gov.pt/viewer/273178/?offset=#page=48&amp;viewer=picture&amp;o=info&amp;n=0&amp;q=</t>
  </si>
  <si>
    <t>https://permalinkbnd.bnportugal.gov.pt/viewer/273178/?offset=#page=85&amp;viewer=picture&amp;o=info&amp;n=0&amp;q=</t>
  </si>
  <si>
    <t>https://permalinkbnd.bnportugal.gov.pt/viewer/273178/?offset=#page=90&amp;viewer=picture&amp;o=info&amp;n=0&amp;q=</t>
  </si>
  <si>
    <t>https://permalinkbnd.bnportugal.gov.pt/viewer/273317/?offset=#page=1&amp;viewer=picture&amp;o=info&amp;n=0&amp;q=</t>
  </si>
  <si>
    <t>Camões</t>
  </si>
  <si>
    <t>Cantos</t>
  </si>
  <si>
    <t>Canto I</t>
  </si>
  <si>
    <t>Canto II</t>
  </si>
  <si>
    <t>Canto III</t>
  </si>
  <si>
    <t>Canto IV</t>
  </si>
  <si>
    <t>Canto V</t>
  </si>
  <si>
    <t>Canto VI</t>
  </si>
  <si>
    <t>Canto VII</t>
  </si>
  <si>
    <t>Canto VIII</t>
  </si>
  <si>
    <t>Canto XIX</t>
  </si>
  <si>
    <t>Canto X</t>
  </si>
  <si>
    <t>Retratos</t>
  </si>
  <si>
    <t>Vasco da Gama</t>
  </si>
  <si>
    <t>Manuel de Faria</t>
  </si>
  <si>
    <t>António José Gomes Monteiro</t>
  </si>
  <si>
    <t>Episódios</t>
  </si>
  <si>
    <t>Camões na gruta de Macau</t>
  </si>
  <si>
    <t>Concílio "Conselho dos Deuses"</t>
  </si>
  <si>
    <t>Sonho d'El-Rei D. Manuel, no qual lhe aparecem os rios Indo e Ganges</t>
  </si>
  <si>
    <t>Assassínio de Inês de Castro</t>
  </si>
  <si>
    <t>Aparição do gigante Adamastor na passagem do Cabo de B. Esperança</t>
  </si>
  <si>
    <t>Vénus aplaca os Ventos e a tormenta</t>
  </si>
  <si>
    <t>Desembarque de Gama em Calecut</t>
  </si>
  <si>
    <t>Segunda Audiência do Samorim a Gama</t>
  </si>
  <si>
    <t>Ilha de Vénus</t>
  </si>
  <si>
    <t>Audiência d’El-Rei D. Manuel a Gama</t>
  </si>
  <si>
    <t>Categoria-1</t>
  </si>
  <si>
    <t>Categoria-2</t>
  </si>
  <si>
    <t>Categoria-3</t>
  </si>
  <si>
    <t>117 vs. 109</t>
  </si>
  <si>
    <t>153 vs. 135</t>
  </si>
  <si>
    <t>TRABALHO REALIZADO ENTREGUE AO MIGUEL 27 FEV. 2026</t>
  </si>
  <si>
    <t xml:space="preserve">sem imagem </t>
  </si>
  <si>
    <t>pag. assumida 117</t>
  </si>
  <si>
    <t>pag. assumida 153</t>
  </si>
  <si>
    <t>volume só tem 4 páginas</t>
  </si>
  <si>
    <t>https://purl.pt/44140</t>
  </si>
  <si>
    <t>notas Regina</t>
  </si>
  <si>
    <t>number</t>
  </si>
  <si>
    <t>link_pagina</t>
  </si>
  <si>
    <t>url_purl</t>
  </si>
  <si>
    <t>ncb</t>
  </si>
  <si>
    <t>capa</t>
  </si>
  <si>
    <t>tipo de material</t>
  </si>
  <si>
    <t>língua</t>
  </si>
  <si>
    <t>língua da obra original</t>
  </si>
  <si>
    <t>título</t>
  </si>
  <si>
    <t>subtítulo</t>
  </si>
  <si>
    <t>título original</t>
  </si>
  <si>
    <t>edição</t>
  </si>
  <si>
    <t>publicação</t>
  </si>
  <si>
    <t>data da publicação</t>
  </si>
  <si>
    <t>data da publicação2</t>
  </si>
  <si>
    <t>dimensões</t>
  </si>
  <si>
    <t>autor</t>
  </si>
  <si>
    <t>autor - organização</t>
  </si>
  <si>
    <t>co-autores</t>
  </si>
  <si>
    <t>autores secundários</t>
  </si>
  <si>
    <t>co-autores - organizações</t>
  </si>
  <si>
    <t>autores secundários - organizações</t>
  </si>
  <si>
    <t>cota</t>
  </si>
  <si>
    <t>coleção</t>
  </si>
  <si>
    <t>id persistente</t>
  </si>
  <si>
    <t>acesso</t>
  </si>
  <si>
    <t>notas gerais</t>
  </si>
  <si>
    <t>notas título</t>
  </si>
  <si>
    <t>notas conteúdo</t>
  </si>
  <si>
    <t>sumário</t>
  </si>
  <si>
    <t>título uniforme</t>
  </si>
  <si>
    <t>título colectivo uniforme</t>
  </si>
  <si>
    <t>Column1</t>
  </si>
  <si>
    <t>https://bndigital.bnportugal.gov.pt//i/?IIIF=/a3/eb/b0/67/a3ebb067-89f3-40ff-a518-1fc158846d4b/iiif/cam-479-p_0003.tif/full/!300,500/0/default.jpg</t>
  </si>
  <si>
    <t>Livro impresso</t>
  </si>
  <si>
    <t>Italiano</t>
  </si>
  <si>
    <t>I Lusiadi</t>
  </si>
  <si>
    <t>poema</t>
  </si>
  <si>
    <t>1.ª ed.</t>
  </si>
  <si>
    <t>Milano : Edoardo Sonzogno,editore</t>
  </si>
  <si>
    <t>196 p.</t>
  </si>
  <si>
    <t>Camões, Luís de, 1524-1580</t>
  </si>
  <si>
    <t>Nervi, Antonio, 1760-1836, Tradutor</t>
  </si>
  <si>
    <t>CAM. 479 P.</t>
  </si>
  <si>
    <t>CAM500</t>
  </si>
  <si>
    <t>http://id.bnportugal.gov.pt/bib/catbnp/367428</t>
  </si>
  <si>
    <t>Livre</t>
  </si>
  <si>
    <t>https://bndigital.bnportugal.gov.pt//i/?IIIF=/7d/bb/9c/38/7dbb9c38-ff88-4f0e-8125-42d713ee62f7/iiif/cam-21-a_0007.tif/full/!300,500/0/default.jpg</t>
  </si>
  <si>
    <t>Português</t>
  </si>
  <si>
    <t>Os Lusíadas</t>
  </si>
  <si>
    <t>edição consagrada a comemorar o terceiro centenário do poeta...</t>
  </si>
  <si>
    <t>Lisboa : Of. de Castro Irmão</t>
  </si>
  <si>
    <t>XCIII, 422 p., 1 il.</t>
  </si>
  <si>
    <t>Coelho, Adolfo, 1847-1919, Revisor ; Ortigão, Ramalho, 1836-1915, Autor da introdução, etc. ; Montoro, Reinaldo Carlos, 1831-?, Autor da introdução, etc.</t>
  </si>
  <si>
    <t>Gabinete Português de Leitura, Editor literário</t>
  </si>
  <si>
    <t>L. 94571 V.</t>
  </si>
  <si>
    <t>http://id.bnportugal.gov.pt/bib/catbnp/381074</t>
  </si>
  <si>
    <t>https://bndigital.bnportugal.gov.pt//i/?IIIF=/1b/9b/a2/7b/1b9ba27b-8449-49d7-b8fa-ec3081a88a08/iiif/cam-30-a_0000_000005.tif/full/!300,500/0/default.jpg</t>
  </si>
  <si>
    <t>profusamente illustrada com desenhos allegoricos...</t>
  </si>
  <si>
    <t>Lisboa : Silvestre Castanheiro</t>
  </si>
  <si>
    <t>XXXIII, 599 p.</t>
  </si>
  <si>
    <t>Belo, António Mendes, 1842-1929, Comentador (em meio audiovisual) ; Chagas, Pinheiro, 1842-1895, Comentador (em meio audiovisual) ; Costa, José Fernandes, 1848-1920, Comentador (em meio audiovisual)</t>
  </si>
  <si>
    <t>L. 5864 A.</t>
  </si>
  <si>
    <t>http://id.bnportugal.gov.pt/bib/catbnp/381465</t>
  </si>
  <si>
    <t>https://bndigital.bnportugal.gov.pt//i/?IIIF=/e0/20/89/c0/e02089c0-dfb3-4507-bf34-b897aa5b2b44/iiif/cam-33-a_0009.tif/full/!300,500/0/default.jpg</t>
  </si>
  <si>
    <t>Espanhol</t>
  </si>
  <si>
    <t>Os Lusiadas (Los Portugueses)</t>
  </si>
  <si>
    <t>Edicion acompañada del legitimo texto portugues y de copiosas notas y noticias biograficas sobre el insigne poeta ibero</t>
  </si>
  <si>
    <t>Badajoz : Establecimiento Tipográfico de José Santamaría</t>
  </si>
  <si>
    <t>263, 1 p.</t>
  </si>
  <si>
    <t>Soler y Arqués, Carlos, 1836-1896, Tradutor</t>
  </si>
  <si>
    <t>CAM. 33 A.</t>
  </si>
  <si>
    <t>http://id.bnportugal.gov.pt/bib/catbnp/381468</t>
  </si>
  <si>
    <t>https://bndigital.bnportugal.gov.pt//i/?IIIF=/58/a8/a6/57/58a8a657-7fb2-4700-9b55-408036c37806/iiif/cam-40-a_0001.tif/full/!300,500/0/default.jpg</t>
  </si>
  <si>
    <t>Poliglota</t>
  </si>
  <si>
    <t>Inês de Castro</t>
  </si>
  <si>
    <t>episódio extraído do canto terceiro do poema épico Os Lusíadas</t>
  </si>
  <si>
    <t>Lisboa : Imprensa Nacional</t>
  </si>
  <si>
    <t>76 p.</t>
  </si>
  <si>
    <t>CAM. 40 A.</t>
  </si>
  <si>
    <t>http://id.bnportugal.gov.pt/bib/catbnp/381701</t>
  </si>
  <si>
    <t>https://bndigital.bnportugal.gov.pt//i/?IIIF=/5b/91/40/8a/5b91408a-4af1-4a94-bccc-2d03ee894a1c/iiif/cam-44-2-a_0000_000001.tif/full/!300,500/0/default.jpg</t>
  </si>
  <si>
    <t>Periódico</t>
  </si>
  <si>
    <t>Pérolas de Camões</t>
  </si>
  <si>
    <t>publicação dedicada ao povo</t>
  </si>
  <si>
    <t>Lisboa : Lallement Fréres</t>
  </si>
  <si>
    <t>Lallement Frères, Editor comercial</t>
  </si>
  <si>
    <t>CAM. 44//2 A.</t>
  </si>
  <si>
    <t>http://id.bnportugal.gov.pt/bib/catbnp/381889</t>
  </si>
  <si>
    <t>https://bndigital.bnportugal.gov.pt//i/?IIIF=/84/00/0c/50/84000c50-b90e-4a7c-aa5e-5cb3dfef4dab/iiif/cam-45-2-a_0000_000001.tif/full/!300,500/0/default.jpg</t>
  </si>
  <si>
    <t>Polaco</t>
  </si>
  <si>
    <t>Illustrowane Tygedniowe</t>
  </si>
  <si>
    <t>CAM. 45//2 A.</t>
  </si>
  <si>
    <t>http://id.bnportugal.gov.pt/bib/catbnp/381903</t>
  </si>
  <si>
    <t>https://bndigital.bnportugal.gov.pt//i/?IIIF=/60/58/22/4f/6058224f-9454-448f-8489-96a3a71253f5/iiif/cam-47-a_0000_000007.tif/full/!300,500/0/default.jpg</t>
  </si>
  <si>
    <t>Pretidão de amor</t>
  </si>
  <si>
    <t>endechas a Bárbara escrava seguidas da respectiva tradução em várias línguas...</t>
  </si>
  <si>
    <t>2 v.</t>
  </si>
  <si>
    <t>Cunha, Xavier da, 1840-1920, Autor da introdução, etc.</t>
  </si>
  <si>
    <t>CAM. 270 V.</t>
  </si>
  <si>
    <t>http://id.bnportugal.gov.pt/bib/catbnp/382749</t>
  </si>
  <si>
    <t>https://bndigital.bnportugal.gov.pt//i/?IIIF=/b6/d0/71/c6/b6d071c6-e05d-4c17-96b2-07a62e35fb7f/iiif/cam-82-1-v_0000_000005.tif/full/!300,500/0/default.jpg</t>
  </si>
  <si>
    <t>Comemoração gloriosa da morte de Luiz de Camões 10 de Junho de 1889</t>
  </si>
  <si>
    <t>Evora : Minerva Eborense de J. José Baptista, Rua d'Aviz</t>
  </si>
  <si>
    <t>12, 4 p.</t>
  </si>
  <si>
    <t>Barata, António Francisco, 1836-1910</t>
  </si>
  <si>
    <t>Camões, Luís de, 1524-1580, Antecedente bibliográfico</t>
  </si>
  <si>
    <t>CAM. 309//13 V.</t>
  </si>
  <si>
    <t>http://id.bnportugal.gov.pt/bib/catbnp/382834</t>
  </si>
  <si>
    <t>https://bndigital.bnportugal.gov.pt//i/?IIIF=/be/12/df/5e/be12df5e-248d-4e0b-823f-bb93ea5db616/iiif/cam-2058-v_0001.tif/full/!300,500/0/default.jpg</t>
  </si>
  <si>
    <t>A Luiz de Camões</t>
  </si>
  <si>
    <t>com notas curiosas e tres ineditos do poeta</t>
  </si>
  <si>
    <t>Evora : Tip. Minerva, de A.F. Barata</t>
  </si>
  <si>
    <t>24 p.</t>
  </si>
  <si>
    <t>L. 599//32 A.</t>
  </si>
  <si>
    <t>http://id.bnportugal.gov.pt/bib/catbnp/382844</t>
  </si>
  <si>
    <t>https://bndigital.bnportugal.gov.pt//i/?IIIF=/df/8e/1b/e5/df8e1be5-0f74-4fdb-9b58-5bfa696ca99d/iiif/cam-53-5-a_0001.tif/full/!300,500/0/default.jpg</t>
  </si>
  <si>
    <t>Auto da cunhagem da medalha comemorativa das festas da Grande Comissão Portuense...</t>
  </si>
  <si>
    <t>Porto : s. n.</t>
  </si>
  <si>
    <t>Grande Comissão Portuense</t>
  </si>
  <si>
    <t>CAM. 53//5 A.</t>
  </si>
  <si>
    <t>http://id.bnportugal.gov.pt/bib/catbnp/382955</t>
  </si>
  <si>
    <t>https://bndigital.bnportugal.gov.pt//i/?IIIF=/80/3b/b9/df/803bb9df-b4de-496a-adbc-25a9d95b3638/iiif/cam-55-a_0007.tif/full/!300,500/0/default.jpg</t>
  </si>
  <si>
    <t>Surrexit</t>
  </si>
  <si>
    <t>homenagem a Luís de Camões</t>
  </si>
  <si>
    <t>Ribeiro, Tomás, 1831-1901</t>
  </si>
  <si>
    <t>CAM. 55 A.</t>
  </si>
  <si>
    <t>http://id.bnportugal.gov.pt/bib/catbnp/382972</t>
  </si>
  <si>
    <t>https://bndigital.bnportugal.gov.pt//i/?IIIF=/8a/04/06/d1/8a0406d1-dcdf-40af-9ba2-5fa354405f51/iiif/cam-56-a_0001.tif/full/!300,500/0/default.jpg</t>
  </si>
  <si>
    <t>Programa da celebração em Lisboa do terceiro centenário de Luís de Camões</t>
  </si>
  <si>
    <t>comemoração promovida pela imprensa jornalística auxiliada pela Câmara Municipal</t>
  </si>
  <si>
    <t>Lisboa : Tip. Universal</t>
  </si>
  <si>
    <t>8 p.</t>
  </si>
  <si>
    <t>CAM. 134 A.</t>
  </si>
  <si>
    <t>http://id.bnportugal.gov.pt/bib/catbnp/382978</t>
  </si>
  <si>
    <t>https://bndigital.bnportugal.gov.pt//i/?IIIF=/2b/2d/51/1b/2b2d511b-4290-4cc3-b338-dffc6cbedad2/iiif/cam-57-a_0001.tif/full/!300,500/0/default.jpg</t>
  </si>
  <si>
    <t>Relatório da Directoria do Gabinete de Leitura do Rio de Janeiro em 1880</t>
  </si>
  <si>
    <t>Rio de Janeiro : Tip e lit. Moreira Maximino</t>
  </si>
  <si>
    <t>Real Gabinete Português de Leitura do Rio de Janeiro</t>
  </si>
  <si>
    <t>CAM. 57 A.</t>
  </si>
  <si>
    <t>http://id.bnportugal.gov.pt/bib/catbnp/382981</t>
  </si>
  <si>
    <t>https://bndigital.bnportugal.gov.pt//i/?IIIF=/ca/5d/8c/c5/ca5d8cc5-b85c-4f76-893f-7de2d31a6d43/iiif/cam-63-a_0000_000007.tif/full/!300,500/0/default.jpg</t>
  </si>
  <si>
    <t>Álbum literário comemorativo do terceiro centenário de Luís de Camões</t>
  </si>
  <si>
    <t>Porto : Tip. Ocidental</t>
  </si>
  <si>
    <t>28 p.</t>
  </si>
  <si>
    <t>Esteves, Francisco Xavier, 1864-1944, Editor literário</t>
  </si>
  <si>
    <t>CAM. 133 A.</t>
  </si>
  <si>
    <t>http://id.bnportugal.gov.pt/bib/catbnp/385945</t>
  </si>
  <si>
    <t>https://bndigital.bnportugal.gov.pt//i/?IIIF=/06/33/d8/97/0633d897-92cc-4a30-beb0-aa004a6f6470/iiif/cam-64-1-a_0001.tif/full/!300,500/0/default.jpg</t>
  </si>
  <si>
    <t>Homenagem a Camões</t>
  </si>
  <si>
    <t>Luís de Camões e a nacionalidade portuguesa</t>
  </si>
  <si>
    <t>São Miguel : s. n.</t>
  </si>
  <si>
    <t>Centro Republicano Federal de Ponta Delgada</t>
  </si>
  <si>
    <t>CAM. 64//1 A.</t>
  </si>
  <si>
    <t>http://id.bnportugal.gov.pt/bib/catbnp/385949</t>
  </si>
  <si>
    <t>https://bndigital.bnportugal.gov.pt//i/?IIIF=/c8/18/91/78/c8189178-5871-4300-9edd-154703c6e75a/iiif/cam-64-3-a_0000_000001.tif/full/!300,500/0/default.jpg</t>
  </si>
  <si>
    <t>Vianna a Camões</t>
  </si>
  <si>
    <t>comemoração do tricentenário do imortal cantor dos Lusíadas</t>
  </si>
  <si>
    <t>Viana do Castelo : André Jorge Pereira &amp; Filho</t>
  </si>
  <si>
    <t>CAM. 64//3 A.</t>
  </si>
  <si>
    <t>http://id.bnportugal.gov.pt/bib/catbnp/386935</t>
  </si>
  <si>
    <t>https://bndigital.bnportugal.gov.pt//i/?IIIF=/0c/53/05/58/0c530558-6907-414a-974d-e379f3070104/iiif/cam-64-4-a_0000_000001.tif/full/!300,500/0/default.jpg</t>
  </si>
  <si>
    <t>Homenagem da Sociedade Amizade, Recreio e Ínstrução</t>
  </si>
  <si>
    <t>S. Miguel : Lit. dos Açores</t>
  </si>
  <si>
    <t>Sociedade Amizade Recreio e Ínstrução</t>
  </si>
  <si>
    <t>CAM. 64//4 A.</t>
  </si>
  <si>
    <t>http://id.bnportugal.gov.pt/bib/catbnp/386992</t>
  </si>
  <si>
    <t>https://bndigital.bnportugal.gov.pt//i/?IIIF=/11/21/33/35/11213335-0c6f-4347-8501-397d47049e54/iiif/e-2172-v_0000_1-2_p24-C-R0150_000001.tif/full/!300,500/0/default.jpg</t>
  </si>
  <si>
    <t>Iconografia</t>
  </si>
  <si>
    <t>Luís de Camões</t>
  </si>
  <si>
    <t>Macau : Com. Org. Comem. Dia de Portugal de Camões e das Comunid. Portuguesas</t>
  </si>
  <si>
    <t>1 imagem</t>
  </si>
  <si>
    <t>Fialho, Fernando Jorge, 1965-</t>
  </si>
  <si>
    <t>PURL 6115/0</t>
  </si>
  <si>
    <t>http://id.bnportugal.gov.pt/bib/catbnp/396405</t>
  </si>
  <si>
    <t>Interno</t>
  </si>
  <si>
    <t>https://bndigital.bnportugal.gov.pt//i/?IIIF=/f4/b1/c2/b3/f4b1c2b3-f0bb-4cb4-b767-93d0dae46bc3/iiif/cam-70-v_0000_000007.tif/full/!300,500/0/default.jpg</t>
  </si>
  <si>
    <t>Português ; Francês</t>
  </si>
  <si>
    <t>Episodio da Ilha de Venus extrahido dos Lusiadas de Camões</t>
  </si>
  <si>
    <t>Braga : Typ. Lealdade : Sociedade Democrática Recreativa</t>
  </si>
  <si>
    <t>23 p.</t>
  </si>
  <si>
    <t>Caldas, José Joaquim da Silva Pereira, 1818-1903, Autor da introdução, etc. ; Cournand, Antoine de, Autor da introdução, etc.</t>
  </si>
  <si>
    <t>L. 5895//9 A</t>
  </si>
  <si>
    <t>http://id.bnportugal.gov.pt/bib/catbnp/397670</t>
  </si>
  <si>
    <t>Tricentenário de Camões, 10 de Junho de 1880</t>
  </si>
  <si>
    <t>https://bndigital.bnportugal.gov.pt//i/?IIIF=/58/13/66/39/58136639-f7f1-4612-94b8-d6a78a970d34/iiif/cam-707-p_0007.tif/full/!300,500/0/default.jpg</t>
  </si>
  <si>
    <t>poema épico</t>
  </si>
  <si>
    <t>Nova ed., cuidadosamente revista</t>
  </si>
  <si>
    <t>Lisboa : Livraria de António Maria Pereira</t>
  </si>
  <si>
    <t>XVIII, 457 p., 2 est.</t>
  </si>
  <si>
    <t>Silva, Inocêncio Francisco da, 1810-1876, Autor da introdução, etc.</t>
  </si>
  <si>
    <t>CAM. 707 P.</t>
  </si>
  <si>
    <t>http://id.bnportugal.gov.pt/bib/catbnp/397818</t>
  </si>
  <si>
    <t>https://bndigital.bnportugal.gov.pt//i/?IIIF=/53/07/f6/e6/5307f6e6-7747-45f0-8d9c-435d2871d068/iiif/cam-35-v_0007.tif/full/!300,500/0/default.jpg</t>
  </si>
  <si>
    <t>Ed. comemorativa do IV Centenário do Descobrimento Marítimo da India</t>
  </si>
  <si>
    <t>Lisboa : Typographia do Commercio</t>
  </si>
  <si>
    <t>186 fls.</t>
  </si>
  <si>
    <t>CAM. 35 V.</t>
  </si>
  <si>
    <t>http://id.bnportugal.gov.pt/bib/catbnp/397822</t>
  </si>
  <si>
    <t>https://bndigital.bnportugal.gov.pt//i/?IIIF=/97/d2/74/d0/97d274d0-35d0-4540-bdbb-0b1af3d4ba91/iiif/cam-45-v_0005.tif/full/!300,500/0/default.jpg</t>
  </si>
  <si>
    <t>Francês ; Português</t>
  </si>
  <si>
    <t>Les Lusiades</t>
  </si>
  <si>
    <t>chant primier</t>
  </si>
  <si>
    <t>Edition commemorative du septieme anniversaire du tricentenaire de Camöes</t>
  </si>
  <si>
    <t>79 p.</t>
  </si>
  <si>
    <t>Courtois, Henri de, Tradutor</t>
  </si>
  <si>
    <t>L. 5907//7 A.</t>
  </si>
  <si>
    <t>http://id.bnportugal.gov.pt/bib/catbnp/397852</t>
  </si>
  <si>
    <t>Texto em português e francês</t>
  </si>
  <si>
    <t>https://bndigital.bnportugal.gov.pt//i/?IIIF=/c3/91/eb/4c/c391eb4c-8bd2-4992-a05f-625f8ef77ebc/iiif/cam-69-v_0000_000001.tif/full/!300,500/0/default.jpg</t>
  </si>
  <si>
    <t>A Ode de Luiz de Camões ao Conde do Redondo, restituida á sua primitiva licção</t>
  </si>
  <si>
    <t>Edição commemorativa do 4º anniversario do Tricentenario Camoniano</t>
  </si>
  <si>
    <t>Lisboa : Typographia Elzeviriana</t>
  </si>
  <si>
    <t>22, 2 p.</t>
  </si>
  <si>
    <t>Cunha, Xavier da, 1840-1920, Editor literário ; Carvalho, Alfredo de, fl. 1884, Tipógrafo</t>
  </si>
  <si>
    <t>CAM. 69 V.</t>
  </si>
  <si>
    <t>http://id.bnportugal.gov.pt/bib/catbnp/397863</t>
  </si>
  <si>
    <t>https://bndigital.bnportugal.gov.pt//i/?IIIF=/de/b5/45/9c/deb5459c-316c-4583-bb29-fa7038aaebdc/iiif/cam-59-v_0009.tif/full/!300,500/0/default.jpg</t>
  </si>
  <si>
    <t>Francês</t>
  </si>
  <si>
    <t>Sonnets choisis</t>
  </si>
  <si>
    <t>Paris : Plon</t>
  </si>
  <si>
    <t>VII, 40 p.</t>
  </si>
  <si>
    <t>Cazaubon, Léonce, Tradutor</t>
  </si>
  <si>
    <t>CAM. 59 V.</t>
  </si>
  <si>
    <t>http://id.bnportugal.gov.pt/bib/catbnp/397876</t>
  </si>
  <si>
    <t>https://bndigital.bnportugal.gov.pt//i/?IIIF=/3a/34/50/28/3a345028-610d-4c37-af11-98e95904bfe5/iiif/cam-75-1-v_0000_000001.tif/full/!300,500/0/default.jpg</t>
  </si>
  <si>
    <t>Tercetos impressos pela primeira vez, em 1576, na História da Província de Santa Cruz, de Pedro de Magalhães Gandavo</t>
  </si>
  <si>
    <t>Lisboa : Joaquim Eusébio dos Santos</t>
  </si>
  <si>
    <t>12 p., 1 est.</t>
  </si>
  <si>
    <t>Braga, Teófilo, 1843-1924, Comentador (em meio audiovisual)</t>
  </si>
  <si>
    <t>CAM. 75//1 V.</t>
  </si>
  <si>
    <t>http://id.bnportugal.gov.pt/bib/catbnp/397877</t>
  </si>
  <si>
    <t>https://bndigital.bnportugal.gov.pt//i/?IIIF=/c5/6f/77/dc/c56f77dc-6fe1-4b19-8eac-61a13ea62b02/iiif/cam-64-7-a_0000_000001.tif/full/!300,500/0/default.jpg</t>
  </si>
  <si>
    <t>Plutarcho portuguez</t>
  </si>
  <si>
    <t>colecção de retratos e biographias dos principaes vultos historicos da civilisação portugueza</t>
  </si>
  <si>
    <t>Porto : Julio Costa, Emilio Biel</t>
  </si>
  <si>
    <t>J. 1690//7 V.</t>
  </si>
  <si>
    <t>http://id.bnportugal.gov.pt/bib/catbnp/401648</t>
  </si>
  <si>
    <t>Plutarco português</t>
  </si>
  <si>
    <t>https://bndigital.bnportugal.gov.pt//i/?IIIF=/9e/f3/33/17/9ef33317-4c7f-4371-8da7-082d54e2724e/iiif/cam-66-2-a_0001.tif/full/!300,500/0/default.jpg</t>
  </si>
  <si>
    <t>Victor Hugo a Camões no 3º centenário</t>
  </si>
  <si>
    <t>Lisboa : J. Camilo Videira</t>
  </si>
  <si>
    <t>CAM. 66//2 A.</t>
  </si>
  <si>
    <t>http://id.bnportugal.gov.pt/bib/catbnp/401658</t>
  </si>
  <si>
    <t>https://bndigital.bnportugal.gov.pt//i/?IIIF=/2d/fe/15/07/2dfe1507-1025-44a9-b149-33c026517803/iiif/cam-66-5-a_0001.tif/full/!300,500/0/default.jpg</t>
  </si>
  <si>
    <t>Homenagem ao príncipe dos poetas peninsulares ao reconstrutor da língua portuguesa, a Luís de Camões</t>
  </si>
  <si>
    <t>Lisboa : Emp. Dic. Univ. Português</t>
  </si>
  <si>
    <t>4 p.</t>
  </si>
  <si>
    <t>CAM. 66//5 A.</t>
  </si>
  <si>
    <t>http://id.bnportugal.gov.pt/bib/catbnp/401739</t>
  </si>
  <si>
    <t>https://bndigital.bnportugal.gov.pt//i/?IIIF=/dc/d1/27/77/dcd12777-3117-4eb1-94d0-a5bb23f4e7b6/iiif/cam-69-a_0005.tif/full/!300,500/0/default.jpg</t>
  </si>
  <si>
    <t>Collecção Camoneana de José do Canto</t>
  </si>
  <si>
    <t>tentativa de um catalogo methodico e remissivo</t>
  </si>
  <si>
    <t>XI, 357, 5 p.</t>
  </si>
  <si>
    <t>Canto, José do, 1820-1898</t>
  </si>
  <si>
    <t>Reis, Jaime Batalha, 1847-1935, Antigo possuidor</t>
  </si>
  <si>
    <t>CAM. 69 A.</t>
  </si>
  <si>
    <t>http://id.bnportugal.gov.pt/bib/catbnp/402086</t>
  </si>
  <si>
    <t>https://bndigital.bnportugal.gov.pt//i/?IIIF=/68/36/f7/0d/6836f70d-c35f-47cf-856b-993a65ff926c/iiif/cam-130-a_0000_000001.tif/full/!300,500/0/default.jpg</t>
  </si>
  <si>
    <t>Alemão</t>
  </si>
  <si>
    <t>Camoëns in Cintra</t>
  </si>
  <si>
    <t>(poemeto extrahido do livro Tag und Nachstucke)</t>
  </si>
  <si>
    <t>Lisboa : M. Gomes, Livreiro-Editor</t>
  </si>
  <si>
    <t>39, 1 p.</t>
  </si>
  <si>
    <t>Schack, Adolf Friederich Graf von, 1815-1894</t>
  </si>
  <si>
    <t>CAM. 71//1 A.</t>
  </si>
  <si>
    <t>http://id.bnportugal.gov.pt/bib/catbnp/402917</t>
  </si>
  <si>
    <t>https://bndigital.bnportugal.gov.pt//i/?IIIF=/9f/79/bf/47/9f79bf47-41ea-438e-b7e9-2c631c46bb91/iiif/cam-81-a_0000_000001.tif/full/!300,500/0/default.jpg</t>
  </si>
  <si>
    <t>Excerptos dos Lusíadas</t>
  </si>
  <si>
    <t>canto II</t>
  </si>
  <si>
    <t>CAM. 81 A.</t>
  </si>
  <si>
    <t>http://id.bnportugal.gov.pt/bib/catbnp/404543</t>
  </si>
  <si>
    <t>https://bndigital.bnportugal.gov.pt//i/?IIIF=/1f/06/28/af/1f0628af-b385-4108-b72c-0016b004b60d/iiif/cam-85-a_0003.tif/full/!300,500/0/default.jpg</t>
  </si>
  <si>
    <t>Os festejos do centenario da India</t>
  </si>
  <si>
    <t>grande album commemorativo</t>
  </si>
  <si>
    <t>Lisboa : publicado pela empreza do Pimpão</t>
  </si>
  <si>
    <t>31 f.</t>
  </si>
  <si>
    <t>CAM. 85 A.</t>
  </si>
  <si>
    <t>http://id.bnportugal.gov.pt/bib/catbnp/404800</t>
  </si>
  <si>
    <t>https://bndigital.bnportugal.gov.pt//i/?IIIF=/37/17/31/09/37173109-2f71-495e-bea5-e4ca2470680c/iiif/cam-96-a_0007.tif/full/!300,500/0/default.jpg</t>
  </si>
  <si>
    <t>CAM. 96 A.</t>
  </si>
  <si>
    <t>http://id.bnportugal.gov.pt/bib/catbnp/410449</t>
  </si>
  <si>
    <t>https://bndigital.bnportugal.gov.pt//i/?IIIF=/b5/4f/7e/1e/b54f7e1e-307d-47a6-9282-e41a7c32124d/iiif/cam-221-3-v_0000_000001.tif/full/!300,500/0/default.jpg</t>
  </si>
  <si>
    <t>O centenario no estrangeiro</t>
  </si>
  <si>
    <t>conferencia realisada na Sociedade de Geographia de Lisboa no dia 11 de Novembro de 1897</t>
  </si>
  <si>
    <t>Lisboa : A Liberal</t>
  </si>
  <si>
    <t>30, 1 p.</t>
  </si>
  <si>
    <t>Lima, Magalhães, 1850-1928</t>
  </si>
  <si>
    <t>Vilhena, Ernesto Jardim de, 1876-1967, Antigo possuidor</t>
  </si>
  <si>
    <t>H.G. 5865//1 A.</t>
  </si>
  <si>
    <t>http://id.bnportugal.gov.pt/bib/catbnp/411542</t>
  </si>
  <si>
    <t>https://bndigital.bnportugal.gov.pt//i/?IIIF=/ed/9c/ac/ac/ed9cacac-104b-435c-b7cc-8aa38ac8bca3/iiif/426512_0001.tif/full/!300,500/0/default.jpg</t>
  </si>
  <si>
    <t>melodia para piano</t>
  </si>
  <si>
    <t>Lisboa : s.n.</t>
  </si>
  <si>
    <t>1 partitura (2 p.)</t>
  </si>
  <si>
    <t>Pacheco, Maria Cornélia de Melo de Castro</t>
  </si>
  <si>
    <t>C.I.C. 142 A.</t>
  </si>
  <si>
    <t>PRR2022</t>
  </si>
  <si>
    <t>http://id.bnportugal.gov.pt/bib/catbnp/426512</t>
  </si>
  <si>
    <t>Canções,</t>
  </si>
  <si>
    <t>https://bndigital.bnportugal.gov.pt//i/?IIIF=/c1/c1/f9/e2/c1c1f9e2-a3e8-476d-a59f-c07a10de4bed/iiif/cam-516-v_0011.tif/full/!300,500/0/default.jpg</t>
  </si>
  <si>
    <t>Primeiros documentos para a historia do Jubileu Nacional de 1880</t>
  </si>
  <si>
    <t>Lisboa : Impr. Nacional</t>
  </si>
  <si>
    <t>29 p.</t>
  </si>
  <si>
    <t>Sociedade de Geografia de Lisboa, Editor literário</t>
  </si>
  <si>
    <t>H.G. 18363//4 V.</t>
  </si>
  <si>
    <t>http://id.bnportugal.gov.pt/bib/catbnp/446302</t>
  </si>
  <si>
    <t>Ed. comemorativa do sétimo anniversário</t>
  </si>
  <si>
    <t>https://bndigital.bnportugal.gov.pt//i/?IIIF=/b5/32/68/9d/b532689d-3818-4d28-ab3a-df022c3eb88e/iiif/e-1029-a_0000_000001.tif/full/!300,500/0/default.jpg</t>
  </si>
  <si>
    <t>S.l. : s.n.</t>
  </si>
  <si>
    <t>1 gravura</t>
  </si>
  <si>
    <t>David, Lubin, fl. ca 1887</t>
  </si>
  <si>
    <t>Champollion, Eugène-André, 1848-1901, Gravador em metal ; Salmon, Louis Adolphe, 1806-1895, Impressor de ilustrações em chapa gravada</t>
  </si>
  <si>
    <t>PURL 11841/0</t>
  </si>
  <si>
    <t>http://id.bnportugal.gov.pt/bib/catbnp/452363</t>
  </si>
  <si>
    <t>Identidade provável do impressor, fundamentada no teor do registo de autoridade</t>
  </si>
  <si>
    <t>https://bndigital.bnportugal.gov.pt//i/?IIIF=/7e/2c/17/63/7e2c1763-4416-4162-88ba-4e958901ed3d/iiif/cam-384-9-v_0000_000001.tif/full/!300,500/0/default.jpg</t>
  </si>
  <si>
    <t>Á memoria de Luiz de Camões no seu tricentenario em 10 de Junho de 1880...</t>
  </si>
  <si>
    <t>Braga : Typ. de Gonçalves Gouvea</t>
  </si>
  <si>
    <t>16 p.</t>
  </si>
  <si>
    <t>CAM. 384//9 V.</t>
  </si>
  <si>
    <t>http://id.bnportugal.gov.pt/bib/catbnp/453897</t>
  </si>
  <si>
    <t>Á memória de Luís de Camões</t>
  </si>
  <si>
    <t>https://bndigital.bnportugal.gov.pt//i/?IIIF=/a4/54/ba/df/a454badf-dc23-49b9-8ac1-fff9a72f6856/iiif/cam-386-6-v_0000_000001.tif/full/!300,500/0/default.jpg</t>
  </si>
  <si>
    <t>Vida de Luiz de Camões e seu retrato</t>
  </si>
  <si>
    <t>Coimbra : Impr. Academica</t>
  </si>
  <si>
    <t>15 p.</t>
  </si>
  <si>
    <t>CAM. 386//6 V.</t>
  </si>
  <si>
    <t>http://id.bnportugal.gov.pt/bib/catbnp/454218</t>
  </si>
  <si>
    <t>Vida de Luís de Camões e seu retrato</t>
  </si>
  <si>
    <t>https://bndigital.bnportugal.gov.pt//i/?IIIF=/e0/e2/36/8e/e0e2368e-06b5-4efd-bb33-762145de2b06/iiif/cam-408-v_0000_000011.tif/full/!300,500/0/default.jpg</t>
  </si>
  <si>
    <t>Seconde edizione illustrata con note di D. B.</t>
  </si>
  <si>
    <t>Milano : Societá Tipog. dei Classici Italiani</t>
  </si>
  <si>
    <t>XXXX, 517, 1 p. (2 v.)</t>
  </si>
  <si>
    <t>CAM. 408 V.</t>
  </si>
  <si>
    <t>http://id.bnportugal.gov.pt/bib/catbnp/455268</t>
  </si>
  <si>
    <t>https://bndigital.bnportugal.gov.pt//i/?IIIF=/5d/28/c9/4e/5d28c94e-b940-4e81-8f76-f7b1ef6f5a4b/iiif/cam-410-v_0000_000013.tif/full/!300,500/0/default.jpg</t>
  </si>
  <si>
    <t>Obras completas de Luis de Camões</t>
  </si>
  <si>
    <t>3 t.</t>
  </si>
  <si>
    <t>Feio, José Vitorino Barreto, 1782-1850, Compilador ; Monteiro, José Gomes, 1807-1879, Compilador</t>
  </si>
  <si>
    <t>CAM. 410 V.</t>
  </si>
  <si>
    <t>http://id.bnportugal.gov.pt/bib/catbnp/455275</t>
  </si>
  <si>
    <t>T. 1: Os Lusíadas. - XLII, 2, 396, 2 p. : 1 retr. ; T. 2: Vida de Luís de Camões; Rimas: sonetos, éclogas, canções e odes. - LXIX, 3, 420 p. ; T. 3: Rimas: redondilhas, sextinas, elegias, epistolas, oitavas; comédias; cartas. - 516 p.</t>
  </si>
  <si>
    <t>https://bndigital.bnportugal.gov.pt//i/?IIIF=/3d/ef/d5/dc/3defd5dc-8364-472f-9969-dc10b3471470/iiif/cam-129-a_0000_000011.tif/full/!300,500/0/default.jpg</t>
  </si>
  <si>
    <t>A ilha de Venus</t>
  </si>
  <si>
    <t>episodio extrahido do nono canto dos Lusiadas</t>
  </si>
  <si>
    <t>Porto : Livraria Camões de Fernandes Possas</t>
  </si>
  <si>
    <t>VII, 1 br., 38, 2 p.</t>
  </si>
  <si>
    <t>Baour-Lormian, P. L. M., 1770-1854, Tradutor ; Grandmaison, M. Parsival, Tradutor ; Aranha, Brito, 1833-1914, Antigo possuidor</t>
  </si>
  <si>
    <t>CAM. 129 A.</t>
  </si>
  <si>
    <t>http://id.bnportugal.gov.pt/bib/catbnp/458290</t>
  </si>
  <si>
    <t>https://bndigital.bnportugal.gov.pt//i/?IIIF=/c4/0f/74/3f/c40f743f-cbf4-4bf9-8481-bce3fdf02c38/iiif/cam-152-a_0000_000011.tif/full/!300,500/0/default.jpg</t>
  </si>
  <si>
    <t>Florilegio camoneano</t>
  </si>
  <si>
    <t>Porto : Livr. Camões</t>
  </si>
  <si>
    <t>8 T.</t>
  </si>
  <si>
    <t>CAM. 152 A.</t>
  </si>
  <si>
    <t>http://id.bnportugal.gov.pt/bib/catbnp/458655</t>
  </si>
  <si>
    <t>https://bndigital.bnportugal.gov.pt//i/?IIIF=/42/cd/d2/e6/42cdd2e6-50ac-44e8-a7c5-107037a0f860/iiif/cam-674-v_0000_000003.tif/full/!300,500/0/default.jpg</t>
  </si>
  <si>
    <t>Inglês</t>
  </si>
  <si>
    <t>Sonnets</t>
  </si>
  <si>
    <t>Newcastle upon Tinet : Impr. by M. A. Richardson</t>
  </si>
  <si>
    <t>Adamson, John, 1787-1851</t>
  </si>
  <si>
    <t>Sucena, 1850-?, Antigo possuidor</t>
  </si>
  <si>
    <t>CAM. 674 V.</t>
  </si>
  <si>
    <t>http://id.bnportugal.gov.pt/bib/catbnp/465606</t>
  </si>
  <si>
    <t>https://bndigital.bnportugal.gov.pt//i/?IIIF=/f2/8b/c2/cc/f28bc2cc-79a2-4081-ab33-b9fabce3fa4a/iiif/cam-1451-v_0000_000005.tif/full/!300,500/0/default.jpg</t>
  </si>
  <si>
    <t>musica</t>
  </si>
  <si>
    <t>36 p.</t>
  </si>
  <si>
    <t>Farina, Luigi</t>
  </si>
  <si>
    <t>CAM. 1451 V.</t>
  </si>
  <si>
    <t>http://id.bnportugal.gov.pt/bib/catbnp/471392</t>
  </si>
  <si>
    <t>Contém só o texto</t>
  </si>
  <si>
    <t>https://bndigital.bnportugal.gov.pt//i/?IIIF=/5d/bd/60/12/5dbd6012-a3b6-4853-b7f9-a7245fc80226/iiif/cam-782-p_0013.tif/full/!300,500/0/default.jpg</t>
  </si>
  <si>
    <t>Livro manuscrito</t>
  </si>
  <si>
    <t>Latim</t>
  </si>
  <si>
    <t>Ludouici Camoenij Lusitani libri X ex materno rhythmico in latinum &amp; virgilianu carmen à D. Andrea Baiano Lusiada Orientali traducti &amp; ab eodem manuscripti. Anno jubilei CI)I)CXXV 1625</t>
  </si>
  <si>
    <t>24, 383 p.</t>
  </si>
  <si>
    <t>Baião, André, 1566-1639, Tradutor</t>
  </si>
  <si>
    <t>F. 9</t>
  </si>
  <si>
    <t>http://id.bnportugal.gov.pt/bib/catbnp/475171</t>
  </si>
  <si>
    <t>Original</t>
  </si>
  <si>
    <t>Rosto com cercadura florida desenhada à pena</t>
  </si>
  <si>
    <t>Lusiada Orientali</t>
  </si>
  <si>
    <t>https://bndigital.bnportugal.gov.pt//i/?IIIF=/70/3f/cc/e5/703fcce5-cee9-4fd0-b063-c58c42d156ac/iiif/cam-74-7-v_0000_000001.tif/full/!300,500/0/default.jpg</t>
  </si>
  <si>
    <t>Hebraico antigo ; Francês</t>
  </si>
  <si>
    <t>episode des Lusiades ...</t>
  </si>
  <si>
    <t>Lisbonne : Imp. Nationale</t>
  </si>
  <si>
    <t>XI, 24 p.</t>
  </si>
  <si>
    <t>Vilhena, Ernesto Jardim de, 1876-1967, Antigo possuidor ; Benoliel, Joseph, 1873-1932, Tradutor ; Wogue, Lazare Eliezer, 1817-1897, Comentador (em meio audiovisual)</t>
  </si>
  <si>
    <t>Congresso Internacional dos Orientalistas, Organizador de conferência</t>
  </si>
  <si>
    <t>H.G. 7378//5 V.</t>
  </si>
  <si>
    <t>http://id.bnportugal.gov.pt/bib/catbnp/475214</t>
  </si>
  <si>
    <t>Memória apresentada na 10ª Sessão do Congresso Internacional dos Orientalistas</t>
  </si>
  <si>
    <t>https://bndigital.bnportugal.gov.pt//i/?IIIF=/57/26/e4/65/5726e465-1ee7-4c62-b7c4-06c930646aa0/iiif/cam-83-1-a_0000_000001.tif/full/!300,500/0/default.jpg</t>
  </si>
  <si>
    <t>Recreio musical</t>
  </si>
  <si>
    <t>album de musicas para piano</t>
  </si>
  <si>
    <t>CAM. 83//1 A.</t>
  </si>
  <si>
    <t>http://id.bnportugal.gov.pt/bib/catbnp/475453</t>
  </si>
  <si>
    <t>https://bndigital.bnportugal.gov.pt//i/?IIIF=/36/69/d9/d4/3669d9d4-f77b-4fe3-a244-701d17f3e42a/iiif/cam-83-2-a_0000_000001.tif/full/!300,500/0/default.jpg</t>
  </si>
  <si>
    <t>musica para piano e canto</t>
  </si>
  <si>
    <t>Lisboa : Verol Senior</t>
  </si>
  <si>
    <t>1 partitura (5 p.)</t>
  </si>
  <si>
    <t>Carvalho, Augusto José de, 1848-1910</t>
  </si>
  <si>
    <t>C.I.C. 140 A.</t>
  </si>
  <si>
    <t>http://id.bnportugal.gov.pt/bib/catbnp/475458</t>
  </si>
  <si>
    <t>Dedicada à digna Comissão dos Festejos de Camões</t>
  </si>
  <si>
    <t>https://bndigital.bnportugal.gov.pt//i/?IIIF=/86/6c/46/07/866c4607-1618-436f-b006-ed4e4b3aa2eb/iiif/cam-25-a_0000_000005.tif/full/!300,500/0/default.jpg</t>
  </si>
  <si>
    <t>Os Lusiadas</t>
  </si>
  <si>
    <t>Ed. popular gratuita</t>
  </si>
  <si>
    <t>Lisboa : Emp. do Diario de Noticias</t>
  </si>
  <si>
    <t>17, 1 p.</t>
  </si>
  <si>
    <t>CAM. 25 A.</t>
  </si>
  <si>
    <t>http://id.bnportugal.gov.pt/bib/catbnp/476957</t>
  </si>
  <si>
    <t>https://bndigital.bnportugal.gov.pt//i/?IIIF=/61/6e/1e/85/616e1e85-5eec-40f5-81a2-56ec93537919/iiif/cam-80-63-a_0000_000001.tif/full/!300,500/0/default.jpg</t>
  </si>
  <si>
    <t>Tygodnik Illustrowany</t>
  </si>
  <si>
    <t>Warszawa : drukiem J. Ungra</t>
  </si>
  <si>
    <t>Lenike, J., Editor literário</t>
  </si>
  <si>
    <t>CAM. 80//63 A.</t>
  </si>
  <si>
    <t>http://id.bnportugal.gov.pt/bib/catbnp/479076</t>
  </si>
  <si>
    <t>https://bndigital.bnportugal.gov.pt//i/?IIIF=/c5/1b/85/f9/c51b85f9-2522-413e-b7ef-aebc584037d9/iiif/cam-80-65-a_0000_000001.tif/full/!300,500/0/default.jpg</t>
  </si>
  <si>
    <t>Tygodnik Powszechny</t>
  </si>
  <si>
    <t>Warszawa : drukarni S. Orgelbrando Synow</t>
  </si>
  <si>
    <t>Orgelbrand, Maurycy, Editor literário</t>
  </si>
  <si>
    <t>CAM. 80//65 A.</t>
  </si>
  <si>
    <t>http://id.bnportugal.gov.pt/bib/catbnp/479079</t>
  </si>
  <si>
    <t>https://bndigital.bnportugal.gov.pt//i/?IIIF=/ac/03/49/21/ac034921-8f14-43b9-a5d4-7c9ee7950d1c/iiif/cam-80-71-a_0000_000001.tif/full/!300,500/0/default.jpg</t>
  </si>
  <si>
    <t>Jornal do Commercio</t>
  </si>
  <si>
    <t>Rio de Janeiro : s.n.</t>
  </si>
  <si>
    <t>Villeneuve, Júlio Constâncio de, Director</t>
  </si>
  <si>
    <t>CAM. 80//71 A.</t>
  </si>
  <si>
    <t>http://id.bnportugal.gov.pt/bib/catbnp/480058</t>
  </si>
  <si>
    <t>Jornal de Comércio</t>
  </si>
  <si>
    <t>https://bndigital.bnportugal.gov.pt//i/?IIIF=/b2/56/5a/a6/b2565aa6-70f7-48fe-a06c-6e301f3b710c/iiif/cam-6-v_0011.tif/full/!300,500/0/default.jpg</t>
  </si>
  <si>
    <t>Nova edição correcta, e dada á luz, conforme á de 1817, in-4º</t>
  </si>
  <si>
    <t>Paris : na officina typographica de Firmino Didot...</t>
  </si>
  <si>
    <t>CX, 420 p.</t>
  </si>
  <si>
    <t>Mateus, Morgado de, 1758-1825, Editor literário ; Didot, Firmin, fl. 1789-1829, Impressor ; Norton, Tomás, 1804-1860, Antigo possuidor</t>
  </si>
  <si>
    <t>CAM. 6 V.</t>
  </si>
  <si>
    <t>http://id.bnportugal.gov.pt/bib/catbnp/357297</t>
  </si>
  <si>
    <t>https://bndigital.bnportugal.gov.pt//i/?IIIF=/50/1e/d4/2a/501ed42a-3de0-4cf9-821c-15ebd89b7023/iiif/e-3415-p_0000_000001.tif/full/!300,500/0/default.jpg</t>
  </si>
  <si>
    <t>Camoens</t>
  </si>
  <si>
    <t>La Haye : van Lier fréres</t>
  </si>
  <si>
    <t>PURL 1066/0</t>
  </si>
  <si>
    <t>http://id.bnportugal.gov.pt/bib/catbnp/601741</t>
  </si>
  <si>
    <t>https://bndigital.bnportugal.gov.pt//i/?IIIF=/84/ce/f5/25/84cef525-7874-41a2-b678-e38e5372d53b/iiif/cc-1054-r_0000_000001.tif/full/!300,500/0/default.jpg</t>
  </si>
  <si>
    <t>Cartografia</t>
  </si>
  <si>
    <t>Carta da geographia dos Lusiadas</t>
  </si>
  <si>
    <t>dedicada a S.M. El-rei D. Luis I</t>
  </si>
  <si>
    <t>Lisboa : Litografia da Imprensa Nacional</t>
  </si>
  <si>
    <t>1 mapa</t>
  </si>
  <si>
    <t>Figueiredo, António Cardoso Borges de, 1851?-1890</t>
  </si>
  <si>
    <t>C.C. 1054 R.</t>
  </si>
  <si>
    <t>http://id.bnportugal.gov.pt/bib/catbnp/604127</t>
  </si>
  <si>
    <t>India - Escala ca 1:26000000, determinada com o valor calculado 0,43 cm para o grau de latitude</t>
  </si>
  <si>
    <t>Carta da geografia dos Lusíadas</t>
  </si>
  <si>
    <t>https://bndigital.bnportugal.gov.pt//i/?IIIF=/d6/fc/1e/ec/d6fc1eec-5431-4985-ae4f-544438336cce/iiif/e-3525-p_0000_000001.tif/full/!300,500/0/default.jpg</t>
  </si>
  <si>
    <t>E. 3525 P.</t>
  </si>
  <si>
    <t>http://id.bnportugal.gov.pt/bib/catbnp/613457</t>
  </si>
  <si>
    <t>https://bndigital.bnportugal.gov.pt//i/?IIIF=/97/cc/bc/96/97ccbc96-a88e-42be-92ff-c6a0010e4a17/iiif/e-3548-p_0000_000001.tif/full/!300,500/0/default.jpg</t>
  </si>
  <si>
    <t>Luiz de Camões</t>
  </si>
  <si>
    <t>Sousa, Joaquim Pedro de, 1822-1878</t>
  </si>
  <si>
    <t>PURL 1127/0</t>
  </si>
  <si>
    <t>http://id.bnportugal.gov.pt/bib/catbnp/614521</t>
  </si>
  <si>
    <t>Paris : s.n.</t>
  </si>
  <si>
    <t>Lemaitre, Augustin François, 1797-1870</t>
  </si>
  <si>
    <t>PURL 12554/0</t>
  </si>
  <si>
    <t>http://id.bnportugal.gov.pt/bib/catbnp/626460</t>
  </si>
  <si>
    <t>Camoëns im Gefangnisse zu Goa</t>
  </si>
  <si>
    <t>Duncan, Andrew, 1795-?</t>
  </si>
  <si>
    <t>Moreaux, Charles Florent Léon, 1815-?, Antecedente bibliográfico</t>
  </si>
  <si>
    <t>PURL 12562/0</t>
  </si>
  <si>
    <t>http://id.bnportugal.gov.pt/bib/catbnp/626703</t>
  </si>
  <si>
    <t>Á memoria do immortal cantor das glorias portuguezas</t>
  </si>
  <si>
    <t>PURL 5762/0</t>
  </si>
  <si>
    <t>http://id.bnportugal.gov.pt/bib/catbnp/636335</t>
  </si>
  <si>
    <t>Á memória do imortal cantor das glórias portuguesas</t>
  </si>
  <si>
    <t>https://bndigital.bnportugal.gov.pt//i/?IIIF=/a1/c7/1e/30/a1c71e30-149f-4d01-a4cd-17eb6386f4ec/iiif/e-1773-v_0000_000001.tif/full/!300,500/0/default.jpg</t>
  </si>
  <si>
    <t>10 de Junho de 1880</t>
  </si>
  <si>
    <t>PURL 5763/0</t>
  </si>
  <si>
    <t>http://id.bnportugal.gov.pt/bib/catbnp/636337</t>
  </si>
  <si>
    <t>https://bndigital.bnportugal.gov.pt//i/?IIIF=/4d/33/d1/a8/4d33d1a8-9b14-4816-b086-3bfda8beb020/iiif/e-1775-v_0000_000001.tif/full/!300,500/0/default.jpg</t>
  </si>
  <si>
    <t>homenagem do Diario de Portugal a Luiz de Camões</t>
  </si>
  <si>
    <t>Cardon, ca 1880</t>
  </si>
  <si>
    <t>Metrass, Francisco Augusto, 1825-1861, Antecedente bibliográfico</t>
  </si>
  <si>
    <t>PURL 5756/0</t>
  </si>
  <si>
    <t>OChina</t>
  </si>
  <si>
    <t>http://id.bnportugal.gov.pt/bib/catbnp/636371</t>
  </si>
  <si>
    <t>https://bndigital.bnportugal.gov.pt//i/?IIIF=/77/c8/5e/5a/77c85e5a-2edc-447a-be9f-e3b9247fe8a1/iiif/e-1774-v_0000_000001.tif/full/!300,500/0/default.jpg</t>
  </si>
  <si>
    <t>Monumento a Camões</t>
  </si>
  <si>
    <t>Barros, Silêncio Cristão de, 1798-1867, Impressor de ilustrações em chapa gravada</t>
  </si>
  <si>
    <t>PURL 5757/0</t>
  </si>
  <si>
    <t>http://id.bnportugal.gov.pt/bib/catbnp/636385</t>
  </si>
  <si>
    <t>https://bndigital.bnportugal.gov.pt//i/?IIIF=/7e/61/9f/18/7e619f18-7c28-4232-b632-4cb06e6e808f/iiif/e-1776-v_0000_000001.tif/full/!300,500/0/default.jpg</t>
  </si>
  <si>
    <t>O tempo levando os Lusíadas à posteridade</t>
  </si>
  <si>
    <t>Medeiros, J., ca. 18- -</t>
  </si>
  <si>
    <t>PURL 5761/0</t>
  </si>
  <si>
    <t>http://id.bnportugal.gov.pt/bib/catbnp/636389</t>
  </si>
  <si>
    <t>https://bndigital.bnportugal.gov.pt//i/?IIIF=/2b/63/53/2f/2b63532f-998a-4f7b-8b8c-b4e456bc6390/iiif/e-403-v_0000_000001.tif/full/!300,500/0/default.jpg</t>
  </si>
  <si>
    <t>Epitome da vida de Luiz de Camoens</t>
  </si>
  <si>
    <t>Cardini, João, fl. 1804-1825?</t>
  </si>
  <si>
    <t>PURL 4762/0</t>
  </si>
  <si>
    <t>http://id.bnportugal.gov.pt/bib/catbnp/637133</t>
  </si>
  <si>
    <t>Epítome da vida de Luís de Camões</t>
  </si>
  <si>
    <t>https://bndigital.bnportugal.gov.pt//i/?IIIF=/91/93/ef/9e/9193ef9e-3647-4d04-a920-6fce8a1629b8/iiif/e-404-v_0000_000001.tif/full/!300,500/0/default.jpg</t>
  </si>
  <si>
    <t>Ao tricentenário de Luiz de Camões</t>
  </si>
  <si>
    <t>aos 10 de Junho de 1880, Rio de Janeiro</t>
  </si>
  <si>
    <t>Litografia António Lobo &amp; Companhia</t>
  </si>
  <si>
    <t>PURL 4760/0</t>
  </si>
  <si>
    <t>http://id.bnportugal.gov.pt/bib/catbnp/637139</t>
  </si>
  <si>
    <t>Ao tricentenário de Luís de Camões</t>
  </si>
  <si>
    <t>Tricentenário de Camões</t>
  </si>
  <si>
    <t>PURL 5904/0</t>
  </si>
  <si>
    <t>http://id.bnportugal.gov.pt/bib/catbnp/665442</t>
  </si>
  <si>
    <t>https://bndigital.bnportugal.gov.pt//i/?IIIF=/68/60/bf/0c/6860bf0c-8b2d-42e5-8809-1edc675de42b/iiif/e-40-a_0000_000001.tif/full/!300,500/0/default.jpg</t>
  </si>
  <si>
    <t>Camões lendo os Lusíadas a D. Sebastião</t>
  </si>
  <si>
    <t>Ramalho, António, 1858-1916</t>
  </si>
  <si>
    <t>Litografia de Portugal, Impressor</t>
  </si>
  <si>
    <t>PURL 6773/0</t>
  </si>
  <si>
    <t>http://id.bnportugal.gov.pt/bib/catbnp/700486</t>
  </si>
  <si>
    <t>https://bndigital.bnportugal.gov.pt//i/?IIIF=/f1/a9/3d/d6/f1a93dd6-7849-41fe-998c-148d7cb7b2dd/iiif/e-41-a_0000_000001.tif/full/!300,500/0/default.jpg</t>
  </si>
  <si>
    <t>Camões no leito de morte</t>
  </si>
  <si>
    <t>Cupertino, fl. 1860</t>
  </si>
  <si>
    <t>PURL 6771/0</t>
  </si>
  <si>
    <t>http://id.bnportugal.gov.pt/bib/catbnp/700487</t>
  </si>
  <si>
    <t>https://bndigital.bnportugal.gov.pt//i/?IIIF=/ed/6c/2b/55/ed6c2b55-9065-4ce7-97e4-d3437ec4bfa1/iiif/d-392-v_0000_000001.tif/full/!300,500/0/default.jpg</t>
  </si>
  <si>
    <t>ilustração</t>
  </si>
  <si>
    <t>1 desenho</t>
  </si>
  <si>
    <t>Gameiro, Alfredo Roque, 1864-1935</t>
  </si>
  <si>
    <t>PURL 1227/0</t>
  </si>
  <si>
    <t>http://id.bnportugal.gov.pt/bib/catbnp/704429</t>
  </si>
  <si>
    <t>Atribução de autor segundo nota ms. no verso</t>
  </si>
  <si>
    <t>https://bndigital.bnportugal.gov.pt//i/?IIIF=/c6/65/ed/04/c665ed04-906d-47be-afa9-f49402d8909b/iiif/e-271-a_0000_000001.tif/full/!300,500/0/default.jpg</t>
  </si>
  <si>
    <t>Grossi, ca 1880</t>
  </si>
  <si>
    <t>PURL 6901/0</t>
  </si>
  <si>
    <t>http://id.bnportugal.gov.pt/bib/catbnp/709106</t>
  </si>
  <si>
    <t>https://bndigital.bnportugal.gov.pt//i/?IIIF=/d5/4a/55/8b/d54a558b-4168-4ce9-95b6-7b9ac715137f/iiif/e-274-a_0000_000001.tif/full/!300,500/0/default.jpg</t>
  </si>
  <si>
    <t>Vasco da Gama apresenta a D. Manuel as primicias da India</t>
  </si>
  <si>
    <t>Entraram pela foz do Tejo ameno... Lusiadas, canto X, est. 144</t>
  </si>
  <si>
    <t>Lisboa ; : João Romano Torres</t>
  </si>
  <si>
    <t>Camões, Luís de, 1524-1580, Autor em citações ou excertos de textos ; Marinho, José Pires, 1857-1929?, Técnico gráfico ; Torres, João Romano, 1855-1935, Editor comercial</t>
  </si>
  <si>
    <t>PURL 6844/0</t>
  </si>
  <si>
    <t>http://id.bnportugal.gov.pt/bib/catbnp/709129</t>
  </si>
  <si>
    <t>Brinde aos assinantes do romance "A pecadora"</t>
  </si>
  <si>
    <t>https://bndigital.bnportugal.gov.pt//i/?IIIF=/15/56/29/ac/155629ac-1d4f-4db2-92f1-9e806d18975b/iiif/e-4482-p_0000_000001.tif/full/!300,500/0/default.jpg</t>
  </si>
  <si>
    <t>Ludovicus Camonius, Lusitanus epicorum poetar, in Hispania Princeps, vixit an. LV. obiit an M.DLXXIX</t>
  </si>
  <si>
    <t>Lisboa : na Officina Luisiana</t>
  </si>
  <si>
    <t>Rodrigues, António Fernandes, 1727-1807</t>
  </si>
  <si>
    <t>Oficina Luisiana, Impressor</t>
  </si>
  <si>
    <t>PURL 12937/0</t>
  </si>
  <si>
    <t>http://id.bnportugal.gov.pt/bib/catbnp/729122</t>
  </si>
  <si>
    <t>Paris : Furne</t>
  </si>
  <si>
    <t>Audibran, François Adolphe Bruneau, 1810-?</t>
  </si>
  <si>
    <t>PURL 12929/0</t>
  </si>
  <si>
    <t>http://id.bnportugal.gov.pt/bib/catbnp/730341</t>
  </si>
  <si>
    <t>Luis de Camoens</t>
  </si>
  <si>
    <t>London : Longman</t>
  </si>
  <si>
    <t>Skelton, William, 1763-1848</t>
  </si>
  <si>
    <t>PURL 12938/0</t>
  </si>
  <si>
    <t>PCulture</t>
  </si>
  <si>
    <t>http://id.bnportugal.gov.pt/bib/catbnp/733501</t>
  </si>
  <si>
    <t>https://bndigital.bnportugal.gov.pt//i/?IIIF=/20/0e/92/c5/200e92c5-aec5-4489-a61a-b6480cdafb72/iiif/cam-41-v_0005.tif/full/!300,500/0/default.jpg</t>
  </si>
  <si>
    <t>Lisboa : Tip da Comp. Nacional Editora</t>
  </si>
  <si>
    <t>338 p.</t>
  </si>
  <si>
    <t>Garin, Hyacinthe, Editor literário</t>
  </si>
  <si>
    <t>L. 5855 A.</t>
  </si>
  <si>
    <t>http://id.bnportugal.gov.pt/bib/catbnp/742171</t>
  </si>
  <si>
    <t>https://bndigital.bnportugal.gov.pt//i/?IIIF=/9e/91/6e/ad/9e916ead-0a6f-45ca-96ba-ec9f9d845df0/iiif/cam-17-p_0000_000007.tif/full/!300,500/0/default.jpg</t>
  </si>
  <si>
    <t>Em Lisboa : por Pedro Crasbeeck : com privilegio, à custa de Domingos Fernandez livreyro</t>
  </si>
  <si>
    <t>2, 186 f.</t>
  </si>
  <si>
    <t>Cunha, Rodrigo da, 1577-1643, Personalidade a quem é dedicada a obra ; Sousa, Luís de, 1555-1632, Autor ; Mendonça, Pedro da Silva e, Autor ; Tasso, Torquato, 1544-1595, Autor ; Leitão, Diogo Taborda, 15--, Autor ; Tamayo de Vargas, Tomás, 1588-1641, Autor ; Bernardes, Diogo, ca 1530-1596, Autor ; Craesbeeck, Pedro, fl. 1597-1632, Impressor ; Norton, Tomás, 1804-1860, Antigo possuidor ; Fernandes, Domingos, 15---16--, Editor comercial ; Barreto, Domingos da Costa, Antigo possuidor ; Caminha, António Lourenço, ?-1831, Antigo possuidor</t>
  </si>
  <si>
    <t>F. 2553</t>
  </si>
  <si>
    <t>http://id.bnportugal.gov.pt/bib/catbnp/764770</t>
  </si>
  <si>
    <t>poema épico...</t>
  </si>
  <si>
    <t>Nova ed. cuidadosamente revista e conforme às de 1572, precedida da biografia do poeta e seguida de um dicionário dos nomes próprios</t>
  </si>
  <si>
    <t>Lisboa : Livr. António Maria Pereira</t>
  </si>
  <si>
    <t>XVIII, 457, 6 p.</t>
  </si>
  <si>
    <t>CAM. 566 P.</t>
  </si>
  <si>
    <t>http://id.bnportugal.gov.pt/bib/catbnp/767226</t>
  </si>
  <si>
    <t>https://bndigital.bnportugal.gov.pt//i/?IIIF=/7c/53/55/55/7c535555-bf57-4fa5-b6f4-b9bad743d540/iiif/cam-106-2-v_0000_000001.tif/full/!300,500/0/default.jpg</t>
  </si>
  <si>
    <t>Á memoria de Luiz de Camões</t>
  </si>
  <si>
    <t>301.º anniversario do fallecimento do grande épico</t>
  </si>
  <si>
    <t>Loanda : Tip. do Mercantil</t>
  </si>
  <si>
    <t>26, 2 p.</t>
  </si>
  <si>
    <t>Sociedade Propagadora de Conhecimentos Geográfico-Africanos</t>
  </si>
  <si>
    <t>H.G. 12224//6 V.</t>
  </si>
  <si>
    <t>http://id.bnportugal.gov.pt/bib/catbnp/767525</t>
  </si>
  <si>
    <t>https://bndigital.bnportugal.gov.pt//i/?IIIF=/a1/d0/ad/31/a1d0ad31-73b5-460a-ba20-5f53415efc39/iiif/cam-709-p_0007.tif/full/!300,500/0/default.jpg</t>
  </si>
  <si>
    <t>Nova ed</t>
  </si>
  <si>
    <t>Porto : Livr. Ed. Cruz Coutinho</t>
  </si>
  <si>
    <t>XII, 480 p.</t>
  </si>
  <si>
    <t>CAM. 709 P.</t>
  </si>
  <si>
    <t>http://id.bnportugal.gov.pt/bib/catbnp/782745</t>
  </si>
  <si>
    <t>https://bndigital.bnportugal.gov.pt//i/?IIIF=/b1/0e/f2/ad/b10ef2ad-b90f-419d-ac6d-791303f80865/iiif/cam-738-p_0018.tif/full/!300,500/0/default.jpg</t>
  </si>
  <si>
    <t>Lusiadas de Luis de Camões a que se ajuntam a vida do Poeta, hum argumento historico dos Lusiadas... com 10 estampas</t>
  </si>
  <si>
    <t>Lisboa : Tip. de Eugénio Augusti</t>
  </si>
  <si>
    <t>CAM. 738 P.</t>
  </si>
  <si>
    <t>http://id.bnportugal.gov.pt/bib/catbnp/784907</t>
  </si>
  <si>
    <t>https://bndigital.bnportugal.gov.pt//i/?IIIF=/0a/a0/d6/98/0aa0d698-6da1-43e7-8004-b777778c806e/iiif/cam-753-p_0000_000011.tif/full/!300,500/0/default.jpg</t>
  </si>
  <si>
    <t>Poems from the portuguese</t>
  </si>
  <si>
    <t>A new ed</t>
  </si>
  <si>
    <t>London : Printed for James Carpenter and Son</t>
  </si>
  <si>
    <t>157 p.</t>
  </si>
  <si>
    <t>Strangford, 1780-1855, Tradutor</t>
  </si>
  <si>
    <t>CAM. 753 P.</t>
  </si>
  <si>
    <t>http://id.bnportugal.gov.pt/bib/catbnp/785080</t>
  </si>
  <si>
    <t>https://bndigital.bnportugal.gov.pt//i/?IIIF=/58/b9/1c/10/58b91c10-5fe4-4502-a679-09d2d40f6c8c/iiif/cam-843-p_0009.tif/full/!300,500/0/default.jpg</t>
  </si>
  <si>
    <t>Poésies</t>
  </si>
  <si>
    <t>Bruxelles : Impr. de Vandoren Fréres</t>
  </si>
  <si>
    <t>XLV, 229 p.</t>
  </si>
  <si>
    <t>Strangford, 1780-1855, Tradutor ; Barère, B., Tradutor</t>
  </si>
  <si>
    <t>CAM. 843 P.</t>
  </si>
  <si>
    <t>http://id.bnportugal.gov.pt/bib/catbnp/788850</t>
  </si>
  <si>
    <t>https://bndigital.bnportugal.gov.pt//i/?IIIF=/b7/ea/46/6d/b7ea466d-22e7-482d-9272-4dddffd6d49b/iiif/cam-845-p_0007.tif/full/!300,500/0/default.jpg</t>
  </si>
  <si>
    <t>Classical descriptions of love, from the mort celebrated epic poets</t>
  </si>
  <si>
    <t>Homer, Ariosto, Tasso, Milton and Camoens</t>
  </si>
  <si>
    <t>London : J. Blacklock</t>
  </si>
  <si>
    <t>224 p.</t>
  </si>
  <si>
    <t>Grandmaison, M. Parsival, Tradutor</t>
  </si>
  <si>
    <t>CAM. 845 P.</t>
  </si>
  <si>
    <t>http://id.bnportugal.gov.pt/bib/catbnp/788899</t>
  </si>
  <si>
    <t>https://bndigital.bnportugal.gov.pt//i/?IIIF=/9a/4f/fc/07/9a4ffc07-96b7-4a90-8728-685e045c56cf/iiif/cam-955-p_0007.tif/full/!300,500/0/default.jpg</t>
  </si>
  <si>
    <t>The Lusiad</t>
  </si>
  <si>
    <t>London : T. &amp; W. Boone</t>
  </si>
  <si>
    <t>310 p.</t>
  </si>
  <si>
    <t>Mitchell, T. Livingston, Tradutor</t>
  </si>
  <si>
    <t>CAM. 955 P.</t>
  </si>
  <si>
    <t>http://id.bnportugal.gov.pt/bib/catbnp/798614</t>
  </si>
  <si>
    <t>https://bndigital.bnportugal.gov.pt//i/?IIIF=/f0/b5/28/08/f0b52808-60f3-4e5e-ae1d-90ab230894f4/iiif/cam-957-p_0009.tif/full/!300,500/0/default.jpg</t>
  </si>
  <si>
    <t>Poems</t>
  </si>
  <si>
    <t>London : James Carpenter</t>
  </si>
  <si>
    <t>159 p.</t>
  </si>
  <si>
    <t>CAM. 957 P.</t>
  </si>
  <si>
    <t>http://id.bnportugal.gov.pt/bib/catbnp/798623</t>
  </si>
  <si>
    <t>https://bndigital.bnportugal.gov.pt//i/?IIIF=/e5/78/5c/ef/e5785cef-18ea-472c-884a-3e05b1032839/iiif/cam-977-p_0005.tif/full/!300,500/0/default.jpg</t>
  </si>
  <si>
    <t>poema epico</t>
  </si>
  <si>
    <t>Nova ed. correcta</t>
  </si>
  <si>
    <t>Pernambuco : Tip. de Santos &amp; Comp.</t>
  </si>
  <si>
    <t>391 p.</t>
  </si>
  <si>
    <t>CAM. 977 P.</t>
  </si>
  <si>
    <t>http://id.bnportugal.gov.pt/bib/catbnp/798863</t>
  </si>
  <si>
    <t>https://bndigital.bnportugal.gov.pt//i/?IIIF=/c7/62/23/de/c76223de-5f31-4030-a77d-a7706d53fa5f/iiif/cam-978-p_0007.tif/full/!300,500/0/default.jpg</t>
  </si>
  <si>
    <t>epopeia</t>
  </si>
  <si>
    <t>Ed. popular, conforme a 2ª de 1572 com um prospecto chronologico da vida do poeta, as variações e estâncias omittidas</t>
  </si>
  <si>
    <t>Porto : Impr. Portuguesa</t>
  </si>
  <si>
    <t>XXIV, 449 p.</t>
  </si>
  <si>
    <t>CAM. 978 P.</t>
  </si>
  <si>
    <t>http://id.bnportugal.gov.pt/bib/catbnp/798864</t>
  </si>
  <si>
    <t>https://bndigital.bnportugal.gov.pt//i/?IIIF=/9a/df/59/a9/9adf59a9-8030-45c6-9c58-6a231a62c5ff/iiif/cam-993-p_0001.tif/full/!300,500/0/default.jpg</t>
  </si>
  <si>
    <t>A lyra de Camões</t>
  </si>
  <si>
    <t>Porto : Impr. Portugueza</t>
  </si>
  <si>
    <t>Machado, Ariosto, ca 18--</t>
  </si>
  <si>
    <t>CAM. 993 P.</t>
  </si>
  <si>
    <t>http://id.bnportugal.gov.pt/bib/catbnp/798881</t>
  </si>
  <si>
    <t>A lira de Camões</t>
  </si>
  <si>
    <t>https://bndigital.bnportugal.gov.pt//i/?IIIF=/26/d3/2c/9a/26d32c9a-aff0-463a-9654-37de1e502cea/iiif/cam-1048-p_0003.tif/full/!300,500/0/default.jpg</t>
  </si>
  <si>
    <t>Português ; Alemão</t>
  </si>
  <si>
    <t>Alma minha gentil</t>
  </si>
  <si>
    <t>Porto : Impr. Ferreira de Brito</t>
  </si>
  <si>
    <t>4 f.</t>
  </si>
  <si>
    <t>Storck, Wilhelm, 1829-1905, Tradutor</t>
  </si>
  <si>
    <t>CAM. 1048 P.</t>
  </si>
  <si>
    <t>http://id.bnportugal.gov.pt/bib/catbnp/800848</t>
  </si>
  <si>
    <t>https://bndigital.bnportugal.gov.pt//i/?IIIF=/10/9f/ff/c4/109fffc4-85a9-4694-a9fe-8ece7f76b5cc/iiif/cam-1058-p_0000_000007.tif/full/!300,500/0/default.jpg</t>
  </si>
  <si>
    <t>Rimas de João Xavier de Matos, entre os pastores da Arcadia Portuense Albano Erithreo, dedicadas à memoria do Grande Luiz de Camões, Principe dos Poetas Portugueses</t>
  </si>
  <si>
    <t>Lisboa : na Regia Off. Typ.</t>
  </si>
  <si>
    <t>Matos, João Xavier de, 1730-1789</t>
  </si>
  <si>
    <t>Melo, Caetano de Lima e, Editor literário</t>
  </si>
  <si>
    <t>CAM. 1058 P.</t>
  </si>
  <si>
    <t>http://id.bnportugal.gov.pt/bib/catbnp/800863</t>
  </si>
  <si>
    <t>https://bndigital.bnportugal.gov.pt//i/?IIIF=/6d/03/e5/53/6d03e553-ce6a-40fb-9dc1-3fdf08a2a6c6/iiif/cam-1061-p_0000_000013.tif/full/!300,500/0/default.jpg</t>
  </si>
  <si>
    <t>Sonetos a Dona Ignez de Castro</t>
  </si>
  <si>
    <t>Lisboa : na Officina de Filippe da Silva e Azevedo</t>
  </si>
  <si>
    <t>15, 1 br. p.</t>
  </si>
  <si>
    <t>Santos, António Ribeiro dos, 1745-1818</t>
  </si>
  <si>
    <t>Azevedo, Filipe da Silva e, fl. 1745-1793, Impressor</t>
  </si>
  <si>
    <t>H.G. 9789//6 P.</t>
  </si>
  <si>
    <t>http://id.bnportugal.gov.pt/bib/catbnp/800870</t>
  </si>
  <si>
    <t>Homenagem a Luís de Camões</t>
  </si>
  <si>
    <t>tricentenario 10 de Junho de 1880</t>
  </si>
  <si>
    <t>2, XIV p.</t>
  </si>
  <si>
    <t>Azevedo, J. Estevão de, ca 1880</t>
  </si>
  <si>
    <t>CAM. 1080 P.</t>
  </si>
  <si>
    <t>http://id.bnportugal.gov.pt/bib/catbnp/801047</t>
  </si>
  <si>
    <t>https://bndigital.bnportugal.gov.pt//i/?IIIF=/87/08/33/6f/8708336f-2ba1-45b9-9146-62e6c659793f/iiif/cam-14-v_0005.tif/full/!300,500/0/default.jpg</t>
  </si>
  <si>
    <t>Nova ed. correcta e dada à luz conforme a de 1817 in 4º</t>
  </si>
  <si>
    <t>Paris : Livr. Portugueza de J. P. Aillaud</t>
  </si>
  <si>
    <t>VI, 2, CX, 420 p.</t>
  </si>
  <si>
    <t>Mateus, Morgado de, 1758-1825, Editor literário</t>
  </si>
  <si>
    <t>CAM. 14 V.</t>
  </si>
  <si>
    <t>http://id.bnportugal.gov.pt/bib/catbnp/804699</t>
  </si>
  <si>
    <t>https://bndigital.bnportugal.gov.pt//i/?IIIF=/0f/1a/3d/1d/0f1a3d1d-6792-4f88-be5e-3270be2187fd/iiif/cam-15-v_0011.tif/full/!300,500/0/default.jpg</t>
  </si>
  <si>
    <t>poema epico restituido à sua primitiva linguagem, auctorisada com exemplos extrahidos dos escriptores contemporaneos a Camões, augmentado com a vida d'este poeta, uma noticia ácerca de Vasco da Gama, as estancias e lições achadas</t>
  </si>
  <si>
    <t>Paris : na Livr. Europea de Baudry</t>
  </si>
  <si>
    <t>XXXIV, 585, 1 p.</t>
  </si>
  <si>
    <t>Sousa, Manuel de Faria e, 1590-1649, Autor da introdução, etc. ; Fonseca, José da, 1788-1866, Autor da introdução, etc.</t>
  </si>
  <si>
    <t>CAM. 15 V.</t>
  </si>
  <si>
    <t>http://id.bnportugal.gov.pt/bib/catbnp/804707</t>
  </si>
  <si>
    <t>https://bndigital.bnportugal.gov.pt//i/?IIIF=/c9/5c/2d/80/c95c2d80-0139-4149-b238-327b510e0b9a/iiif/cam-17-v_0000_000011.tif/full/!300,500/0/default.jpg</t>
  </si>
  <si>
    <t>Obras de Luiz de Camões</t>
  </si>
  <si>
    <t>precedidas de um ensaio biographico, no qual se relatam alguns factos não conhecidos da sua vida augmentadas com algumas composições ineditas do poeta pelo Visconde de Juromenha</t>
  </si>
  <si>
    <t>6 vol.</t>
  </si>
  <si>
    <t>Juromenha, 1807-1887, Autor da introdução, etc.</t>
  </si>
  <si>
    <t>L. 11176 V.</t>
  </si>
  <si>
    <t>http://id.bnportugal.gov.pt/bib/catbnp/804731</t>
  </si>
  <si>
    <t>https://bndigital.bnportugal.gov.pt//i/?IIIF=/04/56/f5/1f/0456f51f-704b-4799-8864-de350710eadb/iiif/cam-28-v_0000_000005.tif/full/!300,500/0/default.jpg</t>
  </si>
  <si>
    <t>Os Lusiadas...</t>
  </si>
  <si>
    <t>a primeira edição impressa em vida de Luis de Camões (1572)</t>
  </si>
  <si>
    <t>10, 38, 1 p.</t>
  </si>
  <si>
    <t>Santos, Joaquim Eusébio dos, ca 18--, Litógrafo</t>
  </si>
  <si>
    <t>CAM. 28 V.</t>
  </si>
  <si>
    <t>http://id.bnportugal.gov.pt/bib/catbnp/805036</t>
  </si>
  <si>
    <t>https://bndigital.bnportugal.gov.pt//i/?IIIF=/69/f7/a5/f4/69f7a5f4-1a20-4ce9-85d3-24b8134a9685/iiif/cam-47-v_0005.tif/full/!300,500/0/default.jpg</t>
  </si>
  <si>
    <t>Milano : presso Carlo Branca</t>
  </si>
  <si>
    <t>13, XXXIX, 471, 1 p.</t>
  </si>
  <si>
    <t>Bellotti, Felice, Tradutor ; Maggi, Giovanni Antonio, Autor da introdução, etc.</t>
  </si>
  <si>
    <t>CAM. 47 V.</t>
  </si>
  <si>
    <t>http://id.bnportugal.gov.pt/bib/catbnp/807561</t>
  </si>
  <si>
    <t>https://bndigital.bnportugal.gov.pt//i/?IIIF=/a8/86/25/9a/a886259a-3e34-4058-aa6a-f259265bbedb/iiif/cam-48-v_0000_000011.tif/full/!300,500/0/default.jpg</t>
  </si>
  <si>
    <t>The Lusiad or the discovery of India</t>
  </si>
  <si>
    <t>an epic poem</t>
  </si>
  <si>
    <t>3rd ed</t>
  </si>
  <si>
    <t>Dublin : printed by Graisberry and Campbell</t>
  </si>
  <si>
    <t>Mickle, William Julius, 1734-1788, Tradutor</t>
  </si>
  <si>
    <t>CAM. 48 V.</t>
  </si>
  <si>
    <t>http://id.bnportugal.gov.pt/bib/catbnp/807567</t>
  </si>
  <si>
    <t>O Soneto de Luis de Camões Alma minha gentil</t>
  </si>
  <si>
    <t>Edição de 200 exemplares numerados</t>
  </si>
  <si>
    <t>Lisboa : Typ. Casa Portugueza</t>
  </si>
  <si>
    <t>2 f.</t>
  </si>
  <si>
    <t>Peragallo, Prospero, 1823-1916, Tradutor</t>
  </si>
  <si>
    <t>CAM. 62//2 V.</t>
  </si>
  <si>
    <t>http://id.bnportugal.gov.pt/bib/catbnp/807675</t>
  </si>
  <si>
    <t>https://bndigital.bnportugal.gov.pt//i/?IIIF=/9f/cf/24/a0/9fcf24a0-088b-43b6-b7ee-8166f9ced6d8/iiif/cam-65-v_0007.tif/full/!300,500/0/default.jpg</t>
  </si>
  <si>
    <t>A primeira poesia impressa de Luiz de Camões no livro do Doctor Garcia d'Orta intitulado Coloquios dos simples drogas</t>
  </si>
  <si>
    <t>Lisboa : nas officinas de Adolpho, Modesto &amp; C.ª</t>
  </si>
  <si>
    <t>10, 12 p.</t>
  </si>
  <si>
    <t>Braga, Teófilo, 1843-1924, Editor literário</t>
  </si>
  <si>
    <t>CAM. 65 V.</t>
  </si>
  <si>
    <t>http://id.bnportugal.gov.pt/bib/catbnp/808481</t>
  </si>
  <si>
    <t>Fac-símile da página de título e folhas preliminares da primeira edição dos Coloqios dos simples, e drogas, impressa em Goa, em 1563</t>
  </si>
  <si>
    <t>https://bndigital.bnportugal.gov.pt//i/?IIIF=/48/4c/2a/27/484c2a27-fd2e-4680-8a45-98c7dbfd51fd/iiif/cam-77-v_0000_000005.tif/full/!300,500/0/default.jpg</t>
  </si>
  <si>
    <t>Português ; Italiano</t>
  </si>
  <si>
    <t>Flores de poesia portugueza</t>
  </si>
  <si>
    <t>Lisboa : Empreza do Ocidente</t>
  </si>
  <si>
    <t>86 p.</t>
  </si>
  <si>
    <t>CAM. 77 V.</t>
  </si>
  <si>
    <t>http://id.bnportugal.gov.pt/bib/catbnp/808497</t>
  </si>
  <si>
    <t>https://bndigital.bnportugal.gov.pt//i/?IIIF=/91/4d/83/ce/914d83ce-db92-46b6-90a3-a93497ddbc41/iiif/cam-79-v_0000_000005.tif/full/!300,500/0/default.jpg</t>
  </si>
  <si>
    <t>Poesias de Luiz de Camões e outros</t>
  </si>
  <si>
    <t>CAM. 79 V.</t>
  </si>
  <si>
    <t>http://id.bnportugal.gov.pt/bib/catbnp/808502</t>
  </si>
  <si>
    <t>Poesie portoghese e sivigliane</t>
  </si>
  <si>
    <t>Genova : Stablimento Typ. Ved. Papini e Figli</t>
  </si>
  <si>
    <t>CAM. 84 V.</t>
  </si>
  <si>
    <t>http://id.bnportugal.gov.pt/bib/catbnp/808536</t>
  </si>
  <si>
    <t>https://bndigital.bnportugal.gov.pt//i/?IIIF=/ae/13/d9/fc/ae13d9fc-af5b-41fa-9c73-13677994f5c1/iiif/cam-84-v_0000_000007.tif/full/!300,500/0/default.jpg</t>
  </si>
  <si>
    <t>Sueco</t>
  </si>
  <si>
    <t>Nãgra dikter</t>
  </si>
  <si>
    <t>Upsala : Harald Wretmans Boktryckeri</t>
  </si>
  <si>
    <t>20 p.</t>
  </si>
  <si>
    <t>Björkman, Göran, 1860-1923, Tradutor</t>
  </si>
  <si>
    <t>CAM. 95 V.</t>
  </si>
  <si>
    <t>http://id.bnportugal.gov.pt/bib/catbnp/808766</t>
  </si>
  <si>
    <t>Episodio do Gigante Adamastor</t>
  </si>
  <si>
    <t>Lusiadas, Canto V, Est. XXXVII-LXX</t>
  </si>
  <si>
    <t>Lisboa : Imp. Nacional</t>
  </si>
  <si>
    <t>48, 1 p.</t>
  </si>
  <si>
    <t>Benoliel, Joseph, 1873-1932</t>
  </si>
  <si>
    <t>L. 31751 V.</t>
  </si>
  <si>
    <t>http://id.bnportugal.gov.pt/bib/catbnp/810040</t>
  </si>
  <si>
    <t>Português ; Italiano ; Espanhol ; Francês</t>
  </si>
  <si>
    <t>A epopéa das navegações portuguezas</t>
  </si>
  <si>
    <t>estrophes</t>
  </si>
  <si>
    <t>27, 5 p.</t>
  </si>
  <si>
    <t>Cunha, Xavier da, 1840-1920</t>
  </si>
  <si>
    <t>Vilhena, Ernesto Jardim de, 1876-1967, Antigo possuidor ; Peragallo, Prospero, 1823-1916, Tradutor ; Lamarque de Novoa, José, Tradutor ; Benoliel, Joseph, 1873-1932, Tradutor</t>
  </si>
  <si>
    <t>L. 5627 V.</t>
  </si>
  <si>
    <t>http://id.bnportugal.gov.pt/bib/catbnp/810055</t>
  </si>
  <si>
    <t>https://bndigital.bnportugal.gov.pt//i/?IIIF=/34/41/92/cf/344192cf-3708-4802-9818-a45312b9e82b/iiif/cam-83-4-v_0000_000001.tif/full/!300,500/0/default.jpg</t>
  </si>
  <si>
    <t>https://bndigital.bnportugal.gov.pt//i/?IIIF=/79/72/60/1d/7972601d-e856-49df-bc77-f7e76667a402/iiif/cam-96-v_0007.tif/full/!300,500/0/default.jpg</t>
  </si>
  <si>
    <t>Sesion de la Real Academia Española à que asistió S. M. el Emperador del Brasil</t>
  </si>
  <si>
    <t>Madrid : Imprenta y Estereotipia de M. Rivadeneyra</t>
  </si>
  <si>
    <t>177, 1 br. p.</t>
  </si>
  <si>
    <t>Cueto, Leopoldo Augusto de, 1815-1901</t>
  </si>
  <si>
    <t>Valera, Juan, 1824-1905, Autor</t>
  </si>
  <si>
    <t>Real Academia Española, Editor literário</t>
  </si>
  <si>
    <t>CAM. 96 V.</t>
  </si>
  <si>
    <t>http://id.bnportugal.gov.pt/bib/catbnp/810381</t>
  </si>
  <si>
    <t>Comunicações de Leopoldo Augusto de Cueto e Juan Valera</t>
  </si>
  <si>
    <t>homenagem aos antigos heróis portuguezes e sobre todos ao seu divino cantor Luís de Camões</t>
  </si>
  <si>
    <t>Porto : Typ. Nacional</t>
  </si>
  <si>
    <t>32 p.</t>
  </si>
  <si>
    <t>Brito, Rosalino Cândido de Sampaio e</t>
  </si>
  <si>
    <t>CAM. 120//1 V.</t>
  </si>
  <si>
    <t>http://id.bnportugal.gov.pt/bib/catbnp/847196</t>
  </si>
  <si>
    <t>A leitura dos Lusiadas</t>
  </si>
  <si>
    <t>Porto : Imprensa Ferreira de Brito</t>
  </si>
  <si>
    <t>Campos, Alfredo, 1847-1906</t>
  </si>
  <si>
    <t>CAM. 130//3 V.</t>
  </si>
  <si>
    <t>http://id.bnportugal.gov.pt/bib/catbnp/851350</t>
  </si>
  <si>
    <t>O pranto de Camões</t>
  </si>
  <si>
    <t>Porto : Livraria Civilisação</t>
  </si>
  <si>
    <t>18 f.</t>
  </si>
  <si>
    <t>Araújo, Horácio de, fl. 1890-1893</t>
  </si>
  <si>
    <t>CAM. 184 V.</t>
  </si>
  <si>
    <t>http://id.bnportugal.gov.pt/bib/catbnp/852833</t>
  </si>
  <si>
    <t>https://bndigital.bnportugal.gov.pt//i/?IIIF=/7c/8e/0c/32/7c8e0c32-7301-4cec-97d8-dff5af8467bc/iiif/cam-254-4-v_0000_000001.tif/full/!300,500/0/default.jpg</t>
  </si>
  <si>
    <t>Notas para uma edição crítica e comentada dos Lusíadas</t>
  </si>
  <si>
    <t>Coimbra : Impr. da Universidade</t>
  </si>
  <si>
    <t>63 p.</t>
  </si>
  <si>
    <t>Rodrigues, José Maria, 1857-1942</t>
  </si>
  <si>
    <t>CAM. 254//4 V.</t>
  </si>
  <si>
    <t>http://id.bnportugal.gov.pt/bib/catbnp/859037</t>
  </si>
  <si>
    <t>https://bndigital.bnportugal.gov.pt//i/?IIIF=/3c/74/9e/7c/3c749e7c-418e-4e81-93bd-79e9cd23c0b5/iiif/cam-374-9-v_0001.tif/full/!300,500/0/default.jpg</t>
  </si>
  <si>
    <t>O brazão do apellido de Camões</t>
  </si>
  <si>
    <t>Coimbra : Impr. Litteraria</t>
  </si>
  <si>
    <t>CAM. 289//10 V.</t>
  </si>
  <si>
    <t>http://id.bnportugal.gov.pt/bib/catbnp/865410</t>
  </si>
  <si>
    <t>O brasão do apelido de Camões</t>
  </si>
  <si>
    <t>https://bndigital.bnportugal.gov.pt//i/?IIIF=/fc/4a/4e/ae/fc4a4eae-d17b-452f-bacc-9d746943ce50/iiif/cam-75-2-v_0000_000001.tif/full/!300,500/0/default.jpg</t>
  </si>
  <si>
    <t>Épisode d'Inês de Castro, imité du portugais, de Camoens</t>
  </si>
  <si>
    <t>Porto : Circulo Camoniano</t>
  </si>
  <si>
    <t>Cournand, Antoine de</t>
  </si>
  <si>
    <t>Tomás, Aníbal Fernandes, 1849-1911</t>
  </si>
  <si>
    <t>CAM. 75//2 V.</t>
  </si>
  <si>
    <t>http://id.bnportugal.gov.pt/bib/catbnp/874327</t>
  </si>
  <si>
    <t>Tiragem limitada</t>
  </si>
  <si>
    <t>https://bndigital.bnportugal.gov.pt//i/?IIIF=/2d/6c/e2/cf/2d6ce2cf-28e6-40d1-845f-f33a70f941bc/iiif/e-103-r_0000_000001.tif/full/!300,500/0/default.jpg</t>
  </si>
  <si>
    <t>Terceiro Centenário de Camões - Botafogo - Rio de Janeiro</t>
  </si>
  <si>
    <t>Rio de Janeiro : Com. Promot. do Cent. de Camões</t>
  </si>
  <si>
    <t>Off, Augusto, fl. ca. 1880</t>
  </si>
  <si>
    <t>E. 103 R.</t>
  </si>
  <si>
    <t>http://id.bnportugal.gov.pt/bib/catbnp/917387</t>
  </si>
  <si>
    <t>https://bndigital.bnportugal.gov.pt//i/?IIIF=/9c/66/7e/93/9c667e93-bd4b-41e5-a06b-b0d8bc6a589f/iiif/e-192-r_0000_000001.tif/full/!300,500/0/default.jpg</t>
  </si>
  <si>
    <t>1 rep. de obra de arte</t>
  </si>
  <si>
    <t>E. 192 R.</t>
  </si>
  <si>
    <t>http://id.bnportugal.gov.pt/bib/catbnp/931586</t>
  </si>
  <si>
    <t>Derniers moments de Camoëns</t>
  </si>
  <si>
    <t>Dulong, Lustrel, 18--</t>
  </si>
  <si>
    <t>Dulong, Jean-Louis, 1800-1868, Antecedente bibliográfico</t>
  </si>
  <si>
    <t>PURL 12259/0</t>
  </si>
  <si>
    <t>http://id.bnportugal.gov.pt/bib/catbnp/950676</t>
  </si>
  <si>
    <t>Le Camoens</t>
  </si>
  <si>
    <t>Meunier, Jean-Baptiste, 1821-1900</t>
  </si>
  <si>
    <t>Degrox, H., ca 1880, Autor</t>
  </si>
  <si>
    <t>Wappers, Gustave, 1803-1874, Antecedente bibliográfico</t>
  </si>
  <si>
    <t>PURL 12253/0</t>
  </si>
  <si>
    <t>http://id.bnportugal.gov.pt/bib/catbnp/950691</t>
  </si>
  <si>
    <t>https://bndigital.bnportugal.gov.pt//i/?IIIF=/1a/06/71/22/1a067122-e60e-4b4e-bef4-aecdf1f01e1c/iiif/e-360-r_0000_000001.tif/full/!300,500/0/default.jpg</t>
  </si>
  <si>
    <t>5.º anno</t>
  </si>
  <si>
    <t>Metrass, Francisco Augusto, 1825-1861</t>
  </si>
  <si>
    <t>Sousa, Joaquim Pedro de, 1822-1878, Litógrafo ; Lopes, Domingos Francisco, fl. 1835-ca 1874, Impressor</t>
  </si>
  <si>
    <t>Sociedade Promotora das Belas Artes em Portugal, Nome associado</t>
  </si>
  <si>
    <t>E. 360 R.</t>
  </si>
  <si>
    <t>http://id.bnportugal.gov.pt/bib/catbnp/959409</t>
  </si>
  <si>
    <t>https://bndigital.bnportugal.gov.pt//i/?IIIF=/be/78/ab/86/be78ab86-315c-4ba6-b63a-b558416c403f/iiif/cam-1394-p_0000_000003.tif/full/!300,500/0/default.jpg</t>
  </si>
  <si>
    <t>discursos e poesias recitados pelos alumnos e alumnas das aulas da Ordem Terceira do Carmo por ocasião do tricentenário de Camões</t>
  </si>
  <si>
    <t>Porto : Typ. Alexandre da Fonseca Vasconcellos</t>
  </si>
  <si>
    <t>Vasconcelos, Alexandre da Fonseca, 18--</t>
  </si>
  <si>
    <t>CAM. 1394 P.</t>
  </si>
  <si>
    <t>http://id.bnportugal.gov.pt/bib/catbnp/1025381</t>
  </si>
  <si>
    <t>dedicado à digna Commissão dos Festejos a Camões em 1880</t>
  </si>
  <si>
    <t>Lisboa : V. S.</t>
  </si>
  <si>
    <t>1 cartaz</t>
  </si>
  <si>
    <t>Verol Sénior, 1814-1898</t>
  </si>
  <si>
    <t>Casanova, Enrique, 1850-1913, Técnico gráfico</t>
  </si>
  <si>
    <t>CT. 569 V.</t>
  </si>
  <si>
    <t>http://id.bnportugal.gov.pt/bib/catbnp/1044776</t>
  </si>
  <si>
    <t>https://bndigital.bnportugal.gov.pt//i/?IIIF=/cf/7c/9e/01/cf7c9e01-20f2-461f-934f-f7fb2ac7283c/iiif/cam-10-a_0007.tif/full/!300,500/0/default.jpg</t>
  </si>
  <si>
    <t>Português ; Espanhol</t>
  </si>
  <si>
    <t>Rimas varias</t>
  </si>
  <si>
    <t>Lisboa : en la Imprenta Craesbeeckiana</t>
  </si>
  <si>
    <t>4, 207, 1 br., 339 p.</t>
  </si>
  <si>
    <t>Melo, Garcia de, ?- 1706, Personalidade a quem é dedicada a obra ; Melo, António Craesbeeck de, fl. 1685, Autor da dedicatória ; Sousa, Manuel de Faria e, 1590-1649, Comentador (em meio audiovisual) ; Gama, fl. séc. 18, Antigo possuidor ; Gordo, Joaquim José Ferreira, 1758-1838, Antigo possuidor ; Silva, Leão de Araújo, fl. séc. 18, Antigo possuidor</t>
  </si>
  <si>
    <t>Oficina Craesbeeckiana, Impressor</t>
  </si>
  <si>
    <t>CAM. 10 A.</t>
  </si>
  <si>
    <t>http://id.bnportugal.gov.pt/bib/catbnp/1066418</t>
  </si>
  <si>
    <t>https://bndigital.bnportugal.gov.pt//i/?IIIF=/19/b5/c6/f0/19b5c6f0-4f74-423e-963e-83719775b540/iiif/cam-1475-p_0007.tif/full/!300,500/0/default.jpg</t>
  </si>
  <si>
    <t>dramma lirico in tre atti da rappresentarsi nel Regio Teatro il Carnevale Quaresima 1852 alla presenza delle IL. SS. RR. MM.</t>
  </si>
  <si>
    <t>Torino : Off. Tipografica e Litografica di Giuseppe Fodratti</t>
  </si>
  <si>
    <t>10, 52 p.</t>
  </si>
  <si>
    <t>Cortesi, Antonio, fl. 1823-1852, Libretista ; Sanelli, Gualtiero, 1816-1861, Maestro ; Codedó, Andrea, 18--, Libretista</t>
  </si>
  <si>
    <t>CAM. 1475 P.</t>
  </si>
  <si>
    <t>http://id.bnportugal.gov.pt/bib/catbnp/1073960</t>
  </si>
  <si>
    <t>Contém: La Vivandiera al campo del Re di Prussia / composto e diretto da Antonio Cortesi. - 49-52</t>
  </si>
  <si>
    <t>https://bndigital.bnportugal.gov.pt//i/?IIIF=/97/f3/a3/73/97f3a373-3a12-49ac-9f2d-d9afbb88c8c5/iiif/cam-987-p_0000_000001.tif/full/!300,500/0/default.jpg</t>
  </si>
  <si>
    <t>Almanach Camões para...</t>
  </si>
  <si>
    <t>Porto : Empreza do Semanario "O Camões"</t>
  </si>
  <si>
    <t>Leal, António Augusto, ca 18 --, Autor da introdução, etc.</t>
  </si>
  <si>
    <t>TR. 6015//1 P.</t>
  </si>
  <si>
    <t>http://id.bnportugal.gov.pt/bib/catbnp/1076546</t>
  </si>
  <si>
    <t>Almanaque Camões para...</t>
  </si>
  <si>
    <t>Grotte du Camoens dans le jardin de M. Perira, a Macao (Chine)</t>
  </si>
  <si>
    <t>Bichebois, Louis-Philippe-Alphonse, 1801-1850</t>
  </si>
  <si>
    <t>Bayot, Alphonse Jean Baptiste, 1810-?, Autor</t>
  </si>
  <si>
    <t>La Touanne, Edmond, ca 1830, Antecedente bibliográfico</t>
  </si>
  <si>
    <t>PURL 6233/0</t>
  </si>
  <si>
    <t>http://id.bnportugal.gov.pt/bib/catbnp/1306834</t>
  </si>
  <si>
    <t>https://bndigital.bnportugal.gov.pt//i/?IIIF=/67/fa/fb/81/67fafb81-116d-4ab4-b085-fb4022574959/iiif/mpp-26-1-a_0000_000001.tif/full/!300,500/0/default.jpg</t>
  </si>
  <si>
    <t>O genio de Camões</t>
  </si>
  <si>
    <t>Romança</t>
  </si>
  <si>
    <t>Lisboa : J. I. Canongia &amp; C.ª</t>
  </si>
  <si>
    <t>Partitura (6 p.)</t>
  </si>
  <si>
    <t>Pinto, Francisco António Norberto dos Santos, 1815-1860</t>
  </si>
  <si>
    <t>Romano, José, 1825-1887, Autor de letras para trechos musicais ; Vieira, Ernesto, 1848-1915, Antigo possuidor</t>
  </si>
  <si>
    <t>J. I. Canongia e C.ª, Editor comercial</t>
  </si>
  <si>
    <t>M.P.P. 26//1 A.</t>
  </si>
  <si>
    <t>http://id.bnportugal.gov.pt/bib/catbnp/1313328</t>
  </si>
  <si>
    <t>O génio de Camões.</t>
  </si>
  <si>
    <t>https://bndigital.bnportugal.gov.pt//i/?IIIF=/11/82/e8/05/1182e805-ff50-4225-b6c0-2be2c44f7f1d/iiif/pi-27899-p_0000_000001.tif/full/!300,500/0/default.jpg</t>
  </si>
  <si>
    <t>Old Goa</t>
  </si>
  <si>
    <t>statue of poet Camoes</t>
  </si>
  <si>
    <t>1 postal</t>
  </si>
  <si>
    <t>P.I. 27899 P.</t>
  </si>
  <si>
    <t>http://id.bnportugal.gov.pt/bib/catbnp/1376687</t>
  </si>
  <si>
    <t>https://bndigital.bnportugal.gov.pt//i/?IIIF=/90/a7/b9/b1/90a7b9b1-9a8d-4481-bdf7-b9ba1c46c55f/iiif/pi-27904-p_0000_000001.tif/full/!300,500/0/default.jpg</t>
  </si>
  <si>
    <t>Camoes Grotto - Macao</t>
  </si>
  <si>
    <t>Hong Kong : M. Sternberg.</t>
  </si>
  <si>
    <t>P.I. 27904 P.</t>
  </si>
  <si>
    <t>http://id.bnportugal.gov.pt/bib/catbnp/1376717</t>
  </si>
  <si>
    <t>https://bndigital.bnportugal.gov.pt//i/?IIIF=/e9/a5/d9/de/e9a5d9de-9cd0-45ad-8bc7-5bf81c2b6f5f/iiif/e-49-p_0000_000001.tif/full/!300,500/0/default.jpg</t>
  </si>
  <si>
    <t>Mort de Camoëns</t>
  </si>
  <si>
    <t>Guérin, Simon, 1812-1850</t>
  </si>
  <si>
    <t>Leullier, Louis Félix, 1811-1882, Antecedente bibliográfico</t>
  </si>
  <si>
    <t>Petit &amp; Bertauts, Impressor</t>
  </si>
  <si>
    <t>PURL 13721/0</t>
  </si>
  <si>
    <t>http://id.bnportugal.gov.pt/bib/catbnp/1380949</t>
  </si>
  <si>
    <t>https://bndigital.bnportugal.gov.pt//i/?IIIF=/24/1a/20/23/241a2023-5c24-445d-a049-5ba8d80cace3/iiif/e-50-p_0000_000001.tif/full/!300,500/0/default.jpg</t>
  </si>
  <si>
    <t>dequelle cuia lyra sonorosa será mais affamada que ditosa</t>
  </si>
  <si>
    <t>Gérard, François, 1770-1837, Antecedente bibliográfico ; Visconti, L., ca 1817, Antecedente bibliográfico</t>
  </si>
  <si>
    <t>Lignon, Étienne Frédéric, 1779-1833, Antecedente bibliográfico</t>
  </si>
  <si>
    <t>PURL 13722/0</t>
  </si>
  <si>
    <t>http://id.bnportugal.gov.pt/bib/catbnp/1381028</t>
  </si>
  <si>
    <t>Título atribuído pelo catalogador</t>
  </si>
  <si>
    <t>https://bndigital.bnportugal.gov.pt//i/?IIIF=/33/3c/50/9e/333c509e-9a7c-4a79-ad74-a9e03d120e37/iiif/e-51-p_0000_000001.tif/full/!300,500/0/default.jpg</t>
  </si>
  <si>
    <t>Exposição de 1843</t>
  </si>
  <si>
    <t>esbocete modelado em barro pelo Sr. F. de Assis Rodrigues</t>
  </si>
  <si>
    <t>Fonseca, António Manuel da, 1796-1890</t>
  </si>
  <si>
    <t>Marques, Joaquim António, 1821-1885, Artista</t>
  </si>
  <si>
    <t>Legrand, C., fl. 1839-1847, Litógrafo ; Rodrigues, Francisco de Assis, 1801-1877, Antecedente bibliográfico</t>
  </si>
  <si>
    <t>Litografia de Manuel Luís da Costa, Impressor</t>
  </si>
  <si>
    <t>PURL 13740/0</t>
  </si>
  <si>
    <t>http://id.bnportugal.gov.pt/bib/catbnp/1381084</t>
  </si>
  <si>
    <t>Camões coroado pelo génio da nação</t>
  </si>
  <si>
    <t>https://bndigital.bnportugal.gov.pt//i/?IIIF=/71/67/71/ac/716771ac-0530-4a07-906d-9ce1a0962f09/iiif/e-52-p_0000_000001.tif/full/!300,500/0/default.jpg</t>
  </si>
  <si>
    <t>Legrand, C., fl. 1839-1847</t>
  </si>
  <si>
    <t>PURL 13738/0</t>
  </si>
  <si>
    <t>http://id.bnportugal.gov.pt/bib/catbnp/1381142</t>
  </si>
  <si>
    <t>https://bndigital.bnportugal.gov.pt//i/?IIIF=/37/29/d6/48/3729d648-1fb0-42ea-86da-0b3cda4b47f6/iiif/e-53-p_0000_000001.tif/full/!300,500/0/default.jpg</t>
  </si>
  <si>
    <t>para ser-vos braço as armas feito...</t>
  </si>
  <si>
    <t>PURL 13739/0</t>
  </si>
  <si>
    <t>http://id.bnportugal.gov.pt/bib/catbnp/1381247</t>
  </si>
  <si>
    <t>https://bndigital.bnportugal.gov.pt//i/?IIIF=/33/44/56/1d/3344561d-810e-449d-b22a-42940397353a/iiif/e-94-p_0000_000001.tif/full/!300,500/0/default.jpg</t>
  </si>
  <si>
    <t>E. 94 P.</t>
  </si>
  <si>
    <t>http://id.bnportugal.gov.pt/bib/catbnp/1384320</t>
  </si>
  <si>
    <t>https://bndigital.bnportugal.gov.pt//i/?IIIF=/69/3f/3b/06/693f3b06-26c3-404a-a10b-2612753e34bf/iiif/e-371-p_0000_000001.tif/full/!300,500/0/default.jpg</t>
  </si>
  <si>
    <t>In utrunque paratus</t>
  </si>
  <si>
    <t>fama volans cita...</t>
  </si>
  <si>
    <t>Allet, Jean Charles, ca. 1668-1732?</t>
  </si>
  <si>
    <t>E. 371 P.</t>
  </si>
  <si>
    <t>http://id.bnportugal.gov.pt/bib/catbnp/1651190</t>
  </si>
  <si>
    <t>https://bndigital.bnportugal.gov.pt//i/?IIIF=/66/1d/2b/82/661d2b82-89fe-40d8-82c3-bc5fd993945f/iiif/e-596-p_0000_000001.tif/full/!300,500/0/default.jpg</t>
  </si>
  <si>
    <t>Lisbonne</t>
  </si>
  <si>
    <t>bronze de Victor Bastos</t>
  </si>
  <si>
    <t>E. R., fl. 1880</t>
  </si>
  <si>
    <t>Bastos, Vítor, 1831-1894, Antecedente bibliográfico</t>
  </si>
  <si>
    <t>E. 596 P.</t>
  </si>
  <si>
    <t>http://id.bnportugal.gov.pt/bib/catbnp/1669786</t>
  </si>
  <si>
    <t>É também de admitir que a 2.ª inicial do nome do autor seja um "P", pois o que julgamos, como E. Soares, tratar-se da perna de um "R" ainda que pouco incisa, poderá configurar um mero traço da composição</t>
  </si>
  <si>
    <t>https://bndigital.bnportugal.gov.pt//i/?IIIF=/ff/0e/25/81/ff0e2581-9e34-4e16-8533-d98f127e59ab/iiif/ct-3944-r_0000_000001.tif/full/!300,500/0/default.jpg</t>
  </si>
  <si>
    <t>Semana Camoneana em Lisboa</t>
  </si>
  <si>
    <t>3 a 10 de Junho de 1924</t>
  </si>
  <si>
    <t>CT. 3944 R.</t>
  </si>
  <si>
    <t>http://id.bnportugal.gov.pt/bib/catbnp/1671826</t>
  </si>
  <si>
    <t>https://bndigital.bnportugal.gov.pt//i/?IIIF=/73/cf/9d/f7/73cf9df7-d8e7-4fc5-ba8c-ade1184e8a61/iiif/e-5098-p_0000_000001.tif/full/!300,500/0/default.jpg</t>
  </si>
  <si>
    <t>Os netos dos varões assignalados...</t>
  </si>
  <si>
    <t>História seculo XV</t>
  </si>
  <si>
    <t>Ribeiro, Tomás, 1831-1901, Autor ; Pinheiro, Raphael Bordallo, 1846-1905, Autor</t>
  </si>
  <si>
    <t>Litografia da Companhia Nacional Editora, Impressor</t>
  </si>
  <si>
    <t>E. 5098 P.</t>
  </si>
  <si>
    <t>http://id.bnportugal.gov.pt/bib/catbnp/1684166</t>
  </si>
  <si>
    <t>Grande vinheta com motivos neo-medievais e figuras alusivas aos Descobrimentos, esboço de pormenor da baía de Guanabara e, na margem sup., o busto de Campos Sales, Presidente da República do Brasil</t>
  </si>
  <si>
    <t>https://bndigital.bnportugal.gov.pt//i/?IIIF=/a1/70/7e/52/a1707e52-7a21-4019-9844-bcd1b4aa3b5e/iiif/cn-1144-a_0000_000001.tif/full/!300,500/0/default.jpg</t>
  </si>
  <si>
    <t>Partitura</t>
  </si>
  <si>
    <t>Supplica d'Amor</t>
  </si>
  <si>
    <t>Lisboa : Lith. Castro R. Douradores 10</t>
  </si>
  <si>
    <t>Partitura (4 p.)</t>
  </si>
  <si>
    <t>Vargas Júnior, José Heliodoro, 1835-1920</t>
  </si>
  <si>
    <t>Camões, Luís de, 1524-1580, Autor</t>
  </si>
  <si>
    <t>Portugal. Conservatório Nacional. Escola de Música, Antigo possuidor</t>
  </si>
  <si>
    <t>C.N. 1144 A.</t>
  </si>
  <si>
    <t>http://id.bnportugal.gov.pt/bib/catbnp/1718418</t>
  </si>
  <si>
    <t>Supplica d'Amor,</t>
  </si>
  <si>
    <t>https://bndigital.bnportugal.gov.pt//i/?IIIF=/43/dc/ad/d7/43dcadd7-d5f5-4535-9b8b-5e60b7c0ad16/iiif/cn-1008-a_0000_000001.tif/full/!300,500/0/default.jpg</t>
  </si>
  <si>
    <t>Fado Camões</t>
  </si>
  <si>
    <t>Fado para piano</t>
  </si>
  <si>
    <t>Lisboa : Lith. Palhares T. da Palha 15</t>
  </si>
  <si>
    <t>Partitura (2 p.)</t>
  </si>
  <si>
    <t>Braga, Carlos Augusto Alves, 1842-1888</t>
  </si>
  <si>
    <t>Portugal. Conservatório Nacional. Escola de Música, Antigo possuidor ; Litografia Palhares. Conservatório Nacional. Escola de Música, Impressor</t>
  </si>
  <si>
    <t>C.N. 1008 A.</t>
  </si>
  <si>
    <t>http://id.bnportugal.gov.pt/bib/catbnp/1724855</t>
  </si>
  <si>
    <t>Fado,</t>
  </si>
  <si>
    <t>https://bndigital.bnportugal.gov.pt//i/?IIIF=/1a/e2/14/14/1ae21414-7a32-4a7d-89b1-c58db9a772ee/iiif/d-327-p_0000_000001.tif/full/!300,500/0/default.jpg</t>
  </si>
  <si>
    <t>A morte de Camões</t>
  </si>
  <si>
    <t>D. 327 P.</t>
  </si>
  <si>
    <t>http://id.bnportugal.gov.pt/bib/catbnp/1752559</t>
  </si>
  <si>
    <t>Provável preparação para litografia</t>
  </si>
  <si>
    <t>https://bndigital.bnportugal.gov.pt//i/?IIIF=/68/90/e9/63/6890e963-328e-4ebd-ba24-ab70de40bc15/iiif/e-1688-p_0000_000001.tif/full/!300,500/0/default.jpg</t>
  </si>
  <si>
    <t>Camoens, principe de los poetas portugueses</t>
  </si>
  <si>
    <t>E. 1688 P.</t>
  </si>
  <si>
    <t>http://id.bnportugal.gov.pt/bib/catbnp/1779910</t>
  </si>
  <si>
    <t>https://bndigital.bnportugal.gov.pt//i/?IIIF=/43/35/c0/8c/4335c08c-d936-42e4-a9c2-aafd7f06386e/iiif/e-3389-p_0000_000001.tif/full/!300,500/0/default.jpg</t>
  </si>
  <si>
    <t>Le Camoens appuyé sur des debris du vaisseau</t>
  </si>
  <si>
    <t>Vernet, Horace, 1789-1863, Antecedente bibliográfico ; Lefèvre, fl. 18, Impressor ; Nyon, fl. 18--, Impressor</t>
  </si>
  <si>
    <t>E. 3389 P.</t>
  </si>
  <si>
    <t>http://id.bnportugal.gov.pt/bib/catbnp/1784317</t>
  </si>
  <si>
    <t>Título segundo nota ms. na margem inferior</t>
  </si>
  <si>
    <t>https://bndigital.bnportugal.gov.pt//i/?IIIF=/77/13/3c/98/77133c98-3727-4a8b-8023-3640c6aa758c/iiif/e-157-pq_0000_000001.tif/full/!300,500/0/default.jpg</t>
  </si>
  <si>
    <t>Luiz de Camoes</t>
  </si>
  <si>
    <t>Apollo portuguez honra de Espanha nasceu 1524, morreo 1570, optimo poetñ Lt. Baro de Dillon dedicavit 1782</t>
  </si>
  <si>
    <t>Aquino, Tomás José de, 1718/20-1804, Editor literário ; Costa, José Lúcio da, 1763-fl. até 1810, Gravador (aguafortista) ; Dillon, John Talbot, 1739-1805, Antecedente bibliográfico</t>
  </si>
  <si>
    <t>E. 157 PQ.</t>
  </si>
  <si>
    <t>http://id.bnportugal.gov.pt/bib/catbnp/1790475</t>
  </si>
  <si>
    <t>https://bndigital.bnportugal.gov.pt//i/?IIIF=/08/cf/57/16/08cf5716-9c50-4274-b8e1-245c41b95fe2/iiif/l-116593-p_0000_000001.tif/full/!300,500/0/default.jpg</t>
  </si>
  <si>
    <t>Rio de Janeiro : Edições de Ouro</t>
  </si>
  <si>
    <t>788, 12 p.</t>
  </si>
  <si>
    <t>Bueno, Francisco da Silveira, 1898-, Editor literário</t>
  </si>
  <si>
    <t>L. 116593 P.</t>
  </si>
  <si>
    <t>http://id.bnportugal.gov.pt/bib/catbnp/1888900</t>
  </si>
  <si>
    <t>https://bndigital.bnportugal.gov.pt//i/?IIIF=/4d/0f/18/76/4d0f1876-73ce-4910-adfa-0eaa756f89f0/iiif/e-160-pq_0000_000001.tif/full/!300,500/0/default.jpg</t>
  </si>
  <si>
    <t>A leitura dos "Lusíadas"</t>
  </si>
  <si>
    <t>aguarela de Roque Gameiro</t>
  </si>
  <si>
    <t>Marinho, José Pires, 1857-1929?, Gravador em madeira ; Gameiro, Alfredo Roque, 1864-1935, Nome associado</t>
  </si>
  <si>
    <t>E. 160 PQ.</t>
  </si>
  <si>
    <t>http://id.bnportugal.gov.pt/bib/catbnp/1891325</t>
  </si>
  <si>
    <t>Título ms. a tinta preta, na margem inferior, fora da esquadria</t>
  </si>
  <si>
    <t>https://bndigital.bnportugal.gov.pt//i/?IIIF=/3f/ed/05/26/3fed0526-7a12-406e-b0a2-09f1a0c89145/iiif/fcr-280-a_0000_000001.tif/full/!300,500/0/default.jpg</t>
  </si>
  <si>
    <t>Souvenir de Camões</t>
  </si>
  <si>
    <t>suite de valses pour piano</t>
  </si>
  <si>
    <t>Lisboa : Lence &amp; V.ª Canongia</t>
  </si>
  <si>
    <t>Marti, Manoel, 1819-1873</t>
  </si>
  <si>
    <t>Sousa, Joaquim Pedro de, 1822-1878, Gravador</t>
  </si>
  <si>
    <t>Lence e Viúva Canongia. Instituto Português do Património Cultural. Departamento de Musicologia, Editor comercial ; Portugal. Instituto Português do Património Cultural. Departamento de Musicologia, Antigo possuidor ; Lence. Instituto Português do Património Cultural. Departamento de Musicologia</t>
  </si>
  <si>
    <t>F.C.R. 280 A.</t>
  </si>
  <si>
    <t>http://id.bnportugal.gov.pt/bib/catbnp/1915110</t>
  </si>
  <si>
    <t>Dediees à la Digne Commission du Monument</t>
  </si>
  <si>
    <t>Valsas,</t>
  </si>
  <si>
    <t>https://bndigital.bnportugal.gov.pt//i/?IIIF=/4e/e2/ae/43/4ee2ae43-d45b-4877-8c13-44080e019b4f/iiif/pi-1152-p_0000_000001.tif/full/!300,500/0/default.jpg</t>
  </si>
  <si>
    <t>Camões e as tágides</t>
  </si>
  <si>
    <t>quadro de Columbano</t>
  </si>
  <si>
    <t>Lisbonne : F.A.Martins</t>
  </si>
  <si>
    <t>Columbano, 1857-1929</t>
  </si>
  <si>
    <t>Martins, F.A., fl. 1867-1916, Editor comercial</t>
  </si>
  <si>
    <t>P.I. 1152 P.</t>
  </si>
  <si>
    <t>http://id.bnportugal.gov.pt/bib/catbnp/1976927</t>
  </si>
  <si>
    <t>https://bndigital.bnportugal.gov.pt//i/?IIIF=/b8/68/3a/99/b8683a99-f6b6-42ae-b35c-09707c6ceef1/iiif/1979399_0000_000001.tif/full/!300,500/0/default.jpg</t>
  </si>
  <si>
    <t>Biblioteca Nacional</t>
  </si>
  <si>
    <t>Lisboa : Biblioteca Nacional</t>
  </si>
  <si>
    <t>1 estampa</t>
  </si>
  <si>
    <t>Portugal. Biblioteca Nacional</t>
  </si>
  <si>
    <t>EL 1</t>
  </si>
  <si>
    <t>http://id.bnportugal.gov.pt/bib/catbnp/1979399</t>
  </si>
  <si>
    <t>Ex libris composto pelo nome da instituição e uma reprodução de gravura representando Luís de Camões salvando o manuscrito de "Os Lusíadas"</t>
  </si>
  <si>
    <t>https://bndigital.bnportugal.gov.pt//i/?IIIF=/99/8c/5b/d7/998c5bd7-b96e-4664-ac24-14a646bdaba0/iiif/1979400_0000_000001.tif/full/!300,500/0/default.jpg</t>
  </si>
  <si>
    <t>Biblioteca Nacional de Lisboa</t>
  </si>
  <si>
    <t>EL 2</t>
  </si>
  <si>
    <t>http://id.bnportugal.gov.pt/bib/catbnp/1979400</t>
  </si>
  <si>
    <t>https://bndigital.bnportugal.gov.pt//i/?IIIF=/af/b3/2d/58/afb32d58-23e5-47d0-90b7-ecfb2e365869/iiif/cod-3785_0013.tif/full/!300,500/0/default.jpg</t>
  </si>
  <si>
    <t>; Espanhol</t>
  </si>
  <si>
    <t>Ramilhete de fragrantes, e engraçadas flores Colhidas Por varias e diuersas mãos dos amenos bosques do Pindo e vistozos prados do Parnazo, E Regadas das lizongeiras correntes de Aganipe.</t>
  </si>
  <si>
    <t>XI, 195 f., enc.</t>
  </si>
  <si>
    <t>Tojal, Pedro de Azevedo, 16---1742, Autor ; Céu, Violante do, 1601-1693, Autor ; Rojas Zorilla, Francisco de, 1607-1648, Autor ; Baía, Jerónimo, 1620-1688, Autor ; Meneses, Maria de Lara e, 1610-1649, Autor ; Camões, Luís de, 1524-1580, Autor ; Noronha, Tomás de, ?-1651, Autor ; Macedo, Duarte Ribeiro de, 1618-1680, Autor ; Góngora y Argote, Luis de, 1561-1627, Autor ; Bacelar, António Barbosa, 1610-1663, Autor</t>
  </si>
  <si>
    <t>COD. 3785</t>
  </si>
  <si>
    <t>http://id.bnportugal.gov.pt/bib/catbnp/2129622</t>
  </si>
  <si>
    <t>Cópia coeva</t>
  </si>
  <si>
    <t>Texto em português e espanhol</t>
  </si>
  <si>
    <t>Index. De todas as flores Contheudas neste Ramilhete. (f. IX-XI)</t>
  </si>
  <si>
    <t>https://bndigital.bnportugal.gov.pt//i/?IIIF=/d1/36/87/6f/d136876f-a0f8-4fef-8995-9f24cacde63a/iiif/cam-191-a_0001.tif/full/!300,500/0/default.jpg</t>
  </si>
  <si>
    <t>Homenagem a Camoes</t>
  </si>
  <si>
    <t>Op. 30</t>
  </si>
  <si>
    <t>Porto : J. Carli</t>
  </si>
  <si>
    <t>Carli, Jacopo</t>
  </si>
  <si>
    <t>C.I.C. 204 A.</t>
  </si>
  <si>
    <t>http://id.bnportugal.gov.pt/bib/catbnp/586409</t>
  </si>
  <si>
    <t>Marchas.</t>
  </si>
  <si>
    <t>https://bndigital.bnportugal.gov.pt//i/?IIIF=/bb/ff/9c/fc/bbff9cfc-bd5d-4f34-a253-958907761f51/iiif/cam-114-1-v_0000_000001.tif/full/!300,500/0/default.jpg</t>
  </si>
  <si>
    <t>Luiz de Camões, ses oeuvres et sa littérature</t>
  </si>
  <si>
    <t>catalogue d'une nouvelle collection importante d'éditions originales de ses poésies, de traductions et d'ouvrages rares sur sa vie et ses oeuvres en vente aux prix marqués</t>
  </si>
  <si>
    <t>Berlin : W. H. Kühl</t>
  </si>
  <si>
    <t>19, 1 br. p.</t>
  </si>
  <si>
    <t>Kühl, W. H., Editor comercial</t>
  </si>
  <si>
    <t>CAM. 114//1 V.</t>
  </si>
  <si>
    <t>http://id.bnportugal.gov.pt/bib/catbnp/811645</t>
  </si>
  <si>
    <t>https://bndigital.bnportugal.gov.pt//i/?IIIF=/7f/80/8f/56/7f808f56-bdb5-4754-bc73-776fc80c5edc/iiif/cam-114-4-a_0000_000001.tif/full/!300,500/0/default.jpg</t>
  </si>
  <si>
    <t>O Gigante Adamastor</t>
  </si>
  <si>
    <t>episodio d'Os Lusíadas de Luiz de Camões</t>
  </si>
  <si>
    <t>Lisboa : Typographia Castro Irmão</t>
  </si>
  <si>
    <t>XIX, 1, 19, 5 p.</t>
  </si>
  <si>
    <t>Cunha, Xavier da, 1840-1920, Autor da introdução, etc. ; Peragallo, Prospero, 1823-1916, Tradutor</t>
  </si>
  <si>
    <t>CAM. 114//4 A.</t>
  </si>
  <si>
    <t>http://id.bnportugal.gov.pt/bib/catbnp/742175</t>
  </si>
  <si>
    <t>https://bndigital.bnportugal.gov.pt//i/?IIIF=/98/9a/7b/1d/989a7b1d-f6e8-492d-95dc-a4a1bc97599d/iiif/cam-114-6-a_0000_000001.tif/full/!300,500/0/default.jpg</t>
  </si>
  <si>
    <t>O naufragio de Camões e dos Lusiadas</t>
  </si>
  <si>
    <t>50, 2 p.</t>
  </si>
  <si>
    <t>Freitas, Jordão A. de, 1866-1950</t>
  </si>
  <si>
    <t>CAM. 114//6 A.</t>
  </si>
  <si>
    <t>http://id.bnportugal.gov.pt/bib/catbnp/742176</t>
  </si>
  <si>
    <t>https://bndigital.bnportugal.gov.pt//i/?IIIF=/db/cb/34/68/dbcb3468-66dc-4bf9-8a8e-36892835986d/iiif/cam-115-4-a_0001.tif/full/!300,500/0/default.jpg</t>
  </si>
  <si>
    <t>um capítulo da História de Portugal</t>
  </si>
  <si>
    <t>26 p.</t>
  </si>
  <si>
    <t>Stephens</t>
  </si>
  <si>
    <t>Bastos, J. T. da Silva, 1852-1939, Editor literário ; Martins, Oliveira, 1845-1894</t>
  </si>
  <si>
    <t>CAM. 115//4 A.</t>
  </si>
  <si>
    <t>http://id.bnportugal.gov.pt/bib/catbnp/742180</t>
  </si>
  <si>
    <t>https://bndigital.bnportugal.gov.pt//i/?IIIF=/ca/ef/b2/6f/caefb26f-9502-4b44-a1a6-7185f1ebc5d1/iiif/cam-122-a_0000_000007.tif/full/!300,500/0/default.jpg</t>
  </si>
  <si>
    <t>Edição artística comemorativa do 3º centenário da restauração da independência de Portugal</t>
  </si>
  <si>
    <t>Barcelos : Companhia Editora do Minho</t>
  </si>
  <si>
    <t>LVII, 7, 318, 2 p.</t>
  </si>
  <si>
    <t>Cidade, Hernâni, 1887-1975, Autor da introdução, etc. ; Cerdeira, Eleutério, 1876-?, Comentador (em meio audiovisual) ; Lopes, Joaquim, 1886-1956, Ilustrador</t>
  </si>
  <si>
    <t>CAM. 122 A.</t>
  </si>
  <si>
    <t>http://id.bnportugal.gov.pt/bib/catbnp/458243</t>
  </si>
  <si>
    <t>https://bndigital.bnportugal.gov.pt//i/?IIIF=/d7/8c/1c/eb/d78c1ceb-b6f5-4939-a0f3-caae1f03afb5/iiif/cam-1225-p_0007.tif/full/!300,500/0/default.jpg</t>
  </si>
  <si>
    <t>Nova edição...</t>
  </si>
  <si>
    <t>Rio de Janeiro : Eduardo &amp; Henrique Laemmert</t>
  </si>
  <si>
    <t>2 tomos em 1 vol. (XV, 234; 287) p.</t>
  </si>
  <si>
    <t>Garção, José Caetano Mazziotti Salema, 1886-1961, Antigo possuidor</t>
  </si>
  <si>
    <t>CAM. 1225 P.</t>
  </si>
  <si>
    <t>http://id.bnportugal.gov.pt/bib/catbnp/335235</t>
  </si>
  <si>
    <t>Inocêncio XIV 158 e V 266</t>
  </si>
  <si>
    <t>Contém no vol. 2º- o "Diccionario de todos os nomes proprios que se contém em este poema" escolhidos e ordenados por João Franco Barreto</t>
  </si>
  <si>
    <t>https://bndigital.bnportugal.gov.pt//i/?IIIF=/fe/86/20/98/fe862098-0810-4c61-b65c-dfaf90f3b978/iiif/cam-124-p_0000_000011.tif/full/!300,500/0/default.jpg</t>
  </si>
  <si>
    <t>Nova edição correcta, e dada á luz, conforme á de 1817, in 4º</t>
  </si>
  <si>
    <t>Paris : J.P. Aillaud, Quai Voltaire, nº 21</t>
  </si>
  <si>
    <t>2, 377, 1 br., 1, 1 br. p., 1 grav.</t>
  </si>
  <si>
    <t>Gérard, François, 1770-1837, Artista ; Fry, William Thomas, 1789-1843, Gravador (aguafortista) ; Mateus, Morgado de, 1758-1825, Editor literário ; Didot, Firmin, fl. 1789-1829, Impressor ; Aillaud, João Pedro, 1785-ca 1853, Livreiro ; Norton, Tomás, 1804-1860, Antigo possuidor</t>
  </si>
  <si>
    <t>CAM. 123 P.</t>
  </si>
  <si>
    <t>http://id.bnportugal.gov.pt/bib/catbnp/256272</t>
  </si>
  <si>
    <t>https://bndigital.bnportugal.gov.pt//i/?IIIF=/ff/05/78/6b/ff05786b-dbe4-4b2e-9965-b30541cc9431/iiif/cam-125-a_0005.tif/full/!300,500/0/default.jpg</t>
  </si>
  <si>
    <t>Per Umbram...</t>
  </si>
  <si>
    <t>7 f.</t>
  </si>
  <si>
    <t>Castro, Eugénio de, 1869-1944</t>
  </si>
  <si>
    <t>CAM. 125 A.</t>
  </si>
  <si>
    <t>PRR2024</t>
  </si>
  <si>
    <t>http://id.bnportugal.gov.pt/bib/catbnp/458267</t>
  </si>
  <si>
    <t>https://bndigital.bnportugal.gov.pt//i/?IIIF=/ff/7b/86/ff/ff7b86ff-03d0-4f92-b63e-85c46449c9d1/iiif/cam-125-v_0000_000009.tif/full/!300,500/0/default.jpg</t>
  </si>
  <si>
    <t>A primeira edição dos Lusiadas</t>
  </si>
  <si>
    <t>Porto e Braga : Livraria Internacional de Ernesto Chardron</t>
  </si>
  <si>
    <t>87, 9 p.</t>
  </si>
  <si>
    <t>Noronha, Tito de, 1834-1896</t>
  </si>
  <si>
    <t>J.S. 1077</t>
  </si>
  <si>
    <t>http://id.bnportugal.gov.pt/bib/catbnp/849980</t>
  </si>
  <si>
    <t>https://bndigital.bnportugal.gov.pt//i/?IIIF=/11/71/d1/08/1171d108-6c81-4a65-8f5d-c4337a19bbb4/iiif/cam-127-a_0001.tif/full/!300,500/0/default.jpg</t>
  </si>
  <si>
    <t>Adamastor</t>
  </si>
  <si>
    <t>episodio do Canto V dos Lusiadas</t>
  </si>
  <si>
    <t>10 f.</t>
  </si>
  <si>
    <t>CAM. 127 A.</t>
  </si>
  <si>
    <t>http://id.bnportugal.gov.pt/bib/catbnp/458260</t>
  </si>
  <si>
    <t>https://bndigital.bnportugal.gov.pt//i/?IIIF=/83/32/d3/b4/8332d3b4-4478-406b-8987-cef71bd9119e/iiif/cam-127-p_0007.tif/full/!300,500/0/default.jpg</t>
  </si>
  <si>
    <t>Nova edição mais correcta</t>
  </si>
  <si>
    <t>Lisboa : na Impressão Regia : vende-se na Loja dos Pobres</t>
  </si>
  <si>
    <t>377, 1 br. p.</t>
  </si>
  <si>
    <t>Norton, Tomás, 1804-1860, Antigo possuidor</t>
  </si>
  <si>
    <t>Tipografia Régia, Impressor</t>
  </si>
  <si>
    <t>CAM. 126 P.</t>
  </si>
  <si>
    <t>http://id.bnportugal.gov.pt/bib/catbnp/256276</t>
  </si>
  <si>
    <t>https://bndigital.bnportugal.gov.pt//i/?IIIF=/1c/4c/dd/8a/1c4cdd8a-b1c5-4fc7-b103-3e6d38fd7586/iiif/cam-130-1-v_0001.tif/full/!300,500/0/default.jpg</t>
  </si>
  <si>
    <t>Leitura d'um trecho dos Lusiadas</t>
  </si>
  <si>
    <t>canto decimo</t>
  </si>
  <si>
    <t>Porto : Typographia Occidental</t>
  </si>
  <si>
    <t>XXXI, 1 br. p.</t>
  </si>
  <si>
    <t>Silva, Augusto Luso da, 1827-1902</t>
  </si>
  <si>
    <t>CAM. 130//1 V.</t>
  </si>
  <si>
    <t>http://id.bnportugal.gov.pt/bib/catbnp/849990</t>
  </si>
  <si>
    <t>https://bndigital.bnportugal.gov.pt//i/?IIIF=/eb/79/5f/fb/eb795ffb-b97e-4016-9733-b90efc66c2c7/iiif/cam-131-v_0000_000007.tif/full/!300,500/0/default.jpg</t>
  </si>
  <si>
    <t>A Obra monumental de Luiz de Camões</t>
  </si>
  <si>
    <t>estudos bibliographicos</t>
  </si>
  <si>
    <t>Aranha, Brito, 1833-1914</t>
  </si>
  <si>
    <t>CAM. 131 V.</t>
  </si>
  <si>
    <t>http://id.bnportugal.gov.pt/bib/catbnp/851358</t>
  </si>
  <si>
    <t>T. 1. - 1886. - 431, 12 p. - Data de edição indicada na capa: 1887 ; T. 2. - 1888. - 440, 1 p.</t>
  </si>
  <si>
    <t>https://bndigital.bnportugal.gov.pt//i/?IIIF=/af/36/c6/fa/af36c6fa-a524-4c56-91e4-8a0ba612dcf4/iiif/cam-135-1-v_0001.tif/full/!300,500/0/default.jpg</t>
  </si>
  <si>
    <t>A Camões</t>
  </si>
  <si>
    <t>poesia recitada pelo actor Salazar no Theatro da Rua dos Condes</t>
  </si>
  <si>
    <t>Lisboa : Typ. de Ximenes Leopoldino Corrêa</t>
  </si>
  <si>
    <t>Anjos, Joaquim dos, 1856-1918</t>
  </si>
  <si>
    <t>CAM. 135//1 V.</t>
  </si>
  <si>
    <t>http://id.bnportugal.gov.pt/bib/catbnp/851957</t>
  </si>
  <si>
    <t>https://bndigital.bnportugal.gov.pt//i/?IIIF=/95/68/63/55/95686355-3599-4dd5-88c6-b9d7a520c66b/iiif/cam-135-6-v_0001.tif/full/!300,500/0/default.jpg</t>
  </si>
  <si>
    <t>Homenagem a Luiz de Camões</t>
  </si>
  <si>
    <t>Lisboa : Typographia Coelho &amp; Irmão</t>
  </si>
  <si>
    <t>18 p.</t>
  </si>
  <si>
    <t>Pusich, Antónia Gertrudes, 1805-1883</t>
  </si>
  <si>
    <t>CAM. 135//6 V.</t>
  </si>
  <si>
    <t>http://id.bnportugal.gov.pt/bib/catbnp/780308</t>
  </si>
  <si>
    <t>https://bndigital.bnportugal.gov.pt//i/?IIIF=/e9/00/22/b5/e90022b5-8e26-4699-867a-f2772727a5b8/iiif/cam-136-8-v_0001.tif/full/!300,500/0/default.jpg</t>
  </si>
  <si>
    <t>sessão solemne da Associação Typographica Lisbonense para commemorar o Tricentenario</t>
  </si>
  <si>
    <t>51, 1 br. p., 1 estampa</t>
  </si>
  <si>
    <t>Bastos, Vítor, 1831-1894, Artista ; Sousa, Joaquim Pedro de, 1822-1878, Gravador em metal</t>
  </si>
  <si>
    <t>CAM. 136//8 V.</t>
  </si>
  <si>
    <t>http://id.bnportugal.gov.pt/bib/catbnp/852081</t>
  </si>
  <si>
    <t>https://bndigital.bnportugal.gov.pt//i/?IIIF=/34/94/05/63/34940563-8dd9-4ab7-b87c-7e9c8184d005/iiif/cam-1415-v_0001.tif/full/!300,500/0/default.jpg</t>
  </si>
  <si>
    <t>Scénes de la nature sous les Tropiques et de leur influence sur la poesie</t>
  </si>
  <si>
    <t>suivies de Camoens et Jozé Indio</t>
  </si>
  <si>
    <t>Paris : Chez Louis Janet</t>
  </si>
  <si>
    <t>4, IV, 516, 1 p.</t>
  </si>
  <si>
    <t>Denis, Ferdinand, 1798-1890</t>
  </si>
  <si>
    <t>Denis, Ferdinand, 1798-1890, Nome associado</t>
  </si>
  <si>
    <t>L. 5065 V.</t>
  </si>
  <si>
    <t>http://id.bnportugal.gov.pt/bib/catbnp/352640</t>
  </si>
  <si>
    <t>https://bndigital.bnportugal.gov.pt//i/?IIIF=/0b/7e/27/f6/0b7e27f6-cb2f-4e7f-905e-9289c1b904b0/iiif/cam-1427-p_0007.tif/full/!300,500/0/default.jpg</t>
  </si>
  <si>
    <t>Nova Castro</t>
  </si>
  <si>
    <t>tragedia</t>
  </si>
  <si>
    <t>4ª edição, correcta e augmentada</t>
  </si>
  <si>
    <t>Lisboa : Imp. Regia</t>
  </si>
  <si>
    <t>1 v.</t>
  </si>
  <si>
    <t>Gomes Júnior, João Baptista, 17--1803</t>
  </si>
  <si>
    <t>L. 2943 V.</t>
  </si>
  <si>
    <t>http://id.bnportugal.gov.pt/bib/catbnp/943524</t>
  </si>
  <si>
    <t>https://bndigital.bnportugal.gov.pt//i/?IIIF=/83/4a/f6/cb/834af6cb-91ac-473c-9481-541d30350a4c/iiif/cam-143-a_0001.tif/full/!300,500/0/default.jpg</t>
  </si>
  <si>
    <t>Lisboa : Diário de Notícias</t>
  </si>
  <si>
    <t>L. 5907//23 A.</t>
  </si>
  <si>
    <t>http://id.bnportugal.gov.pt/bib/catbnp/120404</t>
  </si>
  <si>
    <t>https://bndigital.bnportugal.gov.pt//i/?IIIF=/57/49/c9/1d/5749c91d-873b-46a2-b4f5-8da947fc1fbb/iiif/cam-1458-p_0011.tif/full/!300,500/0/default.jpg</t>
  </si>
  <si>
    <t>Poems from the portuguese of Luis de Camoens</t>
  </si>
  <si>
    <t>with remarks on his life and writings, notes, etc.</t>
  </si>
  <si>
    <t>5th ed</t>
  </si>
  <si>
    <t>London : J. Carpenter : C. Whittingham</t>
  </si>
  <si>
    <t>158 p., 1 est.</t>
  </si>
  <si>
    <t>CAM. 1458 P.</t>
  </si>
  <si>
    <t>http://id.bnportugal.gov.pt/bib/catbnp/397864</t>
  </si>
  <si>
    <t>https://bndigital.bnportugal.gov.pt//i/?IIIF=/53/22/2b/d9/53222bd9-72fa-478f-bef6-2b0dc193ac70/iiif/cam-147-p_0005.tif/full/!300,500/0/default.jpg</t>
  </si>
  <si>
    <t>Edição publicada por Agra &amp; Irmão</t>
  </si>
  <si>
    <t>Rio de Janeiro : vende-se em casa de Agra &amp; Irmão</t>
  </si>
  <si>
    <t>397 p., 1 estampa</t>
  </si>
  <si>
    <t>Barreto, João Franco, 1600-post. 1674, Editor literário</t>
  </si>
  <si>
    <t>Tipografia Brasiliense, Impressor</t>
  </si>
  <si>
    <t>CAM. 147 P.</t>
  </si>
  <si>
    <t>http://id.bnportugal.gov.pt/bib/catbnp/256426</t>
  </si>
  <si>
    <t>https://bndigital.bnportugal.gov.pt//i/?IIIF=/0b/26/c7/e3/0b26c7e3-1958-4e92-8c9d-7d86a61ab2a8/iiif/cam-15-a_0000_000009.tif/full/!300,500/0/default.jpg</t>
  </si>
  <si>
    <t>Obras do grande Luis de Camões, Principe dos Poetas Heroycos, &amp; Lyricos de Hespanha</t>
  </si>
  <si>
    <t>novamente dadas a luz com os seus Lusiadas...</t>
  </si>
  <si>
    <t>E agora nesta ultima Impressaõ correcta, &amp; accrescentada com a sua Vida</t>
  </si>
  <si>
    <t>Lisboa Occidental : na officina de Joseph Lopes Ferreyra...</t>
  </si>
  <si>
    <t>30, 312, 251 p.</t>
  </si>
  <si>
    <t>Faria, Manuel Severim de, 1583-1655, Autor</t>
  </si>
  <si>
    <t>Barreto, João Franco, 1600-post. 1674, Comentador de texto escrito ; Correia, Manuel, 15---antes de 1613, Comentador de texto escrito ; Ferreira, José Lopes, fl. 1706-1771, Impressor</t>
  </si>
  <si>
    <t>CAM. 15 A.</t>
  </si>
  <si>
    <t>http://id.bnportugal.gov.pt/bib/catbnp/381260</t>
  </si>
  <si>
    <t>Os Lusiadas. - 312 p. ; Rimas. - 251 p.</t>
  </si>
  <si>
    <t>https://bndigital.bnportugal.gov.pt//i/?IIIF=/ba/e9/44/c6/bae944c6-abdc-4997-82d4-29762ce0eb22/iiif/cam-150-a_0000_000007.tif/full/!300,500/0/default.jpg</t>
  </si>
  <si>
    <t>CAM. 150 A.</t>
  </si>
  <si>
    <t>http://id.bnportugal.gov.pt/bib/catbnp/397821</t>
  </si>
  <si>
    <t>https://bndigital.bnportugal.gov.pt//i/?IIIF=/f4/aa/32/ae/f4aa32ae-6c1c-4685-b497-6fb573476d75/iiif/cam-151-a_0000_000001.tif/full/!300,500/0/default.jpg</t>
  </si>
  <si>
    <t>edição artística comemorativa do 3º Centenário da Restauração da Independência de Portugal</t>
  </si>
  <si>
    <t>Nova edição</t>
  </si>
  <si>
    <t>LVII, 318, 2 p.</t>
  </si>
  <si>
    <t>Cidade, Hernâni, 1887-1975, Autor da introdução, etc. ; Lopes, Joaquim, 1886-1956, Ilustrador ; Cerdeira, Eleutério, 1876-?, Comentador de texto escrito</t>
  </si>
  <si>
    <t>L. 6177 A.</t>
  </si>
  <si>
    <t>http://id.bnportugal.gov.pt/bib/catbnp/2284</t>
  </si>
  <si>
    <t>https://bndigital.bnportugal.gov.pt//i/?IIIF=/e3/79/81/09/e3798109-27bc-49ed-bfeb-9a79c1254c59/iiif/cam-155-p_0009.tif/full/!300,500/0/default.jpg</t>
  </si>
  <si>
    <t>Nova edição conforme á de 1817, in-4º, de Dom José de Souza-Botelho Morgado de Matteus</t>
  </si>
  <si>
    <t>Paris : em Casa de Vª J.-P. Aillaud, Guillard e Cª 47, Rua Saint-André-des-Arts, 47</t>
  </si>
  <si>
    <t>12, 536 p., 1 estampa</t>
  </si>
  <si>
    <t>Tasso, Torquato, 1544-1595, Autor ; Sousa, Paulino de, ca. 18--, Editor literário ; Aquino, Tomás José de, 1718/20-1804, Editor literário ; Barreto, João Franco, 1600-post. 1674, Editor literário ; Mateus, Morgado de, 1758-1825, Editor literário ; Schneider, Félicie, 1831-1888, Ilustrador ; Fournier, Félicie, 1797-1879, Gravador ; Penet, Lucien François, 1834-1901, Ilustrador ; Sargent, Alfred Louis, 1828-?, Gravador em madeira ; Lix, Frédéric Théodore, 1830-1897, Ilustrador ; Lehuger, fl. 186-, Gravador em madeira ; Bouret, A., fl. 186-, Impressor</t>
  </si>
  <si>
    <t>Aillaud, Guillard. e Cª, Livreiro</t>
  </si>
  <si>
    <t>CAM. 155 P.</t>
  </si>
  <si>
    <t>http://id.bnportugal.gov.pt/bib/catbnp/256560</t>
  </si>
  <si>
    <t>Anterrosto</t>
  </si>
  <si>
    <t>https://bndigital.bnportugal.gov.pt//i/?IIIF=/d3/3c/2f/d6/d33c2fd6-697b-4ca3-8c0a-2d267664216a/iiif/cam-156-v_0005.tif/full/!300,500/0/default.jpg</t>
  </si>
  <si>
    <t>Círculo camoniano</t>
  </si>
  <si>
    <t>revista internacional</t>
  </si>
  <si>
    <t>Porto : Typographia Elzeveriana annexa à Livrria Civilisação</t>
  </si>
  <si>
    <t>Araújo, Joaquim de, 1858-1917, Director</t>
  </si>
  <si>
    <t>CAM. 156 V.</t>
  </si>
  <si>
    <t>http://id.bnportugal.gov.pt/bib/catbnp/852331</t>
  </si>
  <si>
    <t>https://bndigital.bnportugal.gov.pt//i/?IIIF=/f6/af/9c/57/f6af9c57-c756-458c-8669-6a427fa8f668/iiif/cam-160-v_0000_000001.tif/full/!300,500/0/default.jpg</t>
  </si>
  <si>
    <t>Portugal e Italia</t>
  </si>
  <si>
    <t>ensaio de diccionario bibliographico</t>
  </si>
  <si>
    <t>Leorne : Typographia de Raphael Giusti</t>
  </si>
  <si>
    <t>XI, 5, 176 p., 11 grav. extratexto</t>
  </si>
  <si>
    <t>Faria, António de Portugal de, 1868-1937</t>
  </si>
  <si>
    <t>CAM. 160 V.</t>
  </si>
  <si>
    <t>http://id.bnportugal.gov.pt/bib/catbnp/852140</t>
  </si>
  <si>
    <t>https://bndigital.bnportugal.gov.pt//i/?IIIF=/09/b8/1d/4f/09b81d4f-79e9-4153-a037-9eaca02940a4/iiif/cam-161-p_0005.tif/full/!300,500/0/default.jpg</t>
  </si>
  <si>
    <t>Nova edição conforme á de 1817, in-4º de Dom José de Souza Botelho Morgado de Matteus</t>
  </si>
  <si>
    <t>Pariz : em Casa de Vª J-P. Aillaud, Guillard e Cª 47, Rua Saint-André-des-Arts, 47</t>
  </si>
  <si>
    <t>8, 536 p., 1 estampa</t>
  </si>
  <si>
    <t>Tasso, Torquato, 1544-1595, Autor ; Sousa, Paulino de, ca. 18--, Editor literário ; Aquino, Tomás José de, 1718/20-1804, Editor literário ; Barreto, João Franco, 1600-post. 1674, Editor literário ; Mateus, Morgado de, 1758-1825, Editor literário ; Schneider, Félicie, 1831-1888, Ilustrador ; Fournier, Félicie, 1797-1879, Gravador ; Penet, Lucien François, 1834-1901, Ilustrador ; Sargent, Alfred Louis, 1828-?, Gravador em madeira ; Lix, Frédéric Théodore, 1830-1897, Ilustrador ; Lehuger, fl. 186-, Gravador em madeira ; Bouret, A., fl. 186-, Impressor ; Graham, William, 1853-?, Antigo possuidor</t>
  </si>
  <si>
    <t>Aillaud, Guillard. e Cª, Livreiro ; Imprimerie Simon Raçon. e Cª, Impressor</t>
  </si>
  <si>
    <t>L. 53408 P.</t>
  </si>
  <si>
    <t>http://id.bnportugal.gov.pt/bib/catbnp/256620</t>
  </si>
  <si>
    <t>https://bndigital.bnportugal.gov.pt//i/?IIIF=/cc/fe/f2/58/ccfef258-11b8-4760-b05c-b8905393207f/iiif/cam-169-p_0007.tif/full/!300,500/0/default.jpg</t>
  </si>
  <si>
    <t>Nova edição popular conforme á segunda de 1572 augmentada com a vida do poeta e com um glossario dos nomes proprios</t>
  </si>
  <si>
    <t>Lisboa : Rolland &amp; Semiond</t>
  </si>
  <si>
    <t>XIX, 1 br., 460 p., 1 grav.</t>
  </si>
  <si>
    <t>Barreto, João Franco, 1600-post. 1674, Editor literário ; Neves, J. G. de Sousa, fl. 1844-1881, Impressor</t>
  </si>
  <si>
    <t>Rolland e Semiond, Editor comercial</t>
  </si>
  <si>
    <t>CAM. 169 P.</t>
  </si>
  <si>
    <t>http://id.bnportugal.gov.pt/bib/catbnp/257364</t>
  </si>
  <si>
    <t>https://bndigital.bnportugal.gov.pt//i/?IIIF=/9f/39/25/7d/9f39257d-c320-45d7-867e-d488efd57acb/iiif/cam-1699-v_0007.tif/full/!300,500/0/default.jpg</t>
  </si>
  <si>
    <t>O anniversario do passamento de Luis de Camões no anno de 1892</t>
  </si>
  <si>
    <t>ao nobre Conde de Samodães...</t>
  </si>
  <si>
    <t>Porto : Typographia Central</t>
  </si>
  <si>
    <t>35, 4 p.</t>
  </si>
  <si>
    <t>Sociedade Nacional Camoniana</t>
  </si>
  <si>
    <t>CAM. 286//4 V.</t>
  </si>
  <si>
    <t>http://id.bnportugal.gov.pt/bib/catbnp/196562</t>
  </si>
  <si>
    <t>Homenagem promovida pela Sociedade Nacional Camoneana</t>
  </si>
  <si>
    <t>O aniversário do passamento de Luís de Camões</t>
  </si>
  <si>
    <t>https://bndigital.bnportugal.gov.pt//i/?IIIF=/cc/d6/c1/b6/ccd6c1b6-7bb0-4449-8fd1-613484f17ec2/iiif/cam-170-p_0007.tif/full/!300,500/0/default.jpg</t>
  </si>
  <si>
    <t>Nova edição cuidadosamente revista e conforme ás de 1572, precedida da biographia do poeta e seguida de um diccionario dos nomes proprios</t>
  </si>
  <si>
    <t>Lisboa : Livraria de Antonio Maria Pereira</t>
  </si>
  <si>
    <t>XVIII, 457, 1 br., 6 p., 1 grav.</t>
  </si>
  <si>
    <t>Barreto, João Franco, 1600-post. 1674, Editor literário ; Pereira, António Maria, 1856-1898, Editor comercial</t>
  </si>
  <si>
    <t>Portugal. Imprensa Nacional, Impressor</t>
  </si>
  <si>
    <t>CAM. 170 P.</t>
  </si>
  <si>
    <t>http://id.bnportugal.gov.pt/bib/catbnp/257368</t>
  </si>
  <si>
    <t>https://bndigital.bnportugal.gov.pt//i/?IIIF=/6b/54/86/8e/6b54868e-971b-4084-8b03-1e9e5c9d7749/iiif/cam-171-p_0005.tif/full/!300,500/0/default.jpg</t>
  </si>
  <si>
    <t>Nova edição com um Diccionario dos nomes proprios usados no mesmo poema</t>
  </si>
  <si>
    <t>Porto : em Casa de A. R. da Cruz Coutinho</t>
  </si>
  <si>
    <t>VIII, 477, 1 br., 2 p.</t>
  </si>
  <si>
    <t>Barreto, João Franco, 1600-post. 1674, Editor literário ; Coutinho, A. R. da Cruz, 1815-1885, Editor comercial</t>
  </si>
  <si>
    <t>CAM. 171 P.</t>
  </si>
  <si>
    <t>http://id.bnportugal.gov.pt/bib/catbnp/257404</t>
  </si>
  <si>
    <t>José do Canto 122</t>
  </si>
  <si>
    <t>https://bndigital.bnportugal.gov.pt//i/?IIIF=/cd/57/7b/1a/cd577b1a-46b3-40c3-8f45-060aafb50cb2/iiif/cam-1719-v_0000_000001.tif/full/!300,500/0/default.jpg</t>
  </si>
  <si>
    <t>2ª ed</t>
  </si>
  <si>
    <t>Lisboa : Instituto de Cultura e Língua Portuguesa</t>
  </si>
  <si>
    <t>LIX, 559, 1 br. p., 5 extratextos</t>
  </si>
  <si>
    <t>Pimpão, Álvaro J. da Costa, 1902-1984, Comentador de texto escrito ; Castro, Aníbal Pinto de, 1938-2010, Autor da apresentação</t>
  </si>
  <si>
    <t>P.P. 19179 V.</t>
  </si>
  <si>
    <t>http://id.bnportugal.gov.pt/bib/catbnp/220128</t>
  </si>
  <si>
    <t>https://bndigital.bnportugal.gov.pt//i/?IIIF=/88/00/15/96/88001596-d055-4919-978a-2399ff1eeca4/iiif/cam-1776-v_0000_000001.tif/full/!300,500/0/default.jpg</t>
  </si>
  <si>
    <t>Rimas</t>
  </si>
  <si>
    <t>Coimbra : Livraria Almedina</t>
  </si>
  <si>
    <t>LXXIX, 3, 429, 3 p.</t>
  </si>
  <si>
    <t>Pimpão, Álvaro J. da Costa, 1902-1984, Adaptador ; Castro, Aníbal Pinto de, 1938-2010, Autor da apresentação</t>
  </si>
  <si>
    <t>CAM. 1776 V.</t>
  </si>
  <si>
    <t>http://id.bnportugal.gov.pt/bib/catbnp/453095</t>
  </si>
  <si>
    <t>https://bndigital.bnportugal.gov.pt//i/?IIIF=/a4/b7/ce/b3/a4b7ceb3-bc54-4b5a-b635-9a5e1a659158/iiif/cam-180-p_0007.tif/full/!300,500/0/default.jpg</t>
  </si>
  <si>
    <t>Nova edição contendo: Advertencia e Vida de Luiz de Camões, por A. R. da Cruz Coutinho; Elogio de Luiz de Camões, por F. Dias Gomes; Juizo ácerca dos Lusiadas, por Barreto Feio; Noticia da viagem de Vasco da Gama á India; Index explicativo de algumas palavras empregadas no poema; e um Diccionario dos nomes proprios que se contéem nos Lusiadas</t>
  </si>
  <si>
    <t>CXI, 1 br., 480 p.</t>
  </si>
  <si>
    <t>Coutinho, A. R. da Cruz, 1815-1885, Editor comercial ; Dias, Francisco Dias, 1745-1795, Editor literário ; Feio, José Vitorino Barreto, 1782-1850, Editor literário ; Barreto, João Franco, 1600-post. 1674, Editor literário</t>
  </si>
  <si>
    <t>Tipografia do Jornal do Porto, Impressor</t>
  </si>
  <si>
    <t>CAM. 180 P.</t>
  </si>
  <si>
    <t>http://id.bnportugal.gov.pt/bib/catbnp/258477</t>
  </si>
  <si>
    <t>Nas p. 479-480, lista de livros que se vendem na Livraria de A. R. da Cruz Coutinho</t>
  </si>
  <si>
    <t>https://bndigital.bnportugal.gov.pt//i/?IIIF=/ee/65/d1/e1/ee65d1e1-eabe-436f-9e2a-62c6e4d236bb/iiif/cam-182-p_0001.tif/full/!300,500/0/default.jpg</t>
  </si>
  <si>
    <t>Edição revista e prefaciada por Theophilo Braga e illustrada com os retratos de Camões e Gama</t>
  </si>
  <si>
    <t>Lisboa : Nova Livraria Internacional</t>
  </si>
  <si>
    <t>2 t. em 1 vol. (8, XX, 155; 4, 140) p.</t>
  </si>
  <si>
    <t>Braga, Teófilo, 1843-1924, Autor da introdução, etc. ; Bastos, Teixeira, 1856-1902, Autor da introdução, etc.</t>
  </si>
  <si>
    <t>Nova Livraria Internacional, Editor comercial</t>
  </si>
  <si>
    <t>CAM. 182 P.</t>
  </si>
  <si>
    <t>http://id.bnportugal.gov.pt/bib/catbnp/258485</t>
  </si>
  <si>
    <t>https://bndigital.bnportugal.gov.pt//i/?IIIF=/b9/c8/02/fd/b9c802fd-5219-46bb-9b34-cd6702118015/iiif/cam-183-p_0001.tif/full/!300,500/0/default.jpg</t>
  </si>
  <si>
    <t>Os Lusiadas de Luiz de Camões</t>
  </si>
  <si>
    <t>com Diccionario de todos os nomes próprios contidos no poema e uma crítica litteraria</t>
  </si>
  <si>
    <t>Edição das Escolas</t>
  </si>
  <si>
    <t>Paris : Guillard, Aillaud &amp; C.a : a venda nas principaes livrarias de Portugal e do Brazil</t>
  </si>
  <si>
    <t>4, 536 p.</t>
  </si>
  <si>
    <t>Tasso, Torquato, 1544-1595, Autor ; Sousa, Paulino de, ca. 18--, Editor literário ; Aquino, Tomás José de, 1718/20-1804, Editor literário ; Barreto, João Franco, 1600-post. 1674, Editor literário</t>
  </si>
  <si>
    <t>Guillard, Aillaud, Editor comercial ; Pillet e Dumoulin, Impressor</t>
  </si>
  <si>
    <t>CAM. 183 P.</t>
  </si>
  <si>
    <t>http://id.bnportugal.gov.pt/bib/catbnp/258492</t>
  </si>
  <si>
    <t>Prólogo do editor literário datado de Outubro de 1865, em Paris; Discurso preliminar e Vida de Luís de Camões das edições de Tomás José de Aquino; Soneto de Torcato Tasso; Argumentos e Index dos nomes próprios de João Franco Barreto, aumentados e corrigidos pelo mesmo Paulino de Sousa</t>
  </si>
  <si>
    <t>https://bndigital.bnportugal.gov.pt//i/?IIIF=/d0/dd/45/79/d0dd4579-ee23-44db-963a-7d1cd10ff29f/iiif/cam-187-p_0001.tif/full/!300,500/0/default.jpg</t>
  </si>
  <si>
    <t>Edição revista e prefaciada por Theophilo Braga e illustrada com os retratos de Luiz de Camões e Vasco da Gama</t>
  </si>
  <si>
    <t>Lisboa : Pereira &amp; Amorim</t>
  </si>
  <si>
    <t>2 t. em 1 vol. (155, 1 br., 1, 1 br.; 140, 3, 1 br.) p.</t>
  </si>
  <si>
    <t>Braga, Teófilo, 1843-1924, Autor da introdução, etc.</t>
  </si>
  <si>
    <t>Pereira &amp; Amorim, Impressor</t>
  </si>
  <si>
    <t>CAM. 187 P.</t>
  </si>
  <si>
    <t>http://id.bnportugal.gov.pt/bib/catbnp/252303</t>
  </si>
  <si>
    <t>Cada Tomo contém cinco Cantos</t>
  </si>
  <si>
    <t>https://bndigital.bnportugal.gov.pt//i/?IIIF=/06/64/fc/d8/0664fcd8-c423-4f90-a95b-e11a646bfe81/iiif/cam-189-p_0007.tif/full/!300,500/0/default.jpg</t>
  </si>
  <si>
    <t>Nova edição, cuidadosamente revista e conforme ás de 1572, precedida d'uma biographia do poeta, escripta pelo sr. Innocencio Francisco da Silva, seguida d´um diccionario dos nomes proprios, historicos, geographicos e mythologicos, que se encontram no poema, adornada com o retrato de Camões, e com uma estampa do padrão levantado por Vasco da Gama em Melinde</t>
  </si>
  <si>
    <t>XVIII, 457, 1 br., 6 p., 2 estampas</t>
  </si>
  <si>
    <t>Silva, Inocêncio Francisco da, 1810-1876, Autor da introdução, etc. ; Barreto, João Franco, 1600-post. 1674, Comentador de texto escrito ; Pereira, António Maria, 1856-1898, Editor comercial ; Rodrigues, Cristovão Augusto, 18---19--, Impressor</t>
  </si>
  <si>
    <t>L. 12978 P.</t>
  </si>
  <si>
    <t>http://id.bnportugal.gov.pt/bib/catbnp/258529</t>
  </si>
  <si>
    <t>Nas 6 p. inum., ""Diversas publicações editadas pela Livaria de A. M. Pereira"</t>
  </si>
  <si>
    <t>https://bndigital.bnportugal.gov.pt//i/?IIIF=/7f/1f/c3/40/7f1fc340-c330-4761-bc8c-248c1c596ebd/iiif/cam-1901-v_0011.tif/full/!300,500/0/default.jpg</t>
  </si>
  <si>
    <t>Apparição do gigante Adamastor a Vasco da Gama</t>
  </si>
  <si>
    <t>episodio extrahido ... dos Lusiadas ...</t>
  </si>
  <si>
    <t>Porto : Empreza do Seminário "O Camöes"</t>
  </si>
  <si>
    <t>Vilhena, Ernesto Jardim de, 1876-1967, Antigo possuidor ; Lopes, António Vieira, ca 18--, Autor da introdução, etc.</t>
  </si>
  <si>
    <t>CAM. 76//3 V.</t>
  </si>
  <si>
    <t>http://id.bnportugal.gov.pt/bib/catbnp/397744</t>
  </si>
  <si>
    <t>Os Lusíadas.</t>
  </si>
  <si>
    <t>https://bndigital.bnportugal.gov.pt//i/?IIIF=/73/ca/76/c7/73ca76c7-4e5e-416c-ac00-7db7ae9a8ec5/iiif/cam-1903-v_0011.tif/full/!300,500/0/default.jpg</t>
  </si>
  <si>
    <t>Camoneana Académica</t>
  </si>
  <si>
    <t>a Camões, os estudantes do Porto em Junho de 1880...</t>
  </si>
  <si>
    <t>Porto : Imp. Comercial</t>
  </si>
  <si>
    <t>56 p.</t>
  </si>
  <si>
    <t>CAM. 383//6 V.</t>
  </si>
  <si>
    <t>http://id.bnportugal.gov.pt/bib/catbnp/382847</t>
  </si>
  <si>
    <t>https://bndigital.bnportugal.gov.pt//i/?IIIF=/1d/ec/23/82/1dec2382-4086-4ea6-bdde-935a2fdf4f94/iiif/cam-1922-v_0011.tif/full/!300,500/0/default.jpg</t>
  </si>
  <si>
    <t>Neerlandês</t>
  </si>
  <si>
    <t>Ines de Castro</t>
  </si>
  <si>
    <t>treurspel</t>
  </si>
  <si>
    <t>Amsterdam : Johannes Allart</t>
  </si>
  <si>
    <t>VI, 4, 103 p.</t>
  </si>
  <si>
    <t>Feith, Rhijnvis, 1753-1824</t>
  </si>
  <si>
    <t>Vinkeles, Reinier, 1741-1816, Gravador ; Allart, Johannes, 1754-1816, Impressor</t>
  </si>
  <si>
    <t>CAM. 1922 V.</t>
  </si>
  <si>
    <t>http://id.bnportugal.gov.pt/bib/catbnp/1072941</t>
  </si>
  <si>
    <t>https://bndigital.bnportugal.gov.pt//i/?IIIF=/0f/2b/9e/5e/0f2b9e5e-a746-407d-82e7-f13f0cf94439/iiif/cam-1925-v_0005.tif/full/!300,500/0/default.jpg</t>
  </si>
  <si>
    <t>Italia drammatica</t>
  </si>
  <si>
    <t>dramma in cinque atti ed epilogo</t>
  </si>
  <si>
    <t>Torino : Tip. Italiana : alle libr. Fontana, Schiepatti, Magnaghi, Giannini e Fiore, Toscanelli</t>
  </si>
  <si>
    <t>30 p.</t>
  </si>
  <si>
    <t>Fortis, Leone, 1824?-1898</t>
  </si>
  <si>
    <t>CAM. 1925 V.</t>
  </si>
  <si>
    <t>http://id.bnportugal.gov.pt/bib/catbnp/1073970</t>
  </si>
  <si>
    <t>https://bndigital.bnportugal.gov.pt//i/?IIIF=/f3/af/6e/48/f3af6e48-13e7-4578-bdde-48afb7f26984/iiif/cam-193-p_0007.tif/full/!300,500/0/default.jpg</t>
  </si>
  <si>
    <t>Rio de Janeiro ; ; Pariz : H. Garnier</t>
  </si>
  <si>
    <t>XXXIII, 1 br., 464, 1 p., 1 estampa</t>
  </si>
  <si>
    <t>Pinheiro, Fernandes, 1825-1876, Autor da introdução, etc. ; Veríssimo, José, 1857-1916, Autor da introdução, etc. ; Garnier, Hippolyte, 1816-1911, Editor comercial</t>
  </si>
  <si>
    <t>CAM. 193 P.</t>
  </si>
  <si>
    <t>http://id.bnportugal.gov.pt/bib/catbnp/258643</t>
  </si>
  <si>
    <t>https://bndigital.bnportugal.gov.pt//i/?IIIF=/50/a8/ba/84/50a8ba84-490a-495e-8d3d-d157e59d9fa6/iiif/cam-2038-v_0001.tif/full/!300,500/0/default.jpg</t>
  </si>
  <si>
    <t>Luigi Camoens</t>
  </si>
  <si>
    <t>dramma in quattro atti di Giacomo Riccio</t>
  </si>
  <si>
    <t>Napoli : Stabilimento Tipografico Seguin, strada Banchi Nuovi, 13</t>
  </si>
  <si>
    <t>Riccio, Giacomo, 18--</t>
  </si>
  <si>
    <t>CAM. 2038 V.</t>
  </si>
  <si>
    <t>http://id.bnportugal.gov.pt/bib/catbnp/1725327</t>
  </si>
  <si>
    <t>https://bndigital.bnportugal.gov.pt//i/?IIIF=/cb/a6/8a/40/cba68a40-0fbd-4463-ab68-fb1a21c26eeb/iiif/cam-206-v_0000_000007.tif/full/!300,500/0/default.jpg</t>
  </si>
  <si>
    <t>Vasco da Gama e a Vidigueira</t>
  </si>
  <si>
    <t>XXXVII, 3, 303, 1 br. p., 10 extratextos, desdobr., mapas</t>
  </si>
  <si>
    <t>Aragão, Augusto Carlos Teixeira de, 1823-1903</t>
  </si>
  <si>
    <t>Sociedade de Geografia de Lisboa, Nome associado</t>
  </si>
  <si>
    <t>H.G. 4333 V.</t>
  </si>
  <si>
    <t>http://id.bnportugal.gov.pt/bib/catbnp/388329</t>
  </si>
  <si>
    <t>https://bndigital.bnportugal.gov.pt//i/?IIIF=/02/c2/b2/f7/02c2b2f7-35e0-47f1-8687-16a440c04cdb/iiif/cam-2123-v_0006.tif/full/!300,500/0/default.jpg</t>
  </si>
  <si>
    <t>Camoëns, drame historique en cinq actes</t>
  </si>
  <si>
    <t>A Paris : chez Barba, Libraire, Palais-Royal : chez Bezou, boulevart Saint-Martin</t>
  </si>
  <si>
    <t>6, 135, 1 br. p.</t>
  </si>
  <si>
    <t>Martin-Deslandes, 18--</t>
  </si>
  <si>
    <t>Ferreira, J. Pinto, Antigo possuidor</t>
  </si>
  <si>
    <t>CAM. 2123 V.</t>
  </si>
  <si>
    <t>http://id.bnportugal.gov.pt/bib/catbnp/1951715</t>
  </si>
  <si>
    <t>https://bndigital.bnportugal.gov.pt//i/?IIIF=/bf/89/eb/26/bf89eb26-5b3e-47b7-9d40-2d548d1b57ae/iiif/cam-213-a_0005.tif/full/!300,500/0/default.jpg</t>
  </si>
  <si>
    <t>O Litterario</t>
  </si>
  <si>
    <t>homenagem a Camões, 10 de Junho de 1880</t>
  </si>
  <si>
    <t>Porto : Typ. da Palavra</t>
  </si>
  <si>
    <t>p. 77 - 84</t>
  </si>
  <si>
    <t>CAM. 213 A.</t>
  </si>
  <si>
    <t>http://id.bnportugal.gov.pt/bib/catbnp/252438</t>
  </si>
  <si>
    <t>https://bndigital.bnportugal.gov.pt//i/?IIIF=/19/18/83/ae/191883ae-fa38-402d-984c-48c1d84f9eb5/iiif/cam-218-p_0000_000005.tif/full/!300,500/0/default.jpg</t>
  </si>
  <si>
    <t>La Lusiade de Louis Camoens poëme héroïque en dix chants, traduit du portugais, avec des notes et la vie de l'auteur, par La Harpe, de L'Académie française</t>
  </si>
  <si>
    <t>A Paris : chez Verdière, Libraire</t>
  </si>
  <si>
    <t>316 p., 1 f. il.</t>
  </si>
  <si>
    <t>La Harpe, Jean François de, 1739-1803, Tradutor ; Gérard, François, 1770-1837, Ilustrador ; Roger, Barthèlemy, Ilustrador</t>
  </si>
  <si>
    <t>CAM. 218 P.</t>
  </si>
  <si>
    <t>http://id.bnportugal.gov.pt/bib/catbnp/259140</t>
  </si>
  <si>
    <t>https://bndigital.bnportugal.gov.pt//i/?IIIF=/d9/93/1f/03/d9931f03-be6a-4bc5-9e87-a558fd32b07b/iiif/cam-219-v_0000_000011.tif/full/!300,500/0/default.jpg</t>
  </si>
  <si>
    <t>Português ; Espanhol ; Italiano ; Francês ; Alemão ; Inglês</t>
  </si>
  <si>
    <t>Lembrança do quarto centenario do descobrimento da India</t>
  </si>
  <si>
    <t>offerecida á Marinha e composta dos trechos que mais se prendem com o assumpto, tirados do poema de Luiz de Camões Os Lusiadas...</t>
  </si>
  <si>
    <t>48 p.</t>
  </si>
  <si>
    <t>Sá, Ernesto Moreira de, 1841-1915, Compilador ; Gómez de Tapia, Luis, 15--, Tradutor ; Briccolani, A., Tradutor ; Cool, A. de, Tradutor ; Storck, Wilhelm, 1829-1905, Tradutor ; Aubertin, John James, ca 1878, Tradutor</t>
  </si>
  <si>
    <t>CAM. 219 V.</t>
  </si>
  <si>
    <t>http://id.bnportugal.gov.pt/bib/catbnp/855528</t>
  </si>
  <si>
    <t>https://bndigital.bnportugal.gov.pt//i/?IIIF=/40/11/2b/50/40112b50-448a-4af8-9acf-f37ad3446f4e/iiif/cam-23-a_0000_000007.tif/full/!300,500/0/default.jpg</t>
  </si>
  <si>
    <t>Edição commemorativa do terceiro centenario do poeta, constando de cincoenta e dous exemplares numerados</t>
  </si>
  <si>
    <t>Lisboa : David Corazzi</t>
  </si>
  <si>
    <t>XXV, 1 br., 401, 3 p.</t>
  </si>
  <si>
    <t>Coelho, Latino, 1825-1891, Autor da introdução, etc.</t>
  </si>
  <si>
    <t>CAM. 23 A.</t>
  </si>
  <si>
    <t>http://id.bnportugal.gov.pt/bib/catbnp/381381</t>
  </si>
  <si>
    <t>https://bndigital.bnportugal.gov.pt//i/?IIIF=/70/61/0b/88/70610b88-fdc0-4a58-8c43-3c1c039be1d0/iiif/cam-231-p_0011.tif/full/!300,500/0/default.jpg</t>
  </si>
  <si>
    <t>La Lusiade o sia la scorpeta delle Inde Orientali fatta da Portoghesi</t>
  </si>
  <si>
    <t>Ed. ora nello stesso metro tradotta in italiano da N.N. piemontese</t>
  </si>
  <si>
    <t>Torino : presso li Fratelli Reycends</t>
  </si>
  <si>
    <t>XXVI, 2, 304 p.</t>
  </si>
  <si>
    <t>Gazzano, Miguel Antonio, Tradutor</t>
  </si>
  <si>
    <t>CAM. 231 P.</t>
  </si>
  <si>
    <t>http://id.bnportugal.gov.pt/bib/catbnp/259434</t>
  </si>
  <si>
    <t>Inocêncio XIV 204</t>
  </si>
  <si>
    <t>https://bndigital.bnportugal.gov.pt//i/?IIIF=/44/70/7d/ae/44707dae-1515-4f2b-b542-18a686f168ae/iiif/cam-239-a_0005.tif/full/!300,500/0/default.jpg</t>
  </si>
  <si>
    <t>Retrato de Luiz de Camões</t>
  </si>
  <si>
    <t>Edição comemorativa do terceiro aniversário do mesmo tri-centenário</t>
  </si>
  <si>
    <t>Lisboa : Tip. Castro e Irmão</t>
  </si>
  <si>
    <t>CAM. 239 A.</t>
  </si>
  <si>
    <t>http://id.bnportugal.gov.pt/bib/catbnp/913393</t>
  </si>
  <si>
    <t>https://bndigital.bnportugal.gov.pt//i/?IIIF=/54/e8/00/ca/54e800ca-57fe-479c-b5d6-d323741af2db/iiif/cam-240-v_0005.tif/full/!300,500/0/default.jpg</t>
  </si>
  <si>
    <t>Facsimile da 1ª ed</t>
  </si>
  <si>
    <t>8 p., 2, 186 f.</t>
  </si>
  <si>
    <t>CAM. 240 V.</t>
  </si>
  <si>
    <t>http://id.bnportugal.gov.pt/bib/catbnp/857274</t>
  </si>
  <si>
    <t>https://bndigital.bnportugal.gov.pt//i/?IIIF=/04/d1/9d/f6/04d19df6-e82d-44ac-acff-fa6136899404/iiif/cam-258-p_0001.tif/full/!300,500/0/default.jpg</t>
  </si>
  <si>
    <t>Die Lusiaden</t>
  </si>
  <si>
    <t>epische díchtung</t>
  </si>
  <si>
    <t>Leipzig : Arnoldische Buchhandung</t>
  </si>
  <si>
    <t>LXXXVIII, 532 p., 2 f. il.</t>
  </si>
  <si>
    <t>Fonseca, José da, 1788-1866, Compilador</t>
  </si>
  <si>
    <t>CAM. 258 P.</t>
  </si>
  <si>
    <t>http://id.bnportugal.gov.pt/bib/catbnp/259614</t>
  </si>
  <si>
    <t>Inocêncio XIV 297</t>
  </si>
  <si>
    <t>Contém: "Vida de Camões" e "Vasco da Gama"</t>
  </si>
  <si>
    <t>https://bndigital.bnportugal.gov.pt//i/?IIIF=/5b/5f/ee/bc/5b5feebc-6c0c-4b38-a9d5-dc89df1678f7/iiif/cam-26-a_0000_000007.tif/full/!300,500/0/default.jpg</t>
  </si>
  <si>
    <t>grande edição manuscripta dos Lusiadas pelos contemporaneos illustres de Portugal e Brazil</t>
  </si>
  <si>
    <t>Lisboa : Tip. Elzeviriana</t>
  </si>
  <si>
    <t>XV, 1 br., 288 p.</t>
  </si>
  <si>
    <t>Braga, Teófilo, 1843-1924, Director ; Chagas, Pinheiro, 1842-1895, Autor da introdução, etc.</t>
  </si>
  <si>
    <t>CAM. 26 A.</t>
  </si>
  <si>
    <t>http://id.bnportugal.gov.pt/bib/catbnp/381386</t>
  </si>
  <si>
    <t>https://bndigital.bnportugal.gov.pt//i/?IIIF=/8b/c0/56/bd/8bc056bd-3ac1-47b3-8d81-5e006410c749/iiif/cam-26-v_0000_000013.tif/full/!300,500/0/default.jpg</t>
  </si>
  <si>
    <t>Sonetos</t>
  </si>
  <si>
    <t>Ed. especial do Gabinete Portuguez de Leitura de Pernambuco para commemorar o terceiro centenario do grande epico, em 10 de Junho de 1880, segundo a ed. de Hamburgo de B. Feio e G. Monteiro</t>
  </si>
  <si>
    <t>Porto : Imprensa Portugueza</t>
  </si>
  <si>
    <t>XLVIII, 286 p.</t>
  </si>
  <si>
    <t>Pinto, A. de Sousa, 1843-?, Autor da introdução, etc.</t>
  </si>
  <si>
    <t>CAM. 26 V.</t>
  </si>
  <si>
    <t>http://id.bnportugal.gov.pt/bib/catbnp/804973</t>
  </si>
  <si>
    <t>Com uma fotografia representando o poeta e o Jáo na gruta de Macau</t>
  </si>
  <si>
    <t>https://bndigital.bnportugal.gov.pt//i/?IIIF=/84/eb/f6/e4/84ebf6e4-1b73-48f4-9488-51065744c1be/iiif/cam-270-p_0001.tif/full/!300,500/0/default.jpg</t>
  </si>
  <si>
    <t>Stuttgart : Verlag von W. Spemann</t>
  </si>
  <si>
    <t>252 p.</t>
  </si>
  <si>
    <t>CAM. 270 P.</t>
  </si>
  <si>
    <t>http://id.bnportugal.gov.pt/bib/catbnp/252299</t>
  </si>
  <si>
    <t>Inocêncio XIV 313</t>
  </si>
  <si>
    <t>https://bndigital.bnportugal.gov.pt//i/?IIIF=/d3/05/2c/6e/d3052c6e-7b7e-4abc-957e-d7c39f1b185f/iiif/cam-272-v_0005.tif/full/!300,500/0/default.jpg</t>
  </si>
  <si>
    <t>De Portugal à Índia</t>
  </si>
  <si>
    <t>trechos que mais se prendem com o assumpto, tirados do poema de Luiz de Camões "Os Lusiadas" acompanhados de versões em espanhol, italiano, francez, alemão e inglez</t>
  </si>
  <si>
    <t>Lisboa : Typ. Castro Irmão</t>
  </si>
  <si>
    <t>493 p.</t>
  </si>
  <si>
    <t>Sá, Ernesto Moreira de, 1841-1915, Compilador</t>
  </si>
  <si>
    <t>H.G. 8627 V.</t>
  </si>
  <si>
    <t>http://id.bnportugal.gov.pt/bib/catbnp/860111</t>
  </si>
  <si>
    <t>4º Centenário de Portugal à Índia, 1898</t>
  </si>
  <si>
    <t>https://bndigital.bnportugal.gov.pt//i/?IIIF=/c8/87/6d/93/c8876d93-3660-46e2-abf6-664dddb4591a/iiif/cam-283-p_0011.tif/full/!300,500/0/default.jpg</t>
  </si>
  <si>
    <t>Poems from the portuguese of Luis de Camoens with remarks on his life and writings, notes etc</t>
  </si>
  <si>
    <t>London : J. Carpenter</t>
  </si>
  <si>
    <t>4, 160 p., 1 f. il.</t>
  </si>
  <si>
    <t>Strangford, 1780-1855, Comentador de texto escrito ; O'Kuffe, J. G., Antigo possuidor</t>
  </si>
  <si>
    <t>CAM. 283 P.</t>
  </si>
  <si>
    <t>http://id.bnportugal.gov.pt/bib/catbnp/259979</t>
  </si>
  <si>
    <t>Inocêncio 248</t>
  </si>
  <si>
    <t>https://bndigital.bnportugal.gov.pt//i/?IIIF=/19/da/c6/3c/19dac63c-de1a-423d-9ec3-cefde4d3ddc9/iiif/cam-285-4-v_0001.tif/full/!300,500/0/default.jpg</t>
  </si>
  <si>
    <t>Intorno al genovese Carlo Antonio Paggi</t>
  </si>
  <si>
    <t>cenni</t>
  </si>
  <si>
    <t>Genova : Tip. R. Istituto Sordo-muti</t>
  </si>
  <si>
    <t>11 p.</t>
  </si>
  <si>
    <t>Araújo, Joaquim de, 1858-1917</t>
  </si>
  <si>
    <t>L. 14604 V.</t>
  </si>
  <si>
    <t>http://id.bnportugal.gov.pt/bib/catbnp/865247</t>
  </si>
  <si>
    <t>https://bndigital.bnportugal.gov.pt//i/?IIIF=/51/62/51/c6/516251c6-2d04-42df-9ed2-1f79910e6355/iiif/cam-291-v_0000_000005.tif/full/!300,500/0/default.jpg</t>
  </si>
  <si>
    <t>segundo o têsto da primeira edição de 1572, com as variantes da 2ª edição impressa por Manoel de Lyra em 1584, e acrecentada com dois apêndices por A. J. Gonçálvez Guimarãis...</t>
  </si>
  <si>
    <t>Coimbra : Imprensa da Universidade</t>
  </si>
  <si>
    <t>XIX, 3 p., 186 f., 75, 3 p., 2 extratextos</t>
  </si>
  <si>
    <t>Guimarães, A. J. Gonçalves, 1850-1919, Editor literário</t>
  </si>
  <si>
    <t>CAM. 291 V.</t>
  </si>
  <si>
    <t>http://id.bnportugal.gov.pt/bib/catbnp/397837</t>
  </si>
  <si>
    <t>https://bndigital.bnportugal.gov.pt//i/?IIIF=/0a/e2/5b/82/0ae25b82-9f91-4725-b06f-88317ff44913/iiif/cam-297-2-p_0000_000001.tif/full/!300,500/0/default.jpg</t>
  </si>
  <si>
    <t>Três excerptos dos Lusíadas</t>
  </si>
  <si>
    <t>Ed. bilingue português latim frente a frente</t>
  </si>
  <si>
    <t>Lisboa : Lallemant Fréres</t>
  </si>
  <si>
    <t>XVI, 19 p.</t>
  </si>
  <si>
    <t>Viale, António José, 1806-1889, Tradutor</t>
  </si>
  <si>
    <t>L. 3672//6 P.</t>
  </si>
  <si>
    <t>http://id.bnportugal.gov.pt/bib/catbnp/277515</t>
  </si>
  <si>
    <t>Inocêncio XIV 146</t>
  </si>
  <si>
    <t>https://bndigital.bnportugal.gov.pt//i/?IIIF=/20/aa/8d/69/20aa8d69-e05b-40db-af08-a1e289bc29f4/iiif/cam-298-v_0009.tif/full/!300,500/0/default.jpg</t>
  </si>
  <si>
    <t>Fonseca, José da, 1788-1866, Autor da introdução, etc.</t>
  </si>
  <si>
    <t>CAM. 298 V.</t>
  </si>
  <si>
    <t>http://id.bnportugal.gov.pt/bib/catbnp/865420</t>
  </si>
  <si>
    <t>https://bndigital.bnportugal.gov.pt//i/?IIIF=/70/be/ef/88/70beef88-9bbc-4c36-8a1f-3d782ff449eb/iiif/cam-301-p_0000_000007.tif/full/!300,500/0/default.jpg</t>
  </si>
  <si>
    <t>O Memorial de Camões</t>
  </si>
  <si>
    <t>registo de anniversarios e lembranças</t>
  </si>
  <si>
    <t>Lisboa : Typographia da Companhia Nacional Editora</t>
  </si>
  <si>
    <t>287, 1 p., 1 extratexto</t>
  </si>
  <si>
    <t>Costa, José Fernandes, 1848-1920, Compilador ; Pedroso, João, 1823-1890, Ilustrador ; Ulrich, João Henrique, 1851-1895, (Obsoleto)</t>
  </si>
  <si>
    <t>CAM. 301 P.</t>
  </si>
  <si>
    <t>http://id.bnportugal.gov.pt/bib/catbnp/321756</t>
  </si>
  <si>
    <t>https://bndigital.bnportugal.gov.pt//i/?IIIF=/7b/16/10/8f/7b16108f-ecc6-4dee-a50e-819649a15a89/iiif/cam-309-p_0000_000001.tif/full/!300,500/0/default.jpg</t>
  </si>
  <si>
    <t>Poesias líricas</t>
  </si>
  <si>
    <t>Sevill ; Imprenta de E. Rasco,</t>
  </si>
  <si>
    <t>XXI, 1, 481 p.</t>
  </si>
  <si>
    <t>Lamarque de Novoa, José</t>
  </si>
  <si>
    <t>Ruiz de Apodaca, Fernando Gabriel, Autor da introdução, etc.</t>
  </si>
  <si>
    <t>CAM. 309 P.</t>
  </si>
  <si>
    <t>http://id.bnportugal.gov.pt/bib/catbnp/321919</t>
  </si>
  <si>
    <t>Palau 2.a ed. 130370</t>
  </si>
  <si>
    <t>Contém a trad. espanhola de alguns sonetos de Camões</t>
  </si>
  <si>
    <t>https://bndigital.bnportugal.gov.pt//i/?IIIF=/18/73/81/bc/187381bc-a42f-4c0a-bc9b-c0a94f8c8b89/iiif/cam-311-p_0001.tif/full/!300,500/0/default.jpg</t>
  </si>
  <si>
    <t>CXXIV Sonnets</t>
  </si>
  <si>
    <t>London : John Lane ; Boston : Copeland &amp; Day</t>
  </si>
  <si>
    <t>147, 1 p.</t>
  </si>
  <si>
    <t>Garnett, Richard, 1835-1906, Tradutor</t>
  </si>
  <si>
    <t>CAM. 311 P.</t>
  </si>
  <si>
    <t>http://id.bnportugal.gov.pt/bib/catbnp/322212</t>
  </si>
  <si>
    <t>https://bndigital.bnportugal.gov.pt//i/?IIIF=/5b/e8/93/e6/5be893e6-c289-4b66-841b-878b12434034/iiif/cam-312-p_0000_000010.tif/full/!300,500/0/default.jpg</t>
  </si>
  <si>
    <t>Magazin der Spanischen und portugiesischen litteratur</t>
  </si>
  <si>
    <t>Weimar : In der Hoffmannischen Buchhandlung</t>
  </si>
  <si>
    <t>4, 412 p.</t>
  </si>
  <si>
    <t>Bertuch, Friederich  Justin, 1748-1822, Editor literário ; Geyser, Ilustrador</t>
  </si>
  <si>
    <t>CAM. 312 P.</t>
  </si>
  <si>
    <t>http://id.bnportugal.gov.pt/bib/catbnp/322214</t>
  </si>
  <si>
    <t>Inocêncio XIV 287</t>
  </si>
  <si>
    <t>https://bndigital.bnportugal.gov.pt//i/?IIIF=/f9/30/2e/07/f9302e07-4792-44ec-8ef0-3c0856716624/iiif/cam-321-v_0000_000013.tif/full/!300,500/0/default.jpg</t>
  </si>
  <si>
    <t>Lírica de Camões</t>
  </si>
  <si>
    <t>XL, 1, 385, XLI-LXXIV p.</t>
  </si>
  <si>
    <t>Rodrigues, José Maria, 1857-1942, Editor literário ; Vieira, Afonso Lopes, 1878-1946, Editor literário</t>
  </si>
  <si>
    <t>CAM. 321 V.</t>
  </si>
  <si>
    <t>http://id.bnportugal.gov.pt/bib/catbnp/866522</t>
  </si>
  <si>
    <t>https://bndigital.bnportugal.gov.pt//i/?IIIF=/3a/4b/ca/44/3a4bca44-fff5-44fa-88a9-9ef3979004ec/iiif/cam-371-3-p_0001.tif/full/!300,500/0/default.jpg</t>
  </si>
  <si>
    <t>Luís de Camoões o príncipe dos poetas portuguezes</t>
  </si>
  <si>
    <t>breve notícia sobre a vida e merecimentos...</t>
  </si>
  <si>
    <t>Lisboa : Typ. Progressista de P. A. Borges</t>
  </si>
  <si>
    <t>Canuto, Mendes, Compilador</t>
  </si>
  <si>
    <t>CAM. 371//3 P.</t>
  </si>
  <si>
    <t>http://id.bnportugal.gov.pt/bib/catbnp/328432</t>
  </si>
  <si>
    <t>José do Canto 626</t>
  </si>
  <si>
    <t>https://bndigital.bnportugal.gov.pt//i/?IIIF=/dd/87/66/1c/dd87661c-33bc-4ef4-b6fe-d5adfd6a64fd/iiif/cam-373-p_0005.tif/full/!300,500/0/default.jpg</t>
  </si>
  <si>
    <t>O Portugal de Camões</t>
  </si>
  <si>
    <t>offerecido à Mocidade Portugueza e Brazileira seguido de um elucidario e indice chronologico</t>
  </si>
  <si>
    <t>Paris : Typ. Guillard, Aillaud &amp; C.ie</t>
  </si>
  <si>
    <t>XII, 573, 4 p.</t>
  </si>
  <si>
    <t>Daux, André Adolphe</t>
  </si>
  <si>
    <t>H.G. 17167 P.</t>
  </si>
  <si>
    <t>http://id.bnportugal.gov.pt/bib/catbnp/328922</t>
  </si>
  <si>
    <t>https://bndigital.bnportugal.gov.pt//i/?IIIF=/65/f1/71/96/65f17196-cef9-4dbe-a62b-09b243d2bca6/iiif/cam-381-p_0009.tif/full/!300,500/0/default.jpg</t>
  </si>
  <si>
    <t>Album de homenagens a Luiz de Camões</t>
  </si>
  <si>
    <t>Nova edição dos principais escriptos em verso e prosa publicados pela imprensa periodica por occasião de se erigir o monumento que à memoria do egrégio poeta ...</t>
  </si>
  <si>
    <t>6, XV, 1, 332, 3 p.</t>
  </si>
  <si>
    <t>Neto, António Maria de Almeida, 1836-?, Editor literário</t>
  </si>
  <si>
    <t>CAM. 381 P.</t>
  </si>
  <si>
    <t>http://id.bnportugal.gov.pt/bib/catbnp/329068</t>
  </si>
  <si>
    <t>José do Canto 1106</t>
  </si>
  <si>
    <t>https://bndigital.bnportugal.gov.pt//i/?IIIF=/b4/f3/2d/4b/b4f32d4b-a3be-4154-be2e-31d0a5ac19ab/iiif/cam-397-11-p_0001.tif/full/!300,500/0/default.jpg</t>
  </si>
  <si>
    <t>A varanda de Nathercia</t>
  </si>
  <si>
    <t>Lisboa : Empresa Litteraria de Lisboa</t>
  </si>
  <si>
    <t>64 p.</t>
  </si>
  <si>
    <t>Pimentel, Alberto, 1849-1925</t>
  </si>
  <si>
    <t>L. 22914//2 P.</t>
  </si>
  <si>
    <t>http://id.bnportugal.gov.pt/bib/catbnp/330080</t>
  </si>
  <si>
    <t>Inocêncio XV 213</t>
  </si>
  <si>
    <t>https://bndigital.bnportugal.gov.pt//i/?IIIF=/ac/1f/e1/e9/ac1fe1e9-88b2-4347-8d4e-d8bf12529734/iiif/cam-398-p_0009.tif/full/!300,500/0/default.jpg</t>
  </si>
  <si>
    <t>estudo histórico poetico liberrimamente fundado sobre um drama francez dos senhores Victor Perrot e Armando du Mesnil</t>
  </si>
  <si>
    <t>Ponta Delgada : Typ. da Rua das Artes 68</t>
  </si>
  <si>
    <t>300 p.</t>
  </si>
  <si>
    <t>Castilho, António Feliciano de, 1800-1875</t>
  </si>
  <si>
    <t>CAM. 398 P.</t>
  </si>
  <si>
    <t>http://id.bnportugal.gov.pt/bib/catbnp/330133</t>
  </si>
  <si>
    <t>Inocêncio I 132</t>
  </si>
  <si>
    <t>https://bndigital.bnportugal.gov.pt//i/?IIIF=/d7/13/2c/a4/d7132ca4-f9a3-466c-b8ca-d4ad09704f04/iiif/cam-399-2-p_0001.tif/full/!300,500/0/default.jpg</t>
  </si>
  <si>
    <t>Discurso apologetico a favor do insigne poeta Luis de Camões contra o L do Manoel Pires de Almeida</t>
  </si>
  <si>
    <t>33 f.</t>
  </si>
  <si>
    <t>Barreto, João Franco, 1600-post. 1674</t>
  </si>
  <si>
    <t>CAM. 399//2 P.</t>
  </si>
  <si>
    <t>http://id.bnportugal.gov.pt/bib/catbnp/473486</t>
  </si>
  <si>
    <t>Cópia do original existente na Biblioteca Pública do Porto</t>
  </si>
  <si>
    <t>https://bndigital.bnportugal.gov.pt//i/?IIIF=/bd/bb/df/e7/bdbbdfe7-3fb3-49da-b4f0-960a655ea022/iiif/cam-399-3-p_0001.tif/full/!300,500/0/default.jpg</t>
  </si>
  <si>
    <t>Notas biográficas e bibliográficas e relação das obras de Luís de Camões</t>
  </si>
  <si>
    <t>98 f. ;,</t>
  </si>
  <si>
    <t>18--</t>
  </si>
  <si>
    <t>Norton, Tomás, 1804-1860</t>
  </si>
  <si>
    <t>CAM. 399//3 P.</t>
  </si>
  <si>
    <t>http://id.bnportugal.gov.pt/bib/catbnp/473496</t>
  </si>
  <si>
    <t>https://bndigital.bnportugal.gov.pt//i/?IIIF=/31/1e/91/2f/311e912f-195b-4458-9195-2ebdde2ade0f/iiif/cam-413-p_0005.tif/full/!300,500/0/default.jpg</t>
  </si>
  <si>
    <t>A verdade ácerca dos ossos de Camões</t>
  </si>
  <si>
    <t>Lisboa : Typ. da Acdemia Real das Sciencias</t>
  </si>
  <si>
    <t>130 p.</t>
  </si>
  <si>
    <t>Viegas, Sebastião de Almeida, 1830-1907</t>
  </si>
  <si>
    <t>H.G. 16999 P.</t>
  </si>
  <si>
    <t>http://id.bnportugal.gov.pt/bib/catbnp/330264</t>
  </si>
  <si>
    <t>https://bndigital.bnportugal.gov.pt//i/?IIIF=/45/47/77/f0/454777f0-4c97-417d-b880-29d86f22458d/iiif/cam-413-v_0009.tif/full/!300,500/0/default.jpg</t>
  </si>
  <si>
    <t>Les portugais</t>
  </si>
  <si>
    <t>poëme en dix chants</t>
  </si>
  <si>
    <t>Limoges : Impr. Marc Barbou et C i e</t>
  </si>
  <si>
    <t>192 p.</t>
  </si>
  <si>
    <t>CAM. 413 V.</t>
  </si>
  <si>
    <t>http://id.bnportugal.gov.pt/bib/catbnp/455278</t>
  </si>
  <si>
    <t>https://bndigital.bnportugal.gov.pt//i/?IIIF=/a6/90/70/ec/a69070ec-66ec-4134-8133-6e401d12a66d/iiif/cam-450-p_0005.tif/full/!300,500/0/default.jpg</t>
  </si>
  <si>
    <t>Almanach Vasco da Gama para o anno de 1897</t>
  </si>
  <si>
    <t>Lisboa : Imp. Lucas</t>
  </si>
  <si>
    <t>160 p.</t>
  </si>
  <si>
    <t>Braga, Eduardo, ca 18--, Editor literário</t>
  </si>
  <si>
    <t>P.P. 18003 V.</t>
  </si>
  <si>
    <t>http://id.bnportugal.gov.pt/bib/catbnp/367321</t>
  </si>
  <si>
    <t>https://bndigital.bnportugal.gov.pt//i/?IIIF=/07/17/53/2d/0717532d-ef3c-4a93-97b1-900767009be5/iiif/cam-451-p_0001.tif/full/!300,500/0/default.jpg</t>
  </si>
  <si>
    <t>Centenario indiano</t>
  </si>
  <si>
    <t>Marinha histórica do seculo XV e XVI</t>
  </si>
  <si>
    <t>Lisboa : Emp. jornal "O Seculo"</t>
  </si>
  <si>
    <t>il. color.</t>
  </si>
  <si>
    <t>Melo, Joaquim de, fl. c. 1897?</t>
  </si>
  <si>
    <t>B.A. 2363//7 P.</t>
  </si>
  <si>
    <t>http://id.bnportugal.gov.pt/bib/catbnp/367315</t>
  </si>
  <si>
    <t>https://bndigital.bnportugal.gov.pt//i/?IIIF=/4a/8e/05/57/4a8e0557-ae81-4dc8-baee-877478757969/iiif/cam-464-p_0013.tif/full/!300,500/0/default.jpg</t>
  </si>
  <si>
    <t>Homenagem a Vasco da Gama e programma das festas do centenario</t>
  </si>
  <si>
    <t>tributo litterario da Bibliotheca de Romances Notaveis</t>
  </si>
  <si>
    <t>Lisboa : Typ. do Commercio de Portugal</t>
  </si>
  <si>
    <t>28, 2 p.</t>
  </si>
  <si>
    <t>CAM. 464 P.</t>
  </si>
  <si>
    <t>http://id.bnportugal.gov.pt/bib/catbnp/473530</t>
  </si>
  <si>
    <t>Nome do autor no fim do texto</t>
  </si>
  <si>
    <t>Homenagem a Vasco da Gama</t>
  </si>
  <si>
    <t>https://bndigital.bnportugal.gov.pt//i/?IIIF=/a3/fd/88/fc/a3fd88fc-d9b1-4bb7-8dc7-6fb1888b2704/iiif/cam-483-p_0007.tif/full/!300,500/0/default.jpg</t>
  </si>
  <si>
    <t>poema epico de Luis de Camões</t>
  </si>
  <si>
    <t>Nova edição para uso das escolas feita debaixo das vistas da mais acurada crítica em presença das duas edições primordiais...</t>
  </si>
  <si>
    <t>Rio de Janeiro : Em casa dos Editores Eduardo &amp; Henrique Laemmert</t>
  </si>
  <si>
    <t>1 f.,441 p.</t>
  </si>
  <si>
    <t>CAM. 483 P.</t>
  </si>
  <si>
    <t>http://id.bnportugal.gov.pt/bib/catbnp/369142</t>
  </si>
  <si>
    <t>https://bndigital.bnportugal.gov.pt//i/?IIIF=/b6/30/e9/80/b630e980-895a-4a26-a8b7-4a8f20ff935e/iiif/cam-487-p_0001.tif/full/!300,500/0/default.jpg</t>
  </si>
  <si>
    <t>Nova edição popular</t>
  </si>
  <si>
    <t>Lisboa : Roland &amp; Semion editores</t>
  </si>
  <si>
    <t>8Ê</t>
  </si>
  <si>
    <t>CAM. 487 P.</t>
  </si>
  <si>
    <t>http://id.bnportugal.gov.pt/bib/catbnp/369151</t>
  </si>
  <si>
    <t>https://bndigital.bnportugal.gov.pt//i/?IIIF=/e6/44/0a/f1/e6440af1-b5c6-4b77-9dc3-14e6f3642b6e/iiif/cam-489-p_0001.tif/full/!300,500/0/default.jpg</t>
  </si>
  <si>
    <t>S. Paulo : Livr. Popular de Abílio A. S. Marques</t>
  </si>
  <si>
    <t>IV, 111, 4 p.</t>
  </si>
  <si>
    <t>Celso Júnior, Afonso</t>
  </si>
  <si>
    <t>CAM. 313 P.</t>
  </si>
  <si>
    <t>http://id.bnportugal.gov.pt/bib/catbnp/322260</t>
  </si>
  <si>
    <t>Inocêncio XV 154</t>
  </si>
  <si>
    <t>https://bndigital.bnportugal.gov.pt//i/?IIIF=/6c/3e/4c/92/6c3e4c92-d1b3-40c7-a316-feeed498b93b/iiif/cam-71-v_0000_000007.tif/full/!300,500/0/default.jpg</t>
  </si>
  <si>
    <t>Episodios de Ignez de Castro e Adamastor</t>
  </si>
  <si>
    <t>extrahidos dos cantos III e V dos Lusíadas</t>
  </si>
  <si>
    <t>38 p.</t>
  </si>
  <si>
    <t>Vilhena, Ernesto Jardim de, 1876-1967, Antigo possuidor ; Boisse, Jean-Arnaud Escodeca de, 1802-1865, Tradutor</t>
  </si>
  <si>
    <t>L. 36351 V.</t>
  </si>
  <si>
    <t>http://id.bnportugal.gov.pt/bib/catbnp/189268</t>
  </si>
  <si>
    <t>Exemplar bilingue, português e francês lado a lado</t>
  </si>
  <si>
    <t>https://bndigital.bnportugal.gov.pt//i/?IIIF=/e0/93/be/4f/e093be4f-2793-4525-9c8a-24d57a1db7bd/iiif/cam-72-v_0000_000007.tif/full/!300,500/0/default.jpg</t>
  </si>
  <si>
    <t>Sonetos escolhidos</t>
  </si>
  <si>
    <t>Lisboa : Francisco Arthur da Silva</t>
  </si>
  <si>
    <t>80 p.</t>
  </si>
  <si>
    <t>CAM. 72 V.</t>
  </si>
  <si>
    <t>http://id.bnportugal.gov.pt/bib/catbnp/808486</t>
  </si>
  <si>
    <t>https://bndigital.bnportugal.gov.pt//i/?IIIF=/6b/7a/c9/47/6b7ac947-55a9-4acc-bbcd-d5f2fa65add1/iiif/cam-82-2-v_0000_000001.tif/full/!300,500/0/default.jpg</t>
  </si>
  <si>
    <t>Português ; Francês ; Espanhol</t>
  </si>
  <si>
    <t>Lyricas</t>
  </si>
  <si>
    <t>131, 2 p.</t>
  </si>
  <si>
    <t>Vilhena, Ernesto Jardim de, 1876-1967, Antigo possuidor ; Benoliel, Joseph, 1873-1932, Tradutor ; Cunha, Xavier da, 1840-1920, Autor da introdução, etc.</t>
  </si>
  <si>
    <t>CAM. 82//2 V.</t>
  </si>
  <si>
    <t>http://id.bnportugal.gov.pt/bib/catbnp/810044</t>
  </si>
  <si>
    <t>Liricas</t>
  </si>
  <si>
    <t>https://bndigital.bnportugal.gov.pt//i/?IIIF=/6f/05/b0/6e/6f05b06e-0073-46cf-96b8-08d4f4ad4869/iiif/cam-84-1-a_0000_000001.tif/full/!300,500/0/default.jpg</t>
  </si>
  <si>
    <t>Português ; Chinês</t>
  </si>
  <si>
    <t>Jornal unico</t>
  </si>
  <si>
    <t>celebração do 4º centenario do descobrimento do caminho maritimo para a India por Vasco da Gama</t>
  </si>
  <si>
    <t>Macau : impresso nas typographias de N. T. Fernandes e Filhos e Noronha &amp; Ca.</t>
  </si>
  <si>
    <t>55, 4 p.</t>
  </si>
  <si>
    <t>CAM. 84//1 A.</t>
  </si>
  <si>
    <t>http://id.bnportugal.gov.pt/bib/catbnp/412780</t>
  </si>
  <si>
    <t>https://bndigital.bnportugal.gov.pt//i/?IIIF=/91/d0/b9/e6/91d0b9e6-dade-4731-93db-1f5883f197d7/iiif/cam-595-v_0000_000007.tif/full/!300,500/0/default.jpg</t>
  </si>
  <si>
    <t>Edição consagrada a commemorar o terceiro centenario do poeta da nacionalidade portugueza pelo Gabinete Portuguez de Leitura no Rio de Janeiro</t>
  </si>
  <si>
    <t>Lisboa : na officina de Castro Irmão, Impressor</t>
  </si>
  <si>
    <t>XCIII, 3, 422, 4 p.</t>
  </si>
  <si>
    <t>Coelho, Adolfo, 1847-1919, Editor literário ; Ortigão, Ramalho, 1836-1915, Autor da introdução, etc. ; Montoro, Reinaldo Carlos, 1831-?, Autor do posfácio, cólofon, etc.</t>
  </si>
  <si>
    <t>Gabinete Português de Leitura, (Obsoleto)</t>
  </si>
  <si>
    <t>CAM. 595 V.</t>
  </si>
  <si>
    <t>http://id.bnportugal.gov.pt/bib/catbnp/98840</t>
  </si>
  <si>
    <t>https://bndigital.bnportugal.gov.pt//i/?IIIF=/7b/7a/f5/77/7b7af577-eb20-40d0-8bd4-f587cc634b01/iiif/cam-198-p_0000_capa-capa_t24-C-R0150_000007.tif/full/!300,500/0/default.jpg</t>
  </si>
  <si>
    <t>Los Lusiadas</t>
  </si>
  <si>
    <t>Impresso en Alcala de Henares : por Iuan Gracian</t>
  </si>
  <si>
    <t>388 p.</t>
  </si>
  <si>
    <t>Caldeira, Bento, fl. 1580, Tradutor ; Gracián, Juan, fl. 1572-1599, Impressor ; Cenáculo, Manuel do, 1724-1814, Antigo possuidor</t>
  </si>
  <si>
    <t>F. 1622</t>
  </si>
  <si>
    <t>http://id.bnportugal.gov.pt/bib/catbnp/224027</t>
  </si>
  <si>
    <t>https://bndigital.bnportugal.gov.pt//i/?IIIF=/e2/87/4b/ea/e2874bea-f246-4633-bd9b-517c7955a0df/iiif/cam-206-a_0000_000005.tif/full/!300,500/0/default.jpg</t>
  </si>
  <si>
    <t>Variações camonianas</t>
  </si>
  <si>
    <t>Lisboa : Imprensa Nacional-Casa da Moeda</t>
  </si>
  <si>
    <t>10 p., 21 estampas em bolsa de resguardo</t>
  </si>
  <si>
    <t>França, José Augusto, 1922-2021</t>
  </si>
  <si>
    <t>Guimarães, José de, Ilustrador</t>
  </si>
  <si>
    <t>CAM. 206 A.</t>
  </si>
  <si>
    <t>http://id.bnportugal.gov.pt/bib/catbnp/251973</t>
  </si>
  <si>
    <t>https://bndigital.bnportugal.gov.pt//i/?IIIF=/7c/21/88/b9/7c2188b9-a666-4ea9-9461-f8b34915c0fa/iiif/cam-575-p_0000_000001.tif/full/!300,500/0/default.jpg</t>
  </si>
  <si>
    <t>Seconda edizione</t>
  </si>
  <si>
    <t>Milano : Dalla Societá Tipog. dei Classici Italiani</t>
  </si>
  <si>
    <t>XXXX, 517, 3 p., 3 grav. extratexto</t>
  </si>
  <si>
    <t>Staël, 1766-1817, Autor ; Villenave, Mathieu-Guillaume-Thérèse, 1762-1846, Autor ; Sismondi, 1773-1842, Autor ; Andrés, Juan, 1740-1817, Autor</t>
  </si>
  <si>
    <t>Nervi, Antonio, 1760-1836, Tradutor ; Gallina, Gallo, 1796-1874, Ilustrador</t>
  </si>
  <si>
    <t>Società Tipografica de' Classici Italiani</t>
  </si>
  <si>
    <t>CAM. 234 P.</t>
  </si>
  <si>
    <t>http://id.bnportugal.gov.pt/bib/catbnp/253094</t>
  </si>
  <si>
    <t>Inocêncio XIV 208</t>
  </si>
  <si>
    <t>Compendio da vida de Camões da Baroneza de Stael e aditamento de Villenave, texto de Sismondo de' Sismondi, juízo sobre a obra de Juan (Giovanni) Andrés</t>
  </si>
  <si>
    <t>https://bndigital.bnportugal.gov.pt//i/?IIIF=/78/02/d7/04/7802d704-62e3-4579-87a6-9e8ed05b0134/iiif/cam-208-p_0000_000007.tif/full/!300,500/0/default.jpg</t>
  </si>
  <si>
    <t>Barcelona : Empresa Editorial La Ilustracion</t>
  </si>
  <si>
    <t>266 i.e. 296, LXI, 1 p.</t>
  </si>
  <si>
    <t>Aranda y Sanjuan, Manuel, Tradutor ; Denis, Ferdinand, 1798-1890, Colaborador ; Moura, Caetano Lopes de, 1780-1860, Editor literário</t>
  </si>
  <si>
    <t>CAM. 208 P.</t>
  </si>
  <si>
    <t>http://id.bnportugal.gov.pt/bib/catbnp/258798</t>
  </si>
  <si>
    <t>Bibliografia de Luis de Camoens por Ferdinand Denis</t>
  </si>
  <si>
    <t>https://bndigital.bnportugal.gov.pt//i/?IIIF=/81/9e/c1/15/819ec115-acbb-41d1-9214-ca754be7bf56/iiif/cam-211-p_0000_capa-capa_t24-C-R0150_000009.tif/full/!300,500/0/default.jpg</t>
  </si>
  <si>
    <t>La Lusiade du Camoens</t>
  </si>
  <si>
    <t>poeme heroique sur la decouverte des Indes Orientales</t>
  </si>
  <si>
    <t>A Paris : chez Huart, ruë S. Jacques, à la Justice : chez David, quay des Augustins, à la Providence : chez Briasson, ruë S. Jacques, à la Science : chez Clousier, ruë S. Jacques, à l´Ecu de France</t>
  </si>
  <si>
    <t>3 vol.</t>
  </si>
  <si>
    <t>Huart, Pierre Michel, fl. 1717-1764, Impressor ; David, Michel-Étienne, fl. 1700-1756, Impressor ; Briasson, Antoine-Claude, fl. 1724-1775, Impressor ; Clousier, Jacques, fl. 1727-1749, Impressor ; Du Perron de Castera, Louis-Adrien, 1705-1752, Tradutor ; Scotin, Jean Baptiste, 1698-?, Gravador em madeira</t>
  </si>
  <si>
    <t>CAM. 209 P.</t>
  </si>
  <si>
    <t>http://id.bnportugal.gov.pt/bib/catbnp/259033</t>
  </si>
  <si>
    <t>Vol. 3: 6, 334, 1 p.</t>
  </si>
  <si>
    <t>https://bndigital.bnportugal.gov.pt//i/?IIIF=/46/6b/f4/64/466bf464-afe3-42d4-ad1d-22ca68557b64/iiif/cam-271-p_0000_capa-capa_t24-C-R0150_000009.tif/full/!300,500/0/default.jpg</t>
  </si>
  <si>
    <t>De Lusiade van Louis Camoëns</t>
  </si>
  <si>
    <t>heldendicht in X Zangen</t>
  </si>
  <si>
    <t>Te Middelburg : by Willem Abrahams</t>
  </si>
  <si>
    <t>4, XXIV, 405 p.</t>
  </si>
  <si>
    <t>Stoppendaal, Lambartus Pieters Zoon, fl. 1777, Tradutor ; Abrahams, Willem, fl. 1772-1788, Livreiro ; Warnars, Genit, fl. 1769-1899, Impressor</t>
  </si>
  <si>
    <t>CAM. 271 P.</t>
  </si>
  <si>
    <t>http://id.bnportugal.gov.pt/bib/catbnp/259828</t>
  </si>
  <si>
    <t>https://bndigital.bnportugal.gov.pt//i/?IIIF=/8a/d7/7c/27/8ad77c27-3ca1-4f47-9eb1-faeab1ff3493/iiif/cam-1281-p_0000_capa-capa_t24-C-R0150_000011.tif/full/!300,500/0/default.jpg</t>
  </si>
  <si>
    <t>4, 160 p., 2 f. il.</t>
  </si>
  <si>
    <t>Mancel, Em., 18--, Antigo possuidor ; Strangford, 1780-1855, Comentador de texto escrito</t>
  </si>
  <si>
    <t>CAM. 1281 P.</t>
  </si>
  <si>
    <t>http://id.bnportugal.gov.pt/bib/catbnp/303898</t>
  </si>
  <si>
    <t>https://bndigital.bnportugal.gov.pt//i/?IIIF=/af/b6/59/07/afb65907-fd63-4606-8edd-0b04da642185/iiif/cam-1-p_0000_capa-capa_t24-C-R0150_000019.tif/full/!300,500/0/default.jpg</t>
  </si>
  <si>
    <t>Em Lisboa : em casa de Antonio Gõçaluez</t>
  </si>
  <si>
    <t>Manuel, Francisco de Melo, 1773-1851, Antigo possuidor</t>
  </si>
  <si>
    <t>F. 1</t>
  </si>
  <si>
    <t>http://id.bnportugal.gov.pt/bib/catbnp/323612</t>
  </si>
  <si>
    <t>https://bndigital.bnportugal.gov.pt//i/?IIIF=/e6/54/ee/2b/e654ee2b-c8e0-45f2-abb3-ffdf1f576e20/iiif/cam-3-p_0000_capa-capa_t24-C-R0150_000007.tif/full/!300,500/0/default.jpg</t>
  </si>
  <si>
    <t>Lisboa : em casa de Antonio Gõçaluez</t>
  </si>
  <si>
    <t>Gonçalves, António, fl. 1566-1576, Impressor ; Melo, Francisco Manuel de, 1608-1666, Antigo possuidor ; Norton, Tomás, 1804-1860, Antigo possuidor ; Teixeira, Manuel Lopes, Antigo possuidor ; Silveira, Jerónimo Correia da, fl. ca. 1590, Antigo possuidor</t>
  </si>
  <si>
    <t>PURL 1/0</t>
  </si>
  <si>
    <t>PATRIMONIA2</t>
  </si>
  <si>
    <t>http://id.bnportugal.gov.pt/bib/catbnp/323613</t>
  </si>
  <si>
    <t>https://bndigital.bnportugal.gov.pt//i/?IIIF=/1e/1d/ed/d8/1e1dedd8-793f-4368-affa-73d9c8e95f89/iiif/cam-7-p_0000_capa-capa_t24-C-R0150_000023.tif/full/!300,500/0/default.jpg</t>
  </si>
  <si>
    <t>Agora de nouo impresso com algumas annotações de diuersos autores</t>
  </si>
  <si>
    <t>Em Lisboa : por Manoel de Lyra</t>
  </si>
  <si>
    <t>12, 280 f.</t>
  </si>
  <si>
    <t>Lira, Manuel de, fl. 1579-1609, Impressor ; Peres, Vítor de Ávila, fl. 183-, Antigo possuidor ; Sousa, José de, 1664-1730, Antigo possuidor</t>
  </si>
  <si>
    <t>Ordem de Cister. Mosteiro de Santa Maria, Antigo possuidor</t>
  </si>
  <si>
    <t>F. 2488</t>
  </si>
  <si>
    <t>CENSURA</t>
  </si>
  <si>
    <t>http://id.bnportugal.gov.pt/bib/catbnp/323614</t>
  </si>
  <si>
    <t>https://bndigital.bnportugal.gov.pt//i/?IIIF=/06/33/a5/e7/0633a5e7-8715-41fc-87d1-0ecc81da22f9/iiif/cam-1163-p_0000_capa-capa_t24-C-R0150_000009.tif/full/!300,500/0/default.jpg</t>
  </si>
  <si>
    <t>Agora de nouo impresso com algumas anotações de diuersos autores</t>
  </si>
  <si>
    <t>Em Lisboa : por Manuel de Lyra</t>
  </si>
  <si>
    <t>2, 184, 36 f.</t>
  </si>
  <si>
    <t>Norton, Tomás, 1804-1860, Antigo possuidor ; Lira, Manuel de, fl. 1579-1609, Impressor ; Peres, Vítor de Ávila, fl. 183-, Antigo possuidor</t>
  </si>
  <si>
    <t>F. 3133</t>
  </si>
  <si>
    <t>PATRIMONIA3</t>
  </si>
  <si>
    <t>http://id.bnportugal.gov.pt/bib/catbnp/323615</t>
  </si>
  <si>
    <t>https://bndigital.bnportugal.gov.pt//i/?IIIF=/c9/46/0a/21/c9460a21-19a9-4fa8-8f45-ae0083d6f047/iiif/cam-12-p_0000_capa-capa_t24-C-R0150_000005.tif/full/!300,500/0/default.jpg</t>
  </si>
  <si>
    <t>Polo original antigo agora nouamente impressos</t>
  </si>
  <si>
    <t>Em Lisboa : por Manoel de Lyra : á custa de Esteuão Lopez</t>
  </si>
  <si>
    <t>Lira, Manuel de, fl. 1579-1609, Impressor ; Lopes, Estêvão, fl. 159--160-, Editor comercial ; Norton, Tomás, 1804-1860, Antigo possuidor ; Azevedo, 1809-1876, Antigo possuidor</t>
  </si>
  <si>
    <t>F. 2550</t>
  </si>
  <si>
    <t>http://id.bnportugal.gov.pt/bib/catbnp/323616</t>
  </si>
  <si>
    <t>https://bndigital.bnportugal.gov.pt//i/?IIIF=/65/f0/b5/eb/65f0b5eb-2845-4af8-b55e-cd6634f60f16/iiif/cam-10-p_0000_capa-capa_t24-C-R0150_000009.tif/full/!300,500/0/default.jpg</t>
  </si>
  <si>
    <t>Rhythmas</t>
  </si>
  <si>
    <t>Em Lisboa : por Manoel de Lyra : a custa de Esteuão Lopez</t>
  </si>
  <si>
    <t>8, 166 i.é 170, 4 f.</t>
  </si>
  <si>
    <t>Lira, Manuel de, fl. 1579-1609, Impressor ; Lopes, Estêvão, fl. 159--160-, Editor comercial ; Norton, Tomás, 1804-1860, Antigo possuidor ; Peres, Vítor de Ávila, fl. 183-, Antigo possuidor</t>
  </si>
  <si>
    <t>F. 5466</t>
  </si>
  <si>
    <t>http://id.bnportugal.gov.pt/bib/catbnp/323617</t>
  </si>
  <si>
    <t>https://bndigital.bnportugal.gov.pt//i/?IIIF=/15/30/ad/c9/1530adc9-3a17-4006-9801-f07860e878de/iiif/cam-389-p_0000_Obra%20Completa_t24-C-R0150_000003.tif/full/!300,500/0/default.jpg</t>
  </si>
  <si>
    <t>Apologia em que defende Joam Soares de Brito a poesia do principe dos poetas d'Hespanha Luis de Camoens no canto 4. da est. 67. à 75. &amp; cant. 2. est. 21. &amp; responde às censuras d'hum Critico d'estes tempos...</t>
  </si>
  <si>
    <t>Em Lisboa : na officina de Lourenço de Anveres</t>
  </si>
  <si>
    <t>16, 61, 3 f., 2 f. grav.</t>
  </si>
  <si>
    <t>Brito, João Soares de, 1611-1664</t>
  </si>
  <si>
    <t>Floriano, Agostinho Soares, fl. 1619-1642, Ilustrador ; Anvers, Lourenço de, 1599-1679, Impressor</t>
  </si>
  <si>
    <t>F. 7</t>
  </si>
  <si>
    <t>http://id.bnportugal.gov.pt/bib/catbnp/329698</t>
  </si>
  <si>
    <t>Nas últ. f. inum., "Panegyris ad Joan. R. de Sa Menesium", antecedendo texto, e poemas de diversos autores, nas últimas f. inum.</t>
  </si>
  <si>
    <t>https://bndigital.bnportugal.gov.pt//i/?IIIF=/89/21/4e/d8/89214ed8-c260-4700-a6f0-d82cc2f804a0/iiif/cam-1275-p_0000_000011.tif/full/!300,500/0/default.jpg</t>
  </si>
  <si>
    <t>an epic poeme</t>
  </si>
  <si>
    <t>London : published by W. Sattaby : B. Crosby &amp; Cº- and Scatcherd &amp; Leterman</t>
  </si>
  <si>
    <t>2 f., XCVIII, 277, 1 p.</t>
  </si>
  <si>
    <t>CAM. 245 P.</t>
  </si>
  <si>
    <t>http://id.bnportugal.gov.pt/bib/catbnp/331404</t>
  </si>
  <si>
    <t>https://bndigital.bnportugal.gov.pt//i/?IIIF=/b5/3d/a6/9a/b53da69a-8593-421a-abd4-abbffeb7d24d/iiif/cam-606-v_0000_000007.tif/full/!300,500/0/default.jpg</t>
  </si>
  <si>
    <t>London : Jonh Murray, Albemarle Street</t>
  </si>
  <si>
    <t>XXI, 3, 585, 1 p.</t>
  </si>
  <si>
    <t>Musgrave, Thomas Moore, Tradutor ; Skelton, William, 1763-1848, Gravador ; Dickens, J., Antigo possuidor</t>
  </si>
  <si>
    <t>CAM. 246 P.</t>
  </si>
  <si>
    <t>http://id.bnportugal.gov.pt/bib/catbnp/331411</t>
  </si>
  <si>
    <t>https://bndigital.bnportugal.gov.pt//i/?IIIF=/11/3b/da/f1/113bdaf1-8a69-41a3-a466-178d1b5df558/iiif/cam-539-10-p_0001.tif/full/!300,500/0/default.jpg</t>
  </si>
  <si>
    <t>The second canto of The Lusiad</t>
  </si>
  <si>
    <t>Rio de Janeiro : Camoens Printing Office-Fonseca Brother &amp; Sousa Lima</t>
  </si>
  <si>
    <t>79 p. ;20 cm</t>
  </si>
  <si>
    <t>Hewitt, James E., Tradutor</t>
  </si>
  <si>
    <t>CAM. 539//10 P.</t>
  </si>
  <si>
    <t>http://id.bnportugal.gov.pt/bib/catbnp/380835</t>
  </si>
  <si>
    <t>https://bndigital.bnportugal.gov.pt//i/?IIIF=/ed/43/ff/cc/ed43ffcc-166f-4953-9d07-faa7ae8d8725/iiif/cam-5-a_0000_1-640_t24-C-R0150_000007.tif/full/!300,500/0/default.jpg</t>
  </si>
  <si>
    <t>Lusiadas</t>
  </si>
  <si>
    <t>En Madrid : por Iuan Sanchez : a costa de Pedro Coello, mercador de libros</t>
  </si>
  <si>
    <t>4 tomos em 2 vol.</t>
  </si>
  <si>
    <t>Sousa, Manuel de Faria e, 1590-1649, Editor literário ; Coello, Pedro, fl. 1624-165-, Editor comercial ; Sánchez, Juan, fl. 1613-1639, Impressor ; Manuel, Francisco de Melo, 1773-1851, Antigo possuidor ; Borges, Diogo, 16--, Antigo possuidor</t>
  </si>
  <si>
    <t>Liceu Passos Manuel, Antigo possuidor</t>
  </si>
  <si>
    <t>CAM. 1 A.</t>
  </si>
  <si>
    <t>http://id.bnportugal.gov.pt/bib/catbnp/381202</t>
  </si>
  <si>
    <t>Tomo 4: 670 colns. numeradas, 35, 12 p., 139 colns. numeradas - Contém os cantos IX e X, a Tabla general em colunas, e a Informacion en favor de Manuel de Faria i Sousa</t>
  </si>
  <si>
    <t>https://bndigital.bnportugal.gov.pt//i/?IIIF=/c8/a6/98/5b/c8a6985b-4c45-4a5c-a72e-2251665ada36/iiif/cam-29-a_0000_000009.tif/full/!300,500/0/default.jpg</t>
  </si>
  <si>
    <t>Paris ; ; Lisboa : Guillard Aillaud &amp; Cª editores</t>
  </si>
  <si>
    <t>317, XLIII p.</t>
  </si>
  <si>
    <t>Pinto, Abílio Augusto da Fonseca, 1830-1893, Editor literário ; Bramtot, Alfred, 1852-1894, Ilustrador ; Bord, Paulin, fl. 1890, Ilustrador ; Sousa, António Alberto Marinho Duarte de, 1896-1950, Antigo possuidor</t>
  </si>
  <si>
    <t>CAM. 28 A.</t>
  </si>
  <si>
    <t>http://id.bnportugal.gov.pt/bib/catbnp/381444</t>
  </si>
  <si>
    <t>https://bndigital.bnportugal.gov.pt//i/?IIIF=/6a/37/38/2e/6a37382e-f376-4998-8030-b00e6347bea0/iiif/cam-35-a_0000_capa-capa_t24-C-R0150_000009.tif/full/!300,500/0/default.jpg</t>
  </si>
  <si>
    <t>The Lusiad, or, Portugals historicall poem</t>
  </si>
  <si>
    <t>written in portingall language</t>
  </si>
  <si>
    <t>London : printed for Humphrey Moseley, at the Prince´s Arms in St Pauls Church-yard</t>
  </si>
  <si>
    <t>11, 3 retratos, 224 p.</t>
  </si>
  <si>
    <t>Moseley, Humphrey, fl. 1630-1661, Impressor ; Fanshawe, Richard, 1608-1666, Tipógrafo</t>
  </si>
  <si>
    <t>F. 2485</t>
  </si>
  <si>
    <t>http://id.bnportugal.gov.pt/bib/catbnp/381504</t>
  </si>
  <si>
    <t>https://bndigital.bnportugal.gov.pt//i/?IIIF=/ce/25/45/e9/ce2545e9-68b4-403c-bc10-126f7c29eef9/iiif/cam-38-a_0000_capa-capa_t24-C-R0150_000007.tif/full/!300,500/0/default.jpg</t>
  </si>
  <si>
    <t>The Lusiad; or, the discovery of India</t>
  </si>
  <si>
    <t>The second edition</t>
  </si>
  <si>
    <t>Oxford : printed by Jackson and Lister</t>
  </si>
  <si>
    <t>CCXXXVI, 496 p.</t>
  </si>
  <si>
    <t>Mickle, William Julius, 1734-1788, Tradutor ; Freire, Cipriano Ribeiro, 1749-1824, Antigo possuidor</t>
  </si>
  <si>
    <t>Jackson and Lister. Comissão Nacional para as Comemorações dos Descobrimentos Portugueses, Impressor ; Livraria Esquina. Comissão Nacional para as Comemorações dos Descobrimentos Portugueses, Antigo possuidor ; Portugal. Comissão Nacional para as Comemorações dos Descobrimentos Portugueses, Antigo possuidor</t>
  </si>
  <si>
    <t>CAM. 38 A.</t>
  </si>
  <si>
    <t>http://id.bnportugal.gov.pt/bib/catbnp/381588</t>
  </si>
  <si>
    <t>https://bndigital.bnportugal.gov.pt//i/?IIIF=/0b/44/41/cd/0b4441cd-eb0a-49ec-bf96-cdeb42cb7284/iiif/cam-542-v_0003.tif/full/!300,500/0/default.jpg</t>
  </si>
  <si>
    <t>Episodio de D. Ignez de Castro excerpto dos Lusiadas ...</t>
  </si>
  <si>
    <t>Lisboa : Adolfo, Modesto : Imprensa Nacional</t>
  </si>
  <si>
    <t>10 p.</t>
  </si>
  <si>
    <t>Santos, Joaquim Eusébio dos, ca 18--, Comentador (em meio audiovisual)</t>
  </si>
  <si>
    <t>CAM. 284//7 V.</t>
  </si>
  <si>
    <t>http://id.bnportugal.gov.pt/bib/catbnp/397754</t>
  </si>
  <si>
    <t>Tiragem limitada, exemplar nº 104</t>
  </si>
  <si>
    <t>https://bndigital.bnportugal.gov.pt//i/?IIIF=/d2/c2/b5/31/d2c2b531-215e-4c76-ac52-7bae671edd95/iiif/cam-344-v_0000_000005.tif/full/!300,500/0/default.jpg</t>
  </si>
  <si>
    <t>Vie de Camoens</t>
  </si>
  <si>
    <t>le poéte des "Lusiades" et le Portugal de son temps</t>
  </si>
  <si>
    <t>Tours : s.n.</t>
  </si>
  <si>
    <t>X, 192 p.; 3 p.</t>
  </si>
  <si>
    <t>Almeida, Virgínia de Castro e, 1874-1945</t>
  </si>
  <si>
    <t>Lamet, Pierre de, Autor da introdução, etc.</t>
  </si>
  <si>
    <t>CAM. 344 V.</t>
  </si>
  <si>
    <t>EODOPEN</t>
  </si>
  <si>
    <t>http://id.bnportugal.gov.pt/bib/catbnp/452326</t>
  </si>
  <si>
    <t>https://bndigital.bnportugal.gov.pt//i/?IIIF=/0f/25/74/72/0f257472-2793-4b33-8088-093f6546f87e/iiif/452510_0000_capa-capa_t24-C-R0150_000001.tif/full/!300,500/0/default.jpg</t>
  </si>
  <si>
    <t>As traduções italianas dos "Lusiadas"</t>
  </si>
  <si>
    <t>Livorno : Tip. Raffaello Giusti</t>
  </si>
  <si>
    <t>7 p.</t>
  </si>
  <si>
    <t>CAM. 349//8 V.</t>
  </si>
  <si>
    <t>http://id.bnportugal.gov.pt/bib/catbnp/452510</t>
  </si>
  <si>
    <t>https://bndigital.bnportugal.gov.pt//i/?IIIF=/4c/b4/0b/67/4cb40b67-54b2-447f-9db4-186f0b67c7b8/iiif/cam-616-v_0013.tif/full/!300,500/0/default.jpg</t>
  </si>
  <si>
    <t>Lusiadas de Luis de Camões. Canto terceiro</t>
  </si>
  <si>
    <t>5 f.</t>
  </si>
  <si>
    <t>CAM. 616 V.</t>
  </si>
  <si>
    <t>http://id.bnportugal.gov.pt/bib/catbnp/464971</t>
  </si>
  <si>
    <t>Lusíadas</t>
  </si>
  <si>
    <t>https://bndigital.bnportugal.gov.pt//i/?IIIF=/bf/b6/3d/46/bfb63d46-93a4-4efa-b8f7-39b8e4a2a3c0/iiif/cam-678-v_0000_000005.tif/full/!300,500/0/default.jpg</t>
  </si>
  <si>
    <t>A velhice de Camoes</t>
  </si>
  <si>
    <t>Lisboa : Typ. Lisbonense d'Aguiar Vianna</t>
  </si>
  <si>
    <t>2 tomos em 1 v.</t>
  </si>
  <si>
    <t>La Landelle, Guillaume Joseph Gabriel de, 1812-1886</t>
  </si>
  <si>
    <t>Trigueiros, João, 1824-1895, Tradutor</t>
  </si>
  <si>
    <t>CAM. 678 V.</t>
  </si>
  <si>
    <t>http://id.bnportugal.gov.pt/bib/catbnp/465618</t>
  </si>
  <si>
    <t>T. 1. - 181, 3 p. ; T. 2. - 184, 4 p.</t>
  </si>
  <si>
    <t>https://bndigital.bnportugal.gov.pt//i/?IIIF=/7b/e1/4f/72/7be14f72-c733-43fd-9638-a8c651f1c769/iiif/478277_1880-06-10_0001_rosto_t24-C-R0150.tif/full/!300,500/0/default.jpg</t>
  </si>
  <si>
    <t>Portugal a Camões</t>
  </si>
  <si>
    <t>publicação extraordinaria do jornal de viagens commemorando o tricentenario do cantor dos Lusiadas</t>
  </si>
  <si>
    <t>Porto : Impr. Int. de Ferreira de Brito &amp; A. Monteiro</t>
  </si>
  <si>
    <t>Martinez, Benigno Joaquim, fl. 1886, Director ; Oliveira, Emidio de, 1853-?, Director</t>
  </si>
  <si>
    <t>J. 1662//17 V.</t>
  </si>
  <si>
    <t>http://id.bnportugal.gov.pt/bib/catbnp/478277</t>
  </si>
  <si>
    <t>https://bndigital.bnportugal.gov.pt//i/?IIIF=/e8/a9/9e/88/e8a99e88-5d8a-43a0-a100-ccdff9663422/iiif/e-272-a_0000_000001.tif/full/!300,500/0/default.jpg</t>
  </si>
  <si>
    <t>A nympha Thetis recebe Vasco da Gama na ilha dos amores</t>
  </si>
  <si>
    <t>Desta arte em fim conformes já as formosas... Lusiadas, canto IX, est. 84</t>
  </si>
  <si>
    <t>Lisboa : João Romano Torres</t>
  </si>
  <si>
    <t>PURL 6946/0</t>
  </si>
  <si>
    <t>http://id.bnportugal.gov.pt/bib/catbnp/709123</t>
  </si>
  <si>
    <t>Brinde aos assinantes do romance "O manuscrito materno"</t>
  </si>
  <si>
    <t>https://bndigital.bnportugal.gov.pt//i/?IIIF=/7b/95/f3/be/7b95f3be-f000-4c8e-a9ea-6902a5d969f2/iiif/cam-42-1-p_0000_Obra%20Completa_t24-C-R0150_000005.tif/full/!300,500/0/default.jpg</t>
  </si>
  <si>
    <t>Em Lisboa : por Paulo Crasbeeck, Impressor &amp; Liureiro das tres Ordens Militares, &amp; a sua custa</t>
  </si>
  <si>
    <t>2, 204 i. é 211 f.</t>
  </si>
  <si>
    <t>Meneses, João Rodrigues de Sá e, 1619-1658, Personalidade a quem é dedicada a obra ; Barreto, João Franco, 1600-post. 1674, Editor literário ; Craesbeeck, Paulo, 1605-1664, Autor da dedicatória ; Craesbeeck, Paulo, 1605-1664, Impressor ; Norton, Tomás, 1804-1860, Antigo possuidor</t>
  </si>
  <si>
    <t>CAM. 42//1 P.</t>
  </si>
  <si>
    <t>http://id.bnportugal.gov.pt/bib/catbnp/766189</t>
  </si>
  <si>
    <t>Dedicatória "A D. Joam Rodrigues de Sà de Menezes, Conde de Penaguião...", por Paulo Craesbeeck</t>
  </si>
  <si>
    <t>A partir do verso da f. 160 i. é 163, "Index de todos os nomes proprios conteudos em este Poema, recolhidos &amp; ordenados por Ioaõ Franco Barreto"</t>
  </si>
  <si>
    <t>https://bndigital.bnportugal.gov.pt//i/?IIIF=/ee/74/51/ad/ee7451ad-c3eb-4656-aea0-b2a6f599626d/iiif/cam-697-p_0011.tif/full/!300,500/0/default.jpg</t>
  </si>
  <si>
    <t>Luís de Camões levantando o seu monumento ou a história de Portugal justificada pelos Lusiadas</t>
  </si>
  <si>
    <t>IV, 93, 2 p.</t>
  </si>
  <si>
    <t>Morais, Melo de</t>
  </si>
  <si>
    <t>CAM. 697 P.</t>
  </si>
  <si>
    <t>http://id.bnportugal.gov.pt/bib/catbnp/782735</t>
  </si>
  <si>
    <t>https://bndigital.bnportugal.gov.pt//i/?IIIF=/e2/d8/e3/da/e2d8e3da-feac-4242-841c-a7c397ba6cf7/iiif/cam-704-p_0009.tif/full/!300,500/0/default.jpg</t>
  </si>
  <si>
    <t>Nova ed. popular conforme às ed. clássicas de 1572</t>
  </si>
  <si>
    <t>Lisboa : Tip. de F. X. de Sousa &amp; Filho</t>
  </si>
  <si>
    <t>XXIII, 395 p.</t>
  </si>
  <si>
    <t>CAM. 704 P.</t>
  </si>
  <si>
    <t>http://id.bnportugal.gov.pt/bib/catbnp/782740</t>
  </si>
  <si>
    <t>https://bndigital.bnportugal.gov.pt//i/?IIIF=/24/13/93/47/24139347-fc15-498f-ba60-fe497a04e675/iiif/cam-705-p_0007.tif/full/!300,500/0/default.jpg</t>
  </si>
  <si>
    <t>Nova ed. cuidadosamente revista, e conforme à de 1572</t>
  </si>
  <si>
    <t>Lisboa : Livr. de António Maria Pereira</t>
  </si>
  <si>
    <t>XVIII, 457 p.</t>
  </si>
  <si>
    <t>CAM. 705 P.</t>
  </si>
  <si>
    <t>http://id.bnportugal.gov.pt/bib/catbnp/782742</t>
  </si>
  <si>
    <t>https://bndigital.bnportugal.gov.pt//i/?IIIF=/7c/1b/79/de/7c1b79de-0fd7-4ae3-82cb-4284eafb6a13/iiif/cam-708-p_0007.tif/full/!300,500/0/default.jpg</t>
  </si>
  <si>
    <t>Porto : Lelo &amp; Irmão</t>
  </si>
  <si>
    <t>XII, 471 p.</t>
  </si>
  <si>
    <t>CAM. 708 P.</t>
  </si>
  <si>
    <t>http://id.bnportugal.gov.pt/bib/catbnp/782743</t>
  </si>
  <si>
    <t>https://bndigital.bnportugal.gov.pt//i/?IIIF=/6e/58/ac/a0/6e58aca0-ab9a-4695-bf07-897dc6f38937/iiif/cam-719-p_0011.tif/full/!300,500/0/default.jpg</t>
  </si>
  <si>
    <t>4th ed</t>
  </si>
  <si>
    <t>6, 160 p.</t>
  </si>
  <si>
    <t>Strangford, 1780-1855, Comentador de texto escrito</t>
  </si>
  <si>
    <t>CAM. 719 P.</t>
  </si>
  <si>
    <t>http://id.bnportugal.gov.pt/bib/catbnp/783484</t>
  </si>
  <si>
    <t>https://bndigital.bnportugal.gov.pt//i/?IIIF=/98/57/31/69/98573169-36ab-4b1d-b55e-e867e2153959/iiif/cam-720-p_0009.tif/full/!300,500/0/default.jpg</t>
  </si>
  <si>
    <t>Poems, from the portuguese</t>
  </si>
  <si>
    <t>The third edition</t>
  </si>
  <si>
    <t>4, 160 p.</t>
  </si>
  <si>
    <t>CAM. 720 P.</t>
  </si>
  <si>
    <t>http://id.bnportugal.gov.pt/bib/catbnp/783488</t>
  </si>
  <si>
    <t>https://bndigital.bnportugal.gov.pt//i/?IIIF=/39/93/51/e7/399351e7-2d8a-4ac7-99f9-00aa8b263e8a/iiif/cam-723-p_0007.tif/full/!300,500/0/default.jpg</t>
  </si>
  <si>
    <t>158 p.</t>
  </si>
  <si>
    <t>CAM. 723 P.</t>
  </si>
  <si>
    <t>http://id.bnportugal.gov.pt/bib/catbnp/784526</t>
  </si>
  <si>
    <t>https://bndigital.bnportugal.gov.pt//i/?IIIF=/f2/4a/bf/c0/f24abfc0-6017-4ae8-a10f-9245541b95e8/iiif/cam-728-p_0007.tif/full/!300,500/0/default.jpg</t>
  </si>
  <si>
    <t>Stuttgart : Gebrüder Kröner</t>
  </si>
  <si>
    <t>260 p.</t>
  </si>
  <si>
    <t>Kuhn, Friedrich Adolph, 1774-1844, Tradutor ; Winkler, K. Th., Tradutor</t>
  </si>
  <si>
    <t>CAM. 728 P.</t>
  </si>
  <si>
    <t>http://id.bnportugal.gov.pt/bib/catbnp/784628</t>
  </si>
  <si>
    <t>https://bndigital.bnportugal.gov.pt//i/?IIIF=/d5/78/02/6f/d578026f-611b-43f0-9fbb-ecb15e69f6b5/iiif/cam-847-p_0000_000001.tif/full/!300,500/0/default.jpg</t>
  </si>
  <si>
    <t>A epopeia nacional</t>
  </si>
  <si>
    <t>segundo os textos das edições de 1572, de 1834 (de Hamburgo) e a de Leipzig (de 1880)</t>
  </si>
  <si>
    <t>Lisboa : edição da Tipographia Gonçalves</t>
  </si>
  <si>
    <t>XV, 1 br., 332, 2 p., 12 extratextos</t>
  </si>
  <si>
    <t>Monteiro, José Gomes, 1807-1879, Compilador ; Metzner, Eduardo, 1889-1922, Autor da introdução, etc.</t>
  </si>
  <si>
    <t>CAM. 847 P.</t>
  </si>
  <si>
    <t>http://id.bnportugal.gov.pt/bib/catbnp/788999</t>
  </si>
  <si>
    <t>https://bndigital.bnportugal.gov.pt//i/?IIIF=/cc/c9/fe/c6/ccc9fec6-d1bd-43bc-86b0-4ac480c45714/iiif/cam-943-p_0005.tif/full/!300,500/0/default.jpg</t>
  </si>
  <si>
    <t>Lisboa : Livr. Barateira</t>
  </si>
  <si>
    <t>95, 1 p.</t>
  </si>
  <si>
    <t>CAM. 943 P.</t>
  </si>
  <si>
    <t>http://id.bnportugal.gov.pt/bib/catbnp/796045</t>
  </si>
  <si>
    <t>https://bndigital.bnportugal.gov.pt//i/?IIIF=/4f/ab/74/d6/4fab74d6-c668-4e70-ba83-768d192f5ab7/iiif/cam-960-p_0005.tif/full/!300,500/0/default.jpg</t>
  </si>
  <si>
    <t>Nova ed. cuidadosamente revista e conforme às de 1572, precedida d'uma biografia do poeta</t>
  </si>
  <si>
    <t>Lisboa : Antonio Maria Pereira</t>
  </si>
  <si>
    <t>CAM. 960 P.</t>
  </si>
  <si>
    <t>http://id.bnportugal.gov.pt/bib/catbnp/798858</t>
  </si>
  <si>
    <t>https://bndigital.bnportugal.gov.pt//i/?IIIF=/48/4c/cc/38/484ccc38-cd42-46f9-a1e2-2a499dc72947/iiif/cam-980-p_0001.tif/full/!300,500/0/default.jpg</t>
  </si>
  <si>
    <t>The first -second canto of The Lusiad</t>
  </si>
  <si>
    <t>Rio de Janeiro : Camoens Printing Office</t>
  </si>
  <si>
    <t>77, 79 p.</t>
  </si>
  <si>
    <t>Longfellow, Henry, 1807-1882</t>
  </si>
  <si>
    <t>CAM. 980 P.</t>
  </si>
  <si>
    <t>http://id.bnportugal.gov.pt/bib/catbnp/798866</t>
  </si>
  <si>
    <t>https://bndigital.bnportugal.gov.pt//i/?IIIF=/9e/ec/fb/41/9eecfb41-a554-46c6-80bc-4046aefebfad/iiif/ct-389-a_0000_000001.tif/full/!300,500/0/default.jpg</t>
  </si>
  <si>
    <t>Camões et les Lusiades</t>
  </si>
  <si>
    <t>quatrième centenaire des Lusiades 1572 - hommage à Camões</t>
  </si>
  <si>
    <t>Bruxelles : M.E.N.</t>
  </si>
  <si>
    <t>Bélgica. Ministère de lªEducation Nationale</t>
  </si>
  <si>
    <t>Baudin, Fernand, Técnico gráfico</t>
  </si>
  <si>
    <t>CT. 389 A.</t>
  </si>
  <si>
    <t>http://id.bnportugal.gov.pt/bib/catbnp/993818</t>
  </si>
  <si>
    <t>https://bndigital.bnportugal.gov.pt//i/?IIIF=/87/f5/5f/0a/87f55f0a-c5e2-495e-a7e9-6212d2fe64f8/iiif/ct-1398-a_0000_000001.tif/full/!300,500/0/default.jpg</t>
  </si>
  <si>
    <t>Comemorações Camonianas</t>
  </si>
  <si>
    <t>visita guiada ao Mosteiro dos Jerónimos</t>
  </si>
  <si>
    <t>Lisboa : Sec. Est. Comunicação Social</t>
  </si>
  <si>
    <t>CT. 1398 A.</t>
  </si>
  <si>
    <t>http://id.bnportugal.gov.pt/bib/catbnp/1001679</t>
  </si>
  <si>
    <t>https://bndigital.bnportugal.gov.pt//i/?IIIF=/6c/d7/47/e6/6cd747e6-f55c-444e-8d02-8c4c86a67972/iiif/cam-1529-p_0000_capa-capa_t24-C-R0150_000001.tif/full/!300,500/0/default.jpg</t>
  </si>
  <si>
    <t>Les lusiades de Luiz de Camoens</t>
  </si>
  <si>
    <t>Paris : imprimerie F. Paillart : en la rue de Beaune, à lªenseigne du Pot Cassé</t>
  </si>
  <si>
    <t>258, 4 p.</t>
  </si>
  <si>
    <t>Millié, Jean Baptiste Joseph, 1772-1826, Tradutor ; Roy, Bernard, Ilustrador</t>
  </si>
  <si>
    <t>CAM. 1529 P.</t>
  </si>
  <si>
    <t>http://id.bnportugal.gov.pt/bib/catbnp/1366577</t>
  </si>
  <si>
    <t>https://bndigital.bnportugal.gov.pt//i/?IIIF=/8d/ff/2a/19/8dff2a19-54a5-4ad3-b5a6-94470c24be7f/iiif/pi-9193-p_0000_1-2_t24-C-R0150_000001.tif/full/!300,500/0/default.jpg</t>
  </si>
  <si>
    <t>Gruta de Camões</t>
  </si>
  <si>
    <t>Macau, circa 1835</t>
  </si>
  <si>
    <t>Macau : Tourist Information Bureau</t>
  </si>
  <si>
    <t>P.I. 9193 P.</t>
  </si>
  <si>
    <t>http://id.bnportugal.gov.pt/bib/catbnp/1917811</t>
  </si>
  <si>
    <t>Vista panorâmica tendo em primeiro plano a gruta anunciada</t>
  </si>
  <si>
    <t>https://bndigital.bnportugal.gov.pt//i/?IIIF=/f5/7b/4e/98/f57b4e98-afd8-4d5e-a925-ee472a48647e/iiif/cam-60-1-3-a_0000_000001.tif/full/!300,500/0/default.jpg</t>
  </si>
  <si>
    <t>Miscelânea camoniana</t>
  </si>
  <si>
    <t>artigos de imprensa sobre Camões, 1867</t>
  </si>
  <si>
    <t>Lisboa,</t>
  </si>
  <si>
    <t>6 f.</t>
  </si>
  <si>
    <t>CAM. 60//1-3 A.</t>
  </si>
  <si>
    <t>http://id.bnportugal.gov.pt/bib/catbnp/2186705</t>
  </si>
  <si>
    <t>Illustração Popular, V. 2, n. 33, 1867. - p. 129-131, 1 grav. : il. - Grav. da estátua de Camões, na praça homónima em Lisboa ; Illustração Popular, V. 2, n. 36, 1867. - p. 141-143, 1 grav. : il. - Grav. com retrato de Giusepe Garibaldi ; Diário de Notícias, n. 302, 14 Set. 1867. - 4 p.</t>
  </si>
  <si>
    <t>https://bndigital.bnportugal.gov.pt//i/?IIIF=/ed/45/b6/6e/ed45b66e-e8d2-4ac1-8584-95c8935768b3/iiif/cam-990-p_0013.tif/full/!300,500/0/default.jpg</t>
  </si>
  <si>
    <t>A fábula de Narciso</t>
  </si>
  <si>
    <t>Porto : Imprensa Internacional</t>
  </si>
  <si>
    <t>Brito, Ferreira de, fl. 187--188-, Editor literário</t>
  </si>
  <si>
    <t>CAM. 306//1 P.</t>
  </si>
  <si>
    <t>http://id.bnportugal.gov.pt/bib/catbnp/252584</t>
  </si>
  <si>
    <t>https://bndigital.bnportugal.gov.pt//i/?IIIF=/80/26/01/1a/8026011a-b3a3-40ec-8677-e50093e3c66f/iiif/cam-527-p_0007.tif/full/!300,500/0/default.jpg</t>
  </si>
  <si>
    <t>Poesias lyricas</t>
  </si>
  <si>
    <t>L. 25600 P.</t>
  </si>
  <si>
    <t>http://id.bnportugal.gov.pt/bib/catbnp/370691</t>
  </si>
  <si>
    <t>https://bndigital.bnportugal.gov.pt//i/?IIIF=/9b/d6/f2/01/9bd6f201-e699-4b5f-9323-5597a62561fa/iiif/cam-706-p_0005.tif/full/!300,500/0/default.jpg</t>
  </si>
  <si>
    <t>poema epico ...</t>
  </si>
  <si>
    <t>Lisboa : Typ. de L.C. da Cunha</t>
  </si>
  <si>
    <t>397 p.</t>
  </si>
  <si>
    <t>CAM. 706 P.</t>
  </si>
  <si>
    <t>http://id.bnportugal.gov.pt/bib/catbnp/397797</t>
  </si>
  <si>
    <t>https://bndigital.bnportugal.gov.pt//i/?IIIF=/35/4d/2b/9c/354d2b9c-1cb5-439d-837c-7cf7a957ef5f/iiif/cam-600-v_0001.tif/full/!300,500/0/default.jpg</t>
  </si>
  <si>
    <t>Novas poesias</t>
  </si>
  <si>
    <t>Porto : J. A. Alves Viana</t>
  </si>
  <si>
    <t>14 p.</t>
  </si>
  <si>
    <t>Viana, J. A. Alves, ca 18- -, Comentador de texto escrito</t>
  </si>
  <si>
    <t>L. 14753 V.</t>
  </si>
  <si>
    <t>http://id.bnportugal.gov.pt/bib/catbnp/397855</t>
  </si>
  <si>
    <t>https://bndigital.bnportugal.gov.pt//i/?IIIF=/a9/00/f4/e8/a900f4e8-5a70-494b-a014-3ddb40bb2837/iiif/cam-659-8-v_0001.tif/full/!300,500/0/default.jpg</t>
  </si>
  <si>
    <t>Uma traducção hollandeza de Camões</t>
  </si>
  <si>
    <t>Porto : Circulo Camoniano : Imprensa Moderna</t>
  </si>
  <si>
    <t>Kerkhoven, Theodorus Johannes, Tradutor ; Tomás, Aníbal Fernandes, 1849-1911, Autor da introdução, etc.</t>
  </si>
  <si>
    <t>CAM. 659//8 V.</t>
  </si>
  <si>
    <t>http://id.bnportugal.gov.pt/bib/catbnp/397878</t>
  </si>
  <si>
    <t>https://bndigital.bnportugal.gov.pt//i/?IIIF=/31/2a/e9/4d/312ae94d-db1a-4a8e-8f2c-544e688d768c/iiif/cam-938-p_0003.tif/full/!300,500/0/default.jpg</t>
  </si>
  <si>
    <t>Arménio</t>
  </si>
  <si>
    <t>Tres estrophes</t>
  </si>
  <si>
    <t>Veneza : Typographia da Ilha de S. Lazaro</t>
  </si>
  <si>
    <t>Araújo, Joaquim de, 1858-1917, Autor da introdução, etc. ; Ghazik, Arsenio, Tradutor</t>
  </si>
  <si>
    <t>CAM. 398//2 V.</t>
  </si>
  <si>
    <t>http://id.bnportugal.gov.pt/bib/catbnp/397880</t>
  </si>
  <si>
    <t>https://bndigital.bnportugal.gov.pt//i/?IIIF=/af/b1/dd/2a/afb1dd2a-13d1-4982-88e4-3eb01615ec44/iiif/cam-520-v_0007.tif/full/!300,500/0/default.jpg</t>
  </si>
  <si>
    <t>Sarau literario em comemoração do tri-centenario de Luiz de Camões 1580-1880</t>
  </si>
  <si>
    <t>119, 2 p.</t>
  </si>
  <si>
    <t>CAM. 520 V.</t>
  </si>
  <si>
    <t>http://id.bnportugal.gov.pt/bib/catbnp/458381</t>
  </si>
  <si>
    <t>Sarau literário em comemoração do tri-centenário de Luís de Camões</t>
  </si>
  <si>
    <t>https://bndigital.bnportugal.gov.pt//i/?IIIF=/35/b8/a5/60/35b8a560-baf3-4c9e-ba05-30da3e5e5b8c/iiif/cam-608-v_0007.tif/full/!300,500/0/default.jpg</t>
  </si>
  <si>
    <t>Les poétes les plus célébres français, italiens, allemands, anglais, espagnols, portugais</t>
  </si>
  <si>
    <t>Lille : L. Lefort</t>
  </si>
  <si>
    <t>287, 1 p.</t>
  </si>
  <si>
    <t>Montrond, Maxime de</t>
  </si>
  <si>
    <t>Cabasson, Guillaume-Alphonse Harang, 1814-1884, Ilustrador ; Lefort, L., 18- -, Impressor</t>
  </si>
  <si>
    <t>CAM. 608 V.</t>
  </si>
  <si>
    <t>http://id.bnportugal.gov.pt/bib/catbnp/464811</t>
  </si>
  <si>
    <t>https://bndigital.bnportugal.gov.pt//i/?IIIF=/a6/e2/2b/83/a6e22b83-eb8d-4db9-bb74-e361249918d3/iiif/cam-620-v_0001.tif/full/!300,500/0/default.jpg</t>
  </si>
  <si>
    <t>A estrela Vénus nos Lusíadas</t>
  </si>
  <si>
    <t>Porto : Tip. da Renascença Portuguesa</t>
  </si>
  <si>
    <t>Silva, Luciano Pereira da, 1864-1926</t>
  </si>
  <si>
    <t>L. 59028 V.</t>
  </si>
  <si>
    <t>http://id.bnportugal.gov.pt/bib/catbnp/464977</t>
  </si>
  <si>
    <t>https://bndigital.bnportugal.gov.pt//i/?IIIF=/7b/32/9c/48/7b329c48-ac08-4d10-b01e-125ffe5a58da/iiif/cam-634-v_0001.tif/full/!300,500/0/default.jpg</t>
  </si>
  <si>
    <t>Camões, patria e caridade</t>
  </si>
  <si>
    <t>memória a Luiz de Camões em 10 de Junho de 1882</t>
  </si>
  <si>
    <t>Rio de Janeiro : Off. de Fernandes da Silva e Mendes</t>
  </si>
  <si>
    <t>CAM. 634 V.</t>
  </si>
  <si>
    <t>http://id.bnportugal.gov.pt/bib/catbnp/465372</t>
  </si>
  <si>
    <t>Camões, pátria e caridade</t>
  </si>
  <si>
    <t>https://bndigital.bnportugal.gov.pt//i/?IIIF=/53/96/60/6e/5396606e-746e-45a4-acca-09d74fd70fad/iiif/cam-701-p_0007.tif/full/!300,500/0/default.jpg</t>
  </si>
  <si>
    <t>395 p.</t>
  </si>
  <si>
    <t>CAM. 701 P.</t>
  </si>
  <si>
    <t>http://id.bnportugal.gov.pt/bib/catbnp/782738</t>
  </si>
  <si>
    <t>https://bndigital.bnportugal.gov.pt//i/?IIIF=/d0/40/39/a0/d04039a0-2f3d-4ed0-b37a-da8ae9ef2104/iiif/cam-725-p_0009.tif/full/!300,500/0/default.jpg</t>
  </si>
  <si>
    <t>Nova ed. conforme à de 1817, in 4º</t>
  </si>
  <si>
    <t>Paris : Vª J. P. Aillaud</t>
  </si>
  <si>
    <t>536 p.</t>
  </si>
  <si>
    <t>Mateus, Morgado de, 1758-1825, Editor literário ; Sousa, Paulino de, ca. 18--, Editor comercial</t>
  </si>
  <si>
    <t>CAM. 725 P.</t>
  </si>
  <si>
    <t>http://id.bnportugal.gov.pt/bib/catbnp/784624</t>
  </si>
  <si>
    <t>https://bndigital.bnportugal.gov.pt//i/?IIIF=/d2/dc/04/81/d2dc0481-8db0-44e7-b9a9-8d2d8c63ae0f/iiif/cam-869-p_0005.tif/full/!300,500/0/default.jpg</t>
  </si>
  <si>
    <t>Apotheose camoneana</t>
  </si>
  <si>
    <t>Porto : Empreza Ferreira de Brito</t>
  </si>
  <si>
    <t>Carvalho, Xavier de, 1862-1919</t>
  </si>
  <si>
    <t>CAM. 869 P.</t>
  </si>
  <si>
    <t>http://id.bnportugal.gov.pt/bib/catbnp/789264</t>
  </si>
  <si>
    <t>https://bndigital.bnportugal.gov.pt//i/?IIIF=/fd/07/3b/25/fd073b25-f776-432d-95b0-d26cd417aa0a/iiif/cam-988-p_0003.tif/full/!300,500/0/default.jpg</t>
  </si>
  <si>
    <t>Camões e os Lusíadas</t>
  </si>
  <si>
    <t>estudo crítico publicado por ocasião do tricentenário</t>
  </si>
  <si>
    <t>Lisboa : Nova Livr. Internacional</t>
  </si>
  <si>
    <t>XX p.</t>
  </si>
  <si>
    <t>Braga, Teófilo, 1843-1924</t>
  </si>
  <si>
    <t>CAM. 988 P.</t>
  </si>
  <si>
    <t>http://id.bnportugal.gov.pt/bib/catbnp/798873</t>
  </si>
  <si>
    <t>https://bndigital.bnportugal.gov.pt//i/?IIIF=/a0/63/83/e3/a06383e3-edcd-485a-98fc-dafc1c281033/iiif/cam-543-v_0003.tif/full/!300,500/0/default.jpg</t>
  </si>
  <si>
    <t>Art camonien</t>
  </si>
  <si>
    <t>lettre a Mr. Joaquim de Araujo</t>
  </si>
  <si>
    <t>Porto : Redacção do Circulo Camoniano</t>
  </si>
  <si>
    <t>13 p., 1 est.</t>
  </si>
  <si>
    <t>Vaksel, Platon L'vovich, 1844-1918</t>
  </si>
  <si>
    <t>Araújo, Joaquim de, 1858-1917, Antecedente bibliográfico</t>
  </si>
  <si>
    <t>CAM. 543 V.</t>
  </si>
  <si>
    <t>http://id.bnportugal.gov.pt/bib/catbnp/874191</t>
  </si>
  <si>
    <t>https://bndigital.bnportugal.gov.pt//i/?IIIF=/ba/42/5c/2b/ba425c2b-606d-477e-8124-8e22e680f4c2/iiif/cam-1138-v_0000_000001.tif/full/!300,500/0/default.jpg</t>
  </si>
  <si>
    <t>Lisboa : Caminho</t>
  </si>
  <si>
    <t>Lopes, Óscar, 1917-2013, Director</t>
  </si>
  <si>
    <t>CAM. 1138 V.</t>
  </si>
  <si>
    <t>http://id.bnportugal.gov.pt/bib/catbnp/9413</t>
  </si>
  <si>
    <t>Camöes.</t>
  </si>
  <si>
    <t>https://bndigital.bnportugal.gov.pt//i/?IIIF=/3a/f0/8e/09/3af08e09-1403-4932-b207-cabbc0c4b992/iiif/cam-8-p_0000_capa-capa_t24-C-R0150_000009.tif/full/!300,500/0/default.jpg</t>
  </si>
  <si>
    <t>Primeira parte dos Autos e comedias portuguesas</t>
  </si>
  <si>
    <t>Agora nouamente juntas &amp; emendadas nesta primeira impressão</t>
  </si>
  <si>
    <t>Lisboa : por Andres Lobato</t>
  </si>
  <si>
    <t>2, 179 f.</t>
  </si>
  <si>
    <t>Camões, Luís de, 1524-1580, Autor ; Prestes, António, fl. 1587, Autor ; Lopes, Henrique, 15--, Autor ; Pinto, Jorge, 15--, Autor ; Ribeiro, Jerónimo, 15--, Autor</t>
  </si>
  <si>
    <t>Lopes, Afonso, fl. 1583 - 1589, Editor literário ; Lobato, André, fl. 1583 - 1587, Impressor</t>
  </si>
  <si>
    <t>F. 6945</t>
  </si>
  <si>
    <t>http://id.bnportugal.gov.pt/bib/catbnp/51530</t>
  </si>
  <si>
    <t>Obras de António Prestes, Luís de Camões, Henrique Lopes, Jorge Pinto e Jerónimo Ribeiro</t>
  </si>
  <si>
    <t>https://bndigital.bnportugal.gov.pt//i/?IIIF=/66/b3/f4/35/66b3f435-5fe0-4a0c-b006-48c1c6534aeb/iiif/cam-252-a_0000_capa-capa_t24-C-R0150_000001.tif/full/!300,500/0/default.jpg</t>
  </si>
  <si>
    <t>3 retratos de Camões</t>
  </si>
  <si>
    <t>Lisboa : Edições Panorama</t>
  </si>
  <si>
    <t>1 f. desdobr.</t>
  </si>
  <si>
    <t>S.N.I. 2696</t>
  </si>
  <si>
    <t>http://id.bnportugal.gov.pt/bib/catbnp/289933</t>
  </si>
  <si>
    <t>Poema: O retrato de Goa / Afonso Lopes Vieira</t>
  </si>
  <si>
    <t>https://bndigital.bnportugal.gov.pt//i/?IIIF=/1f/1d/cc/fe/1f1dccfe-c72d-40b4-aeab-30265dfe188d/iiif/321765_0000_capa-capa_t24-C-R0150_000005.tif/full/!300,500/0/default.jpg</t>
  </si>
  <si>
    <t>Conceitos e maximas do poema de Luiz de Camões "Os Lusíadas"</t>
  </si>
  <si>
    <t>Lisboa : Henrique Zeferino</t>
  </si>
  <si>
    <t>61 p.</t>
  </si>
  <si>
    <t>Barreto, B., ca 18 - -, Compilador</t>
  </si>
  <si>
    <t>L. 25554//2 P.</t>
  </si>
  <si>
    <t>http://id.bnportugal.gov.pt/bib/catbnp/321765</t>
  </si>
  <si>
    <t>Inocêncio XV 355</t>
  </si>
  <si>
    <t>Contém uma carta mss. de Henrique Zeferino de 9/6/1888</t>
  </si>
  <si>
    <t>https://bndigital.bnportugal.gov.pt//i/?IIIF=/d9/de/ac/11/d9deac11-8edd-495d-a996-79d5c42a00e6/iiif/cam-417-p_0000_000005.tif/full/!300,500/0/default.jpg</t>
  </si>
  <si>
    <t>Le Portugal de Camões</t>
  </si>
  <si>
    <t>suivi d'une traduction française des stances contenues dans l'ouvrage</t>
  </si>
  <si>
    <t>Paris : s. n.</t>
  </si>
  <si>
    <t>X, 384, 3 p.</t>
  </si>
  <si>
    <t>CAM. 417 P.</t>
  </si>
  <si>
    <t>http://id.bnportugal.gov.pt/bib/catbnp/330274</t>
  </si>
  <si>
    <t>https://bndigital.bnportugal.gov.pt//i/?IIIF=/17/5c/95/11/175c9511-0791-435d-baeb-26376205571d/iiif/cam-1050-v_0000_000001.tif/full/!300,500/0/default.jpg</t>
  </si>
  <si>
    <t>A família flaviense de Camões</t>
  </si>
  <si>
    <t>Lisboa : Real Assoc. dos Arquitectos Civis e Arqueol. Portugueses</t>
  </si>
  <si>
    <t>72, 5 p.</t>
  </si>
  <si>
    <t>Borges, José Guilherme Calvão, 1931-2001</t>
  </si>
  <si>
    <t>CAM. 1050 V.</t>
  </si>
  <si>
    <t>http://id.bnportugal.gov.pt/bib/catbnp/347365</t>
  </si>
  <si>
    <t>https://bndigital.bnportugal.gov.pt//i/?IIIF=/7b/da/de/9e/7bdade9e-3c1f-40f5-b1be-3d4799a848c8/iiif/cam-44-1-p_0000_Obra%20Completa_t24-C-R0150_000007.tif/full/!300,500/0/default.jpg</t>
  </si>
  <si>
    <t>Impressas em Lisboa : a custa de Antonio Craesbeeck de Mello, impressor de Sua Alteza</t>
  </si>
  <si>
    <t>4, 142, 2 f.</t>
  </si>
  <si>
    <t>Barreto, João Franco, 1600-post. 1674, Editor literário ; Mendonça, André Furtado de, ?-1676, Personalidade a quem é dedicada a obra ; Craesbeeck, António, 1640-1684, Autor da dedicatória ; Norton, Tomás, 1804-1860, Antigo possuidor</t>
  </si>
  <si>
    <t>CAM. 44//1 P.</t>
  </si>
  <si>
    <t>http://id.bnportugal.gov.pt/bib/catbnp/354066</t>
  </si>
  <si>
    <t>Depois do texto épico, "Vida do grande Luis de Camões", rematada com o epitáfio que D. Gonçalo Coutinho mandou colocar na Igreja de Santa Ana</t>
  </si>
  <si>
    <t>https://bndigital.bnportugal.gov.pt//i/?IIIF=/87/d3/a3/3a/87d3a33a-58ed-480b-b9ac-c97a02158180/iiif/cam-45-p_0000_Obra%20Completa_t24-C-R0150_000005.tif/full/!300,500/0/default.jpg</t>
  </si>
  <si>
    <t>Obras de Lvis de Camoens principe dos poetas portugueses</t>
  </si>
  <si>
    <t>Lisboa : por Antonio Craesbeeck d´Mello Impressor da Casa Real</t>
  </si>
  <si>
    <t>8, 376, 78 p.</t>
  </si>
  <si>
    <t>Sousa, Francisco de, 1631-1711, Personalidade a quem é dedicada a obra ; Barreto, João Franco, 1600-post. 1674, Editor literário ; Craesbeeck, António, 1640-1684, Impressor ; Norton, Tomás, 1804-1860, Antigo possuidor</t>
  </si>
  <si>
    <t>J.S. 6437</t>
  </si>
  <si>
    <t>http://id.bnportugal.gov.pt/bib/catbnp/354069</t>
  </si>
  <si>
    <t>https://bndigital.bnportugal.gov.pt//i/?IIIF=/f0/f8/42/6b/f0f8426b-79ee-4d7a-8099-21d5c1d65643/iiif/371694_0000_capa-capa_t24-C-R0150_000003.tif/full/!300,500/0/default.jpg</t>
  </si>
  <si>
    <t>Lisboa : A Educadora - Empreza Editora</t>
  </si>
  <si>
    <t>2 partes em 2 vol.</t>
  </si>
  <si>
    <t>CAM. 257//1 V.</t>
  </si>
  <si>
    <t>http://id.bnportugal.gov.pt/bib/catbnp/371694</t>
  </si>
  <si>
    <t>I parte. - 94, 2 p., 4 grav. extratexto; il. ; II parte. - 70, 2 p., 4 grav. extratexto; il.</t>
  </si>
  <si>
    <t>https://bndigital.bnportugal.gov.pt//i/?IIIF=/35/3a/f7/86/353af786-af35-4823-aad5-6c0473e49078/iiif/cam-248-a_0000_capa-capa_t24-C-R0150_000001.tif/full/!300,500/0/default.jpg</t>
  </si>
  <si>
    <t>Os Lusíadas de Luiz de Camões</t>
  </si>
  <si>
    <t>edição critica-commemorativa do Terceiro Centenario da Morte do Grande Poeta</t>
  </si>
  <si>
    <t>Leipzig : Giesecke &amp; Devrient</t>
  </si>
  <si>
    <t>8, LVI, 375, XCII p.</t>
  </si>
  <si>
    <t>Leal, José da Silva Mendes, 1820-1886, Autor</t>
  </si>
  <si>
    <t>Biel, Emílio, 1838-1915, Editor literário ; Burger, Ludwig, 1825-1884, Ilustrador</t>
  </si>
  <si>
    <t>Instituto Alemão, Antigo possuidor</t>
  </si>
  <si>
    <t>L. 6236 A.</t>
  </si>
  <si>
    <t>http://id.bnportugal.gov.pt/bib/catbnp/381189</t>
  </si>
  <si>
    <t>Camões e os Lusiadas / José da Silva Mendes Leal</t>
  </si>
  <si>
    <t>https://bndigital.bnportugal.gov.pt//i/?IIIF=/7a/f5/a1/57/7af5a157-cb79-4c61-ac2b-23423412371c/iiif/cam-19-a_0000_000010.tif/full/!300,500/0/default.jpg</t>
  </si>
  <si>
    <t>poema épico de Luis de Camões</t>
  </si>
  <si>
    <t>Nova edição correcta e dada á luz por D. Iosé Maria de Souza-Botelho, Morgado de Mattheus, Socio da Academia Real das Sciencias de Lisboa</t>
  </si>
  <si>
    <t>Paris : na Officina Typographica de Firmin Didot, impressor do Rei, e do Instituto</t>
  </si>
  <si>
    <t>10, CXXX, 2 br., 413, 1 br., 10, 2 br. p.</t>
  </si>
  <si>
    <t>Didot, Firmin, fl. 1789-1829, Impressor ; Mateus, Morgado de, 1758-1825, Editor literário</t>
  </si>
  <si>
    <t>F.R. 343</t>
  </si>
  <si>
    <t>http://id.bnportugal.gov.pt/bib/catbnp/381297</t>
  </si>
  <si>
    <t>https://bndigital.bnportugal.gov.pt//i/?IIIF=/bd/4d/db/1a/bd4ddb1a-3a0d-4237-b40a-a0aa6e20c004/iiif/cam-110-a_0000_000011.tif/full/!300,500/0/default.jpg</t>
  </si>
  <si>
    <t>poema épico em dez cantos...</t>
  </si>
  <si>
    <t>XXXVIII, 337 p.</t>
  </si>
  <si>
    <t>Silva, Fernando de Azevedo e, 1845-1924, Tradutor ; Chagas, Pinheiro, 1842-1895, Autor da introdução, etc. ; Reis, Soares dos, 1847-1889, Ilustrador ; Abranches, Aristides, 1832-1892, Director ; Santos, Duarte Joaquim dos, ?-1855, Director ; Pedroso, João, 1823-1890, Gravador (aguafortista)</t>
  </si>
  <si>
    <t>CAM. 34 A.</t>
  </si>
  <si>
    <t>http://id.bnportugal.gov.pt/bib/catbnp/381496</t>
  </si>
  <si>
    <t>https://bndigital.bnportugal.gov.pt//i/?IIIF=/0b/b8/6e/1a/0bb86e1a-6e26-412b-ba9e-b1628b9813bf/iiif/384309_0000_capa-capa_t24-C-R0150_000005.tif/full/!300,500/0/default.jpg</t>
  </si>
  <si>
    <t>Corona poetica y literaria dedicada a Luiz de Camões en la conmemoracion del tricentenario de su muerte por la literatura y artes de España</t>
  </si>
  <si>
    <t>Lisboa : Tip. Luso-Hespanhola de D. Gumersindo de la Rosa : 1880</t>
  </si>
  <si>
    <t>12 p.</t>
  </si>
  <si>
    <t>CAM. 138 A.</t>
  </si>
  <si>
    <t>http://id.bnportugal.gov.pt/bib/catbnp/384309</t>
  </si>
  <si>
    <t>https://bndigital.bnportugal.gov.pt//i/?IIIF=/6f/8f/50/7a/6f8f507a-72f3-43c7-911d-22a32c990847/iiif/cam-89-a_0000_capa-capa_t24-C-R0150_000013.tif/full/!300,500/0/default.jpg</t>
  </si>
  <si>
    <t>Programa da celebração em Lisboa do Tricentenário de Luís de Camões</t>
  </si>
  <si>
    <t>CAM. 89 A.</t>
  </si>
  <si>
    <t>http://id.bnportugal.gov.pt/bib/catbnp/410603</t>
  </si>
  <si>
    <t>https://bndigital.bnportugal.gov.pt//i/?IIIF=/8e/b9/68/96/8eb96896-2c5c-4ab4-856b-0610f50b0c15/iiif/475467_0000_000001.tif/full/!300,500/0/default.jpg</t>
  </si>
  <si>
    <t>Alma minha!</t>
  </si>
  <si>
    <t>melodia para piano e canto</t>
  </si>
  <si>
    <t>Azevedo, Amélia Augusta de, 1840-1913</t>
  </si>
  <si>
    <t>CAM. 84//3 A.</t>
  </si>
  <si>
    <t>http://id.bnportugal.gov.pt/bib/catbnp/475467</t>
  </si>
  <si>
    <t>https://bndigital.bnportugal.gov.pt//i/?IIIF=/75/54/42/62/75544262-ae09-40c2-80b9-ad7e5817da6c/iiif/e-1557-v_0000_000001.tif/full/!300,500/0/default.jpg</t>
  </si>
  <si>
    <t>Mosteiro dos Jerónimos</t>
  </si>
  <si>
    <t>Pinto, Pedro Jorge, 1900-1983</t>
  </si>
  <si>
    <t>PURL 5416/0</t>
  </si>
  <si>
    <t>http://id.bnportugal.gov.pt/bib/catbnp/640093</t>
  </si>
  <si>
    <t>https://bndigital.bnportugal.gov.pt//i/?IIIF=/a2/5e/7d/43/a25e7d43-b817-4732-982d-8fcb4d7d20f8/iiif/cam-40-1-p_0000_000005.tif/full/!300,500/0/default.jpg</t>
  </si>
  <si>
    <t>Agora nouamente emendadas nesta vltima impressaõ</t>
  </si>
  <si>
    <t>Em Lisboa : por Lourenço Craesbeck</t>
  </si>
  <si>
    <t>2 t.</t>
  </si>
  <si>
    <t>Bernardes, Diogo, ca 1530-1596, Autor ; Leitão, Diogo Taborda, 15--, Autor ; Pego, João Gomes do, ?-1660, Autor ; Vilhegas, Diogo Henriques de, depois de 1580-1671, Autor ; Coutinho, Gonçalo, ca 1560-1634, Autor ; Câmara, Martim Gonçalves da, ?-1578, Autor ; Castelo Rodrigo, Personalidade a quem é dedicada a obra ; Sousa, Luís de, fl. 1632, Personalidade a quem é dedicada a obra ; Craesbeeck, Lourenço, 1599-1673, Autor da dedicatória ; Craesbeeck, Paulo, 1605-1664, Autor da dedicatória ; Norton, Tomás, 1804-1860, Antigo possuidor</t>
  </si>
  <si>
    <t>CAM. 38//2 P.</t>
  </si>
  <si>
    <t>http://id.bnportugal.gov.pt/bib/catbnp/765484</t>
  </si>
  <si>
    <t>Segunda parte: 6, 58, 1 f. - Assin.: A1//6, A-D//12, E//11 falta últ. br.. - Nas f. prelim.: texto de "Diogo Henriquez de Vilhegas à memória de Luis de Camoens...". - Depois das rimas: epitáfios de Gonçalo Coutinho e Martim Gonçalves da Câmara</t>
  </si>
  <si>
    <t>https://bndigital.bnportugal.gov.pt//i/?IIIF=/e2/02/20/0f/e202200f-f988-4c56-a1a4-5c5385b99931/iiif/cam-1801-v_0000_capa-capa_t24-C-R0150_000011.tif/full/!300,500/0/default.jpg</t>
  </si>
  <si>
    <t>tricentenário de Camões</t>
  </si>
  <si>
    <t>Lisboa : Tip. Castro &amp; Irmão</t>
  </si>
  <si>
    <t>135 p.</t>
  </si>
  <si>
    <t>Camões, Luís de, 1524-1580, Antecedente bibliográfico ; Oliveira, Eduardo Freire de, 1841-1916, Antigo possuidor</t>
  </si>
  <si>
    <t>CAM. 97 V.</t>
  </si>
  <si>
    <t>http://id.bnportugal.gov.pt/bib/catbnp/808818</t>
  </si>
  <si>
    <t>https://bndigital.bnportugal.gov.pt//i/?IIIF=/a9/13/f4/84/a913f484-f6ef-4445-97a5-6bf780f454f6/iiif/865343_1839-05-N11_0001_1_t24-C-R0150.tif/full/!300,500/0/default.jpg</t>
  </si>
  <si>
    <t>O Biographo</t>
  </si>
  <si>
    <t>jornal da historia abreviada dos homens celebres</t>
  </si>
  <si>
    <t>Lisboa : Typ. de A. J. da Costa</t>
  </si>
  <si>
    <t>J. 31 B.</t>
  </si>
  <si>
    <t>http://id.bnportugal.gov.pt/bib/catbnp/865343</t>
  </si>
  <si>
    <t>https://bndigital.bnportugal.gov.pt//i/?IIIF=/73/3c/1c/5c/733c1c5c-a790-4c10-b49a-316f3e4f9508/iiif/cam-80-2-a_0000_000001.tif/full/!300,500/0/default.jpg</t>
  </si>
  <si>
    <t>A Camões, 10 de Junho de 1580-10 de Junho de 1880</t>
  </si>
  <si>
    <t>número de homenagem de "O Atlântico" no tricentenário de Camões</t>
  </si>
  <si>
    <t>Lisboa : Empreza do Jornal da Noite</t>
  </si>
  <si>
    <t>CAM. 80//2 A.</t>
  </si>
  <si>
    <t>http://id.bnportugal.gov.pt/bib/catbnp/2194758</t>
  </si>
  <si>
    <t>https://bndigital.bnportugal.gov.pt//i/?IIIF=/69/83/b5/dc/6983b5dc-136f-4e94-a447-f95cffae4d91/iiif/cam-80-6-a_0001.tif/full/!300,500/0/default.jpg</t>
  </si>
  <si>
    <t>número inaugural do "Diario Civilisador"</t>
  </si>
  <si>
    <t>Lisboa : João Wager Russell Junior</t>
  </si>
  <si>
    <t>CAM. 80//6 A.</t>
  </si>
  <si>
    <t>http://id.bnportugal.gov.pt/bib/catbnp/2194827</t>
  </si>
  <si>
    <t>https://bndigital.bnportugal.gov.pt//i/?IIIF=/c3/56/a2/12/c356a212-9f6a-41c7-9c7d-c1ed76da821e/iiif/cam-80-13-a_0001.tif/full/!300,500/0/default.jpg</t>
  </si>
  <si>
    <t>número dedicado do "Diario de Portugal"</t>
  </si>
  <si>
    <t>Lisboa : Typ. de Cristovão A. Rodrigues</t>
  </si>
  <si>
    <t>CAM. 80//13 A.</t>
  </si>
  <si>
    <t>http://id.bnportugal.gov.pt/bib/catbnp/2194848</t>
  </si>
  <si>
    <t>https://bndigital.bnportugal.gov.pt//i/?IIIF=/df/17/3c/4f/df173c4f-bfb9-48bb-924f-c7704fd3f213/iiif/cam-80-17-a_0000_000001.tif/full/!300,500/0/default.jpg</t>
  </si>
  <si>
    <t>número dedicado do jornal "O Partido do Povo"</t>
  </si>
  <si>
    <t>Lisboa : Typ. do "Partido do Povo"</t>
  </si>
  <si>
    <t>CAM. 80//17 A.</t>
  </si>
  <si>
    <t>http://id.bnportugal.gov.pt/bib/catbnp/2194859</t>
  </si>
  <si>
    <t>https://bndigital.bnportugal.gov.pt//i/?IIIF=/a2/c9/5a/f7/a2c95af7-c5e7-440d-8a6b-507cef69de5c/iiif/cam-80-41-a_0000_000001.tif/full/!300,500/0/default.jpg</t>
  </si>
  <si>
    <t>À memoria de Luiz de Camões no seu tricentenario em 10 de Junho de 1880</t>
  </si>
  <si>
    <t>A Sentinella, semanario bracarense</t>
  </si>
  <si>
    <t>Braga : Typographia de Gonçalves Gouvea</t>
  </si>
  <si>
    <t>16 p., 1 grav. extratexto</t>
  </si>
  <si>
    <t>CAM. 80//41 A.</t>
  </si>
  <si>
    <t>http://id.bnportugal.gov.pt/bib/catbnp/2195077</t>
  </si>
  <si>
    <t>https://bndigital.bnportugal.gov.pt//i/?IIIF=/92/f3/95/0f/92f3950f-e34e-4283-aebd-b2d020d19679/iiif/cam-80-69-a_0000_000001.tif/full/!300,500/0/default.jpg</t>
  </si>
  <si>
    <t>Campinas : Typ. do Diario de Campinas</t>
  </si>
  <si>
    <t>CAM. 80//69 A.</t>
  </si>
  <si>
    <t>http://id.bnportugal.gov.pt/bib/catbnp/2195085</t>
  </si>
  <si>
    <t>https://bndigital.bnportugal.gov.pt//i/?IIIF=/13/b0/42/81/13b04281-b30d-4915-aa48-27d6dc8b0180/iiif/cam-80-70-a_0000_000001.tif/full/!300,500/0/default.jpg</t>
  </si>
  <si>
    <t>homenagem da Gazeta de Noticias</t>
  </si>
  <si>
    <t>Rio de Janeiro : Typographia da Gazeta de Noticias</t>
  </si>
  <si>
    <t>CAM. 80//70 A.</t>
  </si>
  <si>
    <t>http://id.bnportugal.gov.pt/bib/catbnp/2195086</t>
  </si>
  <si>
    <t>https://bndigital.bnportugal.gov.pt//i/?IIIF=/d1/5c/d3/d1/d15cd3d1-0b97-4546-8c65-ecbbe940e0a2/iiif/cam-215-a_0005.tif/full/!300,500/0/default.jpg</t>
  </si>
  <si>
    <t>O Sorvete á Camões</t>
  </si>
  <si>
    <t>Porto : Imprensa Litterario-Commercial</t>
  </si>
  <si>
    <t>Sanhudo, Sebastião de Sousa, 1851-1901, Editor comercial ; Albergaria, Sá de, 1850-1922, Editor literário</t>
  </si>
  <si>
    <t>CAM. 215 A.</t>
  </si>
  <si>
    <t>http://id.bnportugal.gov.pt/bib/catbnp/2195089</t>
  </si>
  <si>
    <t>https://bndigital.bnportugal.gov.pt//i/?IIIF=/f5/16/73/6d/f516736d-f1fc-4cc2-9f8c-7549be243c15/iiif/cam-219-a_0005.tif/full/!300,500/0/default.jpg</t>
  </si>
  <si>
    <t>Tricentenário de Luís de Camões</t>
  </si>
  <si>
    <t>número dedicado de "O Dez de Março"</t>
  </si>
  <si>
    <t>Porto : Typ. Fraga Lamares</t>
  </si>
  <si>
    <t>CAM. 219 A.</t>
  </si>
  <si>
    <t>http://id.bnportugal.gov.pt/bib/catbnp/2195091</t>
  </si>
  <si>
    <t>https://bndigital.bnportugal.gov.pt//i/?IIIF=/eb/b2/bf/21/ebb2bf21-476a-41a8-9530-c140fc242fce/iiif/cam-379-6-v_0001.tif/full/!300,500/0/default.jpg</t>
  </si>
  <si>
    <t>O Tricentenário de Luís de Camões nos "Annaes do Club Militar Naval"</t>
  </si>
  <si>
    <t>Lisboa : Typ. Universal</t>
  </si>
  <si>
    <t>P. 205-228</t>
  </si>
  <si>
    <t>CAM. 379//6 V.</t>
  </si>
  <si>
    <t>http://id.bnportugal.gov.pt/bib/catbnp/2195211</t>
  </si>
  <si>
    <t>Os Navios de Vasco da Gama, artigo de J. B. de Oliveira Júnior suscitado pelos modelos patentes nas comemorações camonianas (p. 212-226, 1 grav. extratexto)</t>
  </si>
  <si>
    <t>url_página</t>
  </si>
  <si>
    <t>url_pagina</t>
  </si>
  <si>
    <t>https://permalinkbnd.bnportugal.gov.pt/viewer/1/?offset=#page=35&amp;viewer=picture&amp;o=info&amp;n=0&amp;q=</t>
  </si>
  <si>
    <t>https://permalinkbnd.bnportugal.gov.pt/viewer/273944/?offset=#page=10&amp;viewer=picture&amp;o=info&amp;n=0&amp;q=</t>
  </si>
  <si>
    <t>https://permalinkbnd.bnportugal.gov.pt/viewer/273944/?offset=#page=103&amp;viewer=picture&amp;o=info&amp;n=0&amp;q=</t>
  </si>
  <si>
    <t>https://permalinkbnd.bnportugal.gov.pt/viewer/273944/?offset=#page=107&amp;viewer=picture&amp;o=info&amp;n=0&amp;q=</t>
  </si>
  <si>
    <t>https://permalinkbnd.bnportugal.gov.pt/viewer/273944/?offset=#page=145&amp;viewer=picture&amp;o=info&amp;n=0&amp;q=</t>
  </si>
  <si>
    <t>https://permalinkbnd.bnportugal.gov.pt/viewer/273944/?offset=#page=185&amp;viewer=picture&amp;o=info&amp;n=0&amp;q=</t>
  </si>
  <si>
    <t>https://permalinkbnd.bnportugal.gov.pt/viewer/273944/?offset=#page=235&amp;viewer=picture&amp;o=info&amp;n=0&amp;q=</t>
  </si>
  <si>
    <t>https://permalinkbnd.bnportugal.gov.pt/viewer/273944/?offset=#page=270&amp;viewer=picture&amp;o=info&amp;n=0&amp;q=</t>
  </si>
  <si>
    <t>https://permalinkbnd.bnportugal.gov.pt/viewer/273944/?offset=#page=273&amp;viewer=picture&amp;o=info&amp;n=0&amp;q=</t>
  </si>
  <si>
    <t>https://permalinkbnd.bnportugal.gov.pt/viewer/273944/?offset=#page=306&amp;viewer=picture&amp;o=info&amp;n=0&amp;q=</t>
  </si>
  <si>
    <t>https://permalinkbnd.bnportugal.gov.pt/viewer/273944/?offset=#page=309&amp;viewer=picture&amp;o=info&amp;n=0&amp;q=</t>
  </si>
  <si>
    <t>https://permalinkbnd.bnportugal.gov.pt/viewer/273944/?offset=#page=342&amp;viewer=picture&amp;o=info&amp;n=0&amp;q=</t>
  </si>
  <si>
    <t>https://permalinkbnd.bnportugal.gov.pt/viewer/273944/?offset=#page=345&amp;viewer=picture&amp;o=info&amp;n=0&amp;q=</t>
  </si>
  <si>
    <t>https://permalinkbnd.bnportugal.gov.pt/viewer/273944/?offset=#page=374&amp;viewer=picture&amp;o=info&amp;n=0&amp;q=</t>
  </si>
  <si>
    <t>https://permalinkbnd.bnportugal.gov.pt/viewer/273944/?offset=#page=377&amp;viewer=picture&amp;o=info&amp;n=0&amp;q=</t>
  </si>
  <si>
    <t>https://permalinkbnd.bnportugal.gov.pt/viewer/273944/?offset=#page=410&amp;viewer=picture&amp;o=info&amp;n=0&amp;q=</t>
  </si>
  <si>
    <t>https://permalinkbnd.bnportugal.gov.pt/viewer/273944/?offset=#page=413&amp;viewer=picture&amp;o=info&amp;n=0&amp;q=</t>
  </si>
  <si>
    <t>https://permalinkbnd.bnportugal.gov.pt/viewer/273944/?offset=#page=447&amp;viewer=picture&amp;o=info&amp;n=0&amp;q=</t>
  </si>
  <si>
    <t>https://permalinkbnd.bnportugal.gov.pt/viewer/273944/?offset=#page=499&amp;viewer=picture&amp;o=info&amp;n=0&amp;q=</t>
  </si>
  <si>
    <t>https://permalinkbnd.bnportugal.gov.pt/viewer/14663/?offset=#page=7&amp;viewer=picture&amp;o=info&amp;n=0&amp;q=</t>
  </si>
  <si>
    <t>https://permalinkbnd.bnportugal.gov.pt/viewer/255848/?offset=#page=5&amp;viewer=picture&amp;o=info&amp;n=0&amp;q=</t>
  </si>
  <si>
    <t>https://permalinkbnd.bnportugal.gov.pt/viewer/255848/?offset=#page=11&amp;viewer=picture&amp;o=info&amp;n=0&amp;q=</t>
  </si>
  <si>
    <t>https://permalinkbnd.bnportugal.gov.pt/viewer/255848/?offset=#page=13&amp;viewer=picture&amp;o=info&amp;n=0&amp;q=</t>
  </si>
  <si>
    <t>https://permalinkbnd.bnportugal.gov.pt/viewer/255848/?offset=#page=15&amp;viewer=picture&amp;o=info&amp;n=0&amp;q=</t>
  </si>
  <si>
    <t>https://permalinkbnd.bnportugal.gov.pt/viewer/255848/?offset=#page=17&amp;viewer=picture&amp;o=info&amp;n=0&amp;q=</t>
  </si>
  <si>
    <t>https://permalinkbnd.bnportugal.gov.pt/viewer/255848/?offset=#page=19&amp;viewer=picture&amp;o=info&amp;n=0&amp;q=</t>
  </si>
  <si>
    <t>https://permalinkbnd.bnportugal.gov.pt/viewer/255848/?offset=#page=21&amp;viewer=picture&amp;o=info&amp;n=0&amp;q=</t>
  </si>
  <si>
    <t>https://permalinkbnd.bnportugal.gov.pt/viewer/255848/?offset=#page=23&amp;viewer=picture&amp;o=info&amp;n=0&amp;q=</t>
  </si>
  <si>
    <t>https://permalinkbnd.bnportugal.gov.pt/viewer/255848/?offset=#page=25&amp;viewer=picture&amp;o=info&amp;n=0&amp;q=</t>
  </si>
  <si>
    <t>https://permalinkbnd.bnportugal.gov.pt/viewer/255848/?offset=#page=27&amp;viewer=picture&amp;o=info&amp;n=0&amp;q=</t>
  </si>
  <si>
    <t>https://permalinkbnd.bnportugal.gov.pt/viewer/255848/?offset=#page=29&amp;viewer=picture&amp;o=info&amp;n=0&amp;q=</t>
  </si>
  <si>
    <t>https://permalinkbnd.bnportugal.gov.pt/viewer/255848/?offset=#page=31&amp;viewer=picture&amp;o=info&amp;n=0&amp;q=</t>
  </si>
  <si>
    <t>https://permalinkbnd.bnportugal.gov.pt/viewer/255848/?offset=#page=33&amp;viewer=picture&amp;o=info&amp;n=0&amp;q=</t>
  </si>
  <si>
    <t>https://permalinkbnd.bnportugal.gov.pt/viewer/255848/?offset=#page=35&amp;viewer=picture&amp;o=info&amp;n=0&amp;q=</t>
  </si>
  <si>
    <t>https://permalinkbnd.bnportugal.gov.pt/viewer/255848/?offset=#page=37&amp;viewer=picture&amp;o=info&amp;n=0&amp;q=</t>
  </si>
  <si>
    <t>https://permalinkbnd.bnportugal.gov.pt/viewer/255848/?offset=#page=39&amp;viewer=picture&amp;o=info&amp;n=0&amp;q=</t>
  </si>
  <si>
    <t>https://permalinkbnd.bnportugal.gov.pt/viewer/255848/?offset=#page=41&amp;viewer=picture&amp;o=info&amp;n=0&amp;q=</t>
  </si>
  <si>
    <t>https://permalinkbnd.bnportugal.gov.pt/viewer/255848/?offset=#page=43&amp;viewer=picture&amp;o=info&amp;n=0&amp;q=</t>
  </si>
  <si>
    <t>https://permalinkbnd.bnportugal.gov.pt/viewer/255848/?offset=#page=45&amp;viewer=picture&amp;o=info&amp;n=0&amp;q=</t>
  </si>
  <si>
    <t>https://permalinkbnd.bnportugal.gov.pt/viewer/255848/?offset=#page=47&amp;viewer=picture&amp;o=info&amp;n=0&amp;q=</t>
  </si>
  <si>
    <t>https://permalinkbnd.bnportugal.gov.pt/viewer/255848/?offset=#page=49&amp;viewer=picture&amp;o=info&amp;n=0&amp;q=</t>
  </si>
  <si>
    <t>https://permalinkbnd.bnportugal.gov.pt/viewer/255848/?offset=#page=51&amp;viewer=picture&amp;o=info&amp;n=0&amp;q=</t>
  </si>
  <si>
    <t>https://permalinkbnd.bnportugal.gov.pt/viewer/274463/?offset=#page=54&amp;viewer=picture&amp;o=info&amp;n=0&amp;q=</t>
  </si>
  <si>
    <t>https://permalinkbnd.bnportugal.gov.pt/viewer/274463/?offset=#page=366&amp;viewer=picture&amp;o=info&amp;n=0&amp;q=</t>
  </si>
  <si>
    <t>https://permalinkbnd.bnportugal.gov.pt/viewer/14629/?offset=#page=7&amp;viewer=picture&amp;o=info&amp;n=0&amp;q=</t>
  </si>
  <si>
    <t>https://permalinkbnd.bnportugal.gov.pt/viewer/14629/?offset=#page=21&amp;viewer=picture&amp;o=info&amp;n=0&amp;q=</t>
  </si>
  <si>
    <t>https://permalinkbnd.bnportugal.gov.pt/viewer/14629/?offset=#page=48&amp;viewer=picture&amp;o=info&amp;n=0&amp;q=</t>
  </si>
  <si>
    <t>https://permalinkbnd.bnportugal.gov.pt/viewer/14629/?offset=#page=100&amp;viewer=picture&amp;o=info&amp;n=0&amp;q=</t>
  </si>
  <si>
    <t>https://permalinkbnd.bnportugal.gov.pt/viewer/14629/?offset=#page=129&amp;viewer=picture&amp;o=info&amp;n=0&amp;q=</t>
  </si>
  <si>
    <t>https://permalinkbnd.bnportugal.gov.pt/viewer/14629/?offset=#page=152&amp;viewer=picture&amp;o=info&amp;n=0&amp;q=</t>
  </si>
  <si>
    <t>https://permalinkbnd.bnportugal.gov.pt/viewer/14629/?offset=#page=191&amp;viewer=picture&amp;o=info&amp;n=0&amp;q=</t>
  </si>
  <si>
    <t>https://permalinkbnd.bnportugal.gov.pt/viewer/14629/?offset=#page=209&amp;viewer=picture&amp;o=info&amp;n=0&amp;q=</t>
  </si>
  <si>
    <t>https://permalinkbnd.bnportugal.gov.pt/viewer/14629/?offset=#page=264&amp;viewer=picture&amp;o=info&amp;n=0&amp;q=</t>
  </si>
  <si>
    <t>https://permalinkbnd.bnportugal.gov.pt/viewer/14629/?offset=#page=297&amp;viewer=picture&amp;o=info&amp;n=0&amp;q=</t>
  </si>
  <si>
    <t>https://permalinkbnd.bnportugal.gov.pt/viewer/14639/?offset=#page=10&amp;viewer=picture&amp;o=info&amp;n=0&amp;q=</t>
  </si>
  <si>
    <t>https://permalinkbnd.bnportugal.gov.pt/viewer/14639/?offset=#page=86&amp;viewer=picture&amp;o=info&amp;n=0&amp;q=</t>
  </si>
  <si>
    <t>https://permalinkbnd.bnportugal.gov.pt/viewer/14639/?offset=#page=168&amp;viewer=picture&amp;o=info&amp;n=0&amp;q=</t>
  </si>
  <si>
    <t>https://permalinkbnd.bnportugal.gov.pt/viewer/14639/?offset=#page=266&amp;viewer=picture&amp;o=info&amp;n=0&amp;q=</t>
  </si>
  <si>
    <t>https://permalinkbnd.bnportugal.gov.pt/viewer/14639/?offset=#page=12&amp;viewer=picture&amp;o=info&amp;n=0&amp;q=</t>
  </si>
  <si>
    <t>https://permalinkbnd.bnportugal.gov.pt/viewer/14639/?offset=#page=102&amp;viewer=picture&amp;o=info&amp;n=0&amp;q=</t>
  </si>
  <si>
    <t>https://permalinkbnd.bnportugal.gov.pt/viewer/14639/?offset=#page=202&amp;viewer=picture&amp;o=info&amp;n=0&amp;q=</t>
  </si>
  <si>
    <t>https://permalinkbnd.bnportugal.gov.pt/viewer/14639/?offset=#page=282&amp;viewer=picture&amp;o=info&amp;n=0&amp;q=</t>
  </si>
  <si>
    <t>https://permalinkbnd.bnportugal.gov.pt/viewer/14639/?offset=#page=98&amp;viewer=picture&amp;o=info&amp;n=0&amp;q=</t>
  </si>
  <si>
    <t>https://permalinkbnd.bnportugal.gov.pt/viewer/14639/?offset=#page=176&amp;viewer=picture&amp;o=info&amp;n=0&amp;q=</t>
  </si>
  <si>
    <t>https://permalinkbnd.bnportugal.gov.pt/viewer/14621/?offset=#page=9&amp;viewer=picture&amp;o=info&amp;n=0&amp;q=</t>
  </si>
  <si>
    <t>https://permalinkbnd.bnportugal.gov.pt/viewer/14621/?offset=#page=37&amp;viewer=picture&amp;o=info&amp;n=0&amp;q=</t>
  </si>
  <si>
    <t>https://permalinkbnd.bnportugal.gov.pt/viewer/14621/?offset=#page=75&amp;viewer=picture&amp;o=info&amp;n=0&amp;q=</t>
  </si>
  <si>
    <t>https://permalinkbnd.bnportugal.gov.pt/viewer/14621/?offset=#page=115&amp;viewer=picture&amp;o=info&amp;n=0&amp;q=</t>
  </si>
  <si>
    <t>https://permalinkbnd.bnportugal.gov.pt/viewer/14621/?offset=#page=171&amp;viewer=picture&amp;o=info&amp;n=0&amp;q=</t>
  </si>
  <si>
    <t>https://permalinkbnd.bnportugal.gov.pt/viewer/14621/?offset=#page=211&amp;viewer=picture&amp;o=info&amp;n=0&amp;q=</t>
  </si>
  <si>
    <t>https://permalinkbnd.bnportugal.gov.pt/viewer/14621/?offset=#page=259&amp;viewer=picture&amp;o=info&amp;n=0&amp;q=</t>
  </si>
  <si>
    <t>https://permalinkbnd.bnportugal.gov.pt/viewer/14621/?offset=#page=293&amp;viewer=picture&amp;o=info&amp;n=0&amp;q=</t>
  </si>
  <si>
    <t>https://permalinkbnd.bnportugal.gov.pt/viewer/14621/?offset=#page=325&amp;viewer=picture&amp;o=info&amp;n=0&amp;q=</t>
  </si>
  <si>
    <t>https://permalinkbnd.bnportugal.gov.pt/viewer/14621/?offset=#page=365&amp;viewer=picture&amp;o=info&amp;n=0&amp;q=</t>
  </si>
  <si>
    <t>https://permalinkbnd.bnportugal.gov.pt/viewer/14621/?offset=#page=401&amp;viewer=picture&amp;o=info&amp;n=0&amp;q=</t>
  </si>
  <si>
    <t>https://permalinkbnd.bnportugal.gov.pt/viewer/14573/?offset=#page=10&amp;viewer=picture&amp;o=info&amp;n=0&amp;q=</t>
  </si>
  <si>
    <t>https://permalinkbnd.bnportugal.gov.pt/viewer/14605/?offset=#page=19&amp;viewer=picture&amp;o=info&amp;n=0&amp;q=</t>
  </si>
  <si>
    <t>https://permalinkbnd.bnportugal.gov.pt/viewer/14632/?offset=#page=7&amp;viewer=picture&amp;o=info&amp;n=0&amp;q=</t>
  </si>
  <si>
    <t>https://permalinkbnd.bnportugal.gov.pt/viewer/14680/?offset=#page=23&amp;viewer=picture&amp;o=info&amp;n=0&amp;q=</t>
  </si>
  <si>
    <t>https://permalinkbnd.bnportugal.gov.pt/viewer/14680/?offset=#page=45&amp;viewer=picture&amp;o=info&amp;n=0&amp;q=</t>
  </si>
  <si>
    <t>https://permalinkbnd.bnportugal.gov.pt/viewer/14556/?offset=#page=9&amp;viewer=picture&amp;o=info&amp;n=0&amp;q=</t>
  </si>
  <si>
    <t>https://permalinkbnd.bnportugal.gov.pt/viewer/14578/?offset=#page=5&amp;viewer=picture&amp;o=info&amp;n=0&amp;q=</t>
  </si>
  <si>
    <t>https://permalinkbnd.bnportugal.gov.pt/viewer/14576/?offset=#page=9&amp;viewer=picture&amp;o=info&amp;n=0&amp;q=</t>
  </si>
  <si>
    <t>https://permalinkbnd.bnportugal.gov.pt/viewer/14592/?offset=#page=3&amp;viewer=picture&amp;o=info&amp;n=0&amp;q=</t>
  </si>
  <si>
    <t>https://permalinkbnd.bnportugal.gov.pt/viewer/14592/?offset=#page=8&amp;viewer=picture&amp;o=info&amp;n=0&amp;q=</t>
  </si>
  <si>
    <t>https://permalinkbnd.bnportugal.gov.pt/viewer/14592/?offset=#page=12&amp;viewer=picture&amp;o=info&amp;n=0&amp;q=</t>
  </si>
  <si>
    <t>https://permalinkbnd.bnportugal.gov.pt/viewer/14566/?offset=#page=10&amp;viewer=picture&amp;o=info&amp;n=0&amp;q=</t>
  </si>
  <si>
    <t>https://permalinkbnd.bnportugal.gov.pt/viewer/14566/?offset=#page=11&amp;viewer=picture&amp;o=info&amp;n=0&amp;q=</t>
  </si>
  <si>
    <t>https://permalinkbnd.bnportugal.gov.pt/viewer/274466/?offset=#page=6&amp;viewer=picture&amp;o=info&amp;n=0&amp;q=</t>
  </si>
  <si>
    <t>https://permalinkbnd.bnportugal.gov.pt/viewer/274466/?offset=#page=12&amp;viewer=picture&amp;o=info&amp;n=0&amp;q=</t>
  </si>
  <si>
    <t>https://permalinkbnd.bnportugal.gov.pt/viewer/278408/?offset=#page=1&amp;viewer=picture&amp;o=info&amp;n=0&amp;q=</t>
  </si>
  <si>
    <t>https://permalinkbnd.bnportugal.gov.pt/viewer/14624/?offset=#page=29&amp;viewer=picture&amp;o=info&amp;n=0&amp;q=</t>
  </si>
  <si>
    <t>https://permalinkbnd.bnportugal.gov.pt/viewer/14624/?offset=#page=100&amp;viewer=picture&amp;o=info&amp;n=0&amp;q=</t>
  </si>
  <si>
    <t>https://permalinkbnd.bnportugal.gov.pt/viewer/14624/?offset=#page=216&amp;viewer=picture&amp;o=info&amp;n=0&amp;q=</t>
  </si>
  <si>
    <t>https://permalinkbnd.bnportugal.gov.pt/viewer/14624/?offset=#page=297&amp;viewer=picture&amp;o=info&amp;n=0&amp;q=</t>
  </si>
  <si>
    <t>https://permalinkbnd.bnportugal.gov.pt/viewer/14624/?offset=#page=308&amp;viewer=picture&amp;o=info&amp;n=0&amp;q=</t>
  </si>
  <si>
    <t>https://permalinkbnd.bnportugal.gov.pt/viewer/14624/?offset=#page=424&amp;viewer=picture&amp;o=info&amp;n=0&amp;q=</t>
  </si>
  <si>
    <t>https://permalinkbnd.bnportugal.gov.pt/viewer/14624/?offset=#page=530&amp;viewer=picture&amp;o=info&amp;n=0&amp;q=</t>
  </si>
  <si>
    <t>https://permalinkbnd.bnportugal.gov.pt/viewer/14624/?offset=#page=7&amp;viewer=picture&amp;o=info&amp;n=0&amp;q=</t>
  </si>
  <si>
    <t>https://permalinkbnd.bnportugal.gov.pt/viewer/14624/?offset=#page=10&amp;viewer=picture&amp;o=info&amp;n=0&amp;q=</t>
  </si>
  <si>
    <t>https://permalinkbnd.bnportugal.gov.pt/viewer/14624/?offset=#page=76&amp;viewer=picture&amp;o=info&amp;n=0&amp;q=</t>
  </si>
  <si>
    <t>https://permalinkbnd.bnportugal.gov.pt/viewer/14624/?offset=#page=114&amp;viewer=picture&amp;o=info&amp;n=0&amp;q=</t>
  </si>
  <si>
    <t>https://permalinkbnd.bnportugal.gov.pt/viewer/14624/?offset=#page=194&amp;viewer=picture&amp;o=info&amp;n=0&amp;q=</t>
  </si>
  <si>
    <t>https://permalinkbnd.bnportugal.gov.pt/viewer/14624/?offset=#page=274&amp;viewer=picture&amp;o=info&amp;n=0&amp;q=</t>
  </si>
  <si>
    <t>https://permalinkbnd.bnportugal.gov.pt/viewer/14624/?offset=#page=418&amp;viewer=picture&amp;o=info&amp;n=0&amp;q=</t>
  </si>
  <si>
    <t>https://permalinkbnd.bnportugal.gov.pt/viewer/14624/?offset=#page=454&amp;viewer=picture&amp;o=info&amp;n=0&amp;q=</t>
  </si>
  <si>
    <t>https://permalinkbnd.bnportugal.gov.pt/viewer/14624/?offset=#page=463&amp;viewer=picture&amp;o=info&amp;n=0&amp;q=</t>
  </si>
  <si>
    <t>https://permalinkbnd.bnportugal.gov.pt/viewer/14624/?offset=#page=465&amp;viewer=picture&amp;o=info&amp;n=0&amp;q=</t>
  </si>
  <si>
    <t>https://permalinkbnd.bnportugal.gov.pt/viewer/14624/?offset=#page=466&amp;viewer=picture&amp;o=info&amp;n=0&amp;q=</t>
  </si>
  <si>
    <t>https://permalinkbnd.bnportugal.gov.pt/viewer/14624/?offset=#page=468&amp;viewer=picture&amp;o=info&amp;n=0&amp;q=</t>
  </si>
  <si>
    <t>https://permalinkbnd.bnportugal.gov.pt/viewer/14624/?offset=#page=472&amp;viewer=picture&amp;o=info&amp;n=0&amp;q=</t>
  </si>
  <si>
    <t>https://permalinkbnd.bnportugal.gov.pt/viewer/14624/?offset=#page=473&amp;viewer=picture&amp;o=info&amp;n=0&amp;q=</t>
  </si>
  <si>
    <t>https://permalinkbnd.bnportugal.gov.pt/viewer/14624/?offset=#page=474&amp;viewer=picture&amp;o=info&amp;n=0&amp;q=</t>
  </si>
  <si>
    <t>https://permalinkbnd.bnportugal.gov.pt/viewer/14624/?offset=#page=476&amp;viewer=picture&amp;o=info&amp;n=0&amp;q=</t>
  </si>
  <si>
    <t>https://permalinkbnd.bnportugal.gov.pt/viewer/14624/?offset=#page=480&amp;viewer=picture&amp;o=info&amp;n=0&amp;q=</t>
  </si>
  <si>
    <t>https://permalinkbnd.bnportugal.gov.pt/viewer/14624/?offset=#page=514&amp;viewer=picture&amp;o=info&amp;n=0&amp;q=</t>
  </si>
  <si>
    <t>https://permalinkbnd.bnportugal.gov.pt/viewer/14624/?offset=#page=520&amp;viewer=picture&amp;o=info&amp;n=0&amp;q=</t>
  </si>
  <si>
    <t>https://permalinkbnd.bnportugal.gov.pt/viewer/14624/?offset=#page=521&amp;viewer=picture&amp;o=info&amp;n=0&amp;q=</t>
  </si>
  <si>
    <t>https://permalinkbnd.bnportugal.gov.pt/viewer/14587/?offset=#page=9&amp;viewer=picture&amp;o=info&amp;n=0&amp;q=</t>
  </si>
  <si>
    <t>https://permalinkbnd.bnportugal.gov.pt/viewer/14587/?offset=#page=23&amp;viewer=picture&amp;o=info&amp;n=0&amp;q=</t>
  </si>
  <si>
    <t>https://permalinkbnd.bnportugal.gov.pt/viewer/14587/?offset=#page=33&amp;viewer=picture&amp;o=info&amp;n=0&amp;q=</t>
  </si>
  <si>
    <t>https://permalinkbnd.bnportugal.gov.pt/viewer/14587/?offset=#page=57&amp;viewer=picture&amp;o=info&amp;n=0&amp;q=</t>
  </si>
  <si>
    <t>https://permalinkbnd.bnportugal.gov.pt/viewer/14587/?offset=#page=77&amp;viewer=picture&amp;o=info&amp;n=0&amp;q=</t>
  </si>
  <si>
    <t>https://permalinkbnd.bnportugal.gov.pt/viewer/14587/?offset=#page=99&amp;viewer=picture&amp;o=info&amp;n=0&amp;q=</t>
  </si>
  <si>
    <t>https://permalinkbnd.bnportugal.gov.pt/viewer/14587/?offset=#page=125&amp;viewer=picture&amp;o=info&amp;n=0&amp;q=</t>
  </si>
  <si>
    <t>https://permalinkbnd.bnportugal.gov.pt/viewer/14587/?offset=#page=147&amp;viewer=picture&amp;o=info&amp;n=0&amp;q=</t>
  </si>
  <si>
    <t>https://permalinkbnd.bnportugal.gov.pt/viewer/14587/?offset=#page=157&amp;viewer=picture&amp;o=info&amp;n=0&amp;q=</t>
  </si>
  <si>
    <t>https://permalinkbnd.bnportugal.gov.pt/viewer/14587/?offset=#page=173&amp;viewer=picture&amp;o=info&amp;n=0&amp;q=</t>
  </si>
  <si>
    <t>https://permalinkbnd.bnportugal.gov.pt/viewer/14587/?offset=#page=185&amp;viewer=picture&amp;o=info&amp;n=0&amp;q=</t>
  </si>
  <si>
    <t>https://permalinkbnd.bnportugal.gov.pt/viewer/14587/?offset=#page=223&amp;viewer=picture&amp;o=info&amp;n=0&amp;q=</t>
  </si>
  <si>
    <t>https://permalinkbnd.bnportugal.gov.pt/viewer/14587/?offset=#page=231&amp;viewer=picture&amp;o=info&amp;n=0&amp;q=</t>
  </si>
  <si>
    <t>https://permalinkbnd.bnportugal.gov.pt/viewer/14587/?offset=#page=255&amp;viewer=picture&amp;o=info&amp;n=0&amp;q=</t>
  </si>
  <si>
    <t>https://permalinkbnd.bnportugal.gov.pt/viewer/14587/?offset=#page=265&amp;viewer=picture&amp;o=info&amp;n=0&amp;q=</t>
  </si>
  <si>
    <t>https://permalinkbnd.bnportugal.gov.pt/viewer/14587/?offset=#page=289&amp;viewer=picture&amp;o=info&amp;n=0&amp;q=</t>
  </si>
  <si>
    <t>https://permalinkbnd.bnportugal.gov.pt/viewer/14587/?offset=#page=295&amp;viewer=picture&amp;o=info&amp;n=0&amp;q=</t>
  </si>
  <si>
    <t>https://permalinkbnd.bnportugal.gov.pt/viewer/14587/?offset=#page=323&amp;viewer=picture&amp;o=info&amp;n=0&amp;q=</t>
  </si>
  <si>
    <t>https://permalinkbnd.bnportugal.gov.pt/viewer/14587/?offset=#page=331&amp;viewer=picture&amp;o=info&amp;n=0&amp;q=</t>
  </si>
  <si>
    <t>https://permalinkbnd.bnportugal.gov.pt/viewer/14587/?offset=#page=365&amp;viewer=picture&amp;o=info&amp;n=0&amp;q=</t>
  </si>
  <si>
    <t>https://permalinkbnd.bnportugal.gov.pt/viewer/14587/?offset=#page=385&amp;viewer=picture&amp;o=info&amp;n=0&amp;q=</t>
  </si>
  <si>
    <t>https://permalinkbnd.bnportugal.gov.pt/viewer/14650/?offset=#page=8&amp;viewer=picture&amp;o=info&amp;n=0&amp;q=</t>
  </si>
  <si>
    <t>https://permalinkbnd.bnportugal.gov.pt/viewer/14650/?offset=#page=30&amp;viewer=picture&amp;o=info&amp;n=0&amp;q=</t>
  </si>
  <si>
    <t>https://permalinkbnd.bnportugal.gov.pt/viewer/14650/?offset=#page=31&amp;viewer=picture&amp;o=info&amp;n=0&amp;q=</t>
  </si>
  <si>
    <t>https://permalinkbnd.bnportugal.gov.pt/viewer/14604/?offset=#page=6&amp;viewer=picture&amp;o=info&amp;n=0&amp;q=</t>
  </si>
  <si>
    <t>https://permalinkbnd.bnportugal.gov.pt/viewer/14604/?offset=#page=35&amp;viewer=picture&amp;o=info&amp;n=0&amp;q=</t>
  </si>
  <si>
    <t>https://permalinkbnd.bnportugal.gov.pt/viewer/278482/?offset=#page=13&amp;viewer=picture&amp;o=info&amp;n=0&amp;q=</t>
  </si>
  <si>
    <t>https://permalinkbnd.bnportugal.gov.pt/viewer/14622/?offset=#page=12&amp;viewer=picture&amp;o=info&amp;n=0&amp;q=</t>
  </si>
  <si>
    <t>https://permalinkbnd.bnportugal.gov.pt/viewer/14622/?offset=#page=21&amp;viewer=picture&amp;o=info&amp;n=0&amp;q=</t>
  </si>
  <si>
    <t>https://permalinkbnd.bnportugal.gov.pt/viewer/14622/?offset=#page=108&amp;viewer=picture&amp;o=info&amp;n=0&amp;q=</t>
  </si>
  <si>
    <t>https://permalinkbnd.bnportugal.gov.pt/viewer/14622/?offset=#page=125&amp;viewer=picture&amp;o=info&amp;n=0&amp;q=</t>
  </si>
  <si>
    <t>https://permalinkbnd.bnportugal.gov.pt/viewer/86723/?offset=#page=6&amp;viewer=picture&amp;o=info&amp;n=0&amp;q=</t>
  </si>
  <si>
    <t>https://permalinkbnd.bnportugal.gov.pt/viewer/86723/?offset=#page=11&amp;viewer=picture&amp;o=info&amp;n=0&amp;q=</t>
  </si>
  <si>
    <t>https://permalinkbnd.bnportugal.gov.pt/viewer/278583/?offset=#page=17&amp;viewer=picture&amp;o=info&amp;n=0&amp;q=</t>
  </si>
  <si>
    <t>https://permalinkbnd.bnportugal.gov.pt/viewer/274032/?offset=#page=8&amp;viewer=picture&amp;o=info&amp;n=0&amp;q=</t>
  </si>
  <si>
    <t>https://permalinkbnd.bnportugal.gov.pt/viewer/274032/?offset=#page=55&amp;viewer=picture&amp;o=info&amp;n=0&amp;q=</t>
  </si>
  <si>
    <t>https://permalinkbnd.bnportugal.gov.pt/viewer/274032/?offset=#page=81&amp;viewer=picture&amp;o=info&amp;n=0&amp;q=</t>
  </si>
  <si>
    <t>https://permalinkbnd.bnportugal.gov.pt/viewer/274032/?offset=#page=198&amp;viewer=picture&amp;o=info&amp;n=0&amp;q=</t>
  </si>
  <si>
    <t>https://permalinkbnd.bnportugal.gov.pt/viewer/274032/?offset=#page=307&amp;viewer=picture&amp;o=info&amp;n=0&amp;q=</t>
  </si>
  <si>
    <t>https://permalinkbnd.bnportugal.gov.pt/viewer/274032/?offset=#page=369&amp;viewer=picture&amp;o=info&amp;n=0&amp;q=</t>
  </si>
  <si>
    <t>https://permalinkbnd.bnportugal.gov.pt/viewer/6839/?offset=#page=1&amp;viewer=picture&amp;o=info&amp;n=0&amp;q=</t>
  </si>
  <si>
    <t>https://permalinkbnd.bnportugal.gov.pt/viewer/6839/?offset=#page=10&amp;viewer=picture&amp;o=info&amp;n=0&amp;q=</t>
  </si>
  <si>
    <t>https://permalinkbnd.bnportugal.gov.pt/viewer/6839/?offset=#page=11&amp;viewer=picture&amp;o=info&amp;n=0&amp;q=</t>
  </si>
  <si>
    <t>https://permalinkbnd.bnportugal.gov.pt/viewer/6839/?offset=#page=14&amp;viewer=picture&amp;o=info&amp;n=0&amp;q=</t>
  </si>
  <si>
    <t>https://permalinkbnd.bnportugal.gov.pt/viewer/6839/?offset=#page=16&amp;viewer=picture&amp;o=info&amp;n=0&amp;q=</t>
  </si>
  <si>
    <t>https://permalinkbnd.bnportugal.gov.pt/viewer/6839/?offset=#page=20&amp;viewer=picture&amp;o=info&amp;n=0&amp;q=</t>
  </si>
  <si>
    <t>https://permalinkbnd.bnportugal.gov.pt/viewer/36391/?offset=#page=1&amp;viewer=picture&amp;o=info&amp;n=0&amp;q=</t>
  </si>
  <si>
    <t>https://permalinkbnd.bnportugal.gov.pt/viewer/14630/?offset=#page=1&amp;viewer=picture&amp;o=info&amp;n=0&amp;q=</t>
  </si>
  <si>
    <t>https://permalinkbnd.bnportugal.gov.pt/viewer/278664/?offset=#page=10&amp;viewer=picture&amp;o=info&amp;n=0&amp;q=</t>
  </si>
  <si>
    <t>https://permalinkbnd.bnportugal.gov.pt/viewer/278660/?offset=#page=8&amp;viewer=picture&amp;o=info&amp;n=0&amp;q=</t>
  </si>
  <si>
    <t>https://permalinkbnd.bnportugal.gov.pt/viewer/278669/?offset=#page=6&amp;viewer=picture&amp;o=info&amp;n=0&amp;q=</t>
  </si>
  <si>
    <t>https://permalinkbnd.bnportugal.gov.pt/viewer/278783/?offset=#page=6&amp;viewer=picture&amp;o=info&amp;n=0&amp;q=</t>
  </si>
  <si>
    <t>https://permalinkbnd.bnportugal.gov.pt/viewer/278786/?offset=#page=10&amp;viewer=picture&amp;o=info&amp;n=0&amp;q=</t>
  </si>
  <si>
    <t>https://permalinkbnd.bnportugal.gov.pt/viewer/278784/?offset=#page=8&amp;viewer=picture&amp;o=info&amp;n=0&amp;q=</t>
  </si>
  <si>
    <t>https://permalinkbnd.bnportugal.gov.pt/viewer/278793/?offset=#page=6&amp;viewer=picture&amp;o=info&amp;n=0&amp;q=</t>
  </si>
  <si>
    <t>https://permalinkbnd.bnportugal.gov.pt/viewer/278782/?offset=#page=6&amp;viewer=picture&amp;o=info&amp;n=0&amp;q=</t>
  </si>
  <si>
    <t>https://permalinkbnd.bnportugal.gov.pt/viewer/272640/?offset=#page=1&amp;viewer=picture&amp;o=info&amp;n=0&amp;q=</t>
  </si>
  <si>
    <t>https://permalinkbnd.bnportugal.gov.pt/viewer/272640/?offset=#page=8&amp;viewer=picture&amp;o=info&amp;n=0&amp;q=</t>
  </si>
  <si>
    <t>https://permalinkbnd.bnportugal.gov.pt/viewer/272640/?offset=#page=9&amp;viewer=picture&amp;o=info&amp;n=0&amp;q=</t>
  </si>
  <si>
    <t>https://permalinkbnd.bnportugal.gov.pt/viewer/272640/?offset=#page=25&amp;viewer=picture&amp;o=info&amp;n=0&amp;q=</t>
  </si>
  <si>
    <t>https://permalinkbnd.bnportugal.gov.pt/viewer/272640/?offset=#page=27&amp;viewer=picture&amp;o=info&amp;n=0&amp;q=</t>
  </si>
  <si>
    <t>https://permalinkbnd.bnportugal.gov.pt/viewer/272640/?offset=#page=29&amp;viewer=picture&amp;o=info&amp;n=0&amp;q=</t>
  </si>
  <si>
    <t>https://permalinkbnd.bnportugal.gov.pt/viewer/272640/?offset=#page=31&amp;viewer=picture&amp;o=info&amp;n=0&amp;q=</t>
  </si>
  <si>
    <t>https://permalinkbnd.bnportugal.gov.pt/viewer/272640/?offset=#page=59&amp;viewer=picture&amp;o=info&amp;n=0&amp;q=</t>
  </si>
  <si>
    <t>https://permalinkbnd.bnportugal.gov.pt/viewer/272640/?offset=#page=71&amp;viewer=picture&amp;o=info&amp;n=0&amp;q=</t>
  </si>
  <si>
    <t>https://permalinkbnd.bnportugal.gov.pt/viewer/272640/?offset=#page=89&amp;viewer=picture&amp;o=info&amp;n=0&amp;q=</t>
  </si>
  <si>
    <t>https://permalinkbnd.bnportugal.gov.pt/viewer/272640/?offset=#page=95&amp;viewer=picture&amp;o=info&amp;n=0&amp;q=</t>
  </si>
  <si>
    <t>https://permalinkbnd.bnportugal.gov.pt/viewer/272640/?offset=#page=127&amp;viewer=picture&amp;o=info&amp;n=0&amp;q=</t>
  </si>
  <si>
    <t>https://permalinkbnd.bnportugal.gov.pt/viewer/272640/?offset=#page=135&amp;viewer=picture&amp;o=info&amp;n=0&amp;q=</t>
  </si>
  <si>
    <t>https://permalinkbnd.bnportugal.gov.pt/viewer/272640/?offset=#page=161&amp;viewer=picture&amp;o=info&amp;n=0&amp;q=</t>
  </si>
  <si>
    <t>https://permalinkbnd.bnportugal.gov.pt/viewer/272640/?offset=#page=167&amp;viewer=picture&amp;o=info&amp;n=0&amp;q=</t>
  </si>
  <si>
    <t>https://permalinkbnd.bnportugal.gov.pt/viewer/272640/?offset=#page=181&amp;viewer=picture&amp;o=info&amp;n=0&amp;q=</t>
  </si>
  <si>
    <t>https://permalinkbnd.bnportugal.gov.pt/viewer/272640/?offset=#page=197&amp;viewer=picture&amp;o=info&amp;n=0&amp;q=</t>
  </si>
  <si>
    <t>https://permalinkbnd.bnportugal.gov.pt/viewer/272640/?offset=#page=207&amp;viewer=picture&amp;o=info&amp;n=0&amp;q=</t>
  </si>
  <si>
    <t>https://permalinkbnd.bnportugal.gov.pt/viewer/272640/?offset=#page=227&amp;viewer=picture&amp;o=info&amp;n=0&amp;q=</t>
  </si>
  <si>
    <t>https://permalinkbnd.bnportugal.gov.pt/viewer/272640/?offset=#page=241&amp;viewer=picture&amp;o=info&amp;n=0&amp;q=</t>
  </si>
  <si>
    <t>https://permalinkbnd.bnportugal.gov.pt/viewer/272640/?offset=#page=253&amp;viewer=picture&amp;o=info&amp;n=0&amp;q=</t>
  </si>
  <si>
    <t>https://permalinkbnd.bnportugal.gov.pt/viewer/272640/?offset=#page=271&amp;viewer=picture&amp;o=info&amp;n=0&amp;q=</t>
  </si>
  <si>
    <t>https://permalinkbnd.bnportugal.gov.pt/viewer/272640/?offset=#page=283&amp;viewer=picture&amp;o=info&amp;n=0&amp;q=</t>
  </si>
  <si>
    <t>https://permalinkbnd.bnportugal.gov.pt/viewer/272640/?offset=#page=307&amp;viewer=picture&amp;o=info&amp;n=0&amp;q=</t>
  </si>
  <si>
    <t>https://permalinkbnd.bnportugal.gov.pt/viewer/272640/?offset=#page=311&amp;viewer=picture&amp;o=info&amp;n=0&amp;q=</t>
  </si>
  <si>
    <t>https://permalinkbnd.bnportugal.gov.pt/viewer/272640/?offset=#page=349&amp;viewer=picture&amp;o=info&amp;n=0&amp;q=</t>
  </si>
  <si>
    <t>https://permalinkbnd.bnportugal.gov.pt/viewer/279630/?offset=#page=5&amp;viewer=picture&amp;o=info&amp;n=0&amp;q=</t>
  </si>
  <si>
    <t>https://permalinkbnd.bnportugal.gov.pt/viewer/279630/?offset=#page=7&amp;viewer=picture&amp;o=info&amp;n=0&amp;q=</t>
  </si>
  <si>
    <t>https://permalinkbnd.bnportugal.gov.pt/viewer/279634/?offset=#page=4&amp;viewer=picture&amp;o=info&amp;n=0&amp;q=</t>
  </si>
  <si>
    <t>https://permalinkbnd.bnportugal.gov.pt/viewer/279104/?offset=#page=1&amp;viewer=picture&amp;o=info&amp;n=0&amp;q=</t>
  </si>
  <si>
    <t>https://permalinkbnd.bnportugal.gov.pt/viewer/20471/?offset=#page=1&amp;viewer=picture&amp;o=info&amp;n=0&amp;q=</t>
  </si>
  <si>
    <t>https://permalinkbnd.bnportugal.gov.pt/viewer/17516/?offset=#page=1&amp;viewer=picture&amp;o=info&amp;n=0&amp;q=</t>
  </si>
  <si>
    <t>https://permalinkbnd.bnportugal.gov.pt/viewer/14594/?offset=#page=13&amp;viewer=picture&amp;o=info&amp;n=0&amp;q=</t>
  </si>
  <si>
    <t>https://permalinkbnd.bnportugal.gov.pt/viewer/14594/?offset=#page=30&amp;viewer=picture&amp;o=info&amp;n=0&amp;q=</t>
  </si>
  <si>
    <t>https://permalinkbnd.bnportugal.gov.pt/viewer/14594/?offset=#page=32&amp;viewer=picture&amp;o=info&amp;n=0&amp;q=</t>
  </si>
  <si>
    <t>https://permalinkbnd.bnportugal.gov.pt/viewer/14594/?offset=#page=54&amp;viewer=picture&amp;o=info&amp;n=0&amp;q=</t>
  </si>
  <si>
    <t>https://permalinkbnd.bnportugal.gov.pt/viewer/14594/?offset=#page=78&amp;viewer=picture&amp;o=info&amp;n=0&amp;q=</t>
  </si>
  <si>
    <t>https://permalinkbnd.bnportugal.gov.pt/viewer/14594/?offset=#page=106&amp;viewer=picture&amp;o=info&amp;n=0&amp;q=</t>
  </si>
  <si>
    <t>https://permalinkbnd.bnportugal.gov.pt/viewer/14594/?offset=#page=128&amp;viewer=picture&amp;o=info&amp;n=0&amp;q=</t>
  </si>
  <si>
    <t>https://permalinkbnd.bnportugal.gov.pt/viewer/14594/?offset=#page=129&amp;viewer=picture&amp;o=info&amp;n=0&amp;q=</t>
  </si>
  <si>
    <t>https://permalinkbnd.bnportugal.gov.pt/viewer/14594/?offset=#page=150&amp;viewer=picture&amp;o=info&amp;n=0&amp;q=</t>
  </si>
  <si>
    <t>https://permalinkbnd.bnportugal.gov.pt/viewer/14594/?offset=#page=151&amp;viewer=picture&amp;o=info&amp;n=0&amp;q=</t>
  </si>
  <si>
    <t>https://permalinkbnd.bnportugal.gov.pt/viewer/14594/?offset=#page=170&amp;viewer=picture&amp;o=info&amp;n=0&amp;q=</t>
  </si>
  <si>
    <t>https://permalinkbnd.bnportugal.gov.pt/viewer/14594/?offset=#page=171&amp;viewer=picture&amp;o=info&amp;n=0&amp;q=</t>
  </si>
  <si>
    <t>https://permalinkbnd.bnportugal.gov.pt/viewer/14594/?offset=#page=188&amp;viewer=picture&amp;o=info&amp;n=0&amp;q=</t>
  </si>
  <si>
    <t>https://permalinkbnd.bnportugal.gov.pt/viewer/14594/?offset=#page=189&amp;viewer=picture&amp;o=info&amp;n=0&amp;q=</t>
  </si>
  <si>
    <t>https://permalinkbnd.bnportugal.gov.pt/viewer/14594/?offset=#page=208&amp;viewer=picture&amp;o=info&amp;n=0&amp;q=</t>
  </si>
  <si>
    <t>https://permalinkbnd.bnportugal.gov.pt/viewer/14594/?offset=#page=209&amp;viewer=picture&amp;o=info&amp;n=0&amp;q=</t>
  </si>
  <si>
    <t>https://permalinkbnd.bnportugal.gov.pt/viewer/14594/?offset=#page=228&amp;viewer=picture&amp;o=info&amp;n=0&amp;q=</t>
  </si>
  <si>
    <t>https://permalinkbnd.bnportugal.gov.pt/viewer/14594/?offset=#page=229&amp;viewer=picture&amp;o=info&amp;n=0&amp;q=</t>
  </si>
  <si>
    <t>https://permalinkbnd.bnportugal.gov.pt/viewer/89062/?offset=#page=1&amp;viewer=picture&amp;o=info&amp;n=0&amp;q=</t>
  </si>
  <si>
    <t>https://permalinkbnd.bnportugal.gov.pt/viewer/272813/?offset=#page=4&amp;viewer=picture&amp;o=info&amp;n=0&amp;q=</t>
  </si>
  <si>
    <t>https://permalinkbnd.bnportugal.gov.pt/viewer/279095/?offset=#page=13&amp;viewer=picture&amp;o=info&amp;n=0&amp;q=</t>
  </si>
  <si>
    <t>https://permalinkbnd.bnportugal.gov.pt/viewer/278400/?offset=#page=15&amp;viewer=picture&amp;o=info&amp;n=0&amp;q=</t>
  </si>
  <si>
    <t>https://permalinkbnd.bnportugal.gov.pt/viewer/278400/?offset=#page=117 vs. 109&amp;viewer=picture&amp;o=info&amp;n=0&amp;q=</t>
  </si>
  <si>
    <t>https://permalinkbnd.bnportugal.gov.pt/viewer/278400/?offset=#page=121&amp;viewer=picture&amp;o=info&amp;n=0&amp;q=</t>
  </si>
  <si>
    <t>https://permalinkbnd.bnportugal.gov.pt/viewer/278400/?offset=#page=153 vs. 135&amp;viewer=picture&amp;o=info&amp;n=0&amp;q=</t>
  </si>
  <si>
    <t>https://permalinkbnd.bnportugal.gov.pt/viewer/278400/?offset=#page=145&amp;viewer=picture&amp;o=info&amp;n=0&amp;q=</t>
  </si>
  <si>
    <t>https://permalinkbnd.bnportugal.gov.pt/viewer/278400/?offset=#page=165&amp;viewer=picture&amp;o=info&amp;n=0&amp;q=</t>
  </si>
  <si>
    <t>https://permalinkbnd.bnportugal.gov.pt/viewer/278662/?offset=#page=5&amp;viewer=picture&amp;o=info&amp;n=0&amp;q=</t>
  </si>
  <si>
    <t>https://permalinkbnd.bnportugal.gov.pt/viewer/278662/?offset=#page=8&amp;viewer=picture&amp;o=info&amp;n=0&amp;q=</t>
  </si>
  <si>
    <t>https://permalinkbnd.bnportugal.gov.pt/viewer/278491/?offset=#page=5&amp;viewer=picture&amp;o=info&amp;n=0&amp;q=</t>
  </si>
  <si>
    <t>https://permalinkbnd.bnportugal.gov.pt/viewer/278670/?offset=#page=4&amp;viewer=picture&amp;o=info&amp;n=0&amp;q=</t>
  </si>
  <si>
    <t>https://permalinkbnd.bnportugal.gov.pt/viewer/279637/?offset=#page=3&amp;viewer=picture&amp;o=info&amp;n=0&amp;q=</t>
  </si>
  <si>
    <t>https://permalinkbnd.bnportugal.gov.pt/viewer/279637/?offset=#page=5&amp;viewer=picture&amp;o=info&amp;n=0&amp;q=</t>
  </si>
  <si>
    <t>https://permalinkbnd.bnportugal.gov.pt/viewer/279637/?offset=#page=8&amp;viewer=picture&amp;o=info&amp;n=0&amp;q=</t>
  </si>
  <si>
    <t>https://permalinkbnd.bnportugal.gov.pt/viewer/279637/?offset=#page=10&amp;viewer=picture&amp;o=info&amp;n=0&amp;q=</t>
  </si>
  <si>
    <t>https://permalinkbnd.bnportugal.gov.pt/viewer/1880/?offset=#page=12&amp;viewer=picture&amp;o=info&amp;n=0&amp;q=</t>
  </si>
  <si>
    <t>https://permalinkbnd.bnportugal.gov.pt/viewer/278595/?offset=#page=10&amp;viewer=picture&amp;o=info&amp;n=0&amp;q=</t>
  </si>
  <si>
    <t>https://permalinkbnd.bnportugal.gov.pt/viewer/278597/?offset=#page=8&amp;viewer=picture&amp;o=info&amp;n=0&amp;q=</t>
  </si>
  <si>
    <t>https://permalinkbnd.bnportugal.gov.pt/viewer/278668/?offset=#page=1&amp;viewer=picture&amp;o=info&amp;n=0&amp;q=</t>
  </si>
  <si>
    <t>https://permalinkbnd.bnportugal.gov.pt/viewer/278663/?offset=#page=5&amp;viewer=picture&amp;o=info&amp;n=0&amp;q=</t>
  </si>
  <si>
    <t>https://permalinkbnd.bnportugal.gov.pt/viewer/278795/?offset=#page=8&amp;viewer=picture&amp;o=info&amp;n=0&amp;q=</t>
  </si>
  <si>
    <t>https://permalinkbnd.bnportugal.gov.pt/viewer/278795/?offset=#page=59&amp;viewer=picture&amp;o=info&amp;n=0&amp;q=</t>
  </si>
  <si>
    <t>https://permalinkbnd.bnportugal.gov.pt/viewer/278795/?offset=#page=97&amp;viewer=picture&amp;o=info&amp;n=0&amp;q=</t>
  </si>
  <si>
    <t>https://permalinkbnd.bnportugal.gov.pt/viewer/278795/?offset=#page=139&amp;viewer=picture&amp;o=info&amp;n=0&amp;q=</t>
  </si>
  <si>
    <t>https://permalinkbnd.bnportugal.gov.pt/viewer/278795/?offset=#page=191&amp;viewer=picture&amp;o=info&amp;n=0&amp;q=</t>
  </si>
  <si>
    <t>https://permalinkbnd.bnportugal.gov.pt/viewer/278795/?offset=#page=229&amp;viewer=picture&amp;o=info&amp;n=0&amp;q=</t>
  </si>
  <si>
    <t>https://permalinkbnd.bnportugal.gov.pt/viewer/278795/?offset=#page=265&amp;viewer=picture&amp;o=info&amp;n=0&amp;q=</t>
  </si>
  <si>
    <t>https://permalinkbnd.bnportugal.gov.pt/viewer/278795/?offset=#page=301&amp;viewer=picture&amp;o=info&amp;n=0&amp;q=</t>
  </si>
  <si>
    <t>https://permalinkbnd.bnportugal.gov.pt/viewer/278795/?offset=#page=333&amp;viewer=picture&amp;o=info&amp;n=0&amp;q=</t>
  </si>
  <si>
    <t>https://permalinkbnd.bnportugal.gov.pt/viewer/278795/?offset=#page=369&amp;viewer=picture&amp;o=info&amp;n=0&amp;q=</t>
  </si>
  <si>
    <t>https://permalinkbnd.bnportugal.gov.pt/viewer/278795/?offset=#page=405&amp;viewer=picture&amp;o=info&amp;n=0&amp;q=</t>
  </si>
  <si>
    <t>https://permalinkbnd.bnportugal.gov.pt/viewer/279624/?offset=#page=22&amp;viewer=picture&amp;o=info&amp;n=0&amp;q=</t>
  </si>
  <si>
    <t>https://permalinkbnd.bnportugal.gov.pt/viewer/279624/?offset=#page=24&amp;viewer=picture&amp;o=info&amp;n=0&amp;q=</t>
  </si>
  <si>
    <t>https://permalinkbnd.bnportugal.gov.pt/viewer/279100/?offset=#page=5&amp;viewer=picture&amp;o=info&amp;n=0&amp;q=</t>
  </si>
  <si>
    <t>https://permalinkbnd.bnportugal.gov.pt/viewer/279100/?offset=#page=7&amp;viewer=picture&amp;o=info&amp;n=0&amp;q=</t>
  </si>
  <si>
    <t>https://permalinkbnd.bnportugal.gov.pt/viewer/278495/?offset=#page=9&amp;viewer=picture&amp;o=info&amp;n=0&amp;q=</t>
  </si>
  <si>
    <t>https://permalinkbnd.bnportugal.gov.pt/viewer/256552/?offset=#page=1&amp;viewer=picture&amp;o=info&amp;n=0&amp;q=</t>
  </si>
  <si>
    <t>https://permalinkbnd.bnportugal.gov.pt/viewer/256552/?offset=#page=9&amp;viewer=picture&amp;o=info&amp;n=0&amp;q=</t>
  </si>
  <si>
    <t>https://permalinkbnd.bnportugal.gov.pt/viewer/256552/?offset=#page=14&amp;viewer=picture&amp;o=info&amp;n=0&amp;q=</t>
  </si>
  <si>
    <t>https://permalinkbnd.bnportugal.gov.pt/viewer/256552/?offset=#page=19&amp;viewer=picture&amp;o=info&amp;n=0&amp;q=</t>
  </si>
  <si>
    <t>https://permalinkbnd.bnportugal.gov.pt/viewer/256552/?offset=#page=20&amp;viewer=picture&amp;o=info&amp;n=0&amp;q=</t>
  </si>
  <si>
    <t>https://permalinkbnd.bnportugal.gov.pt/viewer/256552/?offset=#page=39&amp;viewer=picture&amp;o=info&amp;n=0&amp;q=</t>
  </si>
  <si>
    <t>https://permalinkbnd.bnportugal.gov.pt/viewer/256552/?offset=#page=42&amp;viewer=picture&amp;o=info&amp;n=0&amp;q=</t>
  </si>
  <si>
    <t>https://permalinkbnd.bnportugal.gov.pt/viewer/256552/?offset=#page=45&amp;viewer=picture&amp;o=info&amp;n=0&amp;q=</t>
  </si>
  <si>
    <t>https://permalinkbnd.bnportugal.gov.pt/viewer/256552/?offset=#page=48&amp;viewer=picture&amp;o=info&amp;n=0&amp;q=</t>
  </si>
  <si>
    <t>https://permalinkbnd.bnportugal.gov.pt/viewer/256552/?offset=#page=59&amp;viewer=picture&amp;o=info&amp;n=0&amp;q=</t>
  </si>
  <si>
    <t>https://permalinkbnd.bnportugal.gov.pt/viewer/256552/?offset=#page=66&amp;viewer=picture&amp;o=info&amp;n=0&amp;q=</t>
  </si>
  <si>
    <t>https://permalinkbnd.bnportugal.gov.pt/viewer/14657/?offset=#page=9&amp;viewer=picture&amp;o=info&amp;n=0&amp;q=</t>
  </si>
  <si>
    <t>https://permalinkbnd.bnportugal.gov.pt/viewer/3/?offset=#page=2&amp;viewer=picture&amp;o=info&amp;n=0&amp;q=</t>
  </si>
  <si>
    <t>https://permalinkbnd.bnportugal.gov.pt/viewer/3/?offset=#page=3&amp;viewer=picture&amp;o=info&amp;n=0&amp;q=</t>
  </si>
  <si>
    <t>https://permalinkbnd.bnportugal.gov.pt/viewer/3/?offset=#page=4&amp;viewer=picture&amp;o=info&amp;n=0&amp;q=</t>
  </si>
  <si>
    <t>https://permalinkbnd.bnportugal.gov.pt/viewer/85826/?offset=#page=1&amp;viewer=picture&amp;o=info&amp;n=0&amp;q=</t>
  </si>
  <si>
    <t>https://permalinkbnd.bnportugal.gov.pt/viewer/14597/?offset=#page=10&amp;viewer=picture&amp;o=info&amp;n=0&amp;q=</t>
  </si>
  <si>
    <t>https://permalinkbnd.bnportugal.gov.pt/viewer/255741/?offset=#page=75&amp;viewer=picture&amp;o=info&amp;n=0&amp;q=</t>
  </si>
  <si>
    <t>https://permalinkbnd.bnportugal.gov.pt/viewer/255741/?offset=#page=76&amp;viewer=picture&amp;o=info&amp;n=0&amp;q=</t>
  </si>
  <si>
    <t>https://permalinkbnd.bnportugal.gov.pt/viewer/255741/?offset=#page=77&amp;viewer=picture&amp;o=info&amp;n=0&amp;q=</t>
  </si>
  <si>
    <t>https://permalinkbnd.bnportugal.gov.pt/viewer/255741/?offset=#page=78&amp;viewer=picture&amp;o=info&amp;n=0&amp;q=</t>
  </si>
  <si>
    <t>https://permalinkbnd.bnportugal.gov.pt/viewer/14651/?offset=#page=133&amp;viewer=picture&amp;o=info&amp;n=0&amp;q=</t>
  </si>
  <si>
    <t>https://permalinkbnd.bnportugal.gov.pt/viewer/14651/?offset=#page=257&amp;viewer=picture&amp;o=info&amp;n=0&amp;q=</t>
  </si>
  <si>
    <t>https://permalinkbnd.bnportugal.gov.pt/viewer/14666/?offset=#page=136&amp;viewer=picture&amp;o=info&amp;n=0&amp;q=</t>
  </si>
  <si>
    <t>https://permalinkbnd.bnportugal.gov.pt/viewer/86824/?offset=#page=1&amp;viewer=picture&amp;o=info&amp;n=0&amp;q=</t>
  </si>
  <si>
    <t>https://permalinkbnd.bnportugal.gov.pt/viewer/86824/?offset=#page=21&amp;viewer=picture&amp;o=info&amp;n=0&amp;q=</t>
  </si>
  <si>
    <t>https://permalinkbnd.bnportugal.gov.pt/viewer/86824/?offset=#page=39&amp;viewer=picture&amp;o=info&amp;n=0&amp;q=</t>
  </si>
  <si>
    <t>https://permalinkbnd.bnportugal.gov.pt/viewer/86824/?offset=#page=57&amp;viewer=picture&amp;o=info&amp;n=0&amp;q=</t>
  </si>
  <si>
    <t>https://permalinkbnd.bnportugal.gov.pt/viewer/14628/?offset=#page=7&amp;viewer=picture&amp;o=info&amp;n=0&amp;q=</t>
  </si>
  <si>
    <t>https://permalinkbnd.bnportugal.gov.pt/viewer/14628/?offset=#page=10&amp;viewer=picture&amp;o=info&amp;n=0&amp;q=</t>
  </si>
  <si>
    <t>https://permalinkbnd.bnportugal.gov.pt/viewer/14628/?offset=#page=19&amp;viewer=picture&amp;o=info&amp;n=0&amp;q=</t>
  </si>
  <si>
    <t>https://permalinkbnd.bnportugal.gov.pt/viewer/14628/?offset=#page=75&amp;viewer=picture&amp;o=info&amp;n=0&amp;q=</t>
  </si>
  <si>
    <t>https://permalinkbnd.bnportugal.gov.pt/viewer/14628/?offset=#page=79&amp;viewer=picture&amp;o=info&amp;n=0&amp;q=</t>
  </si>
  <si>
    <t>https://permalinkbnd.bnportugal.gov.pt/viewer/14628/?offset=#page=90&amp;viewer=picture&amp;o=info&amp;n=0&amp;q=</t>
  </si>
  <si>
    <t>https://permalinkbnd.bnportugal.gov.pt/viewer/14628/?offset=#page=110&amp;viewer=picture&amp;o=info&amp;n=0&amp;q=</t>
  </si>
  <si>
    <t>https://permalinkbnd.bnportugal.gov.pt/viewer/14628/?offset=#page=118&amp;viewer=picture&amp;o=info&amp;n=0&amp;q=</t>
  </si>
  <si>
    <t>https://permalinkbnd.bnportugal.gov.pt/viewer/14628/?offset=#page=120&amp;viewer=picture&amp;o=info&amp;n=0&amp;q=</t>
  </si>
  <si>
    <t>https://permalinkbnd.bnportugal.gov.pt/viewer/14628/?offset=#page=134&amp;viewer=picture&amp;o=info&amp;n=0&amp;q=</t>
  </si>
  <si>
    <t>https://permalinkbnd.bnportugal.gov.pt/viewer/14628/?offset=#page=156&amp;viewer=picture&amp;o=info&amp;n=0&amp;q=</t>
  </si>
  <si>
    <t>https://permalinkbnd.bnportugal.gov.pt/viewer/14628/?offset=#page=162&amp;viewer=picture&amp;o=info&amp;n=0&amp;q=</t>
  </si>
  <si>
    <t>https://permalinkbnd.bnportugal.gov.pt/viewer/14628/?offset=#page=164&amp;viewer=picture&amp;o=info&amp;n=0&amp;q=</t>
  </si>
  <si>
    <t>https://permalinkbnd.bnportugal.gov.pt/viewer/14628/?offset=#page=205&amp;viewer=picture&amp;o=info&amp;n=0&amp;q=</t>
  </si>
  <si>
    <t>https://permalinkbnd.bnportugal.gov.pt/viewer/14628/?offset=#page=215&amp;viewer=picture&amp;o=info&amp;n=0&amp;q=</t>
  </si>
  <si>
    <t>https://permalinkbnd.bnportugal.gov.pt/viewer/14628/?offset=#page=217&amp;viewer=picture&amp;o=info&amp;n=0&amp;q=</t>
  </si>
  <si>
    <t>https://permalinkbnd.bnportugal.gov.pt/viewer/14628/?offset=#page=242&amp;viewer=picture&amp;o=info&amp;n=0&amp;q=</t>
  </si>
  <si>
    <t>https://permalinkbnd.bnportugal.gov.pt/viewer/14628/?offset=#page=252&amp;viewer=picture&amp;o=info&amp;n=0&amp;q=</t>
  </si>
  <si>
    <t>https://permalinkbnd.bnportugal.gov.pt/viewer/14628/?offset=#page=258&amp;viewer=picture&amp;o=info&amp;n=0&amp;q=</t>
  </si>
  <si>
    <t>https://permalinkbnd.bnportugal.gov.pt/viewer/14628/?offset=#page=260&amp;viewer=picture&amp;o=info&amp;n=0&amp;q=</t>
  </si>
  <si>
    <t>https://permalinkbnd.bnportugal.gov.pt/viewer/14628/?offset=#page=277&amp;viewer=picture&amp;o=info&amp;n=0&amp;q=</t>
  </si>
  <si>
    <t>https://permalinkbnd.bnportugal.gov.pt/viewer/14628/?offset=#page=291&amp;viewer=picture&amp;o=info&amp;n=0&amp;q=</t>
  </si>
  <si>
    <t>https://permalinkbnd.bnportugal.gov.pt/viewer/14628/?offset=#page=299&amp;viewer=picture&amp;o=info&amp;n=0&amp;q=</t>
  </si>
  <si>
    <t>https://permalinkbnd.bnportugal.gov.pt/viewer/14628/?offset=#page=301&amp;viewer=picture&amp;o=info&amp;n=0&amp;q=</t>
  </si>
  <si>
    <t>https://permalinkbnd.bnportugal.gov.pt/viewer/14628/?offset=#page=311&amp;viewer=picture&amp;o=info&amp;n=0&amp;q=</t>
  </si>
  <si>
    <t>https://permalinkbnd.bnportugal.gov.pt/viewer/14628/?offset=#page=334&amp;viewer=picture&amp;o=info&amp;n=0&amp;q=</t>
  </si>
  <si>
    <t>https://permalinkbnd.bnportugal.gov.pt/viewer/14628/?offset=#page=340&amp;viewer=picture&amp;o=info&amp;n=0&amp;q=</t>
  </si>
  <si>
    <t>https://permalinkbnd.bnportugal.gov.pt/viewer/14628/?offset=#page=342&amp;viewer=picture&amp;o=info&amp;n=0&amp;q=</t>
  </si>
  <si>
    <t>https://permalinkbnd.bnportugal.gov.pt/viewer/14628/?offset=#page=357&amp;viewer=picture&amp;o=info&amp;n=0&amp;q=</t>
  </si>
  <si>
    <t>https://permalinkbnd.bnportugal.gov.pt/viewer/14628/?offset=#page=371&amp;viewer=picture&amp;o=info&amp;n=0&amp;q=</t>
  </si>
  <si>
    <t>https://permalinkbnd.bnportugal.gov.pt/viewer/14628/?offset=#page=377&amp;viewer=picture&amp;o=info&amp;n=0&amp;q=</t>
  </si>
  <si>
    <t>https://permalinkbnd.bnportugal.gov.pt/viewer/14628/?offset=#page=379&amp;viewer=picture&amp;o=info&amp;n=0&amp;q=</t>
  </si>
  <si>
    <t>https://permalinkbnd.bnportugal.gov.pt/viewer/14628/?offset=#page=381&amp;viewer=picture&amp;o=info&amp;n=0&amp;q=</t>
  </si>
  <si>
    <t>https://permalinkbnd.bnportugal.gov.pt/viewer/14628/?offset=#page=402&amp;viewer=picture&amp;o=info&amp;n=0&amp;q=</t>
  </si>
  <si>
    <t>https://permalinkbnd.bnportugal.gov.pt/viewer/14628/?offset=#page=418&amp;viewer=picture&amp;o=info&amp;n=0&amp;q=</t>
  </si>
  <si>
    <t>https://permalinkbnd.bnportugal.gov.pt/viewer/14628/?offset=#page=420&amp;viewer=picture&amp;o=info&amp;n=0&amp;q=</t>
  </si>
  <si>
    <t>https://permalinkbnd.bnportugal.gov.pt/viewer/14628/?offset=#page=436&amp;viewer=picture&amp;o=info&amp;n=0&amp;q=</t>
  </si>
  <si>
    <t>https://permalinkbnd.bnportugal.gov.pt/viewer/14628/?offset=#page=444&amp;viewer=picture&amp;o=info&amp;n=0&amp;q=</t>
  </si>
  <si>
    <t>https://permalinkbnd.bnportugal.gov.pt/viewer/14628/?offset=#page=453&amp;viewer=picture&amp;o=info&amp;n=0&amp;q=</t>
  </si>
  <si>
    <t>https://permalinkbnd.bnportugal.gov.pt/viewer/14628/?offset=#page=459&amp;viewer=picture&amp;o=info&amp;n=0&amp;q=</t>
  </si>
  <si>
    <t>https://permalinkbnd.bnportugal.gov.pt/viewer/14628/?offset=#page=461&amp;viewer=picture&amp;o=info&amp;n=0&amp;q=</t>
  </si>
  <si>
    <t>https://permalinkbnd.bnportugal.gov.pt/viewer/14628/?offset=#page=463&amp;viewer=picture&amp;o=info&amp;n=0&amp;q=</t>
  </si>
  <si>
    <t>https://permalinkbnd.bnportugal.gov.pt/viewer/14628/?offset=#page=512&amp;viewer=picture&amp;o=info&amp;n=0&amp;q=</t>
  </si>
  <si>
    <t>https://permalinkbnd.bnportugal.gov.pt/viewer/14598/?offset=#page=10&amp;viewer=picture&amp;o=info&amp;n=0&amp;q=</t>
  </si>
  <si>
    <t>https://permalinkbnd.bnportugal.gov.pt/viewer/14598/?offset=#page=69&amp;viewer=picture&amp;o=info&amp;n=0&amp;q=</t>
  </si>
  <si>
    <t>https://permalinkbnd.bnportugal.gov.pt/viewer/14598/?offset=#page=156&amp;viewer=picture&amp;o=info&amp;n=0&amp;q=</t>
  </si>
  <si>
    <t>https://permalinkbnd.bnportugal.gov.pt/viewer/14598/?offset=#page=196&amp;viewer=picture&amp;o=info&amp;n=0&amp;q=</t>
  </si>
  <si>
    <t>https://permalinkbnd.bnportugal.gov.pt/viewer/14598/?offset=#page=238&amp;viewer=picture&amp;o=info&amp;n=0&amp;q=</t>
  </si>
  <si>
    <t>https://permalinkbnd.bnportugal.gov.pt/viewer/14598/?offset=#page=290&amp;viewer=picture&amp;o=info&amp;n=0&amp;q=</t>
  </si>
  <si>
    <t>https://permalinkbnd.bnportugal.gov.pt/viewer/14598/?offset=#page=330&amp;viewer=picture&amp;o=info&amp;n=0&amp;q=</t>
  </si>
  <si>
    <t>https://permalinkbnd.bnportugal.gov.pt/viewer/14598/?offset=#page=368&amp;viewer=picture&amp;o=info&amp;n=0&amp;q=</t>
  </si>
  <si>
    <t>https://permalinkbnd.bnportugal.gov.pt/viewer/14598/?offset=#page=406&amp;viewer=picture&amp;o=info&amp;n=0&amp;q=</t>
  </si>
  <si>
    <t>https://permalinkbnd.bnportugal.gov.pt/viewer/14598/?offset=#page=440&amp;viewer=picture&amp;o=info&amp;n=0&amp;q=</t>
  </si>
  <si>
    <t>https://permalinkbnd.bnportugal.gov.pt/viewer/14598/?offset=#page=478&amp;viewer=picture&amp;o=info&amp;n=0&amp;q=</t>
  </si>
  <si>
    <t>https://permalinkbnd.bnportugal.gov.pt/viewer/14598/?offset=#page=514&amp;viewer=picture&amp;o=info&amp;n=0&amp;q=</t>
  </si>
  <si>
    <t>https://permalinkbnd.bnportugal.gov.pt/viewer/14581/?offset=#page=10&amp;viewer=picture&amp;o=info&amp;n=0&amp;q=</t>
  </si>
  <si>
    <t>https://permalinkbnd.bnportugal.gov.pt/viewer/14581/?offset=#page=49&amp;viewer=picture&amp;o=info&amp;n=0&amp;q=</t>
  </si>
  <si>
    <t>https://permalinkbnd.bnportugal.gov.pt/viewer/14581/?offset=#page=83&amp;viewer=picture&amp;o=info&amp;n=0&amp;q=</t>
  </si>
  <si>
    <t>https://permalinkbnd.bnportugal.gov.pt/viewer/14581/?offset=#page=119&amp;viewer=picture&amp;o=info&amp;n=0&amp;q=</t>
  </si>
  <si>
    <t>https://permalinkbnd.bnportugal.gov.pt/viewer/14581/?offset=#page=161&amp;viewer=picture&amp;o=info&amp;n=0&amp;q=</t>
  </si>
  <si>
    <t>https://permalinkbnd.bnportugal.gov.pt/viewer/14581/?offset=#page=195&amp;viewer=picture&amp;o=info&amp;n=0&amp;q=</t>
  </si>
  <si>
    <t>https://permalinkbnd.bnportugal.gov.pt/viewer/14581/?offset=#page=227&amp;viewer=picture&amp;o=info&amp;n=0&amp;q=</t>
  </si>
  <si>
    <t>https://permalinkbnd.bnportugal.gov.pt/viewer/14581/?offset=#page=259&amp;viewer=picture&amp;o=info&amp;n=0&amp;q=</t>
  </si>
  <si>
    <t>https://permalinkbnd.bnportugal.gov.pt/viewer/14581/?offset=#page=287&amp;viewer=picture&amp;o=info&amp;n=0&amp;q=</t>
  </si>
  <si>
    <t>https://permalinkbnd.bnportugal.gov.pt/viewer/14581/?offset=#page=319&amp;viewer=picture&amp;o=info&amp;n=0&amp;q=</t>
  </si>
  <si>
    <t>https://permalinkbnd.bnportugal.gov.pt/viewer/14581/?offset=#page=349&amp;viewer=picture&amp;o=info&amp;n=0&amp;q=</t>
  </si>
  <si>
    <t>https://permalinkbnd.bnportugal.gov.pt/viewer/86181/?offset=#page=1&amp;viewer=picture&amp;o=info&amp;n=0&amp;q=</t>
  </si>
  <si>
    <t>https://permalinkbnd.bnportugal.gov.pt/viewer/86181/?offset=#page=3&amp;viewer=picture&amp;o=info&amp;n=0&amp;q=</t>
  </si>
  <si>
    <t>https://permalinkbnd.bnportugal.gov.pt/viewer/86181/?offset=#page=7&amp;viewer=picture&amp;o=info&amp;n=0&amp;q=</t>
  </si>
  <si>
    <t>https://permalinkbnd.bnportugal.gov.pt/viewer/14678/?offset=#page=13&amp;viewer=picture&amp;o=info&amp;n=0&amp;q=</t>
  </si>
  <si>
    <t>https://permalinkbnd.bnportugal.gov.pt/viewer/86483/?offset=#page=1&amp;viewer=picture&amp;o=info&amp;n=0&amp;q=</t>
  </si>
  <si>
    <t>https://permalinkbnd.bnportugal.gov.pt/viewer/35163/?offset=#page=1&amp;viewer=picture&amp;o=info&amp;n=0&amp;q=</t>
  </si>
  <si>
    <t>https://permalinkbnd.bnportugal.gov.pt/viewer/14644/?offset=#page=5&amp;viewer=picture&amp;o=info&amp;n=0&amp;q=</t>
  </si>
  <si>
    <t>https://permalinkbnd.bnportugal.gov.pt/viewer/14644/?offset=#page=2&amp;viewer=picture&amp;o=info&amp;n=0&amp;q=</t>
  </si>
  <si>
    <t>https://permalinkbnd.bnportugal.gov.pt/viewer/14613/?offset=#page=8&amp;viewer=picture&amp;o=info&amp;n=0&amp;q=</t>
  </si>
  <si>
    <t>https://permalinkbnd.bnportugal.gov.pt/viewer/14613/?offset=#page=9&amp;viewer=picture&amp;o=info&amp;n=0&amp;q=</t>
  </si>
  <si>
    <t>https://permalinkbnd.bnportugal.gov.pt/viewer/14613/?offset=#page=39&amp;viewer=picture&amp;o=info&amp;n=0&amp;q=</t>
  </si>
  <si>
    <t>https://permalinkbnd.bnportugal.gov.pt/viewer/7634/?offset=#page=120&amp;viewer=picture&amp;o=info&amp;n=0&amp;q=</t>
  </si>
  <si>
    <t>https://permalinkbnd.bnportugal.gov.pt/viewer/1880/?offset=#page=2&amp;viewer=picture&amp;o=info&amp;n=0&amp;q=</t>
  </si>
  <si>
    <t>https://permalinkbnd.bnportugal.gov.pt/viewer/1880/?offset=#page=3&amp;viewer=picture&amp;o=info&amp;n=0&amp;q=</t>
  </si>
  <si>
    <t>https://permalinkbnd.bnportugal.gov.pt/viewer/275033/?offset=#page=1&amp;viewer=picture&amp;o=info&amp;n=0&amp;q=</t>
  </si>
  <si>
    <t>https://permalinkbnd.bnportugal.gov.pt/viewer/275038/?offset=#page=1&amp;viewer=picture&amp;o=info&amp;n=0&amp;q=</t>
  </si>
  <si>
    <t>https://permalinkbnd.bnportugal.gov.pt/viewer/273677/?offset=#page=1&amp;viewer=picture&amp;o=info&amp;n=0&amp;q=</t>
  </si>
  <si>
    <t>https://permalinkbnd.bnportugal.gov.pt/viewer/273687/?offset=#page=1&amp;viewer=picture&amp;o=info&amp;n=0&amp;q=</t>
  </si>
  <si>
    <t>https://permalinkbnd.bnportugal.gov.pt/viewer/273688/?offset=#page=1&amp;viewer=picture&amp;o=info&amp;n=0&amp;q=</t>
  </si>
  <si>
    <t>https://permalinkbnd.bnportugal.gov.pt/viewer/277330/?offset=#page=5&amp;viewer=picture&amp;o=info&amp;n=0&amp;q=</t>
  </si>
  <si>
    <t>https://permalinkbnd.bnportugal.gov.pt/viewer/277330/?offset=#page=7&amp;viewer=picture&amp;o=info&amp;n=0&amp;q=</t>
  </si>
  <si>
    <t>https://permalinkbnd.bnportugal.gov.pt/viewer/277330/?offset=#page=8&amp;viewer=picture&amp;o=info&amp;n=0&amp;q=</t>
  </si>
  <si>
    <t>https://permalinkbnd.bnportugal.gov.pt/viewer/277330/?offset=#page=9&amp;viewer=picture&amp;o=info&amp;n=0&amp;q=</t>
  </si>
  <si>
    <t>https://permalinkbnd.bnportugal.gov.pt/viewer/277330/?offset=#page=10&amp;viewer=picture&amp;o=info&amp;n=0&amp;q=</t>
  </si>
  <si>
    <t>https://permalinkbnd.bnportugal.gov.pt/viewer/277330/?offset=#page=11&amp;viewer=picture&amp;o=info&amp;n=0&amp;q=</t>
  </si>
  <si>
    <t>https://permalinkbnd.bnportugal.gov.pt/viewer/277332/?offset=#page=5&amp;viewer=picture&amp;o=info&amp;n=0&amp;q=</t>
  </si>
  <si>
    <t>https://permalinkbnd.bnportugal.gov.pt/viewer/277834/?offset=#page=11&amp;viewer=picture&amp;o=info&amp;n=0&amp;q=</t>
  </si>
  <si>
    <t>Visita do Rei de Melinde a Gama</t>
  </si>
  <si>
    <t>Episódios - Visita do Rei de Melinde a Gama|1808</t>
  </si>
  <si>
    <t>Episódios - Desembarque de Gama em Calecut|1814</t>
  </si>
  <si>
    <t>Episódios - Assassínio de Inês de Castro|1811</t>
  </si>
  <si>
    <t>Episódios - Sonho d'El-Rei D. Manuel, no qual lhe aparecem os rios Indo e Ganges|1810</t>
  </si>
  <si>
    <t>Cantos - Canto V|1795</t>
  </si>
  <si>
    <t>Cantos - Canto I|1791</t>
  </si>
  <si>
    <t>Cantos - Canto II|1792</t>
  </si>
  <si>
    <t>Episódios - Concílio "Conselho dos Deuses"|1809</t>
  </si>
  <si>
    <t>Episódios - Vénus aplaca os Ventos e a tormenta|1813</t>
  </si>
  <si>
    <t>Cantos - Canto III|1793</t>
  </si>
  <si>
    <t>Cantos - Canto VI|1796</t>
  </si>
  <si>
    <t>Retratos - Vasco da Gama|1803</t>
  </si>
  <si>
    <t>Retratos - |1801</t>
  </si>
  <si>
    <t>Retratos - António José Gomes Monteiro|1805</t>
  </si>
  <si>
    <t>Retratos - Camões|1802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</si>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</sst>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8"/>
      <name val="Aptos Narrow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color rgb="FFFFFF00"/>
      <name val="Aptos Narrow"/>
      <family val="2"/>
      <scheme val="minor"/>
    </font>
    <font>
      <u/>
      <sz val="11"/>
      <color rgb="FFFFFF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6">
    <xf numFmtId="0" fontId="0" fillId="0" borderId="0" xfId="0"/>
    <xf numFmtId="0" fontId="3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1" applyFill="1" applyBorder="1" applyAlignment="1">
      <alignment wrapText="1"/>
    </xf>
    <xf numFmtId="0" fontId="0" fillId="2" borderId="1" xfId="0" applyFill="1" applyBorder="1" applyAlignment="1">
      <alignment horizontal="left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wrapText="1"/>
    </xf>
    <xf numFmtId="0" fontId="0" fillId="2" borderId="0" xfId="0" applyFill="1" applyAlignment="1">
      <alignment horizontal="left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wrapText="1"/>
    </xf>
    <xf numFmtId="0" fontId="2" fillId="3" borderId="1" xfId="1" applyFill="1" applyBorder="1" applyAlignment="1">
      <alignment wrapText="1"/>
    </xf>
    <xf numFmtId="0" fontId="0" fillId="3" borderId="1" xfId="0" applyFill="1" applyBorder="1" applyAlignment="1">
      <alignment horizontal="left" wrapText="1"/>
    </xf>
    <xf numFmtId="0" fontId="0" fillId="3" borderId="0" xfId="0" applyFill="1"/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wrapText="1"/>
    </xf>
    <xf numFmtId="0" fontId="2" fillId="4" borderId="1" xfId="1" applyFill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0" fillId="4" borderId="0" xfId="0" applyFill="1"/>
    <xf numFmtId="0" fontId="5" fillId="4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 wrapText="1"/>
    </xf>
    <xf numFmtId="0" fontId="2" fillId="5" borderId="1" xfId="1" applyFill="1" applyBorder="1" applyAlignment="1">
      <alignment wrapText="1"/>
    </xf>
    <xf numFmtId="0" fontId="0" fillId="5" borderId="1" xfId="0" applyFill="1" applyBorder="1" applyAlignment="1">
      <alignment horizontal="left" wrapText="1"/>
    </xf>
    <xf numFmtId="0" fontId="0" fillId="5" borderId="0" xfId="0" applyFill="1"/>
    <xf numFmtId="0" fontId="5" fillId="4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6" fillId="0" borderId="1" xfId="0" applyFont="1" applyBorder="1"/>
    <xf numFmtId="0" fontId="7" fillId="2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8" fillId="2" borderId="1" xfId="1" applyFont="1" applyFill="1" applyBorder="1" applyAlignment="1">
      <alignment wrapText="1"/>
    </xf>
    <xf numFmtId="0" fontId="7" fillId="2" borderId="1" xfId="0" applyFont="1" applyFill="1" applyBorder="1" applyAlignment="1">
      <alignment horizontal="left" wrapText="1"/>
    </xf>
    <xf numFmtId="0" fontId="7" fillId="2" borderId="0" xfId="0" applyFont="1" applyFill="1"/>
    <xf numFmtId="0" fontId="4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wrapText="1"/>
    </xf>
    <xf numFmtId="0" fontId="10" fillId="2" borderId="1" xfId="1" applyFont="1" applyFill="1" applyBorder="1" applyAlignment="1">
      <alignment wrapText="1"/>
    </xf>
    <xf numFmtId="0" fontId="9" fillId="2" borderId="1" xfId="0" applyFont="1" applyFill="1" applyBorder="1" applyAlignment="1">
      <alignment horizontal="left" wrapText="1"/>
    </xf>
    <xf numFmtId="0" fontId="2" fillId="5" borderId="1" xfId="1" applyFill="1" applyBorder="1" applyAlignment="1">
      <alignment horizontal="center" vertical="center" wrapText="1"/>
    </xf>
    <xf numFmtId="0" fontId="6" fillId="0" borderId="0" xfId="0" applyFont="1"/>
    <xf numFmtId="0" fontId="7" fillId="2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0" fontId="2" fillId="2" borderId="0" xfId="1" applyFill="1" applyBorder="1" applyAlignment="1">
      <alignment wrapText="1"/>
    </xf>
    <xf numFmtId="0" fontId="0" fillId="2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3" borderId="0" xfId="0" applyFill="1" applyAlignment="1">
      <alignment wrapText="1"/>
    </xf>
    <xf numFmtId="0" fontId="5" fillId="4" borderId="0" xfId="0" applyFont="1" applyFill="1" applyAlignment="1">
      <alignment horizontal="right" wrapText="1"/>
    </xf>
    <xf numFmtId="0" fontId="0" fillId="4" borderId="0" xfId="0" applyFill="1" applyAlignment="1">
      <alignment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</cellXfs>
  <cellStyles count="3">
    <cellStyle name="Hiperligação" xfId="1" builtinId="8"/>
    <cellStyle name="Hyperlink" xfId="2" xr:uid="{2B930E37-EBEE-4430-9619-FAA3233D258B}"/>
    <cellStyle name="Normal" xfId="0" builtinId="0"/>
  </cellStyles>
  <dxfs count="8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F13B3229-94F7-41DA-8BC0-BF0154CC2478}" autoFormatId="16" applyNumberFormats="0" applyBorderFormats="0" applyFontFormats="0" applyPatternFormats="0" applyAlignmentFormats="0" applyWidthHeightFormats="0">
  <queryTableRefresh nextId="32">
    <queryTableFields count="24">
      <queryTableField id="1" name="ncb" tableColumnId="1"/>
      <queryTableField id="2" name="purl" tableColumnId="2"/>
      <queryTableField id="3" name="capa" tableColumnId="3"/>
      <queryTableField id="4" name="tipo de material" tableColumnId="4"/>
      <queryTableField id="5" name="língua" tableColumnId="5"/>
      <queryTableField id="6" name="língua da obra original" tableColumnId="6"/>
      <queryTableField id="7" name="título" tableColumnId="7"/>
      <queryTableField id="8" name="subtítulo" tableColumnId="8"/>
      <queryTableField id="9" name="título original" tableColumnId="9"/>
      <queryTableField id="10" name="edição" tableColumnId="10"/>
      <queryTableField id="11" name="publicação" tableColumnId="11"/>
      <queryTableField id="12" name="data da publicação" tableColumnId="12"/>
      <queryTableField id="13" name="data da publicação2" tableColumnId="13"/>
      <queryTableField id="14" name="dimensões" tableColumnId="14"/>
      <queryTableField id="15" name="autor" tableColumnId="15"/>
      <queryTableField id="16" name="autor - organização" tableColumnId="16"/>
      <queryTableField id="17" name="co-autores" tableColumnId="17"/>
      <queryTableField id="18" name="autores secundários" tableColumnId="18"/>
      <queryTableField id="19" name="co-autores - organizações" tableColumnId="19"/>
      <queryTableField id="20" name="autores secundários - organizações" tableColumnId="20"/>
      <queryTableField id="21" name="cota" tableColumnId="21"/>
      <queryTableField id="22" name="coleção" tableColumnId="22"/>
      <queryTableField id="23" name="id persistente" tableColumnId="23"/>
      <queryTableField id="24" name="acesso" tableColumnId="24"/>
    </queryTableFields>
    <queryTableDeletedFields count="7">
      <deletedField name="notas gerais"/>
      <deletedField name="notas título"/>
      <deletedField name="notas conteúdo"/>
      <deletedField name="sumário"/>
      <deletedField name="título uniforme"/>
      <deletedField name="título colectivo uniforme"/>
      <deletedField name="Column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7654B684-0E0B-44EE-9E2F-82FFA1123D79}" autoFormatId="16" applyNumberFormats="0" applyBorderFormats="0" applyFontFormats="0" applyPatternFormats="0" applyAlignmentFormats="0" applyWidthHeightFormats="0">
  <queryTableRefresh nextId="3">
    <queryTableFields count="2">
      <queryTableField id="1" name="url" tableColumnId="1"/>
      <queryTableField id="2" name="number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054465F6-66FA-4E2D-AFC9-D9C4FB3B272E}" autoFormatId="16" applyNumberFormats="0" applyBorderFormats="0" applyFontFormats="0" applyPatternFormats="0" applyAlignmentFormats="0" applyWidthHeightFormats="0">
  <queryTableRefresh nextId="32">
    <queryTableFields count="31">
      <queryTableField id="1" name="ncb" tableColumnId="1"/>
      <queryTableField id="2" name="purl" tableColumnId="2"/>
      <queryTableField id="3" name="capa" tableColumnId="3"/>
      <queryTableField id="4" name="tipo de material" tableColumnId="4"/>
      <queryTableField id="5" name="língua" tableColumnId="5"/>
      <queryTableField id="6" name="língua da obra original" tableColumnId="6"/>
      <queryTableField id="7" name="título" tableColumnId="7"/>
      <queryTableField id="8" name="subtítulo" tableColumnId="8"/>
      <queryTableField id="9" name="título original" tableColumnId="9"/>
      <queryTableField id="10" name="edição" tableColumnId="10"/>
      <queryTableField id="11" name="publicação" tableColumnId="11"/>
      <queryTableField id="12" name="data da publicação" tableColumnId="12"/>
      <queryTableField id="13" name="data da publicação2" tableColumnId="13"/>
      <queryTableField id="14" name="dimensões" tableColumnId="14"/>
      <queryTableField id="15" name="autor" tableColumnId="15"/>
      <queryTableField id="16" name="autor - organização" tableColumnId="16"/>
      <queryTableField id="17" name="co-autores" tableColumnId="17"/>
      <queryTableField id="18" name="autores secundários" tableColumnId="18"/>
      <queryTableField id="19" name="co-autores - organizações" tableColumnId="19"/>
      <queryTableField id="20" name="autores secundários - organizações" tableColumnId="20"/>
      <queryTableField id="21" name="cota" tableColumnId="21"/>
      <queryTableField id="22" name="coleção" tableColumnId="22"/>
      <queryTableField id="23" name="id persistente" tableColumnId="23"/>
      <queryTableField id="24" name="acesso" tableColumnId="24"/>
      <queryTableField id="25" name="notas gerais" tableColumnId="25"/>
      <queryTableField id="26" name="notas título" tableColumnId="26"/>
      <queryTableField id="27" name="notas conteúdo" tableColumnId="27"/>
      <queryTableField id="28" name="sumário" tableColumnId="28"/>
      <queryTableField id="29" name="título uniforme" tableColumnId="29"/>
      <queryTableField id="30" name="título colectivo uniforme" tableColumnId="30"/>
      <queryTableField id="31" name="Column1" tableColumnId="3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E9429F80-046A-4107-8752-3D1F3B1E1C7B}" autoFormatId="16" applyNumberFormats="0" applyBorderFormats="0" applyFontFormats="0" applyPatternFormats="0" applyAlignmentFormats="0" applyWidthHeightFormats="0">
  <queryTableRefresh nextId="3">
    <queryTableFields count="2">
      <queryTableField id="1" name="url" tableColumnId="1"/>
      <queryTableField id="2" name="number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B91B2F82-5D0F-4148-8C26-DE489C14C301}" autoFormatId="16" applyNumberFormats="0" applyBorderFormats="0" applyFontFormats="0" applyPatternFormats="0" applyAlignmentFormats="0" applyWidthHeightFormats="0">
  <queryTableRefresh nextId="32">
    <queryTableFields count="31">
      <queryTableField id="1" name="ncb" tableColumnId="1"/>
      <queryTableField id="2" name="purl" tableColumnId="2"/>
      <queryTableField id="3" name="capa" tableColumnId="3"/>
      <queryTableField id="4" name="tipo de material" tableColumnId="4"/>
      <queryTableField id="5" name="língua" tableColumnId="5"/>
      <queryTableField id="6" name="língua da obra original" tableColumnId="6"/>
      <queryTableField id="7" name="título" tableColumnId="7"/>
      <queryTableField id="8" name="subtítulo" tableColumnId="8"/>
      <queryTableField id="9" name="título original" tableColumnId="9"/>
      <queryTableField id="10" name="edição" tableColumnId="10"/>
      <queryTableField id="11" name="publicação" tableColumnId="11"/>
      <queryTableField id="12" name="data da publicação" tableColumnId="12"/>
      <queryTableField id="13" name="data da publicação2" tableColumnId="13"/>
      <queryTableField id="14" name="dimensões" tableColumnId="14"/>
      <queryTableField id="15" name="autor" tableColumnId="15"/>
      <queryTableField id="16" name="autor - organização" tableColumnId="16"/>
      <queryTableField id="17" name="co-autores" tableColumnId="17"/>
      <queryTableField id="18" name="autores secundários" tableColumnId="18"/>
      <queryTableField id="19" name="co-autores - organizações" tableColumnId="19"/>
      <queryTableField id="20" name="autores secundários - organizações" tableColumnId="20"/>
      <queryTableField id="21" name="cota" tableColumnId="21"/>
      <queryTableField id="22" name="coleção" tableColumnId="22"/>
      <queryTableField id="23" name="id persistente" tableColumnId="23"/>
      <queryTableField id="24" name="acesso" tableColumnId="24"/>
      <queryTableField id="25" name="notas gerais" tableColumnId="25"/>
      <queryTableField id="26" name="notas título" tableColumnId="26"/>
      <queryTableField id="27" name="notas conteúdo" tableColumnId="27"/>
      <queryTableField id="28" name="sumário" tableColumnId="28"/>
      <queryTableField id="29" name="título uniforme" tableColumnId="29"/>
      <queryTableField id="30" name="título colectivo uniforme" tableColumnId="30"/>
      <queryTableField id="31" name="Column1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8C3225-60A0-45F0-8EAF-62FE5568FD26}" name="info_bibliografica57" displayName="info_bibliografica57" ref="I1:AF867" tableType="queryTable" totalsRowShown="0" headerRowDxfId="79">
  <autoFilter ref="I1:AF867" xr:uid="{0B8C3225-60A0-45F0-8EAF-62FE5568FD26}"/>
  <tableColumns count="24">
    <tableColumn id="1" xr3:uid="{FDF42FDE-5E39-41B4-AD4E-B0F6499D6B7C}" uniqueName="1" name="ncb" queryTableFieldId="1"/>
    <tableColumn id="2" xr3:uid="{B5C48A47-FCDF-43A8-86B0-506BAC3F3ADD}" uniqueName="2" name="purl" queryTableFieldId="2" dataDxfId="78"/>
    <tableColumn id="3" xr3:uid="{C1AC390F-F7DF-42A7-8363-9C0670907005}" uniqueName="3" name="capa" queryTableFieldId="3" dataDxfId="77"/>
    <tableColumn id="4" xr3:uid="{BA5E78AF-B64B-4E3E-BBD4-7A625E0A3DC5}" uniqueName="4" name="tipo de material" queryTableFieldId="4" dataDxfId="76"/>
    <tableColumn id="5" xr3:uid="{166E26D2-3D99-42D4-8B94-D8709717B0DB}" uniqueName="5" name="língua" queryTableFieldId="5" dataDxfId="75"/>
    <tableColumn id="6" xr3:uid="{70AB869F-482E-4BB9-B4EF-6CAB1E06CC1F}" uniqueName="6" name="língua da obra original" queryTableFieldId="6" dataDxfId="74"/>
    <tableColumn id="7" xr3:uid="{FF4F8AC5-6EB3-4DFD-8DC2-6CA24081BCCD}" uniqueName="7" name="título" queryTableFieldId="7" dataDxfId="73"/>
    <tableColumn id="8" xr3:uid="{0D35DECB-FE00-4717-955D-9CEA565AA244}" uniqueName="8" name="subtítulo" queryTableFieldId="8" dataDxfId="72"/>
    <tableColumn id="9" xr3:uid="{239923E0-10D2-40F1-A105-44B521938962}" uniqueName="9" name="título original" queryTableFieldId="9" dataDxfId="71"/>
    <tableColumn id="10" xr3:uid="{53474DA1-DBBF-491B-9466-B6D2CEDD1B1A}" uniqueName="10" name="edição" queryTableFieldId="10" dataDxfId="70"/>
    <tableColumn id="11" xr3:uid="{1E2B5EE1-C45B-445B-A412-4DEBC372CF78}" uniqueName="11" name="publicação" queryTableFieldId="11" dataDxfId="69"/>
    <tableColumn id="12" xr3:uid="{A047F423-F3A7-42B4-9107-00FC86E4F344}" uniqueName="12" name="data da publicação" queryTableFieldId="12"/>
    <tableColumn id="13" xr3:uid="{1192F6DD-5ECB-4A42-A839-43A6FD96CA8E}" uniqueName="13" name="data da publicação2" queryTableFieldId="13"/>
    <tableColumn id="14" xr3:uid="{C29A533D-B243-4BAA-B2E3-6AD5197FD147}" uniqueName="14" name="dimensões" queryTableFieldId="14" dataDxfId="68"/>
    <tableColumn id="15" xr3:uid="{08655B46-0841-4CC0-8CB5-C3AE0F58E18A}" uniqueName="15" name="autor" queryTableFieldId="15" dataDxfId="67"/>
    <tableColumn id="16" xr3:uid="{D7ED51D4-D492-40EC-B554-C786BA6E4290}" uniqueName="16" name="autor - organização" queryTableFieldId="16" dataDxfId="66"/>
    <tableColumn id="17" xr3:uid="{A068B6F9-0575-42C8-A800-DC1DF6DCF646}" uniqueName="17" name="co-autores" queryTableFieldId="17" dataDxfId="65"/>
    <tableColumn id="18" xr3:uid="{44BFC70F-0207-4B1B-8E4D-1BA2392F98E3}" uniqueName="18" name="autores secundários" queryTableFieldId="18" dataDxfId="64"/>
    <tableColumn id="19" xr3:uid="{480CF44B-56D7-4719-96C9-2FF4C12EB62A}" uniqueName="19" name="co-autores - organizações" queryTableFieldId="19" dataDxfId="63"/>
    <tableColumn id="20" xr3:uid="{92C4D035-98CA-41FD-8772-3847B082991A}" uniqueName="20" name="autores secundários - organizações" queryTableFieldId="20" dataDxfId="62"/>
    <tableColumn id="21" xr3:uid="{49FEFF50-7B57-4C83-9429-24D847ABA8BF}" uniqueName="21" name="cota" queryTableFieldId="21" dataDxfId="61"/>
    <tableColumn id="22" xr3:uid="{3090FCA1-5677-483E-8763-46066BED3E58}" uniqueName="22" name="coleção" queryTableFieldId="22" dataDxfId="60"/>
    <tableColumn id="23" xr3:uid="{7978C8F0-B1A5-4CAF-8014-D490DDF3BF15}" uniqueName="23" name="id persistente" queryTableFieldId="23" dataDxfId="59"/>
    <tableColumn id="24" xr3:uid="{563A9317-9381-424A-90C3-F502A9349AB0}" uniqueName="24" name="acesso" queryTableFieldId="24" dataDxfId="5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CE80C3-2997-453B-9FA1-68D13DBE2FEC}" name="links_bndigital4" displayName="links_bndigital4" ref="M1:N867" tableType="queryTable" totalsRowShown="0">
  <autoFilter ref="M1:N867" xr:uid="{E5CE80C3-2997-453B-9FA1-68D13DBE2FEC}"/>
  <tableColumns count="2">
    <tableColumn id="1" xr3:uid="{D4C3DBFA-01CC-4266-A3D5-871C323D547A}" uniqueName="1" name="url_purl" queryTableFieldId="1" dataDxfId="57"/>
    <tableColumn id="2" xr3:uid="{318ACA3C-1F47-48A8-B3AC-B6BC0DBDE066}" uniqueName="2" name="number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8D80D4-ED6A-4B91-A058-065F4872EBF4}" name="info_bibliografica5" displayName="info_bibliografica5" ref="P1:AT867" tableType="queryTable" totalsRowShown="0">
  <autoFilter ref="P1:AT867" xr:uid="{168D80D4-ED6A-4B91-A058-065F4872EBF4}"/>
  <tableColumns count="31">
    <tableColumn id="1" xr3:uid="{1D5A578D-1B69-40C8-B41E-0A5EFC755665}" uniqueName="1" name="ncb" queryTableFieldId="1"/>
    <tableColumn id="2" xr3:uid="{50872847-39E4-4F74-A1C3-BE41EF37F61E}" uniqueName="2" name="purl" queryTableFieldId="2" dataDxfId="56"/>
    <tableColumn id="3" xr3:uid="{55A0DA9C-D15E-4D62-8F9E-A869B1D4B401}" uniqueName="3" name="capa" queryTableFieldId="3" dataDxfId="55"/>
    <tableColumn id="4" xr3:uid="{9BE363D3-417B-4596-B535-3008F552B4CA}" uniqueName="4" name="tipo de material" queryTableFieldId="4" dataDxfId="54"/>
    <tableColumn id="5" xr3:uid="{3D2250F3-D27A-4C16-AF40-F59D6C47436A}" uniqueName="5" name="língua" queryTableFieldId="5" dataDxfId="53"/>
    <tableColumn id="6" xr3:uid="{2D37ADF5-594C-4A6D-9932-4E5F29EC40BF}" uniqueName="6" name="língua da obra original" queryTableFieldId="6" dataDxfId="52"/>
    <tableColumn id="7" xr3:uid="{5729CAD1-7BF2-45A4-806B-8781CC46622B}" uniqueName="7" name="título" queryTableFieldId="7" dataDxfId="51"/>
    <tableColumn id="8" xr3:uid="{DD6325F6-190A-4103-B9BA-65D7CE9BEB9C}" uniqueName="8" name="subtítulo" queryTableFieldId="8" dataDxfId="50"/>
    <tableColumn id="9" xr3:uid="{A25E73D5-CBBF-43B0-874C-25163CDE4938}" uniqueName="9" name="título original" queryTableFieldId="9" dataDxfId="49"/>
    <tableColumn id="10" xr3:uid="{608F7BC2-7EBE-4A81-A361-B9E9226B22D9}" uniqueName="10" name="edição" queryTableFieldId="10" dataDxfId="48"/>
    <tableColumn id="11" xr3:uid="{7E50474B-4C0D-41D2-8E2C-CF7DFE1A742A}" uniqueName="11" name="publicação" queryTableFieldId="11" dataDxfId="47"/>
    <tableColumn id="12" xr3:uid="{F4F1E41C-015C-4DF7-90EF-18427268C458}" uniqueName="12" name="data da publicação" queryTableFieldId="12"/>
    <tableColumn id="13" xr3:uid="{C3820B30-C3F2-4279-9C0A-3FBF0EFFD1C7}" uniqueName="13" name="data da publicação2" queryTableFieldId="13"/>
    <tableColumn id="14" xr3:uid="{B5BC1559-AE94-44EB-AC70-C6C71C794FFC}" uniqueName="14" name="dimensões" queryTableFieldId="14" dataDxfId="46"/>
    <tableColumn id="15" xr3:uid="{105DD8AA-DBD2-4622-8A1E-D9D27A79CFF4}" uniqueName="15" name="autor" queryTableFieldId="15" dataDxfId="45"/>
    <tableColumn id="16" xr3:uid="{2300EF29-2300-4B2E-8FE1-8DB1F06CA826}" uniqueName="16" name="autor - organização" queryTableFieldId="16" dataDxfId="44"/>
    <tableColumn id="17" xr3:uid="{9B1D7956-9878-487F-A859-A9CD24562D6D}" uniqueName="17" name="co-autores" queryTableFieldId="17" dataDxfId="43"/>
    <tableColumn id="18" xr3:uid="{367FC716-E167-4633-BCA8-7431C77D55F3}" uniqueName="18" name="autores secundários" queryTableFieldId="18" dataDxfId="42"/>
    <tableColumn id="19" xr3:uid="{98EB9482-A3BA-4558-BCD8-9B828647623B}" uniqueName="19" name="co-autores - organizações" queryTableFieldId="19" dataDxfId="41"/>
    <tableColumn id="20" xr3:uid="{A1EBAD01-35D1-4399-AC76-6E0A9F3239C2}" uniqueName="20" name="autores secundários - organizações" queryTableFieldId="20" dataDxfId="40"/>
    <tableColumn id="21" xr3:uid="{3D66FE8D-4B7E-43AC-B7FB-62D692EBD895}" uniqueName="21" name="cota" queryTableFieldId="21" dataDxfId="39"/>
    <tableColumn id="22" xr3:uid="{2263B18C-6B82-45BD-BA42-23C86269409F}" uniqueName="22" name="coleção" queryTableFieldId="22" dataDxfId="38"/>
    <tableColumn id="23" xr3:uid="{BC4855E7-FC2A-466C-B374-B706B57BA5E0}" uniqueName="23" name="id persistente" queryTableFieldId="23" dataDxfId="37"/>
    <tableColumn id="24" xr3:uid="{A85D6FF4-C5D5-4533-868B-A110FE65EC00}" uniqueName="24" name="acesso" queryTableFieldId="24" dataDxfId="36"/>
    <tableColumn id="25" xr3:uid="{1E0629F7-8AD1-412E-9A2B-04B232C5FE12}" uniqueName="25" name="notas gerais" queryTableFieldId="25" dataDxfId="35"/>
    <tableColumn id="26" xr3:uid="{25720D2F-CFA3-4287-B652-3B6CB903B946}" uniqueName="26" name="notas título" queryTableFieldId="26" dataDxfId="34"/>
    <tableColumn id="27" xr3:uid="{28D0B27A-1C2F-4315-9900-890F462E4573}" uniqueName="27" name="notas conteúdo" queryTableFieldId="27" dataDxfId="33"/>
    <tableColumn id="28" xr3:uid="{16DA427C-D295-4146-9D4A-656D5251CEFC}" uniqueName="28" name="sumário" queryTableFieldId="28" dataDxfId="32"/>
    <tableColumn id="29" xr3:uid="{8D1E4965-C87E-4107-979D-55971A9F62C8}" uniqueName="29" name="título uniforme" queryTableFieldId="29" dataDxfId="31"/>
    <tableColumn id="30" xr3:uid="{3AAEAFC8-3D8C-4331-AE4C-6DB7E0733745}" uniqueName="30" name="título colectivo uniforme" queryTableFieldId="30" dataDxfId="30"/>
    <tableColumn id="31" xr3:uid="{093F1630-94FF-4FEB-B308-036C698E7B63}" uniqueName="31" name="Column1" queryTableFieldId="31" dataDxfId="2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B988D3-0E87-45F4-A64D-58F108719FC4}" name="links_bndigital" displayName="links_bndigital" ref="N1:O867" tableType="queryTable" totalsRowShown="0">
  <autoFilter ref="N1:O867" xr:uid="{85B988D3-0E87-45F4-A64D-58F108719FC4}"/>
  <tableColumns count="2">
    <tableColumn id="1" xr3:uid="{DB2DF894-AB36-41BA-A9F1-74D00F38C254}" uniqueName="1" name="url_purl" queryTableFieldId="1" dataDxfId="28"/>
    <tableColumn id="2" xr3:uid="{F7B47795-3076-40A1-ABF2-08448B0C4DBC}" uniqueName="2" name="number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C44210-0759-47EF-B1EC-A0A40E4F2030}" name="info_bibliografica" displayName="info_bibliografica" ref="Q1:AU867" tableType="queryTable" totalsRowShown="0">
  <autoFilter ref="Q1:AU867" xr:uid="{09C44210-0759-47EF-B1EC-A0A40E4F2030}"/>
  <tableColumns count="31">
    <tableColumn id="1" xr3:uid="{469B0830-04FE-42A2-BFC7-7F207906BB7F}" uniqueName="1" name="ncb" queryTableFieldId="1"/>
    <tableColumn id="2" xr3:uid="{767B81F6-B737-402C-AE0B-51077AF058BB}" uniqueName="2" name="purl" queryTableFieldId="2" dataDxfId="27"/>
    <tableColumn id="3" xr3:uid="{245500A9-741A-4E45-B5CA-C15538F03A65}" uniqueName="3" name="capa" queryTableFieldId="3" dataDxfId="26"/>
    <tableColumn id="4" xr3:uid="{A94089CE-06C3-463C-BD3E-1BD569ED0792}" uniqueName="4" name="tipo de material" queryTableFieldId="4" dataDxfId="25"/>
    <tableColumn id="5" xr3:uid="{0D8CE4A3-39E7-4DE3-BC24-0689DA34C878}" uniqueName="5" name="língua" queryTableFieldId="5" dataDxfId="24"/>
    <tableColumn id="6" xr3:uid="{73C133EB-D1BD-4658-9483-4AC8ABEEF21E}" uniqueName="6" name="língua da obra original" queryTableFieldId="6" dataDxfId="23"/>
    <tableColumn id="7" xr3:uid="{1799FA4D-B3B8-4E4D-8673-F71C34F391CF}" uniqueName="7" name="título" queryTableFieldId="7" dataDxfId="22"/>
    <tableColumn id="8" xr3:uid="{64F14E99-F7E6-4244-9F8E-BF9B0022EE01}" uniqueName="8" name="subtítulo" queryTableFieldId="8" dataDxfId="21"/>
    <tableColumn id="9" xr3:uid="{D82C520E-A280-4A87-8886-4296873ADA65}" uniqueName="9" name="título original" queryTableFieldId="9" dataDxfId="20"/>
    <tableColumn id="10" xr3:uid="{16F4C9DE-33AB-4307-86E4-C183B2536B64}" uniqueName="10" name="edição" queryTableFieldId="10" dataDxfId="19"/>
    <tableColumn id="11" xr3:uid="{53B903A0-2370-41F5-B9EF-8030C2ECCDDB}" uniqueName="11" name="publicação" queryTableFieldId="11" dataDxfId="18"/>
    <tableColumn id="12" xr3:uid="{B0894432-7857-4B5C-AD99-B1E4CD457D97}" uniqueName="12" name="data da publicação" queryTableFieldId="12"/>
    <tableColumn id="13" xr3:uid="{AC259941-B20D-4D04-B4BC-42142DEC1349}" uniqueName="13" name="data da publicação2" queryTableFieldId="13"/>
    <tableColumn id="14" xr3:uid="{EF577941-9FF6-4C10-93A0-2EB7684C9C39}" uniqueName="14" name="dimensões" queryTableFieldId="14" dataDxfId="17"/>
    <tableColumn id="15" xr3:uid="{9AD0E619-A024-4232-8399-AB67089BD57B}" uniqueName="15" name="autor" queryTableFieldId="15" dataDxfId="16"/>
    <tableColumn id="16" xr3:uid="{545FA444-2823-4377-B323-C8D546B7FC1F}" uniqueName="16" name="autor - organização" queryTableFieldId="16" dataDxfId="15"/>
    <tableColumn id="17" xr3:uid="{0BF3A2C5-3FAD-4EFB-B192-0ADC97B741D5}" uniqueName="17" name="co-autores" queryTableFieldId="17" dataDxfId="14"/>
    <tableColumn id="18" xr3:uid="{62E33E96-DB6C-4872-8D47-423DD329B696}" uniqueName="18" name="autores secundários" queryTableFieldId="18" dataDxfId="13"/>
    <tableColumn id="19" xr3:uid="{85B86ABC-54FC-4D41-AE2D-59DD502B49E5}" uniqueName="19" name="co-autores - organizações" queryTableFieldId="19" dataDxfId="12"/>
    <tableColumn id="20" xr3:uid="{B72F48F7-ADF7-4EDD-8977-C0EAC3933916}" uniqueName="20" name="autores secundários - organizações" queryTableFieldId="20" dataDxfId="11"/>
    <tableColumn id="21" xr3:uid="{DB3E93D4-D33B-4201-8E19-3B3A69472B9B}" uniqueName="21" name="cota" queryTableFieldId="21" dataDxfId="10"/>
    <tableColumn id="22" xr3:uid="{4036DC5E-D030-4750-9B34-7E94354FDDAE}" uniqueName="22" name="coleção" queryTableFieldId="22" dataDxfId="9"/>
    <tableColumn id="23" xr3:uid="{D61B1093-7AD6-4977-B8A1-4CDFC4C9157B}" uniqueName="23" name="id persistente" queryTableFieldId="23" dataDxfId="8"/>
    <tableColumn id="24" xr3:uid="{7D56F2C2-E544-4E29-BCEC-7802BBC44FE5}" uniqueName="24" name="acesso" queryTableFieldId="24" dataDxfId="7"/>
    <tableColumn id="25" xr3:uid="{FD996937-5ACF-4156-8806-2FB5C3B108DE}" uniqueName="25" name="notas gerais" queryTableFieldId="25" dataDxfId="6"/>
    <tableColumn id="26" xr3:uid="{530023CF-EE7B-408C-9E9F-2F4B41510C18}" uniqueName="26" name="notas título" queryTableFieldId="26" dataDxfId="5"/>
    <tableColumn id="27" xr3:uid="{9CC78A21-98DA-4745-8803-2CEB04DE0EA9}" uniqueName="27" name="notas conteúdo" queryTableFieldId="27" dataDxfId="4"/>
    <tableColumn id="28" xr3:uid="{FC635869-13D4-4020-B234-22ED0859BAAF}" uniqueName="28" name="sumário" queryTableFieldId="28" dataDxfId="3"/>
    <tableColumn id="29" xr3:uid="{C1640CD2-FA7B-4F73-81AC-5806A9D11A26}" uniqueName="29" name="título uniforme" queryTableFieldId="29" dataDxfId="2"/>
    <tableColumn id="30" xr3:uid="{638B036E-EDF7-4950-893A-884266B2DF47}" uniqueName="30" name="título colectivo uniforme" queryTableFieldId="30" dataDxfId="1"/>
    <tableColumn id="31" xr3:uid="{4E1DB3F0-2DFA-4905-9593-65BA9AD4F2EC}" uniqueName="31" name="Column1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url.pt/43428" TargetMode="External"/><Relationship Id="rId3" Type="http://schemas.openxmlformats.org/officeDocument/2006/relationships/hyperlink" Target="https://purl.pt/44192" TargetMode="External"/><Relationship Id="rId7" Type="http://schemas.openxmlformats.org/officeDocument/2006/relationships/hyperlink" Target="https://purl.pt/43747" TargetMode="External"/><Relationship Id="rId2" Type="http://schemas.openxmlformats.org/officeDocument/2006/relationships/hyperlink" Target="https://purl.pt/44164" TargetMode="External"/><Relationship Id="rId1" Type="http://schemas.openxmlformats.org/officeDocument/2006/relationships/hyperlink" Target="https://purl.pt/43741" TargetMode="External"/><Relationship Id="rId6" Type="http://schemas.openxmlformats.org/officeDocument/2006/relationships/hyperlink" Target="https://purl.pt/11841" TargetMode="External"/><Relationship Id="rId5" Type="http://schemas.openxmlformats.org/officeDocument/2006/relationships/hyperlink" Target="https://purl.pt/44139" TargetMode="External"/><Relationship Id="rId10" Type="http://schemas.openxmlformats.org/officeDocument/2006/relationships/table" Target="../tables/table3.xml"/><Relationship Id="rId4" Type="http://schemas.openxmlformats.org/officeDocument/2006/relationships/hyperlink" Target="https://purl.pt/44192" TargetMode="External"/><Relationship Id="rId9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url.pt/43428" TargetMode="External"/><Relationship Id="rId3" Type="http://schemas.openxmlformats.org/officeDocument/2006/relationships/hyperlink" Target="https://purl.pt/44192" TargetMode="External"/><Relationship Id="rId7" Type="http://schemas.openxmlformats.org/officeDocument/2006/relationships/hyperlink" Target="https://purl.pt/43747" TargetMode="External"/><Relationship Id="rId12" Type="http://schemas.openxmlformats.org/officeDocument/2006/relationships/table" Target="../tables/table5.xml"/><Relationship Id="rId2" Type="http://schemas.openxmlformats.org/officeDocument/2006/relationships/hyperlink" Target="https://purl.pt/44164" TargetMode="External"/><Relationship Id="rId1" Type="http://schemas.openxmlformats.org/officeDocument/2006/relationships/hyperlink" Target="https://purl.pt/43741" TargetMode="External"/><Relationship Id="rId6" Type="http://schemas.openxmlformats.org/officeDocument/2006/relationships/hyperlink" Target="https://purl.pt/11841" TargetMode="External"/><Relationship Id="rId11" Type="http://schemas.openxmlformats.org/officeDocument/2006/relationships/table" Target="../tables/table4.xml"/><Relationship Id="rId5" Type="http://schemas.openxmlformats.org/officeDocument/2006/relationships/hyperlink" Target="https://purl.pt/44139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purl.pt/44192" TargetMode="External"/><Relationship Id="rId9" Type="http://schemas.openxmlformats.org/officeDocument/2006/relationships/hyperlink" Target="https://purl.pt/441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323B-584E-46E7-9224-0F58DAC77C8E}">
  <dimension ref="A1:AF867"/>
  <sheetViews>
    <sheetView workbookViewId="0"/>
  </sheetViews>
  <sheetFormatPr defaultRowHeight="15" x14ac:dyDescent="0.25"/>
  <cols>
    <col min="1" max="1" width="18.42578125" style="4" bestFit="1" customWidth="1"/>
    <col min="2" max="2" width="17.140625" style="4" bestFit="1" customWidth="1"/>
    <col min="3" max="3" width="10.28515625" bestFit="1" customWidth="1"/>
    <col min="4" max="4" width="44.140625" customWidth="1"/>
    <col min="5" max="5" width="59.7109375" style="8" customWidth="1"/>
    <col min="6" max="8" width="30.7109375" customWidth="1"/>
  </cols>
  <sheetData>
    <row r="1" spans="1:32" ht="18.75" x14ac:dyDescent="0.3">
      <c r="A1" s="61" t="s">
        <v>598</v>
      </c>
      <c r="B1" s="61" t="s">
        <v>597</v>
      </c>
      <c r="C1" s="62" t="s">
        <v>4</v>
      </c>
      <c r="D1" s="63" t="s">
        <v>3513</v>
      </c>
      <c r="E1" s="7" t="s">
        <v>2</v>
      </c>
      <c r="F1" s="64" t="s">
        <v>1132</v>
      </c>
      <c r="G1" s="64" t="s">
        <v>1133</v>
      </c>
      <c r="H1" s="64" t="s">
        <v>1134</v>
      </c>
      <c r="I1" s="65" t="s">
        <v>1147</v>
      </c>
      <c r="J1" s="65" t="s">
        <v>1</v>
      </c>
      <c r="K1" s="65" t="s">
        <v>1148</v>
      </c>
      <c r="L1" s="65" t="s">
        <v>1149</v>
      </c>
      <c r="M1" s="65" t="s">
        <v>1150</v>
      </c>
      <c r="N1" s="65" t="s">
        <v>1151</v>
      </c>
      <c r="O1" s="65" t="s">
        <v>1152</v>
      </c>
      <c r="P1" s="65" t="s">
        <v>1153</v>
      </c>
      <c r="Q1" s="65" t="s">
        <v>1154</v>
      </c>
      <c r="R1" s="65" t="s">
        <v>1155</v>
      </c>
      <c r="S1" s="65" t="s">
        <v>1156</v>
      </c>
      <c r="T1" s="65" t="s">
        <v>1157</v>
      </c>
      <c r="U1" s="65" t="s">
        <v>1158</v>
      </c>
      <c r="V1" s="65" t="s">
        <v>1159</v>
      </c>
      <c r="W1" s="65" t="s">
        <v>1160</v>
      </c>
      <c r="X1" s="65" t="s">
        <v>1161</v>
      </c>
      <c r="Y1" s="65" t="s">
        <v>1162</v>
      </c>
      <c r="Z1" s="65" t="s">
        <v>1163</v>
      </c>
      <c r="AA1" s="65" t="s">
        <v>1164</v>
      </c>
      <c r="AB1" s="65" t="s">
        <v>1165</v>
      </c>
      <c r="AC1" s="65" t="s">
        <v>1166</v>
      </c>
      <c r="AD1" s="65" t="s">
        <v>1167</v>
      </c>
      <c r="AE1" s="65" t="s">
        <v>1168</v>
      </c>
      <c r="AF1" s="65" t="s">
        <v>1169</v>
      </c>
    </row>
    <row r="2" spans="1:32" s="13" customFormat="1" ht="45" x14ac:dyDescent="0.25">
      <c r="A2" s="10">
        <v>367428</v>
      </c>
      <c r="B2" s="10">
        <v>1</v>
      </c>
      <c r="C2" s="9">
        <v>1</v>
      </c>
      <c r="D2" s="56" t="s">
        <v>7</v>
      </c>
      <c r="E2" s="12">
        <v>1</v>
      </c>
      <c r="F2" s="45"/>
      <c r="G2" s="45"/>
      <c r="H2" s="45"/>
      <c r="I2">
        <v>367428</v>
      </c>
      <c r="J2" t="s">
        <v>6</v>
      </c>
      <c r="K2" t="s">
        <v>1177</v>
      </c>
      <c r="L2" t="s">
        <v>1178</v>
      </c>
      <c r="M2" t="s">
        <v>1179</v>
      </c>
      <c r="N2" t="s">
        <v>599</v>
      </c>
      <c r="O2" t="s">
        <v>1180</v>
      </c>
      <c r="P2" t="s">
        <v>1181</v>
      </c>
      <c r="Q2" t="s">
        <v>599</v>
      </c>
      <c r="R2" t="s">
        <v>1182</v>
      </c>
      <c r="S2" t="s">
        <v>1183</v>
      </c>
      <c r="T2">
        <v>1882</v>
      </c>
      <c r="U2">
        <v>1882</v>
      </c>
      <c r="V2" t="s">
        <v>1184</v>
      </c>
      <c r="W2" t="s">
        <v>1185</v>
      </c>
      <c r="X2" t="s">
        <v>599</v>
      </c>
      <c r="Y2" t="s">
        <v>599</v>
      </c>
      <c r="Z2" t="s">
        <v>1186</v>
      </c>
      <c r="AA2" t="s">
        <v>599</v>
      </c>
      <c r="AB2" t="s">
        <v>599</v>
      </c>
      <c r="AC2" t="s">
        <v>1187</v>
      </c>
      <c r="AD2" t="s">
        <v>1188</v>
      </c>
      <c r="AE2" t="s">
        <v>1189</v>
      </c>
      <c r="AF2" t="s">
        <v>1190</v>
      </c>
    </row>
    <row r="3" spans="1:32" s="13" customFormat="1" ht="75" x14ac:dyDescent="0.25">
      <c r="A3" s="10">
        <v>381074</v>
      </c>
      <c r="B3" s="10">
        <v>1</v>
      </c>
      <c r="C3" s="9">
        <v>499</v>
      </c>
      <c r="D3" s="56" t="s">
        <v>634</v>
      </c>
      <c r="E3" s="12" t="s">
        <v>9</v>
      </c>
      <c r="F3" s="45" t="s">
        <v>3903</v>
      </c>
      <c r="G3" s="45" t="s">
        <v>3905</v>
      </c>
      <c r="H3" s="45" t="s">
        <v>3910</v>
      </c>
      <c r="I3">
        <v>381074</v>
      </c>
      <c r="J3" t="s">
        <v>8</v>
      </c>
      <c r="K3" t="s">
        <v>1191</v>
      </c>
      <c r="L3" t="s">
        <v>1178</v>
      </c>
      <c r="M3" t="s">
        <v>1192</v>
      </c>
      <c r="N3" t="s">
        <v>599</v>
      </c>
      <c r="O3" t="s">
        <v>1193</v>
      </c>
      <c r="P3" t="s">
        <v>1194</v>
      </c>
      <c r="Q3" t="s">
        <v>599</v>
      </c>
      <c r="R3" t="s">
        <v>1182</v>
      </c>
      <c r="S3" t="s">
        <v>1195</v>
      </c>
      <c r="T3">
        <v>1880</v>
      </c>
      <c r="U3">
        <v>1880</v>
      </c>
      <c r="V3" t="s">
        <v>1196</v>
      </c>
      <c r="W3" t="s">
        <v>1185</v>
      </c>
      <c r="X3" t="s">
        <v>599</v>
      </c>
      <c r="Y3" t="s">
        <v>599</v>
      </c>
      <c r="Z3" t="s">
        <v>1197</v>
      </c>
      <c r="AA3" t="s">
        <v>599</v>
      </c>
      <c r="AB3" t="s">
        <v>1198</v>
      </c>
      <c r="AC3" t="s">
        <v>1199</v>
      </c>
      <c r="AD3" t="s">
        <v>1188</v>
      </c>
      <c r="AE3" t="s">
        <v>1200</v>
      </c>
      <c r="AF3" t="s">
        <v>1190</v>
      </c>
    </row>
    <row r="4" spans="1:32" s="13" customFormat="1" ht="90" x14ac:dyDescent="0.25">
      <c r="A4" s="10">
        <v>381465</v>
      </c>
      <c r="B4" s="10">
        <v>1</v>
      </c>
      <c r="C4" s="9">
        <v>644</v>
      </c>
      <c r="D4" s="56" t="s">
        <v>635</v>
      </c>
      <c r="E4" s="12" t="s">
        <v>12</v>
      </c>
      <c r="F4" s="45" t="s">
        <v>3904</v>
      </c>
      <c r="G4" s="45" t="s">
        <v>3906</v>
      </c>
      <c r="H4" s="45" t="s">
        <v>3909</v>
      </c>
      <c r="I4">
        <v>381465</v>
      </c>
      <c r="J4" t="s">
        <v>11</v>
      </c>
      <c r="K4" t="s">
        <v>1201</v>
      </c>
      <c r="L4" t="s">
        <v>1178</v>
      </c>
      <c r="M4" t="s">
        <v>1192</v>
      </c>
      <c r="N4" t="s">
        <v>599</v>
      </c>
      <c r="O4" t="s">
        <v>1193</v>
      </c>
      <c r="P4" t="s">
        <v>1202</v>
      </c>
      <c r="Q4" t="s">
        <v>599</v>
      </c>
      <c r="R4" t="s">
        <v>1182</v>
      </c>
      <c r="S4" t="s">
        <v>1203</v>
      </c>
      <c r="T4">
        <v>1898</v>
      </c>
      <c r="U4">
        <v>1898</v>
      </c>
      <c r="V4" t="s">
        <v>1204</v>
      </c>
      <c r="W4" t="s">
        <v>1185</v>
      </c>
      <c r="X4" t="s">
        <v>599</v>
      </c>
      <c r="Y4" t="s">
        <v>599</v>
      </c>
      <c r="Z4" t="s">
        <v>1205</v>
      </c>
      <c r="AA4" t="s">
        <v>599</v>
      </c>
      <c r="AB4" t="s">
        <v>599</v>
      </c>
      <c r="AC4" t="s">
        <v>1206</v>
      </c>
      <c r="AD4" t="s">
        <v>1188</v>
      </c>
      <c r="AE4" t="s">
        <v>1207</v>
      </c>
      <c r="AF4" t="s">
        <v>1190</v>
      </c>
    </row>
    <row r="5" spans="1:32" s="13" customFormat="1" ht="45" x14ac:dyDescent="0.25">
      <c r="A5" s="10">
        <v>381468</v>
      </c>
      <c r="B5" s="10">
        <v>1</v>
      </c>
      <c r="C5" s="9">
        <v>8</v>
      </c>
      <c r="D5" s="56" t="s">
        <v>636</v>
      </c>
      <c r="E5" s="12" t="s">
        <v>15</v>
      </c>
      <c r="F5" s="45" t="s">
        <v>3907</v>
      </c>
      <c r="G5" s="45" t="s">
        <v>3901</v>
      </c>
      <c r="H5" s="45" t="s">
        <v>3911</v>
      </c>
      <c r="I5">
        <v>381468</v>
      </c>
      <c r="J5" t="s">
        <v>14</v>
      </c>
      <c r="K5" t="s">
        <v>1208</v>
      </c>
      <c r="L5" t="s">
        <v>1178</v>
      </c>
      <c r="M5" t="s">
        <v>1209</v>
      </c>
      <c r="N5" t="s">
        <v>1192</v>
      </c>
      <c r="O5" t="s">
        <v>1210</v>
      </c>
      <c r="P5" t="s">
        <v>599</v>
      </c>
      <c r="Q5" t="s">
        <v>599</v>
      </c>
      <c r="R5" t="s">
        <v>1211</v>
      </c>
      <c r="S5" t="s">
        <v>1212</v>
      </c>
      <c r="T5">
        <v>1873</v>
      </c>
      <c r="U5">
        <v>1873</v>
      </c>
      <c r="V5" t="s">
        <v>1213</v>
      </c>
      <c r="W5" t="s">
        <v>1185</v>
      </c>
      <c r="X5" t="s">
        <v>599</v>
      </c>
      <c r="Y5" t="s">
        <v>599</v>
      </c>
      <c r="Z5" t="s">
        <v>1214</v>
      </c>
      <c r="AA5" t="s">
        <v>599</v>
      </c>
      <c r="AB5" t="s">
        <v>599</v>
      </c>
      <c r="AC5" t="s">
        <v>1215</v>
      </c>
      <c r="AD5" t="s">
        <v>1188</v>
      </c>
      <c r="AE5" t="s">
        <v>1216</v>
      </c>
      <c r="AF5" t="s">
        <v>1190</v>
      </c>
    </row>
    <row r="6" spans="1:32" s="13" customFormat="1" ht="45" x14ac:dyDescent="0.25">
      <c r="A6" s="10">
        <v>381701</v>
      </c>
      <c r="B6" s="10">
        <v>1</v>
      </c>
      <c r="C6" s="9">
        <v>11</v>
      </c>
      <c r="D6" s="56" t="s">
        <v>637</v>
      </c>
      <c r="E6" s="12">
        <v>11</v>
      </c>
      <c r="F6" s="45" t="s">
        <v>3908</v>
      </c>
      <c r="G6" s="45" t="s">
        <v>3909</v>
      </c>
      <c r="H6" s="45" t="s">
        <v>3905</v>
      </c>
      <c r="I6">
        <v>381701</v>
      </c>
      <c r="J6" t="s">
        <v>16</v>
      </c>
      <c r="K6" t="s">
        <v>1217</v>
      </c>
      <c r="L6" t="s">
        <v>1178</v>
      </c>
      <c r="M6" t="s">
        <v>1218</v>
      </c>
      <c r="N6" t="s">
        <v>1192</v>
      </c>
      <c r="O6" t="s">
        <v>1219</v>
      </c>
      <c r="P6" t="s">
        <v>1220</v>
      </c>
      <c r="Q6" t="s">
        <v>599</v>
      </c>
      <c r="R6" t="s">
        <v>1182</v>
      </c>
      <c r="S6" t="s">
        <v>1221</v>
      </c>
      <c r="T6">
        <v>1873</v>
      </c>
      <c r="U6">
        <v>1873</v>
      </c>
      <c r="V6" t="s">
        <v>1222</v>
      </c>
      <c r="W6" t="s">
        <v>1185</v>
      </c>
      <c r="X6" t="s">
        <v>599</v>
      </c>
      <c r="Y6" t="s">
        <v>599</v>
      </c>
      <c r="Z6" t="s">
        <v>599</v>
      </c>
      <c r="AA6" t="s">
        <v>599</v>
      </c>
      <c r="AB6" t="s">
        <v>599</v>
      </c>
      <c r="AC6" t="s">
        <v>1223</v>
      </c>
      <c r="AD6" t="s">
        <v>1188</v>
      </c>
      <c r="AE6" t="s">
        <v>1224</v>
      </c>
      <c r="AF6" t="s">
        <v>1190</v>
      </c>
    </row>
    <row r="7" spans="1:32" s="13" customFormat="1" ht="45" x14ac:dyDescent="0.25">
      <c r="A7" s="10">
        <v>381889</v>
      </c>
      <c r="B7" s="10">
        <v>1</v>
      </c>
      <c r="C7" s="9">
        <v>1</v>
      </c>
      <c r="D7" s="56" t="s">
        <v>638</v>
      </c>
      <c r="E7" s="12" t="s">
        <v>18</v>
      </c>
      <c r="F7" s="45" t="s">
        <v>3908</v>
      </c>
      <c r="G7" s="45"/>
      <c r="H7" s="45"/>
      <c r="I7">
        <v>381889</v>
      </c>
      <c r="J7" t="s">
        <v>17</v>
      </c>
      <c r="K7" t="s">
        <v>1225</v>
      </c>
      <c r="L7" t="s">
        <v>1226</v>
      </c>
      <c r="M7" t="s">
        <v>1192</v>
      </c>
      <c r="N7" t="s">
        <v>599</v>
      </c>
      <c r="O7" t="s">
        <v>1227</v>
      </c>
      <c r="P7" t="s">
        <v>1228</v>
      </c>
      <c r="Q7" t="s">
        <v>599</v>
      </c>
      <c r="R7" t="s">
        <v>1182</v>
      </c>
      <c r="S7" t="s">
        <v>1229</v>
      </c>
      <c r="T7">
        <v>1880</v>
      </c>
      <c r="U7">
        <v>1880</v>
      </c>
      <c r="V7" t="s">
        <v>599</v>
      </c>
      <c r="W7" t="s">
        <v>599</v>
      </c>
      <c r="X7" t="s">
        <v>599</v>
      </c>
      <c r="Y7" t="s">
        <v>599</v>
      </c>
      <c r="Z7" t="s">
        <v>599</v>
      </c>
      <c r="AA7" t="s">
        <v>599</v>
      </c>
      <c r="AB7" t="s">
        <v>1230</v>
      </c>
      <c r="AC7" t="s">
        <v>1231</v>
      </c>
      <c r="AD7" t="s">
        <v>1188</v>
      </c>
      <c r="AE7" t="s">
        <v>1232</v>
      </c>
      <c r="AF7" t="s">
        <v>1190</v>
      </c>
    </row>
    <row r="8" spans="1:32" s="13" customFormat="1" ht="45" x14ac:dyDescent="0.25">
      <c r="A8" s="10">
        <v>381903</v>
      </c>
      <c r="B8" s="10">
        <v>1</v>
      </c>
      <c r="C8" s="9">
        <v>5</v>
      </c>
      <c r="D8" s="56" t="s">
        <v>639</v>
      </c>
      <c r="E8" s="12" t="s">
        <v>20</v>
      </c>
      <c r="F8" s="45" t="s">
        <v>3902</v>
      </c>
      <c r="G8" s="45" t="s">
        <v>3912</v>
      </c>
      <c r="H8" s="45"/>
      <c r="I8">
        <v>381903</v>
      </c>
      <c r="J8" t="s">
        <v>19</v>
      </c>
      <c r="K8" t="s">
        <v>1233</v>
      </c>
      <c r="L8" t="s">
        <v>1226</v>
      </c>
      <c r="M8" t="s">
        <v>1234</v>
      </c>
      <c r="N8" t="s">
        <v>599</v>
      </c>
      <c r="O8" t="s">
        <v>1235</v>
      </c>
      <c r="P8" t="s">
        <v>599</v>
      </c>
      <c r="Q8" t="s">
        <v>599</v>
      </c>
      <c r="R8" t="s">
        <v>1182</v>
      </c>
      <c r="S8" t="s">
        <v>599</v>
      </c>
      <c r="T8">
        <v>1880</v>
      </c>
      <c r="U8">
        <v>1880</v>
      </c>
      <c r="V8" t="s">
        <v>599</v>
      </c>
      <c r="W8" t="s">
        <v>599</v>
      </c>
      <c r="X8" t="s">
        <v>599</v>
      </c>
      <c r="Y8" t="s">
        <v>599</v>
      </c>
      <c r="Z8" t="s">
        <v>599</v>
      </c>
      <c r="AA8" t="s">
        <v>599</v>
      </c>
      <c r="AB8" t="s">
        <v>599</v>
      </c>
      <c r="AC8" t="s">
        <v>1236</v>
      </c>
      <c r="AD8" t="s">
        <v>1188</v>
      </c>
      <c r="AE8" t="s">
        <v>1237</v>
      </c>
      <c r="AF8" t="s">
        <v>1190</v>
      </c>
    </row>
    <row r="9" spans="1:32" s="13" customFormat="1" ht="45" x14ac:dyDescent="0.25">
      <c r="A9" s="10">
        <v>382749</v>
      </c>
      <c r="B9" s="10">
        <v>1</v>
      </c>
      <c r="C9" s="9">
        <v>7</v>
      </c>
      <c r="D9" s="56" t="s">
        <v>640</v>
      </c>
      <c r="E9" s="12" t="s">
        <v>22</v>
      </c>
      <c r="F9" s="45" t="s">
        <v>3906</v>
      </c>
      <c r="G9" s="45"/>
      <c r="H9" s="45"/>
      <c r="I9">
        <v>382749</v>
      </c>
      <c r="J9" t="s">
        <v>21</v>
      </c>
      <c r="K9" t="s">
        <v>1238</v>
      </c>
      <c r="L9" t="s">
        <v>1178</v>
      </c>
      <c r="M9" t="s">
        <v>1192</v>
      </c>
      <c r="N9" t="s">
        <v>599</v>
      </c>
      <c r="O9" t="s">
        <v>1239</v>
      </c>
      <c r="P9" t="s">
        <v>1240</v>
      </c>
      <c r="Q9" t="s">
        <v>599</v>
      </c>
      <c r="R9" t="s">
        <v>1182</v>
      </c>
      <c r="S9" t="s">
        <v>1221</v>
      </c>
      <c r="T9">
        <v>1893</v>
      </c>
      <c r="U9">
        <v>1893</v>
      </c>
      <c r="V9" t="s">
        <v>1241</v>
      </c>
      <c r="W9" t="s">
        <v>1185</v>
      </c>
      <c r="X9" t="s">
        <v>599</v>
      </c>
      <c r="Y9" t="s">
        <v>599</v>
      </c>
      <c r="Z9" t="s">
        <v>1242</v>
      </c>
      <c r="AA9" t="s">
        <v>599</v>
      </c>
      <c r="AB9" t="s">
        <v>599</v>
      </c>
      <c r="AC9" t="s">
        <v>1243</v>
      </c>
      <c r="AD9" t="s">
        <v>1188</v>
      </c>
      <c r="AE9" t="s">
        <v>1244</v>
      </c>
      <c r="AF9" t="s">
        <v>1190</v>
      </c>
    </row>
    <row r="10" spans="1:32" s="13" customFormat="1" ht="45" x14ac:dyDescent="0.25">
      <c r="A10" s="10">
        <v>382749</v>
      </c>
      <c r="B10" s="14">
        <v>1</v>
      </c>
      <c r="C10" s="15">
        <v>19</v>
      </c>
      <c r="D10" s="56" t="s">
        <v>641</v>
      </c>
      <c r="E10" s="16"/>
      <c r="F10" s="45" t="s">
        <v>3909</v>
      </c>
      <c r="G10" s="45"/>
      <c r="H10" s="45"/>
      <c r="I10">
        <v>382749</v>
      </c>
      <c r="J10" t="s">
        <v>21</v>
      </c>
      <c r="K10" t="s">
        <v>1238</v>
      </c>
      <c r="L10" t="s">
        <v>1178</v>
      </c>
      <c r="M10" t="s">
        <v>1192</v>
      </c>
      <c r="N10" t="s">
        <v>599</v>
      </c>
      <c r="O10" t="s">
        <v>1239</v>
      </c>
      <c r="P10" t="s">
        <v>1240</v>
      </c>
      <c r="Q10" t="s">
        <v>599</v>
      </c>
      <c r="R10" t="s">
        <v>1182</v>
      </c>
      <c r="S10" t="s">
        <v>1221</v>
      </c>
      <c r="T10">
        <v>1893</v>
      </c>
      <c r="U10">
        <v>1893</v>
      </c>
      <c r="V10" t="s">
        <v>1241</v>
      </c>
      <c r="W10" t="s">
        <v>1185</v>
      </c>
      <c r="X10" t="s">
        <v>599</v>
      </c>
      <c r="Y10" t="s">
        <v>599</v>
      </c>
      <c r="Z10" t="s">
        <v>1242</v>
      </c>
      <c r="AA10" t="s">
        <v>599</v>
      </c>
      <c r="AB10" t="s">
        <v>599</v>
      </c>
      <c r="AC10" t="s">
        <v>1243</v>
      </c>
      <c r="AD10" t="s">
        <v>1188</v>
      </c>
      <c r="AE10" t="s">
        <v>1244</v>
      </c>
      <c r="AF10" t="s">
        <v>1190</v>
      </c>
    </row>
    <row r="11" spans="1:32" s="13" customFormat="1" ht="45" x14ac:dyDescent="0.25">
      <c r="A11" s="10">
        <v>382749</v>
      </c>
      <c r="B11" s="10">
        <v>1</v>
      </c>
      <c r="C11" s="9">
        <v>23</v>
      </c>
      <c r="D11" s="56" t="s">
        <v>642</v>
      </c>
      <c r="E11" s="12"/>
      <c r="F11" s="45"/>
      <c r="G11" s="45"/>
      <c r="H11" s="45"/>
      <c r="I11">
        <v>382749</v>
      </c>
      <c r="J11" t="s">
        <v>21</v>
      </c>
      <c r="K11" t="s">
        <v>1238</v>
      </c>
      <c r="L11" t="s">
        <v>1178</v>
      </c>
      <c r="M11" t="s">
        <v>1192</v>
      </c>
      <c r="N11" t="s">
        <v>599</v>
      </c>
      <c r="O11" t="s">
        <v>1239</v>
      </c>
      <c r="P11" t="s">
        <v>1240</v>
      </c>
      <c r="Q11" t="s">
        <v>599</v>
      </c>
      <c r="R11" t="s">
        <v>1182</v>
      </c>
      <c r="S11" t="s">
        <v>1221</v>
      </c>
      <c r="T11">
        <v>1893</v>
      </c>
      <c r="U11">
        <v>1893</v>
      </c>
      <c r="V11" t="s">
        <v>1241</v>
      </c>
      <c r="W11" t="s">
        <v>1185</v>
      </c>
      <c r="X11" t="s">
        <v>599</v>
      </c>
      <c r="Y11" t="s">
        <v>599</v>
      </c>
      <c r="Z11" t="s">
        <v>1242</v>
      </c>
      <c r="AA11" t="s">
        <v>599</v>
      </c>
      <c r="AB11" t="s">
        <v>599</v>
      </c>
      <c r="AC11" t="s">
        <v>1243</v>
      </c>
      <c r="AD11" t="s">
        <v>1188</v>
      </c>
      <c r="AE11" t="s">
        <v>1244</v>
      </c>
      <c r="AF11" t="s">
        <v>1190</v>
      </c>
    </row>
    <row r="12" spans="1:32" s="13" customFormat="1" ht="45" x14ac:dyDescent="0.25">
      <c r="A12" s="10">
        <v>382834</v>
      </c>
      <c r="B12" s="10">
        <v>1</v>
      </c>
      <c r="C12" s="9">
        <v>11</v>
      </c>
      <c r="D12" s="56" t="s">
        <v>643</v>
      </c>
      <c r="E12" s="12" t="s">
        <v>24</v>
      </c>
      <c r="F12" s="45"/>
      <c r="G12" s="45"/>
      <c r="H12" s="45"/>
      <c r="I12">
        <v>382834</v>
      </c>
      <c r="J12" t="s">
        <v>23</v>
      </c>
      <c r="K12" t="s">
        <v>1245</v>
      </c>
      <c r="L12" t="s">
        <v>1178</v>
      </c>
      <c r="M12" t="s">
        <v>1192</v>
      </c>
      <c r="N12" t="s">
        <v>599</v>
      </c>
      <c r="O12" t="s">
        <v>1246</v>
      </c>
      <c r="P12" t="s">
        <v>599</v>
      </c>
      <c r="Q12" t="s">
        <v>599</v>
      </c>
      <c r="R12" t="s">
        <v>1182</v>
      </c>
      <c r="S12" t="s">
        <v>1247</v>
      </c>
      <c r="T12">
        <v>1889</v>
      </c>
      <c r="U12">
        <v>1889</v>
      </c>
      <c r="V12" t="s">
        <v>1248</v>
      </c>
      <c r="W12" t="s">
        <v>1249</v>
      </c>
      <c r="X12" t="s">
        <v>599</v>
      </c>
      <c r="Y12" t="s">
        <v>599</v>
      </c>
      <c r="Z12" t="s">
        <v>1250</v>
      </c>
      <c r="AA12" t="s">
        <v>599</v>
      </c>
      <c r="AB12" t="s">
        <v>599</v>
      </c>
      <c r="AC12" t="s">
        <v>1251</v>
      </c>
      <c r="AD12" t="s">
        <v>1188</v>
      </c>
      <c r="AE12" t="s">
        <v>1252</v>
      </c>
      <c r="AF12" t="s">
        <v>1190</v>
      </c>
    </row>
    <row r="13" spans="1:32" s="13" customFormat="1" ht="45" x14ac:dyDescent="0.25">
      <c r="A13" s="10">
        <v>382844</v>
      </c>
      <c r="B13" s="10">
        <v>1</v>
      </c>
      <c r="C13" s="9">
        <v>3</v>
      </c>
      <c r="D13" s="56" t="s">
        <v>644</v>
      </c>
      <c r="E13" s="12">
        <v>3</v>
      </c>
      <c r="F13" s="45"/>
      <c r="G13" s="45"/>
      <c r="H13" s="45"/>
      <c r="I13">
        <v>382844</v>
      </c>
      <c r="J13" t="s">
        <v>25</v>
      </c>
      <c r="K13" t="s">
        <v>1253</v>
      </c>
      <c r="L13" t="s">
        <v>1178</v>
      </c>
      <c r="M13" t="s">
        <v>1192</v>
      </c>
      <c r="N13" t="s">
        <v>599</v>
      </c>
      <c r="O13" t="s">
        <v>1254</v>
      </c>
      <c r="P13" t="s">
        <v>1255</v>
      </c>
      <c r="Q13" t="s">
        <v>599</v>
      </c>
      <c r="R13" t="s">
        <v>1182</v>
      </c>
      <c r="S13" t="s">
        <v>1256</v>
      </c>
      <c r="T13">
        <v>1880</v>
      </c>
      <c r="U13">
        <v>1880</v>
      </c>
      <c r="V13" t="s">
        <v>1257</v>
      </c>
      <c r="W13" t="s">
        <v>1249</v>
      </c>
      <c r="X13" t="s">
        <v>599</v>
      </c>
      <c r="Y13" t="s">
        <v>599</v>
      </c>
      <c r="Z13" t="s">
        <v>1250</v>
      </c>
      <c r="AA13" t="s">
        <v>599</v>
      </c>
      <c r="AB13" t="s">
        <v>599</v>
      </c>
      <c r="AC13" t="s">
        <v>1258</v>
      </c>
      <c r="AD13" t="s">
        <v>1188</v>
      </c>
      <c r="AE13" t="s">
        <v>1259</v>
      </c>
      <c r="AF13" t="s">
        <v>1190</v>
      </c>
    </row>
    <row r="14" spans="1:32" s="13" customFormat="1" ht="45" x14ac:dyDescent="0.25">
      <c r="A14" s="10">
        <v>382955</v>
      </c>
      <c r="B14" s="10">
        <v>1</v>
      </c>
      <c r="C14" s="9">
        <v>6</v>
      </c>
      <c r="D14" s="56" t="s">
        <v>645</v>
      </c>
      <c r="E14" s="12" t="s">
        <v>27</v>
      </c>
      <c r="F14" s="45"/>
      <c r="G14" s="45"/>
      <c r="H14" s="45"/>
      <c r="I14">
        <v>382955</v>
      </c>
      <c r="J14" t="s">
        <v>26</v>
      </c>
      <c r="K14" t="s">
        <v>1260</v>
      </c>
      <c r="L14" t="s">
        <v>1178</v>
      </c>
      <c r="M14" t="s">
        <v>1192</v>
      </c>
      <c r="N14" t="s">
        <v>599</v>
      </c>
      <c r="O14" t="s">
        <v>1261</v>
      </c>
      <c r="P14" t="s">
        <v>599</v>
      </c>
      <c r="Q14" t="s">
        <v>599</v>
      </c>
      <c r="R14" t="s">
        <v>1182</v>
      </c>
      <c r="S14" t="s">
        <v>1262</v>
      </c>
      <c r="T14">
        <v>1880</v>
      </c>
      <c r="U14">
        <v>1880</v>
      </c>
      <c r="V14" t="s">
        <v>599</v>
      </c>
      <c r="W14" t="s">
        <v>599</v>
      </c>
      <c r="X14" t="s">
        <v>1263</v>
      </c>
      <c r="Y14" t="s">
        <v>599</v>
      </c>
      <c r="Z14" t="s">
        <v>1250</v>
      </c>
      <c r="AA14" t="s">
        <v>599</v>
      </c>
      <c r="AB14" t="s">
        <v>599</v>
      </c>
      <c r="AC14" t="s">
        <v>1264</v>
      </c>
      <c r="AD14" t="s">
        <v>1188</v>
      </c>
      <c r="AE14" t="s">
        <v>1265</v>
      </c>
      <c r="AF14" t="s">
        <v>1190</v>
      </c>
    </row>
    <row r="15" spans="1:32" s="13" customFormat="1" ht="45" x14ac:dyDescent="0.25">
      <c r="A15" s="10">
        <v>382972</v>
      </c>
      <c r="B15" s="10">
        <v>1</v>
      </c>
      <c r="C15" s="9">
        <v>14</v>
      </c>
      <c r="D15" s="56" t="s">
        <v>646</v>
      </c>
      <c r="E15" s="12" t="s">
        <v>29</v>
      </c>
      <c r="F15" s="45"/>
      <c r="G15" s="45"/>
      <c r="H15" s="45"/>
      <c r="I15">
        <v>382972</v>
      </c>
      <c r="J15" t="s">
        <v>28</v>
      </c>
      <c r="K15" t="s">
        <v>1266</v>
      </c>
      <c r="L15" t="s">
        <v>1178</v>
      </c>
      <c r="M15" t="s">
        <v>1192</v>
      </c>
      <c r="N15" t="s">
        <v>599</v>
      </c>
      <c r="O15" t="s">
        <v>1267</v>
      </c>
      <c r="P15" t="s">
        <v>1268</v>
      </c>
      <c r="Q15" t="s">
        <v>599</v>
      </c>
      <c r="R15" t="s">
        <v>1182</v>
      </c>
      <c r="S15" t="s">
        <v>1221</v>
      </c>
      <c r="T15">
        <v>1880</v>
      </c>
      <c r="U15">
        <v>1880</v>
      </c>
      <c r="V15" t="s">
        <v>599</v>
      </c>
      <c r="W15" t="s">
        <v>1269</v>
      </c>
      <c r="X15" t="s">
        <v>599</v>
      </c>
      <c r="Y15" t="s">
        <v>599</v>
      </c>
      <c r="Z15" t="s">
        <v>599</v>
      </c>
      <c r="AA15" t="s">
        <v>599</v>
      </c>
      <c r="AB15" t="s">
        <v>599</v>
      </c>
      <c r="AC15" t="s">
        <v>1270</v>
      </c>
      <c r="AD15" t="s">
        <v>1188</v>
      </c>
      <c r="AE15" t="s">
        <v>1271</v>
      </c>
      <c r="AF15" t="s">
        <v>1190</v>
      </c>
    </row>
    <row r="16" spans="1:32" s="13" customFormat="1" ht="45" x14ac:dyDescent="0.25">
      <c r="A16" s="10">
        <v>382978</v>
      </c>
      <c r="B16" s="10">
        <v>1</v>
      </c>
      <c r="C16" s="9">
        <v>7</v>
      </c>
      <c r="D16" s="56" t="s">
        <v>647</v>
      </c>
      <c r="E16" s="12" t="s">
        <v>31</v>
      </c>
      <c r="F16" s="45"/>
      <c r="G16" s="45"/>
      <c r="H16" s="45"/>
      <c r="I16">
        <v>382978</v>
      </c>
      <c r="J16" t="s">
        <v>30</v>
      </c>
      <c r="K16" t="s">
        <v>1272</v>
      </c>
      <c r="L16" t="s">
        <v>1178</v>
      </c>
      <c r="M16" t="s">
        <v>1192</v>
      </c>
      <c r="N16" t="s">
        <v>599</v>
      </c>
      <c r="O16" t="s">
        <v>1273</v>
      </c>
      <c r="P16" t="s">
        <v>1274</v>
      </c>
      <c r="Q16" t="s">
        <v>599</v>
      </c>
      <c r="R16" t="s">
        <v>1182</v>
      </c>
      <c r="S16" t="s">
        <v>1275</v>
      </c>
      <c r="T16">
        <v>1880</v>
      </c>
      <c r="U16">
        <v>1880</v>
      </c>
      <c r="V16" t="s">
        <v>1276</v>
      </c>
      <c r="W16" t="s">
        <v>599</v>
      </c>
      <c r="X16" t="s">
        <v>599</v>
      </c>
      <c r="Y16" t="s">
        <v>599</v>
      </c>
      <c r="Z16" t="s">
        <v>1250</v>
      </c>
      <c r="AA16" t="s">
        <v>599</v>
      </c>
      <c r="AB16" t="s">
        <v>599</v>
      </c>
      <c r="AC16" t="s">
        <v>1277</v>
      </c>
      <c r="AD16" t="s">
        <v>1188</v>
      </c>
      <c r="AE16" t="s">
        <v>1278</v>
      </c>
      <c r="AF16" t="s">
        <v>1190</v>
      </c>
    </row>
    <row r="17" spans="1:32" s="13" customFormat="1" ht="45" x14ac:dyDescent="0.25">
      <c r="A17" s="10">
        <v>382978</v>
      </c>
      <c r="B17" s="10">
        <v>1</v>
      </c>
      <c r="C17" s="9">
        <v>13</v>
      </c>
      <c r="D17" s="56" t="s">
        <v>648</v>
      </c>
      <c r="E17" s="12" t="s">
        <v>31</v>
      </c>
      <c r="F17" s="45"/>
      <c r="G17" s="45"/>
      <c r="H17" s="45"/>
      <c r="I17">
        <v>382978</v>
      </c>
      <c r="J17" t="s">
        <v>30</v>
      </c>
      <c r="K17" t="s">
        <v>1272</v>
      </c>
      <c r="L17" t="s">
        <v>1178</v>
      </c>
      <c r="M17" t="s">
        <v>1192</v>
      </c>
      <c r="N17" t="s">
        <v>599</v>
      </c>
      <c r="O17" t="s">
        <v>1273</v>
      </c>
      <c r="P17" t="s">
        <v>1274</v>
      </c>
      <c r="Q17" t="s">
        <v>599</v>
      </c>
      <c r="R17" t="s">
        <v>1182</v>
      </c>
      <c r="S17" t="s">
        <v>1275</v>
      </c>
      <c r="T17">
        <v>1880</v>
      </c>
      <c r="U17">
        <v>1880</v>
      </c>
      <c r="V17" t="s">
        <v>1276</v>
      </c>
      <c r="W17" t="s">
        <v>599</v>
      </c>
      <c r="X17" t="s">
        <v>599</v>
      </c>
      <c r="Y17" t="s">
        <v>599</v>
      </c>
      <c r="Z17" t="s">
        <v>1250</v>
      </c>
      <c r="AA17" t="s">
        <v>599</v>
      </c>
      <c r="AB17" t="s">
        <v>599</v>
      </c>
      <c r="AC17" t="s">
        <v>1277</v>
      </c>
      <c r="AD17" t="s">
        <v>1188</v>
      </c>
      <c r="AE17" t="s">
        <v>1278</v>
      </c>
      <c r="AF17" t="s">
        <v>1190</v>
      </c>
    </row>
    <row r="18" spans="1:32" s="13" customFormat="1" ht="45" x14ac:dyDescent="0.25">
      <c r="A18" s="10">
        <v>382978</v>
      </c>
      <c r="B18" s="10">
        <v>1</v>
      </c>
      <c r="C18" s="9">
        <v>15</v>
      </c>
      <c r="D18" s="56" t="s">
        <v>649</v>
      </c>
      <c r="E18" s="12" t="s">
        <v>31</v>
      </c>
      <c r="F18" s="45"/>
      <c r="G18" s="45"/>
      <c r="H18" s="45"/>
      <c r="I18">
        <v>382978</v>
      </c>
      <c r="J18" t="s">
        <v>30</v>
      </c>
      <c r="K18" t="s">
        <v>1272</v>
      </c>
      <c r="L18" t="s">
        <v>1178</v>
      </c>
      <c r="M18" t="s">
        <v>1192</v>
      </c>
      <c r="N18" t="s">
        <v>599</v>
      </c>
      <c r="O18" t="s">
        <v>1273</v>
      </c>
      <c r="P18" t="s">
        <v>1274</v>
      </c>
      <c r="Q18" t="s">
        <v>599</v>
      </c>
      <c r="R18" t="s">
        <v>1182</v>
      </c>
      <c r="S18" t="s">
        <v>1275</v>
      </c>
      <c r="T18">
        <v>1880</v>
      </c>
      <c r="U18">
        <v>1880</v>
      </c>
      <c r="V18" t="s">
        <v>1276</v>
      </c>
      <c r="W18" t="s">
        <v>599</v>
      </c>
      <c r="X18" t="s">
        <v>599</v>
      </c>
      <c r="Y18" t="s">
        <v>599</v>
      </c>
      <c r="Z18" t="s">
        <v>1250</v>
      </c>
      <c r="AA18" t="s">
        <v>599</v>
      </c>
      <c r="AB18" t="s">
        <v>599</v>
      </c>
      <c r="AC18" t="s">
        <v>1277</v>
      </c>
      <c r="AD18" t="s">
        <v>1188</v>
      </c>
      <c r="AE18" t="s">
        <v>1278</v>
      </c>
      <c r="AF18" t="s">
        <v>1190</v>
      </c>
    </row>
    <row r="19" spans="1:32" s="13" customFormat="1" ht="45" x14ac:dyDescent="0.25">
      <c r="A19" s="10">
        <v>382981</v>
      </c>
      <c r="B19" s="10">
        <v>1</v>
      </c>
      <c r="C19" s="9">
        <v>9</v>
      </c>
      <c r="D19" s="56" t="s">
        <v>650</v>
      </c>
      <c r="E19" s="12">
        <v>9</v>
      </c>
      <c r="F19" s="45"/>
      <c r="G19" s="45"/>
      <c r="H19" s="45"/>
      <c r="I19">
        <v>382981</v>
      </c>
      <c r="J19" t="s">
        <v>33</v>
      </c>
      <c r="K19" t="s">
        <v>1279</v>
      </c>
      <c r="L19" t="s">
        <v>1178</v>
      </c>
      <c r="M19" t="s">
        <v>1192</v>
      </c>
      <c r="N19" t="s">
        <v>599</v>
      </c>
      <c r="O19" t="s">
        <v>1280</v>
      </c>
      <c r="P19" t="s">
        <v>599</v>
      </c>
      <c r="Q19" t="s">
        <v>599</v>
      </c>
      <c r="R19" t="s">
        <v>1182</v>
      </c>
      <c r="S19" t="s">
        <v>1281</v>
      </c>
      <c r="T19">
        <v>1881</v>
      </c>
      <c r="U19">
        <v>1881</v>
      </c>
      <c r="V19" t="s">
        <v>599</v>
      </c>
      <c r="W19" t="s">
        <v>599</v>
      </c>
      <c r="X19" t="s">
        <v>599</v>
      </c>
      <c r="Y19" t="s">
        <v>599</v>
      </c>
      <c r="Z19" t="s">
        <v>599</v>
      </c>
      <c r="AA19" t="s">
        <v>599</v>
      </c>
      <c r="AB19" t="s">
        <v>1282</v>
      </c>
      <c r="AC19" t="s">
        <v>1283</v>
      </c>
      <c r="AD19" t="s">
        <v>1188</v>
      </c>
      <c r="AE19" t="s">
        <v>1284</v>
      </c>
      <c r="AF19" t="s">
        <v>1190</v>
      </c>
    </row>
    <row r="20" spans="1:32" s="13" customFormat="1" ht="45" x14ac:dyDescent="0.25">
      <c r="A20" s="10">
        <v>385945</v>
      </c>
      <c r="B20" s="10">
        <v>1</v>
      </c>
      <c r="C20" s="9">
        <v>15</v>
      </c>
      <c r="D20" s="56" t="s">
        <v>651</v>
      </c>
      <c r="E20" s="12" t="s">
        <v>35</v>
      </c>
      <c r="F20" s="45"/>
      <c r="G20" s="45"/>
      <c r="H20" s="45"/>
      <c r="I20">
        <v>385945</v>
      </c>
      <c r="J20" t="s">
        <v>34</v>
      </c>
      <c r="K20" t="s">
        <v>1285</v>
      </c>
      <c r="L20" t="s">
        <v>1178</v>
      </c>
      <c r="M20" t="s">
        <v>1218</v>
      </c>
      <c r="N20" t="s">
        <v>1192</v>
      </c>
      <c r="O20" t="s">
        <v>1286</v>
      </c>
      <c r="P20" t="s">
        <v>599</v>
      </c>
      <c r="Q20" t="s">
        <v>599</v>
      </c>
      <c r="R20" t="s">
        <v>1182</v>
      </c>
      <c r="S20" t="s">
        <v>1287</v>
      </c>
      <c r="T20">
        <v>1880</v>
      </c>
      <c r="U20">
        <v>1880</v>
      </c>
      <c r="V20" t="s">
        <v>1288</v>
      </c>
      <c r="W20" t="s">
        <v>599</v>
      </c>
      <c r="X20" t="s">
        <v>599</v>
      </c>
      <c r="Y20" t="s">
        <v>599</v>
      </c>
      <c r="Z20" t="s">
        <v>1289</v>
      </c>
      <c r="AA20" t="s">
        <v>599</v>
      </c>
      <c r="AB20" t="s">
        <v>599</v>
      </c>
      <c r="AC20" t="s">
        <v>1290</v>
      </c>
      <c r="AD20" t="s">
        <v>1188</v>
      </c>
      <c r="AE20" t="s">
        <v>1291</v>
      </c>
      <c r="AF20" t="s">
        <v>1190</v>
      </c>
    </row>
    <row r="21" spans="1:32" s="13" customFormat="1" ht="45" x14ac:dyDescent="0.25">
      <c r="A21" s="10">
        <v>385949</v>
      </c>
      <c r="B21" s="10">
        <v>1</v>
      </c>
      <c r="C21" s="9">
        <v>1</v>
      </c>
      <c r="D21" s="56" t="s">
        <v>652</v>
      </c>
      <c r="E21" s="12">
        <v>1</v>
      </c>
      <c r="F21" s="45"/>
      <c r="G21" s="45"/>
      <c r="H21" s="45"/>
      <c r="I21">
        <v>385949</v>
      </c>
      <c r="J21" t="s">
        <v>36</v>
      </c>
      <c r="K21" t="s">
        <v>1292</v>
      </c>
      <c r="L21" t="s">
        <v>1178</v>
      </c>
      <c r="M21" t="s">
        <v>1192</v>
      </c>
      <c r="N21" t="s">
        <v>599</v>
      </c>
      <c r="O21" t="s">
        <v>1293</v>
      </c>
      <c r="P21" t="s">
        <v>1294</v>
      </c>
      <c r="Q21" t="s">
        <v>599</v>
      </c>
      <c r="R21" t="s">
        <v>1182</v>
      </c>
      <c r="S21" t="s">
        <v>1295</v>
      </c>
      <c r="T21">
        <v>1880</v>
      </c>
      <c r="U21">
        <v>1880</v>
      </c>
      <c r="V21" t="s">
        <v>599</v>
      </c>
      <c r="W21" t="s">
        <v>599</v>
      </c>
      <c r="X21" t="s">
        <v>1296</v>
      </c>
      <c r="Y21" t="s">
        <v>599</v>
      </c>
      <c r="Z21" t="s">
        <v>599</v>
      </c>
      <c r="AA21" t="s">
        <v>599</v>
      </c>
      <c r="AB21" t="s">
        <v>599</v>
      </c>
      <c r="AC21" t="s">
        <v>1297</v>
      </c>
      <c r="AD21" t="s">
        <v>1188</v>
      </c>
      <c r="AE21" t="s">
        <v>1298</v>
      </c>
      <c r="AF21" t="s">
        <v>1190</v>
      </c>
    </row>
    <row r="22" spans="1:32" s="13" customFormat="1" ht="45" x14ac:dyDescent="0.25">
      <c r="A22" s="10">
        <v>386935</v>
      </c>
      <c r="B22" s="10">
        <v>1</v>
      </c>
      <c r="C22" s="9">
        <v>1</v>
      </c>
      <c r="D22" s="56" t="s">
        <v>653</v>
      </c>
      <c r="E22" s="12">
        <v>1</v>
      </c>
      <c r="F22" s="45"/>
      <c r="G22" s="45"/>
      <c r="H22" s="45"/>
      <c r="I22">
        <v>386935</v>
      </c>
      <c r="J22" t="s">
        <v>37</v>
      </c>
      <c r="K22" t="s">
        <v>1299</v>
      </c>
      <c r="L22" t="s">
        <v>1178</v>
      </c>
      <c r="M22" t="s">
        <v>1192</v>
      </c>
      <c r="N22" t="s">
        <v>599</v>
      </c>
      <c r="O22" t="s">
        <v>1300</v>
      </c>
      <c r="P22" t="s">
        <v>1301</v>
      </c>
      <c r="Q22" t="s">
        <v>599</v>
      </c>
      <c r="R22" t="s">
        <v>1182</v>
      </c>
      <c r="S22" t="s">
        <v>1302</v>
      </c>
      <c r="T22">
        <v>1880</v>
      </c>
      <c r="U22">
        <v>1880</v>
      </c>
      <c r="V22" t="s">
        <v>599</v>
      </c>
      <c r="W22" t="s">
        <v>599</v>
      </c>
      <c r="X22" t="s">
        <v>599</v>
      </c>
      <c r="Y22" t="s">
        <v>599</v>
      </c>
      <c r="Z22" t="s">
        <v>599</v>
      </c>
      <c r="AA22" t="s">
        <v>599</v>
      </c>
      <c r="AB22" t="s">
        <v>599</v>
      </c>
      <c r="AC22" t="s">
        <v>1303</v>
      </c>
      <c r="AD22" t="s">
        <v>1188</v>
      </c>
      <c r="AE22" t="s">
        <v>1304</v>
      </c>
      <c r="AF22" t="s">
        <v>1190</v>
      </c>
    </row>
    <row r="23" spans="1:32" s="13" customFormat="1" ht="45" x14ac:dyDescent="0.25">
      <c r="A23" s="10">
        <v>386992</v>
      </c>
      <c r="B23" s="10">
        <v>1</v>
      </c>
      <c r="C23" s="9">
        <v>1</v>
      </c>
      <c r="D23" s="56" t="s">
        <v>654</v>
      </c>
      <c r="E23" s="12">
        <v>1</v>
      </c>
      <c r="F23" s="45"/>
      <c r="G23" s="45"/>
      <c r="H23" s="45"/>
      <c r="I23">
        <v>386992</v>
      </c>
      <c r="J23" t="s">
        <v>38</v>
      </c>
      <c r="K23" t="s">
        <v>1305</v>
      </c>
      <c r="L23" t="s">
        <v>1178</v>
      </c>
      <c r="M23" t="s">
        <v>1192</v>
      </c>
      <c r="N23" t="s">
        <v>599</v>
      </c>
      <c r="O23" t="s">
        <v>1306</v>
      </c>
      <c r="P23" t="s">
        <v>599</v>
      </c>
      <c r="Q23" t="s">
        <v>599</v>
      </c>
      <c r="R23" t="s">
        <v>1182</v>
      </c>
      <c r="S23" t="s">
        <v>1307</v>
      </c>
      <c r="T23">
        <v>1880</v>
      </c>
      <c r="U23">
        <v>1880</v>
      </c>
      <c r="V23" t="s">
        <v>599</v>
      </c>
      <c r="W23" t="s">
        <v>599</v>
      </c>
      <c r="X23" t="s">
        <v>599</v>
      </c>
      <c r="Y23" t="s">
        <v>599</v>
      </c>
      <c r="Z23" t="s">
        <v>1250</v>
      </c>
      <c r="AA23" t="s">
        <v>599</v>
      </c>
      <c r="AB23" t="s">
        <v>1308</v>
      </c>
      <c r="AC23" t="s">
        <v>1309</v>
      </c>
      <c r="AD23" t="s">
        <v>1188</v>
      </c>
      <c r="AE23" t="s">
        <v>1310</v>
      </c>
      <c r="AF23" t="s">
        <v>1190</v>
      </c>
    </row>
    <row r="24" spans="1:32" s="13" customFormat="1" ht="45" x14ac:dyDescent="0.25">
      <c r="A24" s="10">
        <v>396405</v>
      </c>
      <c r="B24" s="10">
        <v>1</v>
      </c>
      <c r="C24" s="9">
        <v>1</v>
      </c>
      <c r="D24" s="56" t="s">
        <v>655</v>
      </c>
      <c r="E24" s="12">
        <v>1</v>
      </c>
      <c r="F24" s="45"/>
      <c r="G24" s="45"/>
      <c r="H24" s="45"/>
      <c r="I24">
        <v>396405</v>
      </c>
      <c r="J24" t="s">
        <v>39</v>
      </c>
      <c r="K24" t="s">
        <v>1311</v>
      </c>
      <c r="L24" t="s">
        <v>1312</v>
      </c>
      <c r="M24" t="s">
        <v>1192</v>
      </c>
      <c r="N24" t="s">
        <v>599</v>
      </c>
      <c r="O24" t="s">
        <v>1313</v>
      </c>
      <c r="P24" t="s">
        <v>599</v>
      </c>
      <c r="Q24" t="s">
        <v>599</v>
      </c>
      <c r="R24" t="s">
        <v>1182</v>
      </c>
      <c r="S24" t="s">
        <v>1314</v>
      </c>
      <c r="T24">
        <v>1992</v>
      </c>
      <c r="U24">
        <v>1992</v>
      </c>
      <c r="V24" t="s">
        <v>1315</v>
      </c>
      <c r="W24" t="s">
        <v>1316</v>
      </c>
      <c r="X24" t="s">
        <v>599</v>
      </c>
      <c r="Y24" t="s">
        <v>599</v>
      </c>
      <c r="Z24" t="s">
        <v>599</v>
      </c>
      <c r="AA24" t="s">
        <v>599</v>
      </c>
      <c r="AB24" t="s">
        <v>599</v>
      </c>
      <c r="AC24" t="s">
        <v>1317</v>
      </c>
      <c r="AD24" t="s">
        <v>599</v>
      </c>
      <c r="AE24" t="s">
        <v>1318</v>
      </c>
      <c r="AF24" t="s">
        <v>1319</v>
      </c>
    </row>
    <row r="25" spans="1:32" s="26" customFormat="1" ht="45" x14ac:dyDescent="0.25">
      <c r="A25" s="23">
        <v>397670</v>
      </c>
      <c r="B25" s="23">
        <v>1</v>
      </c>
      <c r="C25" s="27">
        <v>11</v>
      </c>
      <c r="D25" s="53" t="s">
        <v>656</v>
      </c>
      <c r="E25" s="25" t="s">
        <v>41</v>
      </c>
      <c r="F25" s="45"/>
      <c r="G25" s="45"/>
      <c r="H25" s="45"/>
      <c r="I25">
        <v>397670</v>
      </c>
      <c r="J25" t="s">
        <v>40</v>
      </c>
      <c r="K25" t="s">
        <v>1320</v>
      </c>
      <c r="L25" t="s">
        <v>1178</v>
      </c>
      <c r="M25" t="s">
        <v>1321</v>
      </c>
      <c r="N25" t="s">
        <v>599</v>
      </c>
      <c r="O25" t="s">
        <v>1322</v>
      </c>
      <c r="P25" t="s">
        <v>599</v>
      </c>
      <c r="Q25" t="s">
        <v>599</v>
      </c>
      <c r="R25" t="s">
        <v>1182</v>
      </c>
      <c r="S25" t="s">
        <v>1323</v>
      </c>
      <c r="T25">
        <v>1880</v>
      </c>
      <c r="U25">
        <v>1880</v>
      </c>
      <c r="V25" t="s">
        <v>1324</v>
      </c>
      <c r="W25" t="s">
        <v>1185</v>
      </c>
      <c r="X25" t="s">
        <v>599</v>
      </c>
      <c r="Y25" t="s">
        <v>599</v>
      </c>
      <c r="Z25" t="s">
        <v>1325</v>
      </c>
      <c r="AA25" t="s">
        <v>599</v>
      </c>
      <c r="AB25" t="s">
        <v>599</v>
      </c>
      <c r="AC25" t="s">
        <v>1326</v>
      </c>
      <c r="AD25" t="s">
        <v>1188</v>
      </c>
      <c r="AE25" t="s">
        <v>1327</v>
      </c>
      <c r="AF25" t="s">
        <v>1190</v>
      </c>
    </row>
    <row r="26" spans="1:32" s="13" customFormat="1" ht="45" x14ac:dyDescent="0.25">
      <c r="A26" s="10">
        <v>397818</v>
      </c>
      <c r="B26" s="10">
        <v>1</v>
      </c>
      <c r="C26" s="9">
        <v>6</v>
      </c>
      <c r="D26" s="56" t="s">
        <v>657</v>
      </c>
      <c r="E26" s="12" t="s">
        <v>43</v>
      </c>
      <c r="F26" s="45"/>
      <c r="G26" s="45"/>
      <c r="H26" s="45"/>
      <c r="I26">
        <v>397818</v>
      </c>
      <c r="J26" t="s">
        <v>42</v>
      </c>
      <c r="K26" t="s">
        <v>1329</v>
      </c>
      <c r="L26" t="s">
        <v>1178</v>
      </c>
      <c r="M26" t="s">
        <v>1192</v>
      </c>
      <c r="N26" t="s">
        <v>599</v>
      </c>
      <c r="O26" t="s">
        <v>1193</v>
      </c>
      <c r="P26" t="s">
        <v>1330</v>
      </c>
      <c r="Q26" t="s">
        <v>599</v>
      </c>
      <c r="R26" t="s">
        <v>1331</v>
      </c>
      <c r="S26" t="s">
        <v>1332</v>
      </c>
      <c r="T26">
        <v>1891</v>
      </c>
      <c r="U26">
        <v>1891</v>
      </c>
      <c r="V26" t="s">
        <v>1333</v>
      </c>
      <c r="W26" t="s">
        <v>1185</v>
      </c>
      <c r="X26" t="s">
        <v>599</v>
      </c>
      <c r="Y26" t="s">
        <v>599</v>
      </c>
      <c r="Z26" t="s">
        <v>1334</v>
      </c>
      <c r="AA26" t="s">
        <v>599</v>
      </c>
      <c r="AB26" t="s">
        <v>599</v>
      </c>
      <c r="AC26" t="s">
        <v>1335</v>
      </c>
      <c r="AD26" t="s">
        <v>1188</v>
      </c>
      <c r="AE26" t="s">
        <v>1336</v>
      </c>
      <c r="AF26" t="s">
        <v>1190</v>
      </c>
    </row>
    <row r="27" spans="1:32" s="26" customFormat="1" ht="45" x14ac:dyDescent="0.25">
      <c r="A27" s="23">
        <v>397822</v>
      </c>
      <c r="B27" s="23">
        <v>1</v>
      </c>
      <c r="C27" s="27">
        <v>7</v>
      </c>
      <c r="D27" s="53" t="s">
        <v>658</v>
      </c>
      <c r="E27" s="25" t="s">
        <v>45</v>
      </c>
      <c r="F27" s="45"/>
      <c r="G27" s="45"/>
      <c r="H27" s="45"/>
      <c r="I27">
        <v>397822</v>
      </c>
      <c r="J27" t="s">
        <v>44</v>
      </c>
      <c r="K27" t="s">
        <v>1337</v>
      </c>
      <c r="L27" t="s">
        <v>1178</v>
      </c>
      <c r="M27" t="s">
        <v>1192</v>
      </c>
      <c r="N27" t="s">
        <v>599</v>
      </c>
      <c r="O27" t="s">
        <v>1193</v>
      </c>
      <c r="P27" t="s">
        <v>599</v>
      </c>
      <c r="Q27" t="s">
        <v>599</v>
      </c>
      <c r="R27" t="s">
        <v>1338</v>
      </c>
      <c r="S27" t="s">
        <v>1339</v>
      </c>
      <c r="T27">
        <v>1898</v>
      </c>
      <c r="U27">
        <v>1898</v>
      </c>
      <c r="V27" t="s">
        <v>1340</v>
      </c>
      <c r="W27" t="s">
        <v>1185</v>
      </c>
      <c r="X27" t="s">
        <v>599</v>
      </c>
      <c r="Y27" t="s">
        <v>599</v>
      </c>
      <c r="Z27" t="s">
        <v>599</v>
      </c>
      <c r="AA27" t="s">
        <v>599</v>
      </c>
      <c r="AB27" t="s">
        <v>599</v>
      </c>
      <c r="AC27" t="s">
        <v>1341</v>
      </c>
      <c r="AD27" t="s">
        <v>1188</v>
      </c>
      <c r="AE27" t="s">
        <v>1342</v>
      </c>
      <c r="AF27" t="s">
        <v>1190</v>
      </c>
    </row>
    <row r="28" spans="1:32" s="26" customFormat="1" ht="45" x14ac:dyDescent="0.25">
      <c r="A28" s="23">
        <v>397852</v>
      </c>
      <c r="B28" s="23">
        <v>1</v>
      </c>
      <c r="C28" s="27">
        <v>14</v>
      </c>
      <c r="D28" s="53" t="s">
        <v>659</v>
      </c>
      <c r="E28" s="25" t="s">
        <v>47</v>
      </c>
      <c r="F28" s="45"/>
      <c r="G28" s="45"/>
      <c r="H28" s="45"/>
      <c r="I28">
        <v>397852</v>
      </c>
      <c r="J28" t="s">
        <v>46</v>
      </c>
      <c r="K28" t="s">
        <v>1343</v>
      </c>
      <c r="L28" t="s">
        <v>1178</v>
      </c>
      <c r="M28" t="s">
        <v>1344</v>
      </c>
      <c r="N28" t="s">
        <v>599</v>
      </c>
      <c r="O28" t="s">
        <v>1345</v>
      </c>
      <c r="P28" t="s">
        <v>1346</v>
      </c>
      <c r="Q28" t="s">
        <v>599</v>
      </c>
      <c r="R28" t="s">
        <v>1347</v>
      </c>
      <c r="S28" t="s">
        <v>1221</v>
      </c>
      <c r="T28">
        <v>1887</v>
      </c>
      <c r="U28">
        <v>1887</v>
      </c>
      <c r="V28" t="s">
        <v>1348</v>
      </c>
      <c r="W28" t="s">
        <v>1185</v>
      </c>
      <c r="X28" t="s">
        <v>599</v>
      </c>
      <c r="Y28" t="s">
        <v>599</v>
      </c>
      <c r="Z28" t="s">
        <v>1349</v>
      </c>
      <c r="AA28" t="s">
        <v>599</v>
      </c>
      <c r="AB28" t="s">
        <v>599</v>
      </c>
      <c r="AC28" t="s">
        <v>1350</v>
      </c>
      <c r="AD28" t="s">
        <v>1188</v>
      </c>
      <c r="AE28" t="s">
        <v>1351</v>
      </c>
      <c r="AF28" t="s">
        <v>1190</v>
      </c>
    </row>
    <row r="29" spans="1:32" s="26" customFormat="1" ht="45" x14ac:dyDescent="0.25">
      <c r="A29" s="23">
        <v>397863</v>
      </c>
      <c r="B29" s="23">
        <v>1</v>
      </c>
      <c r="C29" s="27">
        <v>11</v>
      </c>
      <c r="D29" s="53" t="s">
        <v>660</v>
      </c>
      <c r="E29" s="25" t="s">
        <v>49</v>
      </c>
      <c r="F29" s="45"/>
      <c r="G29" s="45"/>
      <c r="H29" s="45"/>
      <c r="I29">
        <v>397863</v>
      </c>
      <c r="J29" t="s">
        <v>48</v>
      </c>
      <c r="K29" t="s">
        <v>1353</v>
      </c>
      <c r="L29" t="s">
        <v>1178</v>
      </c>
      <c r="M29" t="s">
        <v>1192</v>
      </c>
      <c r="N29" t="s">
        <v>599</v>
      </c>
      <c r="O29" t="s">
        <v>1354</v>
      </c>
      <c r="P29" t="s">
        <v>599</v>
      </c>
      <c r="Q29" t="s">
        <v>599</v>
      </c>
      <c r="R29" t="s">
        <v>1355</v>
      </c>
      <c r="S29" t="s">
        <v>1356</v>
      </c>
      <c r="T29">
        <v>1884</v>
      </c>
      <c r="U29">
        <v>1884</v>
      </c>
      <c r="V29" t="s">
        <v>1357</v>
      </c>
      <c r="W29" t="s">
        <v>1185</v>
      </c>
      <c r="X29" t="s">
        <v>599</v>
      </c>
      <c r="Y29" t="s">
        <v>599</v>
      </c>
      <c r="Z29" t="s">
        <v>1358</v>
      </c>
      <c r="AA29" t="s">
        <v>599</v>
      </c>
      <c r="AB29" t="s">
        <v>599</v>
      </c>
      <c r="AC29" t="s">
        <v>1359</v>
      </c>
      <c r="AD29" t="s">
        <v>1188</v>
      </c>
      <c r="AE29" t="s">
        <v>1360</v>
      </c>
      <c r="AF29" t="s">
        <v>1190</v>
      </c>
    </row>
    <row r="30" spans="1:32" s="26" customFormat="1" ht="45" x14ac:dyDescent="0.25">
      <c r="A30" s="23">
        <v>397876</v>
      </c>
      <c r="B30" s="23">
        <v>1</v>
      </c>
      <c r="C30" s="27">
        <v>9</v>
      </c>
      <c r="D30" s="53" t="s">
        <v>661</v>
      </c>
      <c r="E30" s="25">
        <v>9</v>
      </c>
      <c r="F30" s="45"/>
      <c r="G30" s="45"/>
      <c r="H30" s="45"/>
      <c r="I30">
        <v>397876</v>
      </c>
      <c r="J30" t="s">
        <v>50</v>
      </c>
      <c r="K30" t="s">
        <v>1361</v>
      </c>
      <c r="L30" t="s">
        <v>1178</v>
      </c>
      <c r="M30" t="s">
        <v>1362</v>
      </c>
      <c r="N30" t="s">
        <v>1192</v>
      </c>
      <c r="O30" t="s">
        <v>1363</v>
      </c>
      <c r="P30" t="s">
        <v>599</v>
      </c>
      <c r="Q30" t="s">
        <v>599</v>
      </c>
      <c r="R30" t="s">
        <v>1182</v>
      </c>
      <c r="S30" t="s">
        <v>1364</v>
      </c>
      <c r="T30">
        <v>1879</v>
      </c>
      <c r="U30">
        <v>1879</v>
      </c>
      <c r="V30" t="s">
        <v>1365</v>
      </c>
      <c r="W30" t="s">
        <v>1185</v>
      </c>
      <c r="X30" t="s">
        <v>599</v>
      </c>
      <c r="Y30" t="s">
        <v>599</v>
      </c>
      <c r="Z30" t="s">
        <v>1366</v>
      </c>
      <c r="AA30" t="s">
        <v>599</v>
      </c>
      <c r="AB30" t="s">
        <v>599</v>
      </c>
      <c r="AC30" t="s">
        <v>1367</v>
      </c>
      <c r="AD30" t="s">
        <v>1188</v>
      </c>
      <c r="AE30" t="s">
        <v>1368</v>
      </c>
      <c r="AF30" t="s">
        <v>1190</v>
      </c>
    </row>
    <row r="31" spans="1:32" s="13" customFormat="1" ht="45" x14ac:dyDescent="0.25">
      <c r="A31" s="10">
        <v>397877</v>
      </c>
      <c r="B31" s="10">
        <v>1</v>
      </c>
      <c r="C31" s="9">
        <v>9</v>
      </c>
      <c r="D31" s="56" t="s">
        <v>662</v>
      </c>
      <c r="E31" s="12" t="s">
        <v>52</v>
      </c>
      <c r="F31" s="45"/>
      <c r="G31" s="45"/>
      <c r="H31" s="45"/>
      <c r="I31">
        <v>397877</v>
      </c>
      <c r="J31" t="s">
        <v>51</v>
      </c>
      <c r="K31" t="s">
        <v>1369</v>
      </c>
      <c r="L31" t="s">
        <v>1178</v>
      </c>
      <c r="M31" t="s">
        <v>1192</v>
      </c>
      <c r="N31" t="s">
        <v>599</v>
      </c>
      <c r="O31" t="s">
        <v>1370</v>
      </c>
      <c r="P31" t="s">
        <v>599</v>
      </c>
      <c r="Q31" t="s">
        <v>599</v>
      </c>
      <c r="R31" t="s">
        <v>1182</v>
      </c>
      <c r="S31" t="s">
        <v>1371</v>
      </c>
      <c r="T31">
        <v>1894</v>
      </c>
      <c r="U31">
        <v>1894</v>
      </c>
      <c r="V31" t="s">
        <v>1372</v>
      </c>
      <c r="W31" t="s">
        <v>1185</v>
      </c>
      <c r="X31" t="s">
        <v>599</v>
      </c>
      <c r="Y31" t="s">
        <v>599</v>
      </c>
      <c r="Z31" t="s">
        <v>1373</v>
      </c>
      <c r="AA31" t="s">
        <v>599</v>
      </c>
      <c r="AB31" t="s">
        <v>599</v>
      </c>
      <c r="AC31" t="s">
        <v>1374</v>
      </c>
      <c r="AD31" t="s">
        <v>1188</v>
      </c>
      <c r="AE31" t="s">
        <v>1375</v>
      </c>
      <c r="AF31" t="s">
        <v>1190</v>
      </c>
    </row>
    <row r="32" spans="1:32" s="13" customFormat="1" ht="45" x14ac:dyDescent="0.25">
      <c r="A32" s="10">
        <v>401648</v>
      </c>
      <c r="B32" s="10">
        <v>1</v>
      </c>
      <c r="C32" s="9">
        <v>3</v>
      </c>
      <c r="D32" s="56" t="s">
        <v>663</v>
      </c>
      <c r="E32" s="12" t="s">
        <v>54</v>
      </c>
      <c r="F32" s="45"/>
      <c r="G32" s="45"/>
      <c r="H32" s="45"/>
      <c r="I32">
        <v>401648</v>
      </c>
      <c r="J32" t="s">
        <v>53</v>
      </c>
      <c r="K32" t="s">
        <v>1376</v>
      </c>
      <c r="L32" t="s">
        <v>1226</v>
      </c>
      <c r="M32" t="s">
        <v>1192</v>
      </c>
      <c r="N32" t="s">
        <v>599</v>
      </c>
      <c r="O32" t="s">
        <v>1377</v>
      </c>
      <c r="P32" t="s">
        <v>1378</v>
      </c>
      <c r="Q32" t="s">
        <v>599</v>
      </c>
      <c r="R32" t="s">
        <v>1182</v>
      </c>
      <c r="S32" t="s">
        <v>1379</v>
      </c>
      <c r="T32">
        <v>1881</v>
      </c>
      <c r="U32">
        <v>1881</v>
      </c>
      <c r="V32" t="s">
        <v>599</v>
      </c>
      <c r="W32" t="s">
        <v>599</v>
      </c>
      <c r="X32" t="s">
        <v>599</v>
      </c>
      <c r="Y32" t="s">
        <v>599</v>
      </c>
      <c r="Z32" t="s">
        <v>599</v>
      </c>
      <c r="AA32" t="s">
        <v>599</v>
      </c>
      <c r="AB32" t="s">
        <v>599</v>
      </c>
      <c r="AC32" t="s">
        <v>1380</v>
      </c>
      <c r="AD32" t="s">
        <v>1188</v>
      </c>
      <c r="AE32" t="s">
        <v>1381</v>
      </c>
      <c r="AF32" t="s">
        <v>1190</v>
      </c>
    </row>
    <row r="33" spans="1:32" s="13" customFormat="1" ht="45" x14ac:dyDescent="0.25">
      <c r="A33" s="10">
        <v>401658</v>
      </c>
      <c r="B33" s="10">
        <v>1</v>
      </c>
      <c r="C33" s="9">
        <v>1</v>
      </c>
      <c r="D33" s="56" t="s">
        <v>664</v>
      </c>
      <c r="E33" s="12">
        <v>1</v>
      </c>
      <c r="F33" s="45"/>
      <c r="G33" s="45"/>
      <c r="H33" s="45"/>
      <c r="I33">
        <v>401658</v>
      </c>
      <c r="J33" t="s">
        <v>55</v>
      </c>
      <c r="K33" t="s">
        <v>1383</v>
      </c>
      <c r="L33" t="s">
        <v>1178</v>
      </c>
      <c r="M33" t="s">
        <v>1192</v>
      </c>
      <c r="N33" t="s">
        <v>599</v>
      </c>
      <c r="O33" t="s">
        <v>1384</v>
      </c>
      <c r="P33" t="s">
        <v>599</v>
      </c>
      <c r="Q33" t="s">
        <v>599</v>
      </c>
      <c r="R33" t="s">
        <v>1182</v>
      </c>
      <c r="S33" t="s">
        <v>1385</v>
      </c>
      <c r="T33">
        <v>1880</v>
      </c>
      <c r="U33">
        <v>1880</v>
      </c>
      <c r="V33" t="s">
        <v>599</v>
      </c>
      <c r="W33" t="s">
        <v>599</v>
      </c>
      <c r="X33" t="s">
        <v>599</v>
      </c>
      <c r="Y33" t="s">
        <v>599</v>
      </c>
      <c r="Z33" t="s">
        <v>599</v>
      </c>
      <c r="AA33" t="s">
        <v>599</v>
      </c>
      <c r="AB33" t="s">
        <v>599</v>
      </c>
      <c r="AC33" t="s">
        <v>1386</v>
      </c>
      <c r="AD33" t="s">
        <v>1188</v>
      </c>
      <c r="AE33" t="s">
        <v>1387</v>
      </c>
      <c r="AF33" t="s">
        <v>1190</v>
      </c>
    </row>
    <row r="34" spans="1:32" s="13" customFormat="1" ht="45" x14ac:dyDescent="0.25">
      <c r="A34" s="10">
        <v>401739</v>
      </c>
      <c r="B34" s="10">
        <v>1</v>
      </c>
      <c r="C34" s="9">
        <v>1</v>
      </c>
      <c r="D34" s="56" t="s">
        <v>665</v>
      </c>
      <c r="E34" s="12">
        <v>1</v>
      </c>
      <c r="F34" s="45"/>
      <c r="G34" s="45"/>
      <c r="H34" s="45"/>
      <c r="I34">
        <v>401739</v>
      </c>
      <c r="J34" t="s">
        <v>56</v>
      </c>
      <c r="K34" t="s">
        <v>1388</v>
      </c>
      <c r="L34" t="s">
        <v>1178</v>
      </c>
      <c r="M34" t="s">
        <v>1192</v>
      </c>
      <c r="N34" t="s">
        <v>599</v>
      </c>
      <c r="O34" t="s">
        <v>1389</v>
      </c>
      <c r="P34" t="s">
        <v>599</v>
      </c>
      <c r="Q34" t="s">
        <v>599</v>
      </c>
      <c r="R34" t="s">
        <v>1182</v>
      </c>
      <c r="S34" t="s">
        <v>1390</v>
      </c>
      <c r="T34">
        <v>1880</v>
      </c>
      <c r="U34">
        <v>1880</v>
      </c>
      <c r="V34" t="s">
        <v>1391</v>
      </c>
      <c r="W34" t="s">
        <v>599</v>
      </c>
      <c r="X34" t="s">
        <v>599</v>
      </c>
      <c r="Y34" t="s">
        <v>599</v>
      </c>
      <c r="Z34" t="s">
        <v>599</v>
      </c>
      <c r="AA34" t="s">
        <v>599</v>
      </c>
      <c r="AB34" t="s">
        <v>599</v>
      </c>
      <c r="AC34" t="s">
        <v>1392</v>
      </c>
      <c r="AD34" t="s">
        <v>1188</v>
      </c>
      <c r="AE34" t="s">
        <v>1393</v>
      </c>
      <c r="AF34" t="s">
        <v>1190</v>
      </c>
    </row>
    <row r="35" spans="1:32" s="13" customFormat="1" ht="45" x14ac:dyDescent="0.25">
      <c r="A35" s="10">
        <v>402086</v>
      </c>
      <c r="B35" s="10">
        <v>1</v>
      </c>
      <c r="C35" s="9">
        <v>16</v>
      </c>
      <c r="D35" s="56" t="s">
        <v>666</v>
      </c>
      <c r="E35" s="12" t="s">
        <v>58</v>
      </c>
      <c r="F35" s="45"/>
      <c r="G35" s="45"/>
      <c r="H35" s="45"/>
      <c r="I35">
        <v>402086</v>
      </c>
      <c r="J35" t="s">
        <v>57</v>
      </c>
      <c r="K35" t="s">
        <v>1394</v>
      </c>
      <c r="L35" t="s">
        <v>1178</v>
      </c>
      <c r="M35" t="s">
        <v>1192</v>
      </c>
      <c r="N35" t="s">
        <v>599</v>
      </c>
      <c r="O35" t="s">
        <v>1395</v>
      </c>
      <c r="P35" t="s">
        <v>1396</v>
      </c>
      <c r="Q35" t="s">
        <v>599</v>
      </c>
      <c r="R35" t="s">
        <v>1182</v>
      </c>
      <c r="S35" t="s">
        <v>1221</v>
      </c>
      <c r="T35">
        <v>1895</v>
      </c>
      <c r="U35">
        <v>1895</v>
      </c>
      <c r="V35" t="s">
        <v>1397</v>
      </c>
      <c r="W35" t="s">
        <v>1398</v>
      </c>
      <c r="X35" t="s">
        <v>599</v>
      </c>
      <c r="Y35" t="s">
        <v>599</v>
      </c>
      <c r="Z35" t="s">
        <v>1399</v>
      </c>
      <c r="AA35" t="s">
        <v>599</v>
      </c>
      <c r="AB35" t="s">
        <v>599</v>
      </c>
      <c r="AC35" t="s">
        <v>1400</v>
      </c>
      <c r="AD35" t="s">
        <v>1188</v>
      </c>
      <c r="AE35" t="s">
        <v>1401</v>
      </c>
      <c r="AF35" t="s">
        <v>1190</v>
      </c>
    </row>
    <row r="36" spans="1:32" s="13" customFormat="1" ht="45" x14ac:dyDescent="0.25">
      <c r="A36" s="10">
        <v>402086</v>
      </c>
      <c r="B36" s="10">
        <v>1</v>
      </c>
      <c r="C36" s="9">
        <v>22</v>
      </c>
      <c r="D36" s="56" t="s">
        <v>667</v>
      </c>
      <c r="E36" s="12" t="s">
        <v>58</v>
      </c>
      <c r="F36" s="45"/>
      <c r="G36" s="45"/>
      <c r="H36" s="45"/>
      <c r="I36">
        <v>402086</v>
      </c>
      <c r="J36" t="s">
        <v>57</v>
      </c>
      <c r="K36" t="s">
        <v>1394</v>
      </c>
      <c r="L36" t="s">
        <v>1178</v>
      </c>
      <c r="M36" t="s">
        <v>1192</v>
      </c>
      <c r="N36" t="s">
        <v>599</v>
      </c>
      <c r="O36" t="s">
        <v>1395</v>
      </c>
      <c r="P36" t="s">
        <v>1396</v>
      </c>
      <c r="Q36" t="s">
        <v>599</v>
      </c>
      <c r="R36" t="s">
        <v>1182</v>
      </c>
      <c r="S36" t="s">
        <v>1221</v>
      </c>
      <c r="T36">
        <v>1895</v>
      </c>
      <c r="U36">
        <v>1895</v>
      </c>
      <c r="V36" t="s">
        <v>1397</v>
      </c>
      <c r="W36" t="s">
        <v>1398</v>
      </c>
      <c r="X36" t="s">
        <v>599</v>
      </c>
      <c r="Y36" t="s">
        <v>599</v>
      </c>
      <c r="Z36" t="s">
        <v>1399</v>
      </c>
      <c r="AA36" t="s">
        <v>599</v>
      </c>
      <c r="AB36" t="s">
        <v>599</v>
      </c>
      <c r="AC36" t="s">
        <v>1400</v>
      </c>
      <c r="AD36" t="s">
        <v>1188</v>
      </c>
      <c r="AE36" t="s">
        <v>1401</v>
      </c>
      <c r="AF36" t="s">
        <v>1190</v>
      </c>
    </row>
    <row r="37" spans="1:32" s="26" customFormat="1" ht="45" x14ac:dyDescent="0.25">
      <c r="A37" s="23">
        <v>402917</v>
      </c>
      <c r="B37" s="23">
        <v>1</v>
      </c>
      <c r="C37" s="27">
        <v>9</v>
      </c>
      <c r="D37" s="53" t="s">
        <v>668</v>
      </c>
      <c r="E37" s="25">
        <v>9</v>
      </c>
      <c r="F37" s="45"/>
      <c r="G37" s="45"/>
      <c r="H37" s="45"/>
      <c r="I37">
        <v>402917</v>
      </c>
      <c r="J37" t="s">
        <v>60</v>
      </c>
      <c r="K37" t="s">
        <v>1402</v>
      </c>
      <c r="L37" t="s">
        <v>1178</v>
      </c>
      <c r="M37" t="s">
        <v>1192</v>
      </c>
      <c r="N37" t="s">
        <v>1403</v>
      </c>
      <c r="O37" t="s">
        <v>1404</v>
      </c>
      <c r="P37" t="s">
        <v>1405</v>
      </c>
      <c r="Q37" t="s">
        <v>599</v>
      </c>
      <c r="R37" t="s">
        <v>1182</v>
      </c>
      <c r="S37" t="s">
        <v>1406</v>
      </c>
      <c r="T37">
        <v>1891</v>
      </c>
      <c r="U37">
        <v>1891</v>
      </c>
      <c r="V37" t="s">
        <v>1407</v>
      </c>
      <c r="W37" t="s">
        <v>1408</v>
      </c>
      <c r="X37" t="s">
        <v>599</v>
      </c>
      <c r="Y37" t="s">
        <v>599</v>
      </c>
      <c r="Z37" t="s">
        <v>1250</v>
      </c>
      <c r="AA37" t="s">
        <v>599</v>
      </c>
      <c r="AB37" t="s">
        <v>599</v>
      </c>
      <c r="AC37" t="s">
        <v>1409</v>
      </c>
      <c r="AD37" t="s">
        <v>1188</v>
      </c>
      <c r="AE37" t="s">
        <v>1410</v>
      </c>
      <c r="AF37" t="s">
        <v>1190</v>
      </c>
    </row>
    <row r="38" spans="1:32" s="26" customFormat="1" ht="45" x14ac:dyDescent="0.25">
      <c r="A38" s="23">
        <v>404543</v>
      </c>
      <c r="B38" s="23">
        <v>1</v>
      </c>
      <c r="C38" s="27">
        <v>7</v>
      </c>
      <c r="D38" s="53" t="s">
        <v>669</v>
      </c>
      <c r="E38" s="25">
        <v>7</v>
      </c>
      <c r="F38" s="45"/>
      <c r="G38" s="45"/>
      <c r="H38" s="45"/>
      <c r="I38">
        <v>404543</v>
      </c>
      <c r="J38" t="s">
        <v>61</v>
      </c>
      <c r="K38" t="s">
        <v>1411</v>
      </c>
      <c r="L38" t="s">
        <v>1178</v>
      </c>
      <c r="M38" t="s">
        <v>1192</v>
      </c>
      <c r="N38" t="s">
        <v>599</v>
      </c>
      <c r="O38" t="s">
        <v>1412</v>
      </c>
      <c r="P38" t="s">
        <v>1413</v>
      </c>
      <c r="Q38" t="s">
        <v>599</v>
      </c>
      <c r="R38" t="s">
        <v>1182</v>
      </c>
      <c r="S38" t="s">
        <v>1221</v>
      </c>
      <c r="T38">
        <v>1889</v>
      </c>
      <c r="U38">
        <v>1889</v>
      </c>
      <c r="V38" t="s">
        <v>599</v>
      </c>
      <c r="W38" t="s">
        <v>1185</v>
      </c>
      <c r="X38" t="s">
        <v>599</v>
      </c>
      <c r="Y38" t="s">
        <v>599</v>
      </c>
      <c r="Z38" t="s">
        <v>599</v>
      </c>
      <c r="AA38" t="s">
        <v>599</v>
      </c>
      <c r="AB38" t="s">
        <v>599</v>
      </c>
      <c r="AC38" t="s">
        <v>1414</v>
      </c>
      <c r="AD38" t="s">
        <v>1188</v>
      </c>
      <c r="AE38" t="s">
        <v>1415</v>
      </c>
      <c r="AF38" t="s">
        <v>1190</v>
      </c>
    </row>
    <row r="39" spans="1:32" s="13" customFormat="1" ht="45" x14ac:dyDescent="0.25">
      <c r="A39" s="10">
        <v>404800</v>
      </c>
      <c r="B39" s="10">
        <v>1</v>
      </c>
      <c r="C39" s="9">
        <v>21</v>
      </c>
      <c r="D39" s="56" t="s">
        <v>670</v>
      </c>
      <c r="E39" s="12" t="s">
        <v>63</v>
      </c>
      <c r="F39" s="45"/>
      <c r="G39" s="45"/>
      <c r="H39" s="45"/>
      <c r="I39">
        <v>404800</v>
      </c>
      <c r="J39" t="s">
        <v>62</v>
      </c>
      <c r="K39" t="s">
        <v>1416</v>
      </c>
      <c r="L39" t="s">
        <v>1178</v>
      </c>
      <c r="M39" t="s">
        <v>1192</v>
      </c>
      <c r="N39" t="s">
        <v>599</v>
      </c>
      <c r="O39" t="s">
        <v>1417</v>
      </c>
      <c r="P39" t="s">
        <v>1418</v>
      </c>
      <c r="Q39" t="s">
        <v>599</v>
      </c>
      <c r="R39" t="s">
        <v>1182</v>
      </c>
      <c r="S39" t="s">
        <v>1419</v>
      </c>
      <c r="T39">
        <v>1898</v>
      </c>
      <c r="U39">
        <v>1898</v>
      </c>
      <c r="V39" t="s">
        <v>1420</v>
      </c>
      <c r="W39" t="s">
        <v>599</v>
      </c>
      <c r="X39" t="s">
        <v>599</v>
      </c>
      <c r="Y39" t="s">
        <v>599</v>
      </c>
      <c r="Z39" t="s">
        <v>599</v>
      </c>
      <c r="AA39" t="s">
        <v>599</v>
      </c>
      <c r="AB39" t="s">
        <v>599</v>
      </c>
      <c r="AC39" t="s">
        <v>1421</v>
      </c>
      <c r="AD39" t="s">
        <v>1188</v>
      </c>
      <c r="AE39" t="s">
        <v>1422</v>
      </c>
      <c r="AF39" t="s">
        <v>1190</v>
      </c>
    </row>
    <row r="40" spans="1:32" s="13" customFormat="1" ht="45" x14ac:dyDescent="0.25">
      <c r="A40" s="10">
        <v>404800</v>
      </c>
      <c r="B40" s="10">
        <v>1</v>
      </c>
      <c r="C40" s="9">
        <v>69</v>
      </c>
      <c r="D40" s="56" t="s">
        <v>671</v>
      </c>
      <c r="E40" s="12" t="s">
        <v>63</v>
      </c>
      <c r="F40" s="45"/>
      <c r="G40" s="45"/>
      <c r="H40" s="45"/>
      <c r="I40">
        <v>404800</v>
      </c>
      <c r="J40" t="s">
        <v>62</v>
      </c>
      <c r="K40" t="s">
        <v>1416</v>
      </c>
      <c r="L40" t="s">
        <v>1178</v>
      </c>
      <c r="M40" t="s">
        <v>1192</v>
      </c>
      <c r="N40" t="s">
        <v>599</v>
      </c>
      <c r="O40" t="s">
        <v>1417</v>
      </c>
      <c r="P40" t="s">
        <v>1418</v>
      </c>
      <c r="Q40" t="s">
        <v>599</v>
      </c>
      <c r="R40" t="s">
        <v>1182</v>
      </c>
      <c r="S40" t="s">
        <v>1419</v>
      </c>
      <c r="T40">
        <v>1898</v>
      </c>
      <c r="U40">
        <v>1898</v>
      </c>
      <c r="V40" t="s">
        <v>1420</v>
      </c>
      <c r="W40" t="s">
        <v>599</v>
      </c>
      <c r="X40" t="s">
        <v>599</v>
      </c>
      <c r="Y40" t="s">
        <v>599</v>
      </c>
      <c r="Z40" t="s">
        <v>599</v>
      </c>
      <c r="AA40" t="s">
        <v>599</v>
      </c>
      <c r="AB40" t="s">
        <v>599</v>
      </c>
      <c r="AC40" t="s">
        <v>1421</v>
      </c>
      <c r="AD40" t="s">
        <v>1188</v>
      </c>
      <c r="AE40" t="s">
        <v>1422</v>
      </c>
      <c r="AF40" t="s">
        <v>1190</v>
      </c>
    </row>
    <row r="41" spans="1:32" s="13" customFormat="1" ht="45" x14ac:dyDescent="0.25">
      <c r="A41" s="10">
        <v>410449</v>
      </c>
      <c r="B41" s="10">
        <v>1</v>
      </c>
      <c r="C41" s="9">
        <v>6</v>
      </c>
      <c r="D41" s="56" t="s">
        <v>672</v>
      </c>
      <c r="E41" s="12" t="s">
        <v>66</v>
      </c>
      <c r="F41" s="45"/>
      <c r="G41" s="45"/>
      <c r="H41" s="45"/>
      <c r="I41">
        <v>410449</v>
      </c>
      <c r="J41" t="s">
        <v>65</v>
      </c>
      <c r="K41" t="s">
        <v>1423</v>
      </c>
      <c r="L41" t="s">
        <v>1178</v>
      </c>
      <c r="M41" t="s">
        <v>1209</v>
      </c>
      <c r="N41" t="s">
        <v>1192</v>
      </c>
      <c r="O41" t="s">
        <v>1210</v>
      </c>
      <c r="P41" t="s">
        <v>599</v>
      </c>
      <c r="Q41" t="s">
        <v>599</v>
      </c>
      <c r="R41" t="s">
        <v>1211</v>
      </c>
      <c r="S41" t="s">
        <v>1212</v>
      </c>
      <c r="T41">
        <v>1873</v>
      </c>
      <c r="U41">
        <v>1873</v>
      </c>
      <c r="V41" t="s">
        <v>1213</v>
      </c>
      <c r="W41" t="s">
        <v>1185</v>
      </c>
      <c r="X41" t="s">
        <v>599</v>
      </c>
      <c r="Y41" t="s">
        <v>599</v>
      </c>
      <c r="Z41" t="s">
        <v>1214</v>
      </c>
      <c r="AA41" t="s">
        <v>599</v>
      </c>
      <c r="AB41" t="s">
        <v>599</v>
      </c>
      <c r="AC41" t="s">
        <v>1424</v>
      </c>
      <c r="AD41" t="s">
        <v>1188</v>
      </c>
      <c r="AE41" t="s">
        <v>1425</v>
      </c>
      <c r="AF41" t="s">
        <v>1190</v>
      </c>
    </row>
    <row r="42" spans="1:32" s="26" customFormat="1" ht="45" x14ac:dyDescent="0.25">
      <c r="A42" s="23">
        <v>411542</v>
      </c>
      <c r="B42" s="23">
        <v>1</v>
      </c>
      <c r="C42" s="27">
        <v>1</v>
      </c>
      <c r="D42" s="53" t="s">
        <v>673</v>
      </c>
      <c r="E42" s="25">
        <v>1</v>
      </c>
      <c r="F42" s="45"/>
      <c r="G42" s="45"/>
      <c r="H42" s="45"/>
      <c r="I42">
        <v>411542</v>
      </c>
      <c r="J42" t="s">
        <v>67</v>
      </c>
      <c r="K42" t="s">
        <v>1426</v>
      </c>
      <c r="L42" t="s">
        <v>1178</v>
      </c>
      <c r="M42" t="s">
        <v>1192</v>
      </c>
      <c r="N42" t="s">
        <v>599</v>
      </c>
      <c r="O42" t="s">
        <v>1427</v>
      </c>
      <c r="P42" t="s">
        <v>1428</v>
      </c>
      <c r="Q42" t="s">
        <v>599</v>
      </c>
      <c r="R42" t="s">
        <v>1182</v>
      </c>
      <c r="S42" t="s">
        <v>1429</v>
      </c>
      <c r="T42">
        <v>1897</v>
      </c>
      <c r="U42">
        <v>1897</v>
      </c>
      <c r="V42" t="s">
        <v>1430</v>
      </c>
      <c r="W42" t="s">
        <v>1431</v>
      </c>
      <c r="X42" t="s">
        <v>599</v>
      </c>
      <c r="Y42" t="s">
        <v>599</v>
      </c>
      <c r="Z42" t="s">
        <v>1432</v>
      </c>
      <c r="AA42" t="s">
        <v>599</v>
      </c>
      <c r="AB42" t="s">
        <v>599</v>
      </c>
      <c r="AC42" t="s">
        <v>1433</v>
      </c>
      <c r="AD42" t="s">
        <v>1188</v>
      </c>
      <c r="AE42" t="s">
        <v>1434</v>
      </c>
      <c r="AF42" t="s">
        <v>1190</v>
      </c>
    </row>
    <row r="43" spans="1:32" s="13" customFormat="1" ht="45" x14ac:dyDescent="0.25">
      <c r="A43" s="10">
        <v>426512</v>
      </c>
      <c r="B43" s="10">
        <v>1</v>
      </c>
      <c r="C43" s="9">
        <v>1</v>
      </c>
      <c r="D43" s="56" t="s">
        <v>674</v>
      </c>
      <c r="E43" s="12">
        <v>1</v>
      </c>
      <c r="F43" s="45"/>
      <c r="G43" s="45"/>
      <c r="H43" s="45"/>
      <c r="I43">
        <v>426512</v>
      </c>
      <c r="J43" t="s">
        <v>68</v>
      </c>
      <c r="K43" t="s">
        <v>1435</v>
      </c>
      <c r="L43" t="s">
        <v>1178</v>
      </c>
      <c r="M43" t="s">
        <v>1192</v>
      </c>
      <c r="N43" t="s">
        <v>599</v>
      </c>
      <c r="O43" t="s">
        <v>1293</v>
      </c>
      <c r="P43" t="s">
        <v>1436</v>
      </c>
      <c r="Q43" t="s">
        <v>599</v>
      </c>
      <c r="R43" t="s">
        <v>1182</v>
      </c>
      <c r="S43" t="s">
        <v>1437</v>
      </c>
      <c r="T43">
        <v>1870</v>
      </c>
      <c r="U43">
        <v>1870</v>
      </c>
      <c r="V43" t="s">
        <v>1438</v>
      </c>
      <c r="W43" t="s">
        <v>1439</v>
      </c>
      <c r="X43" t="s">
        <v>599</v>
      </c>
      <c r="Y43" t="s">
        <v>599</v>
      </c>
      <c r="Z43" t="s">
        <v>599</v>
      </c>
      <c r="AA43" t="s">
        <v>599</v>
      </c>
      <c r="AB43" t="s">
        <v>599</v>
      </c>
      <c r="AC43" t="s">
        <v>1440</v>
      </c>
      <c r="AD43" t="s">
        <v>1441</v>
      </c>
      <c r="AE43" t="s">
        <v>1442</v>
      </c>
      <c r="AF43" t="s">
        <v>1190</v>
      </c>
    </row>
    <row r="44" spans="1:32" s="13" customFormat="1" ht="45" x14ac:dyDescent="0.25">
      <c r="A44" s="10">
        <v>446302</v>
      </c>
      <c r="B44" s="10">
        <v>1</v>
      </c>
      <c r="C44" s="9">
        <v>11</v>
      </c>
      <c r="D44" s="56" t="s">
        <v>675</v>
      </c>
      <c r="E44" s="12">
        <v>11</v>
      </c>
      <c r="F44" s="45"/>
      <c r="G44" s="45"/>
      <c r="H44" s="45"/>
      <c r="I44">
        <v>446302</v>
      </c>
      <c r="J44" t="s">
        <v>69</v>
      </c>
      <c r="K44" t="s">
        <v>1444</v>
      </c>
      <c r="L44" t="s">
        <v>1178</v>
      </c>
      <c r="M44" t="s">
        <v>1192</v>
      </c>
      <c r="N44" t="s">
        <v>599</v>
      </c>
      <c r="O44" t="s">
        <v>1445</v>
      </c>
      <c r="P44" t="s">
        <v>599</v>
      </c>
      <c r="Q44" t="s">
        <v>599</v>
      </c>
      <c r="R44" t="s">
        <v>1182</v>
      </c>
      <c r="S44" t="s">
        <v>1446</v>
      </c>
      <c r="T44">
        <v>1887</v>
      </c>
      <c r="U44">
        <v>1887</v>
      </c>
      <c r="V44" t="s">
        <v>1447</v>
      </c>
      <c r="W44" t="s">
        <v>599</v>
      </c>
      <c r="X44" t="s">
        <v>599</v>
      </c>
      <c r="Y44" t="s">
        <v>599</v>
      </c>
      <c r="Z44" t="s">
        <v>599</v>
      </c>
      <c r="AA44" t="s">
        <v>599</v>
      </c>
      <c r="AB44" t="s">
        <v>1448</v>
      </c>
      <c r="AC44" t="s">
        <v>1449</v>
      </c>
      <c r="AD44" t="s">
        <v>1188</v>
      </c>
      <c r="AE44" t="s">
        <v>1450</v>
      </c>
      <c r="AF44" t="s">
        <v>1190</v>
      </c>
    </row>
    <row r="45" spans="1:32" s="13" customFormat="1" ht="45" x14ac:dyDescent="0.25">
      <c r="A45" s="10">
        <v>452363</v>
      </c>
      <c r="B45" s="10">
        <v>1</v>
      </c>
      <c r="C45" s="9">
        <v>1</v>
      </c>
      <c r="D45" s="56" t="s">
        <v>676</v>
      </c>
      <c r="E45" s="12" t="s">
        <v>71</v>
      </c>
      <c r="F45" s="45"/>
      <c r="G45" s="45"/>
      <c r="H45" s="45"/>
      <c r="I45">
        <v>452363</v>
      </c>
      <c r="J45" t="s">
        <v>70</v>
      </c>
      <c r="K45" t="s">
        <v>1452</v>
      </c>
      <c r="L45" t="s">
        <v>1312</v>
      </c>
      <c r="M45" t="s">
        <v>1192</v>
      </c>
      <c r="N45" t="s">
        <v>599</v>
      </c>
      <c r="O45" t="s">
        <v>1105</v>
      </c>
      <c r="P45" t="s">
        <v>599</v>
      </c>
      <c r="Q45" t="s">
        <v>599</v>
      </c>
      <c r="R45" t="s">
        <v>1182</v>
      </c>
      <c r="S45" t="s">
        <v>1453</v>
      </c>
      <c r="T45">
        <v>1887</v>
      </c>
      <c r="U45">
        <v>1887</v>
      </c>
      <c r="V45" t="s">
        <v>1454</v>
      </c>
      <c r="W45" t="s">
        <v>1455</v>
      </c>
      <c r="X45" t="s">
        <v>599</v>
      </c>
      <c r="Y45" t="s">
        <v>599</v>
      </c>
      <c r="Z45" t="s">
        <v>1456</v>
      </c>
      <c r="AA45" t="s">
        <v>599</v>
      </c>
      <c r="AB45" t="s">
        <v>599</v>
      </c>
      <c r="AC45" t="s">
        <v>1457</v>
      </c>
      <c r="AD45" t="s">
        <v>599</v>
      </c>
      <c r="AE45" t="s">
        <v>1458</v>
      </c>
      <c r="AF45" t="s">
        <v>1190</v>
      </c>
    </row>
    <row r="46" spans="1:32" s="13" customFormat="1" ht="45" x14ac:dyDescent="0.25">
      <c r="A46" s="10">
        <v>453897</v>
      </c>
      <c r="B46" s="10">
        <v>1</v>
      </c>
      <c r="C46" s="9">
        <v>9</v>
      </c>
      <c r="D46" s="56" t="s">
        <v>650</v>
      </c>
      <c r="E46" s="12">
        <v>9</v>
      </c>
      <c r="F46" s="45"/>
      <c r="G46" s="45"/>
      <c r="H46" s="45"/>
      <c r="I46">
        <v>453897</v>
      </c>
      <c r="J46" t="s">
        <v>72</v>
      </c>
      <c r="K46" t="s">
        <v>1460</v>
      </c>
      <c r="L46" t="s">
        <v>1178</v>
      </c>
      <c r="M46" t="s">
        <v>1192</v>
      </c>
      <c r="N46" t="s">
        <v>599</v>
      </c>
      <c r="O46" t="s">
        <v>1461</v>
      </c>
      <c r="P46" t="s">
        <v>599</v>
      </c>
      <c r="Q46" t="s">
        <v>599</v>
      </c>
      <c r="R46" t="s">
        <v>1182</v>
      </c>
      <c r="S46" t="s">
        <v>1462</v>
      </c>
      <c r="T46">
        <v>1880</v>
      </c>
      <c r="U46">
        <v>1880</v>
      </c>
      <c r="V46" t="s">
        <v>1463</v>
      </c>
      <c r="W46" t="s">
        <v>599</v>
      </c>
      <c r="X46" t="s">
        <v>599</v>
      </c>
      <c r="Y46" t="s">
        <v>599</v>
      </c>
      <c r="Z46" t="s">
        <v>599</v>
      </c>
      <c r="AA46" t="s">
        <v>599</v>
      </c>
      <c r="AB46" t="s">
        <v>599</v>
      </c>
      <c r="AC46" t="s">
        <v>1464</v>
      </c>
      <c r="AD46" t="s">
        <v>1188</v>
      </c>
      <c r="AE46" t="s">
        <v>1465</v>
      </c>
      <c r="AF46" t="s">
        <v>1190</v>
      </c>
    </row>
    <row r="47" spans="1:32" s="13" customFormat="1" ht="45" x14ac:dyDescent="0.25">
      <c r="A47" s="10">
        <v>454218</v>
      </c>
      <c r="B47" s="10">
        <v>1</v>
      </c>
      <c r="C47" s="9">
        <v>3</v>
      </c>
      <c r="D47" s="56" t="s">
        <v>677</v>
      </c>
      <c r="E47" s="12">
        <v>3</v>
      </c>
      <c r="F47" s="45"/>
      <c r="G47" s="45"/>
      <c r="H47" s="45"/>
      <c r="I47">
        <v>454218</v>
      </c>
      <c r="J47" t="s">
        <v>73</v>
      </c>
      <c r="K47" t="s">
        <v>1467</v>
      </c>
      <c r="L47" t="s">
        <v>1178</v>
      </c>
      <c r="M47" t="s">
        <v>1192</v>
      </c>
      <c r="N47" t="s">
        <v>599</v>
      </c>
      <c r="O47" t="s">
        <v>1468</v>
      </c>
      <c r="P47" t="s">
        <v>599</v>
      </c>
      <c r="Q47" t="s">
        <v>599</v>
      </c>
      <c r="R47" t="s">
        <v>1182</v>
      </c>
      <c r="S47" t="s">
        <v>1469</v>
      </c>
      <c r="T47">
        <v>1881</v>
      </c>
      <c r="U47">
        <v>1881</v>
      </c>
      <c r="V47" t="s">
        <v>1470</v>
      </c>
      <c r="W47" t="s">
        <v>599</v>
      </c>
      <c r="X47" t="s">
        <v>599</v>
      </c>
      <c r="Y47" t="s">
        <v>599</v>
      </c>
      <c r="Z47" t="s">
        <v>599</v>
      </c>
      <c r="AA47" t="s">
        <v>599</v>
      </c>
      <c r="AB47" t="s">
        <v>599</v>
      </c>
      <c r="AC47" t="s">
        <v>1471</v>
      </c>
      <c r="AD47" t="s">
        <v>1188</v>
      </c>
      <c r="AE47" t="s">
        <v>1472</v>
      </c>
      <c r="AF47" t="s">
        <v>1190</v>
      </c>
    </row>
    <row r="48" spans="1:32" s="13" customFormat="1" ht="45" x14ac:dyDescent="0.25">
      <c r="A48" s="10">
        <v>455268</v>
      </c>
      <c r="B48" s="10">
        <v>1</v>
      </c>
      <c r="C48" s="9">
        <v>8</v>
      </c>
      <c r="D48" s="56" t="s">
        <v>678</v>
      </c>
      <c r="E48" s="12" t="s">
        <v>75</v>
      </c>
      <c r="F48" s="45"/>
      <c r="G48" s="45"/>
      <c r="H48" s="45"/>
      <c r="I48">
        <v>455268</v>
      </c>
      <c r="J48" t="s">
        <v>74</v>
      </c>
      <c r="K48" t="s">
        <v>1474</v>
      </c>
      <c r="L48" t="s">
        <v>1178</v>
      </c>
      <c r="M48" t="s">
        <v>1179</v>
      </c>
      <c r="N48" t="s">
        <v>1192</v>
      </c>
      <c r="O48" t="s">
        <v>1180</v>
      </c>
      <c r="P48" t="s">
        <v>599</v>
      </c>
      <c r="Q48" t="s">
        <v>599</v>
      </c>
      <c r="R48" t="s">
        <v>1475</v>
      </c>
      <c r="S48" t="s">
        <v>1476</v>
      </c>
      <c r="T48">
        <v>1821</v>
      </c>
      <c r="U48">
        <v>1821</v>
      </c>
      <c r="V48" t="s">
        <v>1477</v>
      </c>
      <c r="W48" t="s">
        <v>1185</v>
      </c>
      <c r="X48" t="s">
        <v>599</v>
      </c>
      <c r="Y48" t="s">
        <v>599</v>
      </c>
      <c r="Z48" t="s">
        <v>1186</v>
      </c>
      <c r="AA48" t="s">
        <v>599</v>
      </c>
      <c r="AB48" t="s">
        <v>599</v>
      </c>
      <c r="AC48" t="s">
        <v>1478</v>
      </c>
      <c r="AD48" t="s">
        <v>1188</v>
      </c>
      <c r="AE48" t="s">
        <v>1479</v>
      </c>
      <c r="AF48" t="s">
        <v>1190</v>
      </c>
    </row>
    <row r="49" spans="1:32" s="13" customFormat="1" ht="45" x14ac:dyDescent="0.25">
      <c r="A49" s="10">
        <v>455268</v>
      </c>
      <c r="B49" s="10">
        <v>1</v>
      </c>
      <c r="C49" s="9">
        <v>62</v>
      </c>
      <c r="D49" s="56" t="s">
        <v>679</v>
      </c>
      <c r="E49" s="12" t="s">
        <v>75</v>
      </c>
      <c r="F49" s="45" t="s">
        <v>3898</v>
      </c>
      <c r="G49" s="45"/>
      <c r="H49" s="45"/>
      <c r="I49">
        <v>455268</v>
      </c>
      <c r="J49" t="s">
        <v>74</v>
      </c>
      <c r="K49" t="s">
        <v>1474</v>
      </c>
      <c r="L49" t="s">
        <v>1178</v>
      </c>
      <c r="M49" t="s">
        <v>1179</v>
      </c>
      <c r="N49" t="s">
        <v>1192</v>
      </c>
      <c r="O49" t="s">
        <v>1180</v>
      </c>
      <c r="P49" t="s">
        <v>599</v>
      </c>
      <c r="Q49" t="s">
        <v>599</v>
      </c>
      <c r="R49" t="s">
        <v>1475</v>
      </c>
      <c r="S49" t="s">
        <v>1476</v>
      </c>
      <c r="T49">
        <v>1821</v>
      </c>
      <c r="U49">
        <v>1821</v>
      </c>
      <c r="V49" t="s">
        <v>1477</v>
      </c>
      <c r="W49" t="s">
        <v>1185</v>
      </c>
      <c r="X49" t="s">
        <v>599</v>
      </c>
      <c r="Y49" t="s">
        <v>599</v>
      </c>
      <c r="Z49" t="s">
        <v>1186</v>
      </c>
      <c r="AA49" t="s">
        <v>599</v>
      </c>
      <c r="AB49" t="s">
        <v>599</v>
      </c>
      <c r="AC49" t="s">
        <v>1478</v>
      </c>
      <c r="AD49" t="s">
        <v>1188</v>
      </c>
      <c r="AE49" t="s">
        <v>1479</v>
      </c>
      <c r="AF49" t="s">
        <v>1190</v>
      </c>
    </row>
    <row r="50" spans="1:32" s="13" customFormat="1" ht="45" x14ac:dyDescent="0.25">
      <c r="A50" s="10">
        <v>455268</v>
      </c>
      <c r="B50" s="10">
        <v>2</v>
      </c>
      <c r="C50" s="9">
        <v>8</v>
      </c>
      <c r="D50" s="56" t="s">
        <v>678</v>
      </c>
      <c r="E50" s="12" t="s">
        <v>75</v>
      </c>
      <c r="F50" s="45" t="s">
        <v>3899</v>
      </c>
      <c r="G50" s="45"/>
      <c r="H50" s="45"/>
      <c r="I50">
        <v>455268</v>
      </c>
      <c r="J50" t="s">
        <v>74</v>
      </c>
      <c r="K50" t="s">
        <v>1474</v>
      </c>
      <c r="L50" t="s">
        <v>1178</v>
      </c>
      <c r="M50" t="s">
        <v>1179</v>
      </c>
      <c r="N50" t="s">
        <v>1192</v>
      </c>
      <c r="O50" t="s">
        <v>1180</v>
      </c>
      <c r="P50" t="s">
        <v>599</v>
      </c>
      <c r="Q50" t="s">
        <v>599</v>
      </c>
      <c r="R50" t="s">
        <v>1475</v>
      </c>
      <c r="S50" t="s">
        <v>1476</v>
      </c>
      <c r="T50">
        <v>1821</v>
      </c>
      <c r="U50">
        <v>1821</v>
      </c>
      <c r="V50" t="s">
        <v>1477</v>
      </c>
      <c r="W50" t="s">
        <v>1185</v>
      </c>
      <c r="X50" t="s">
        <v>599</v>
      </c>
      <c r="Y50" t="s">
        <v>599</v>
      </c>
      <c r="Z50" t="s">
        <v>1186</v>
      </c>
      <c r="AA50" t="s">
        <v>599</v>
      </c>
      <c r="AB50" t="s">
        <v>599</v>
      </c>
      <c r="AC50" t="s">
        <v>1478</v>
      </c>
      <c r="AD50" t="s">
        <v>1188</v>
      </c>
      <c r="AE50" t="s">
        <v>1479</v>
      </c>
      <c r="AF50" t="s">
        <v>1190</v>
      </c>
    </row>
    <row r="51" spans="1:32" s="13" customFormat="1" ht="45" x14ac:dyDescent="0.25">
      <c r="A51" s="10">
        <v>455275</v>
      </c>
      <c r="B51" s="10">
        <v>1</v>
      </c>
      <c r="C51" s="9">
        <v>10</v>
      </c>
      <c r="D51" s="56" t="s">
        <v>680</v>
      </c>
      <c r="E51" s="12" t="s">
        <v>78</v>
      </c>
      <c r="F51" s="45"/>
      <c r="G51" s="45"/>
      <c r="H51" s="45"/>
      <c r="I51">
        <v>455275</v>
      </c>
      <c r="J51" t="s">
        <v>77</v>
      </c>
      <c r="K51" t="s">
        <v>1480</v>
      </c>
      <c r="L51" t="s">
        <v>1178</v>
      </c>
      <c r="M51" t="s">
        <v>1192</v>
      </c>
      <c r="N51" t="s">
        <v>599</v>
      </c>
      <c r="O51" t="s">
        <v>1481</v>
      </c>
      <c r="P51" t="s">
        <v>599</v>
      </c>
      <c r="Q51" t="s">
        <v>599</v>
      </c>
      <c r="R51" t="s">
        <v>1182</v>
      </c>
      <c r="S51" t="s">
        <v>1437</v>
      </c>
      <c r="T51">
        <v>1843</v>
      </c>
      <c r="U51">
        <v>1843</v>
      </c>
      <c r="V51" t="s">
        <v>1482</v>
      </c>
      <c r="W51" t="s">
        <v>1185</v>
      </c>
      <c r="X51" t="s">
        <v>599</v>
      </c>
      <c r="Y51" t="s">
        <v>599</v>
      </c>
      <c r="Z51" t="s">
        <v>1483</v>
      </c>
      <c r="AA51" t="s">
        <v>599</v>
      </c>
      <c r="AB51" t="s">
        <v>599</v>
      </c>
      <c r="AC51" t="s">
        <v>1484</v>
      </c>
      <c r="AD51" t="s">
        <v>1188</v>
      </c>
      <c r="AE51" t="s">
        <v>1485</v>
      </c>
      <c r="AF51" t="s">
        <v>1190</v>
      </c>
    </row>
    <row r="52" spans="1:32" s="13" customFormat="1" ht="45" x14ac:dyDescent="0.25">
      <c r="A52" s="10">
        <v>458290</v>
      </c>
      <c r="B52" s="10">
        <v>1</v>
      </c>
      <c r="C52" s="9">
        <v>10</v>
      </c>
      <c r="D52" s="56" t="s">
        <v>681</v>
      </c>
      <c r="E52" s="12" t="s">
        <v>80</v>
      </c>
      <c r="F52" s="45"/>
      <c r="G52" s="45"/>
      <c r="H52" s="45"/>
      <c r="I52">
        <v>458290</v>
      </c>
      <c r="J52" t="s">
        <v>79</v>
      </c>
      <c r="K52" t="s">
        <v>1487</v>
      </c>
      <c r="L52" t="s">
        <v>1178</v>
      </c>
      <c r="M52" t="s">
        <v>1321</v>
      </c>
      <c r="N52" t="s">
        <v>1192</v>
      </c>
      <c r="O52" t="s">
        <v>1488</v>
      </c>
      <c r="P52" t="s">
        <v>1489</v>
      </c>
      <c r="Q52" t="s">
        <v>599</v>
      </c>
      <c r="R52" t="s">
        <v>1182</v>
      </c>
      <c r="S52" t="s">
        <v>1490</v>
      </c>
      <c r="T52">
        <v>1890</v>
      </c>
      <c r="U52">
        <v>1890</v>
      </c>
      <c r="V52" t="s">
        <v>1491</v>
      </c>
      <c r="W52" t="s">
        <v>1185</v>
      </c>
      <c r="X52" t="s">
        <v>599</v>
      </c>
      <c r="Y52" t="s">
        <v>599</v>
      </c>
      <c r="Z52" t="s">
        <v>1492</v>
      </c>
      <c r="AA52" t="s">
        <v>599</v>
      </c>
      <c r="AB52" t="s">
        <v>599</v>
      </c>
      <c r="AC52" t="s">
        <v>1493</v>
      </c>
      <c r="AD52" t="s">
        <v>1188</v>
      </c>
      <c r="AE52" t="s">
        <v>1494</v>
      </c>
      <c r="AF52" t="s">
        <v>1190</v>
      </c>
    </row>
    <row r="53" spans="1:32" s="13" customFormat="1" ht="60" x14ac:dyDescent="0.25">
      <c r="A53" s="10">
        <v>458655</v>
      </c>
      <c r="B53" s="10">
        <v>1</v>
      </c>
      <c r="C53" s="9">
        <v>11</v>
      </c>
      <c r="D53" s="56" t="s">
        <v>682</v>
      </c>
      <c r="E53" s="12" t="s">
        <v>82</v>
      </c>
      <c r="F53" s="45"/>
      <c r="G53" s="45"/>
      <c r="H53" s="45"/>
      <c r="I53">
        <v>458655</v>
      </c>
      <c r="J53" t="s">
        <v>81</v>
      </c>
      <c r="K53" t="s">
        <v>1495</v>
      </c>
      <c r="L53" t="s">
        <v>1178</v>
      </c>
      <c r="M53" t="s">
        <v>1192</v>
      </c>
      <c r="N53" t="s">
        <v>599</v>
      </c>
      <c r="O53" t="s">
        <v>1496</v>
      </c>
      <c r="P53" t="s">
        <v>599</v>
      </c>
      <c r="Q53" t="s">
        <v>599</v>
      </c>
      <c r="R53" t="s">
        <v>1182</v>
      </c>
      <c r="S53" t="s">
        <v>1497</v>
      </c>
      <c r="T53">
        <v>1887</v>
      </c>
      <c r="U53">
        <v>1887</v>
      </c>
      <c r="V53" t="s">
        <v>1498</v>
      </c>
      <c r="W53" t="s">
        <v>599</v>
      </c>
      <c r="X53" t="s">
        <v>599</v>
      </c>
      <c r="Y53" t="s">
        <v>599</v>
      </c>
      <c r="Z53" t="s">
        <v>599</v>
      </c>
      <c r="AA53" t="s">
        <v>599</v>
      </c>
      <c r="AB53" t="s">
        <v>599</v>
      </c>
      <c r="AC53" t="s">
        <v>1499</v>
      </c>
      <c r="AD53" t="s">
        <v>1188</v>
      </c>
      <c r="AE53" t="s">
        <v>1500</v>
      </c>
      <c r="AF53" t="s">
        <v>1190</v>
      </c>
    </row>
    <row r="54" spans="1:32" s="13" customFormat="1" ht="60" x14ac:dyDescent="0.25">
      <c r="A54" s="10">
        <v>458655</v>
      </c>
      <c r="B54" s="10">
        <v>2</v>
      </c>
      <c r="C54" s="9">
        <v>5</v>
      </c>
      <c r="D54" s="56" t="s">
        <v>683</v>
      </c>
      <c r="E54" s="12" t="s">
        <v>82</v>
      </c>
      <c r="F54" s="45"/>
      <c r="G54" s="45"/>
      <c r="H54" s="45"/>
      <c r="I54">
        <v>458655</v>
      </c>
      <c r="J54" t="s">
        <v>81</v>
      </c>
      <c r="K54" t="s">
        <v>1495</v>
      </c>
      <c r="L54" t="s">
        <v>1178</v>
      </c>
      <c r="M54" t="s">
        <v>1192</v>
      </c>
      <c r="N54" t="s">
        <v>599</v>
      </c>
      <c r="O54" t="s">
        <v>1496</v>
      </c>
      <c r="P54" t="s">
        <v>599</v>
      </c>
      <c r="Q54" t="s">
        <v>599</v>
      </c>
      <c r="R54" t="s">
        <v>1182</v>
      </c>
      <c r="S54" t="s">
        <v>1497</v>
      </c>
      <c r="T54">
        <v>1887</v>
      </c>
      <c r="U54">
        <v>1887</v>
      </c>
      <c r="V54" t="s">
        <v>1498</v>
      </c>
      <c r="W54" t="s">
        <v>599</v>
      </c>
      <c r="X54" t="s">
        <v>599</v>
      </c>
      <c r="Y54" t="s">
        <v>599</v>
      </c>
      <c r="Z54" t="s">
        <v>599</v>
      </c>
      <c r="AA54" t="s">
        <v>599</v>
      </c>
      <c r="AB54" t="s">
        <v>599</v>
      </c>
      <c r="AC54" t="s">
        <v>1499</v>
      </c>
      <c r="AD54" t="s">
        <v>1188</v>
      </c>
      <c r="AE54" t="s">
        <v>1500</v>
      </c>
      <c r="AF54" t="s">
        <v>1190</v>
      </c>
    </row>
    <row r="55" spans="1:32" s="32" customFormat="1" ht="60" x14ac:dyDescent="0.25">
      <c r="A55" s="29">
        <v>458655</v>
      </c>
      <c r="B55" s="29">
        <v>2</v>
      </c>
      <c r="C55" s="28">
        <v>12</v>
      </c>
      <c r="D55" s="57" t="s">
        <v>684</v>
      </c>
      <c r="E55" s="31" t="s">
        <v>82</v>
      </c>
      <c r="F55" s="45"/>
      <c r="G55" s="45"/>
      <c r="H55" s="45"/>
      <c r="I55">
        <v>458655</v>
      </c>
      <c r="J55" t="s">
        <v>81</v>
      </c>
      <c r="K55" t="s">
        <v>1495</v>
      </c>
      <c r="L55" t="s">
        <v>1178</v>
      </c>
      <c r="M55" t="s">
        <v>1192</v>
      </c>
      <c r="N55" t="s">
        <v>599</v>
      </c>
      <c r="O55" t="s">
        <v>1496</v>
      </c>
      <c r="P55" t="s">
        <v>599</v>
      </c>
      <c r="Q55" t="s">
        <v>599</v>
      </c>
      <c r="R55" t="s">
        <v>1182</v>
      </c>
      <c r="S55" t="s">
        <v>1497</v>
      </c>
      <c r="T55">
        <v>1887</v>
      </c>
      <c r="U55">
        <v>1887</v>
      </c>
      <c r="V55" t="s">
        <v>1498</v>
      </c>
      <c r="W55" t="s">
        <v>599</v>
      </c>
      <c r="X55" t="s">
        <v>599</v>
      </c>
      <c r="Y55" t="s">
        <v>599</v>
      </c>
      <c r="Z55" t="s">
        <v>599</v>
      </c>
      <c r="AA55" t="s">
        <v>599</v>
      </c>
      <c r="AB55" t="s">
        <v>599</v>
      </c>
      <c r="AC55" t="s">
        <v>1499</v>
      </c>
      <c r="AD55" t="s">
        <v>1188</v>
      </c>
      <c r="AE55" t="s">
        <v>1500</v>
      </c>
      <c r="AF55" t="s">
        <v>1190</v>
      </c>
    </row>
    <row r="56" spans="1:32" s="32" customFormat="1" ht="60" x14ac:dyDescent="0.25">
      <c r="A56" s="29">
        <v>458655</v>
      </c>
      <c r="B56" s="29">
        <v>2</v>
      </c>
      <c r="C56" s="28">
        <v>12</v>
      </c>
      <c r="D56" s="57" t="s">
        <v>684</v>
      </c>
      <c r="E56" s="31" t="s">
        <v>82</v>
      </c>
      <c r="F56" s="45"/>
      <c r="G56" s="45"/>
      <c r="H56" s="45"/>
      <c r="I56">
        <v>458655</v>
      </c>
      <c r="J56" t="s">
        <v>81</v>
      </c>
      <c r="K56" t="s">
        <v>1495</v>
      </c>
      <c r="L56" t="s">
        <v>1178</v>
      </c>
      <c r="M56" t="s">
        <v>1192</v>
      </c>
      <c r="N56" t="s">
        <v>599</v>
      </c>
      <c r="O56" t="s">
        <v>1496</v>
      </c>
      <c r="P56" t="s">
        <v>599</v>
      </c>
      <c r="Q56" t="s">
        <v>599</v>
      </c>
      <c r="R56" t="s">
        <v>1182</v>
      </c>
      <c r="S56" t="s">
        <v>1497</v>
      </c>
      <c r="T56">
        <v>1887</v>
      </c>
      <c r="U56">
        <v>1887</v>
      </c>
      <c r="V56" t="s">
        <v>1498</v>
      </c>
      <c r="W56" t="s">
        <v>599</v>
      </c>
      <c r="X56" t="s">
        <v>599</v>
      </c>
      <c r="Y56" t="s">
        <v>599</v>
      </c>
      <c r="Z56" t="s">
        <v>599</v>
      </c>
      <c r="AA56" t="s">
        <v>599</v>
      </c>
      <c r="AB56" t="s">
        <v>599</v>
      </c>
      <c r="AC56" t="s">
        <v>1499</v>
      </c>
      <c r="AD56" t="s">
        <v>1188</v>
      </c>
      <c r="AE56" t="s">
        <v>1500</v>
      </c>
      <c r="AF56" t="s">
        <v>1190</v>
      </c>
    </row>
    <row r="57" spans="1:32" s="32" customFormat="1" ht="60" x14ac:dyDescent="0.25">
      <c r="A57" s="29">
        <v>458655</v>
      </c>
      <c r="B57" s="29">
        <v>3</v>
      </c>
      <c r="C57" s="28">
        <v>11</v>
      </c>
      <c r="D57" s="57" t="s">
        <v>682</v>
      </c>
      <c r="E57" s="31" t="s">
        <v>82</v>
      </c>
      <c r="F57" s="45"/>
      <c r="G57" s="45"/>
      <c r="H57" s="45"/>
      <c r="I57">
        <v>458655</v>
      </c>
      <c r="J57" t="s">
        <v>81</v>
      </c>
      <c r="K57" t="s">
        <v>1495</v>
      </c>
      <c r="L57" t="s">
        <v>1178</v>
      </c>
      <c r="M57" t="s">
        <v>1192</v>
      </c>
      <c r="N57" t="s">
        <v>599</v>
      </c>
      <c r="O57" t="s">
        <v>1496</v>
      </c>
      <c r="P57" t="s">
        <v>599</v>
      </c>
      <c r="Q57" t="s">
        <v>599</v>
      </c>
      <c r="R57" t="s">
        <v>1182</v>
      </c>
      <c r="S57" t="s">
        <v>1497</v>
      </c>
      <c r="T57">
        <v>1887</v>
      </c>
      <c r="U57">
        <v>1887</v>
      </c>
      <c r="V57" t="s">
        <v>1498</v>
      </c>
      <c r="W57" t="s">
        <v>599</v>
      </c>
      <c r="X57" t="s">
        <v>599</v>
      </c>
      <c r="Y57" t="s">
        <v>599</v>
      </c>
      <c r="Z57" t="s">
        <v>599</v>
      </c>
      <c r="AA57" t="s">
        <v>599</v>
      </c>
      <c r="AB57" t="s">
        <v>599</v>
      </c>
      <c r="AC57" t="s">
        <v>1499</v>
      </c>
      <c r="AD57" t="s">
        <v>1188</v>
      </c>
      <c r="AE57" t="s">
        <v>1500</v>
      </c>
      <c r="AF57" t="s">
        <v>1190</v>
      </c>
    </row>
    <row r="58" spans="1:32" s="32" customFormat="1" ht="60" x14ac:dyDescent="0.25">
      <c r="A58" s="29">
        <v>458655</v>
      </c>
      <c r="B58" s="29">
        <v>3</v>
      </c>
      <c r="C58" s="28">
        <v>12</v>
      </c>
      <c r="D58" s="57" t="s">
        <v>684</v>
      </c>
      <c r="E58" s="31" t="s">
        <v>82</v>
      </c>
      <c r="F58" s="45"/>
      <c r="G58" s="45"/>
      <c r="H58" s="45"/>
      <c r="I58">
        <v>458655</v>
      </c>
      <c r="J58" t="s">
        <v>81</v>
      </c>
      <c r="K58" t="s">
        <v>1495</v>
      </c>
      <c r="L58" t="s">
        <v>1178</v>
      </c>
      <c r="M58" t="s">
        <v>1192</v>
      </c>
      <c r="N58" t="s">
        <v>599</v>
      </c>
      <c r="O58" t="s">
        <v>1496</v>
      </c>
      <c r="P58" t="s">
        <v>599</v>
      </c>
      <c r="Q58" t="s">
        <v>599</v>
      </c>
      <c r="R58" t="s">
        <v>1182</v>
      </c>
      <c r="S58" t="s">
        <v>1497</v>
      </c>
      <c r="T58">
        <v>1887</v>
      </c>
      <c r="U58">
        <v>1887</v>
      </c>
      <c r="V58" t="s">
        <v>1498</v>
      </c>
      <c r="W58" t="s">
        <v>599</v>
      </c>
      <c r="X58" t="s">
        <v>599</v>
      </c>
      <c r="Y58" t="s">
        <v>599</v>
      </c>
      <c r="Z58" t="s">
        <v>599</v>
      </c>
      <c r="AA58" t="s">
        <v>599</v>
      </c>
      <c r="AB58" t="s">
        <v>599</v>
      </c>
      <c r="AC58" t="s">
        <v>1499</v>
      </c>
      <c r="AD58" t="s">
        <v>1188</v>
      </c>
      <c r="AE58" t="s">
        <v>1500</v>
      </c>
      <c r="AF58" t="s">
        <v>1190</v>
      </c>
    </row>
    <row r="59" spans="1:32" s="26" customFormat="1" ht="45" x14ac:dyDescent="0.25">
      <c r="A59" s="23">
        <v>465606</v>
      </c>
      <c r="B59" s="23">
        <v>1</v>
      </c>
      <c r="C59" s="27">
        <v>3</v>
      </c>
      <c r="D59" s="53" t="s">
        <v>685</v>
      </c>
      <c r="E59" s="25">
        <v>3</v>
      </c>
      <c r="F59" s="45"/>
      <c r="G59" s="45"/>
      <c r="H59" s="45"/>
      <c r="I59">
        <v>465606</v>
      </c>
      <c r="J59" t="s">
        <v>84</v>
      </c>
      <c r="K59" t="s">
        <v>1501</v>
      </c>
      <c r="L59" t="s">
        <v>1178</v>
      </c>
      <c r="M59" t="s">
        <v>1502</v>
      </c>
      <c r="N59" t="s">
        <v>599</v>
      </c>
      <c r="O59" t="s">
        <v>1503</v>
      </c>
      <c r="P59" t="s">
        <v>599</v>
      </c>
      <c r="Q59" t="s">
        <v>599</v>
      </c>
      <c r="R59" t="s">
        <v>1182</v>
      </c>
      <c r="S59" t="s">
        <v>1504</v>
      </c>
      <c r="T59">
        <v>1845</v>
      </c>
      <c r="U59">
        <v>1845</v>
      </c>
      <c r="V59" t="s">
        <v>1463</v>
      </c>
      <c r="W59" t="s">
        <v>1505</v>
      </c>
      <c r="X59" t="s">
        <v>599</v>
      </c>
      <c r="Y59" t="s">
        <v>599</v>
      </c>
      <c r="Z59" t="s">
        <v>1506</v>
      </c>
      <c r="AA59" t="s">
        <v>599</v>
      </c>
      <c r="AB59" t="s">
        <v>599</v>
      </c>
      <c r="AC59" t="s">
        <v>1507</v>
      </c>
      <c r="AD59" t="s">
        <v>1188</v>
      </c>
      <c r="AE59" t="s">
        <v>1508</v>
      </c>
      <c r="AF59" t="s">
        <v>1190</v>
      </c>
    </row>
    <row r="60" spans="1:32" s="26" customFormat="1" ht="45" x14ac:dyDescent="0.25">
      <c r="A60" s="23">
        <v>471392</v>
      </c>
      <c r="B60" s="23">
        <v>1</v>
      </c>
      <c r="C60" s="27">
        <v>5</v>
      </c>
      <c r="D60" s="53" t="s">
        <v>686</v>
      </c>
      <c r="E60" s="25">
        <v>5</v>
      </c>
      <c r="F60" s="45"/>
      <c r="G60" s="45"/>
      <c r="H60" s="45"/>
      <c r="I60">
        <v>471392</v>
      </c>
      <c r="J60" t="s">
        <v>85</v>
      </c>
      <c r="K60" t="s">
        <v>1509</v>
      </c>
      <c r="L60" t="s">
        <v>1178</v>
      </c>
      <c r="M60" t="s">
        <v>1179</v>
      </c>
      <c r="N60" t="s">
        <v>599</v>
      </c>
      <c r="O60" t="s">
        <v>1105</v>
      </c>
      <c r="P60" t="s">
        <v>1510</v>
      </c>
      <c r="Q60" t="s">
        <v>599</v>
      </c>
      <c r="R60" t="s">
        <v>1182</v>
      </c>
      <c r="S60" t="s">
        <v>1437</v>
      </c>
      <c r="T60">
        <v>1857</v>
      </c>
      <c r="U60">
        <v>1857</v>
      </c>
      <c r="V60" t="s">
        <v>1511</v>
      </c>
      <c r="W60" t="s">
        <v>1512</v>
      </c>
      <c r="X60" t="s">
        <v>599</v>
      </c>
      <c r="Y60" t="s">
        <v>599</v>
      </c>
      <c r="Z60" t="s">
        <v>599</v>
      </c>
      <c r="AA60" t="s">
        <v>599</v>
      </c>
      <c r="AB60" t="s">
        <v>599</v>
      </c>
      <c r="AC60" t="s">
        <v>1513</v>
      </c>
      <c r="AD60" t="s">
        <v>1188</v>
      </c>
      <c r="AE60" t="s">
        <v>1514</v>
      </c>
      <c r="AF60" t="s">
        <v>1190</v>
      </c>
    </row>
    <row r="61" spans="1:32" s="13" customFormat="1" ht="45" x14ac:dyDescent="0.25">
      <c r="A61" s="10">
        <v>475171</v>
      </c>
      <c r="B61" s="10">
        <v>1</v>
      </c>
      <c r="C61" s="9">
        <v>13</v>
      </c>
      <c r="D61" s="56" t="s">
        <v>687</v>
      </c>
      <c r="E61" s="12">
        <v>13</v>
      </c>
      <c r="F61" s="45"/>
      <c r="G61" s="45"/>
      <c r="H61" s="45"/>
      <c r="I61">
        <v>475171</v>
      </c>
      <c r="J61" t="s">
        <v>86</v>
      </c>
      <c r="K61" t="s">
        <v>1516</v>
      </c>
      <c r="L61" t="s">
        <v>1517</v>
      </c>
      <c r="M61" t="s">
        <v>1518</v>
      </c>
      <c r="N61" t="s">
        <v>1192</v>
      </c>
      <c r="O61" t="s">
        <v>1519</v>
      </c>
      <c r="P61" t="s">
        <v>599</v>
      </c>
      <c r="Q61" t="s">
        <v>599</v>
      </c>
      <c r="R61" t="s">
        <v>1182</v>
      </c>
      <c r="S61" t="s">
        <v>599</v>
      </c>
      <c r="T61">
        <v>1625</v>
      </c>
      <c r="U61">
        <v>1625</v>
      </c>
      <c r="V61" t="s">
        <v>1520</v>
      </c>
      <c r="W61" t="s">
        <v>1185</v>
      </c>
      <c r="X61" t="s">
        <v>599</v>
      </c>
      <c r="Y61" t="s">
        <v>599</v>
      </c>
      <c r="Z61" t="s">
        <v>1521</v>
      </c>
      <c r="AA61" t="s">
        <v>599</v>
      </c>
      <c r="AB61" t="s">
        <v>599</v>
      </c>
      <c r="AC61" t="s">
        <v>1522</v>
      </c>
      <c r="AD61" t="s">
        <v>1188</v>
      </c>
      <c r="AE61" t="s">
        <v>1523</v>
      </c>
      <c r="AF61" t="s">
        <v>1190</v>
      </c>
    </row>
    <row r="62" spans="1:32" s="26" customFormat="1" ht="45" x14ac:dyDescent="0.25">
      <c r="A62" s="23">
        <v>475214</v>
      </c>
      <c r="B62" s="23">
        <v>1</v>
      </c>
      <c r="C62" s="27">
        <v>7</v>
      </c>
      <c r="D62" s="53" t="s">
        <v>688</v>
      </c>
      <c r="E62" s="25">
        <v>7</v>
      </c>
      <c r="F62" s="45"/>
      <c r="G62" s="45"/>
      <c r="H62" s="45"/>
      <c r="I62">
        <v>475214</v>
      </c>
      <c r="J62" t="s">
        <v>87</v>
      </c>
      <c r="K62" t="s">
        <v>1527</v>
      </c>
      <c r="L62" t="s">
        <v>1178</v>
      </c>
      <c r="M62" t="s">
        <v>1528</v>
      </c>
      <c r="N62" t="s">
        <v>599</v>
      </c>
      <c r="O62" t="s">
        <v>1219</v>
      </c>
      <c r="P62" t="s">
        <v>1529</v>
      </c>
      <c r="Q62" t="s">
        <v>599</v>
      </c>
      <c r="R62" t="s">
        <v>1182</v>
      </c>
      <c r="S62" t="s">
        <v>1530</v>
      </c>
      <c r="T62">
        <v>1892</v>
      </c>
      <c r="U62">
        <v>1892</v>
      </c>
      <c r="V62" t="s">
        <v>1531</v>
      </c>
      <c r="W62" t="s">
        <v>1185</v>
      </c>
      <c r="X62" t="s">
        <v>599</v>
      </c>
      <c r="Y62" t="s">
        <v>599</v>
      </c>
      <c r="Z62" t="s">
        <v>1532</v>
      </c>
      <c r="AA62" t="s">
        <v>599</v>
      </c>
      <c r="AB62" t="s">
        <v>1533</v>
      </c>
      <c r="AC62" t="s">
        <v>1534</v>
      </c>
      <c r="AD62" t="s">
        <v>1188</v>
      </c>
      <c r="AE62" t="s">
        <v>1535</v>
      </c>
      <c r="AF62" t="s">
        <v>1190</v>
      </c>
    </row>
    <row r="63" spans="1:32" s="13" customFormat="1" ht="45" x14ac:dyDescent="0.25">
      <c r="A63" s="10">
        <v>475453</v>
      </c>
      <c r="B63" s="10">
        <v>1</v>
      </c>
      <c r="C63" s="9">
        <v>1</v>
      </c>
      <c r="D63" s="56" t="s">
        <v>689</v>
      </c>
      <c r="E63" s="12">
        <v>1</v>
      </c>
      <c r="F63" s="45"/>
      <c r="G63" s="45"/>
      <c r="H63" s="45"/>
      <c r="I63">
        <v>475453</v>
      </c>
      <c r="J63" t="s">
        <v>88</v>
      </c>
      <c r="K63" t="s">
        <v>1537</v>
      </c>
      <c r="L63" t="s">
        <v>1226</v>
      </c>
      <c r="M63" t="s">
        <v>1192</v>
      </c>
      <c r="N63" t="s">
        <v>599</v>
      </c>
      <c r="O63" t="s">
        <v>1538</v>
      </c>
      <c r="P63" t="s">
        <v>1539</v>
      </c>
      <c r="Q63" t="s">
        <v>599</v>
      </c>
      <c r="R63" t="s">
        <v>1182</v>
      </c>
      <c r="S63" t="s">
        <v>1437</v>
      </c>
      <c r="T63">
        <v>1880</v>
      </c>
      <c r="U63">
        <v>1880</v>
      </c>
      <c r="V63" t="s">
        <v>599</v>
      </c>
      <c r="W63" t="s">
        <v>599</v>
      </c>
      <c r="X63" t="s">
        <v>599</v>
      </c>
      <c r="Y63" t="s">
        <v>599</v>
      </c>
      <c r="Z63" t="s">
        <v>599</v>
      </c>
      <c r="AA63" t="s">
        <v>599</v>
      </c>
      <c r="AB63" t="s">
        <v>599</v>
      </c>
      <c r="AC63" t="s">
        <v>1540</v>
      </c>
      <c r="AD63" t="s">
        <v>1188</v>
      </c>
      <c r="AE63" t="s">
        <v>1541</v>
      </c>
      <c r="AF63" t="s">
        <v>1190</v>
      </c>
    </row>
    <row r="64" spans="1:32" s="13" customFormat="1" ht="45" x14ac:dyDescent="0.25">
      <c r="A64" s="10">
        <v>475458</v>
      </c>
      <c r="B64" s="10">
        <v>1</v>
      </c>
      <c r="C64" s="9">
        <v>1</v>
      </c>
      <c r="D64" s="56" t="s">
        <v>690</v>
      </c>
      <c r="E64" s="12">
        <v>1</v>
      </c>
      <c r="F64" s="45"/>
      <c r="G64" s="45"/>
      <c r="H64" s="45"/>
      <c r="I64">
        <v>475458</v>
      </c>
      <c r="J64" t="s">
        <v>89</v>
      </c>
      <c r="K64" t="s">
        <v>1542</v>
      </c>
      <c r="L64" t="s">
        <v>1178</v>
      </c>
      <c r="M64" t="s">
        <v>1192</v>
      </c>
      <c r="N64" t="s">
        <v>599</v>
      </c>
      <c r="O64" t="s">
        <v>1193</v>
      </c>
      <c r="P64" t="s">
        <v>1543</v>
      </c>
      <c r="Q64" t="s">
        <v>599</v>
      </c>
      <c r="R64" t="s">
        <v>1182</v>
      </c>
      <c r="S64" t="s">
        <v>1544</v>
      </c>
      <c r="T64">
        <v>1880</v>
      </c>
      <c r="U64">
        <v>1880</v>
      </c>
      <c r="V64" t="s">
        <v>1545</v>
      </c>
      <c r="W64" t="s">
        <v>1546</v>
      </c>
      <c r="X64" t="s">
        <v>599</v>
      </c>
      <c r="Y64" t="s">
        <v>1185</v>
      </c>
      <c r="Z64" t="s">
        <v>599</v>
      </c>
      <c r="AA64" t="s">
        <v>599</v>
      </c>
      <c r="AB64" t="s">
        <v>599</v>
      </c>
      <c r="AC64" t="s">
        <v>1547</v>
      </c>
      <c r="AD64" t="s">
        <v>1441</v>
      </c>
      <c r="AE64" t="s">
        <v>1548</v>
      </c>
      <c r="AF64" t="s">
        <v>1190</v>
      </c>
    </row>
    <row r="65" spans="1:32" s="26" customFormat="1" ht="45" x14ac:dyDescent="0.25">
      <c r="A65" s="23">
        <v>476957</v>
      </c>
      <c r="B65" s="23">
        <v>1</v>
      </c>
      <c r="C65" s="27">
        <v>5</v>
      </c>
      <c r="D65" s="53" t="s">
        <v>691</v>
      </c>
      <c r="E65" s="25" t="s">
        <v>91</v>
      </c>
      <c r="F65" s="45"/>
      <c r="G65" s="45"/>
      <c r="H65" s="45"/>
      <c r="I65">
        <v>476957</v>
      </c>
      <c r="J65" t="s">
        <v>90</v>
      </c>
      <c r="K65" t="s">
        <v>1550</v>
      </c>
      <c r="L65" t="s">
        <v>1178</v>
      </c>
      <c r="M65" t="s">
        <v>1192</v>
      </c>
      <c r="N65" t="s">
        <v>599</v>
      </c>
      <c r="O65" t="s">
        <v>1551</v>
      </c>
      <c r="P65" t="s">
        <v>599</v>
      </c>
      <c r="Q65" t="s">
        <v>599</v>
      </c>
      <c r="R65" t="s">
        <v>1552</v>
      </c>
      <c r="S65" t="s">
        <v>1553</v>
      </c>
      <c r="T65">
        <v>1880</v>
      </c>
      <c r="U65">
        <v>1880</v>
      </c>
      <c r="V65" t="s">
        <v>1554</v>
      </c>
      <c r="W65" t="s">
        <v>1185</v>
      </c>
      <c r="X65" t="s">
        <v>599</v>
      </c>
      <c r="Y65" t="s">
        <v>599</v>
      </c>
      <c r="Z65" t="s">
        <v>599</v>
      </c>
      <c r="AA65" t="s">
        <v>599</v>
      </c>
      <c r="AB65" t="s">
        <v>599</v>
      </c>
      <c r="AC65" t="s">
        <v>1555</v>
      </c>
      <c r="AD65" t="s">
        <v>1188</v>
      </c>
      <c r="AE65" t="s">
        <v>1556</v>
      </c>
      <c r="AF65" t="s">
        <v>1190</v>
      </c>
    </row>
    <row r="66" spans="1:32" s="13" customFormat="1" ht="45" x14ac:dyDescent="0.25">
      <c r="A66" s="10">
        <v>479076</v>
      </c>
      <c r="B66" s="10">
        <v>1</v>
      </c>
      <c r="C66" s="9">
        <v>1</v>
      </c>
      <c r="D66" s="56" t="s">
        <v>692</v>
      </c>
      <c r="E66" s="12" t="s">
        <v>93</v>
      </c>
      <c r="F66" s="45"/>
      <c r="G66" s="45"/>
      <c r="H66" s="45"/>
      <c r="I66">
        <v>479076</v>
      </c>
      <c r="J66" t="s">
        <v>92</v>
      </c>
      <c r="K66" t="s">
        <v>1557</v>
      </c>
      <c r="L66" t="s">
        <v>1226</v>
      </c>
      <c r="M66" t="s">
        <v>1234</v>
      </c>
      <c r="N66" t="s">
        <v>599</v>
      </c>
      <c r="O66" t="s">
        <v>1558</v>
      </c>
      <c r="P66" t="s">
        <v>599</v>
      </c>
      <c r="Q66" t="s">
        <v>599</v>
      </c>
      <c r="R66" t="s">
        <v>1182</v>
      </c>
      <c r="S66" t="s">
        <v>1559</v>
      </c>
      <c r="T66">
        <v>1880</v>
      </c>
      <c r="U66">
        <v>1880</v>
      </c>
      <c r="V66" t="s">
        <v>599</v>
      </c>
      <c r="W66" t="s">
        <v>599</v>
      </c>
      <c r="X66" t="s">
        <v>599</v>
      </c>
      <c r="Y66" t="s">
        <v>599</v>
      </c>
      <c r="Z66" t="s">
        <v>1560</v>
      </c>
      <c r="AA66" t="s">
        <v>599</v>
      </c>
      <c r="AB66" t="s">
        <v>599</v>
      </c>
      <c r="AC66" t="s">
        <v>1561</v>
      </c>
      <c r="AD66" t="s">
        <v>1188</v>
      </c>
      <c r="AE66" t="s">
        <v>1562</v>
      </c>
      <c r="AF66" t="s">
        <v>1190</v>
      </c>
    </row>
    <row r="67" spans="1:32" s="13" customFormat="1" ht="45" x14ac:dyDescent="0.25">
      <c r="A67" s="10">
        <v>479079</v>
      </c>
      <c r="B67" s="10">
        <v>1</v>
      </c>
      <c r="C67" s="9">
        <v>1</v>
      </c>
      <c r="D67" s="56" t="s">
        <v>693</v>
      </c>
      <c r="E67" s="12" t="s">
        <v>93</v>
      </c>
      <c r="F67" s="45"/>
      <c r="G67" s="45"/>
      <c r="H67" s="45"/>
      <c r="I67">
        <v>479079</v>
      </c>
      <c r="J67" t="s">
        <v>94</v>
      </c>
      <c r="K67" t="s">
        <v>1563</v>
      </c>
      <c r="L67" t="s">
        <v>1226</v>
      </c>
      <c r="M67" t="s">
        <v>1234</v>
      </c>
      <c r="N67" t="s">
        <v>599</v>
      </c>
      <c r="O67" t="s">
        <v>1564</v>
      </c>
      <c r="P67" t="s">
        <v>599</v>
      </c>
      <c r="Q67" t="s">
        <v>599</v>
      </c>
      <c r="R67" t="s">
        <v>1182</v>
      </c>
      <c r="S67" t="s">
        <v>1565</v>
      </c>
      <c r="T67">
        <v>1880</v>
      </c>
      <c r="U67">
        <v>1880</v>
      </c>
      <c r="V67" t="s">
        <v>599</v>
      </c>
      <c r="W67" t="s">
        <v>599</v>
      </c>
      <c r="X67" t="s">
        <v>599</v>
      </c>
      <c r="Y67" t="s">
        <v>599</v>
      </c>
      <c r="Z67" t="s">
        <v>1566</v>
      </c>
      <c r="AA67" t="s">
        <v>599</v>
      </c>
      <c r="AB67" t="s">
        <v>599</v>
      </c>
      <c r="AC67" t="s">
        <v>1567</v>
      </c>
      <c r="AD67" t="s">
        <v>1188</v>
      </c>
      <c r="AE67" t="s">
        <v>1568</v>
      </c>
      <c r="AF67" t="s">
        <v>1190</v>
      </c>
    </row>
    <row r="68" spans="1:32" s="13" customFormat="1" ht="45" x14ac:dyDescent="0.25">
      <c r="A68" s="10">
        <v>480058</v>
      </c>
      <c r="B68" s="10">
        <v>1</v>
      </c>
      <c r="C68" s="9">
        <v>1</v>
      </c>
      <c r="D68" s="56" t="s">
        <v>694</v>
      </c>
      <c r="E68" s="12">
        <v>1</v>
      </c>
      <c r="F68" s="45"/>
      <c r="G68" s="45"/>
      <c r="H68" s="45"/>
      <c r="I68">
        <v>480058</v>
      </c>
      <c r="J68" t="s">
        <v>95</v>
      </c>
      <c r="K68" t="s">
        <v>1569</v>
      </c>
      <c r="L68" t="s">
        <v>1226</v>
      </c>
      <c r="M68" t="s">
        <v>1192</v>
      </c>
      <c r="N68" t="s">
        <v>599</v>
      </c>
      <c r="O68" t="s">
        <v>1570</v>
      </c>
      <c r="P68" t="s">
        <v>599</v>
      </c>
      <c r="Q68" t="s">
        <v>599</v>
      </c>
      <c r="R68" t="s">
        <v>1182</v>
      </c>
      <c r="S68" t="s">
        <v>1571</v>
      </c>
      <c r="T68">
        <v>1880</v>
      </c>
      <c r="U68">
        <v>1880</v>
      </c>
      <c r="V68" t="s">
        <v>599</v>
      </c>
      <c r="W68" t="s">
        <v>599</v>
      </c>
      <c r="X68" t="s">
        <v>599</v>
      </c>
      <c r="Y68" t="s">
        <v>599</v>
      </c>
      <c r="Z68" t="s">
        <v>1572</v>
      </c>
      <c r="AA68" t="s">
        <v>599</v>
      </c>
      <c r="AB68" t="s">
        <v>599</v>
      </c>
      <c r="AC68" t="s">
        <v>1573</v>
      </c>
      <c r="AD68" t="s">
        <v>1188</v>
      </c>
      <c r="AE68" t="s">
        <v>1574</v>
      </c>
      <c r="AF68" t="s">
        <v>1190</v>
      </c>
    </row>
    <row r="69" spans="1:32" s="26" customFormat="1" ht="45" x14ac:dyDescent="0.25">
      <c r="A69" s="23">
        <v>357297</v>
      </c>
      <c r="B69" s="23">
        <v>1</v>
      </c>
      <c r="C69" s="27">
        <v>10</v>
      </c>
      <c r="D69" s="53" t="s">
        <v>695</v>
      </c>
      <c r="E69" s="25" t="s">
        <v>97</v>
      </c>
      <c r="F69" s="45"/>
      <c r="G69" s="45"/>
      <c r="H69" s="45"/>
      <c r="I69">
        <v>357297</v>
      </c>
      <c r="J69" t="s">
        <v>96</v>
      </c>
      <c r="K69" t="s">
        <v>1576</v>
      </c>
      <c r="L69" t="s">
        <v>1178</v>
      </c>
      <c r="M69" t="s">
        <v>1192</v>
      </c>
      <c r="N69" t="s">
        <v>599</v>
      </c>
      <c r="O69" t="s">
        <v>1193</v>
      </c>
      <c r="P69" t="s">
        <v>599</v>
      </c>
      <c r="Q69" t="s">
        <v>599</v>
      </c>
      <c r="R69" t="s">
        <v>1577</v>
      </c>
      <c r="S69" t="s">
        <v>1578</v>
      </c>
      <c r="T69">
        <v>1817</v>
      </c>
      <c r="U69">
        <v>1817</v>
      </c>
      <c r="V69" t="s">
        <v>1579</v>
      </c>
      <c r="W69" t="s">
        <v>1185</v>
      </c>
      <c r="X69" t="s">
        <v>599</v>
      </c>
      <c r="Y69" t="s">
        <v>599</v>
      </c>
      <c r="Z69" t="s">
        <v>1580</v>
      </c>
      <c r="AA69" t="s">
        <v>599</v>
      </c>
      <c r="AB69" t="s">
        <v>599</v>
      </c>
      <c r="AC69" t="s">
        <v>1581</v>
      </c>
      <c r="AD69" t="s">
        <v>1188</v>
      </c>
      <c r="AE69" t="s">
        <v>1582</v>
      </c>
      <c r="AF69" t="s">
        <v>1190</v>
      </c>
    </row>
    <row r="70" spans="1:32" s="13" customFormat="1" ht="45" x14ac:dyDescent="0.25">
      <c r="A70" s="10">
        <v>601741</v>
      </c>
      <c r="B70" s="10">
        <v>1</v>
      </c>
      <c r="C70" s="9">
        <v>1</v>
      </c>
      <c r="D70" s="56" t="s">
        <v>696</v>
      </c>
      <c r="E70" s="12" t="s">
        <v>71</v>
      </c>
      <c r="F70" s="45"/>
      <c r="G70" s="45"/>
      <c r="H70" s="45"/>
      <c r="I70">
        <v>601741</v>
      </c>
      <c r="J70" t="s">
        <v>98</v>
      </c>
      <c r="K70" t="s">
        <v>1583</v>
      </c>
      <c r="L70" t="s">
        <v>1312</v>
      </c>
      <c r="M70" t="s">
        <v>1362</v>
      </c>
      <c r="N70" t="s">
        <v>599</v>
      </c>
      <c r="O70" t="s">
        <v>1584</v>
      </c>
      <c r="P70" t="s">
        <v>599</v>
      </c>
      <c r="Q70" t="s">
        <v>599</v>
      </c>
      <c r="R70" t="s">
        <v>1182</v>
      </c>
      <c r="S70" t="s">
        <v>1585</v>
      </c>
      <c r="T70">
        <v>1860</v>
      </c>
      <c r="U70">
        <v>1860</v>
      </c>
      <c r="V70" t="s">
        <v>1454</v>
      </c>
      <c r="W70" t="s">
        <v>599</v>
      </c>
      <c r="X70" t="s">
        <v>599</v>
      </c>
      <c r="Y70" t="s">
        <v>599</v>
      </c>
      <c r="Z70" t="s">
        <v>599</v>
      </c>
      <c r="AA70" t="s">
        <v>599</v>
      </c>
      <c r="AB70" t="s">
        <v>599</v>
      </c>
      <c r="AC70" t="s">
        <v>1586</v>
      </c>
      <c r="AD70" t="s">
        <v>599</v>
      </c>
      <c r="AE70" t="s">
        <v>1587</v>
      </c>
      <c r="AF70" t="s">
        <v>1190</v>
      </c>
    </row>
    <row r="71" spans="1:32" s="13" customFormat="1" ht="45" x14ac:dyDescent="0.25">
      <c r="A71" s="10">
        <v>604127</v>
      </c>
      <c r="B71" s="10">
        <v>1</v>
      </c>
      <c r="C71" s="9">
        <v>1</v>
      </c>
      <c r="D71" s="56" t="s">
        <v>697</v>
      </c>
      <c r="E71" s="12" t="s">
        <v>100</v>
      </c>
      <c r="F71" s="45"/>
      <c r="G71" s="45"/>
      <c r="H71" s="45"/>
      <c r="I71">
        <v>604127</v>
      </c>
      <c r="J71" t="s">
        <v>99</v>
      </c>
      <c r="K71" t="s">
        <v>1588</v>
      </c>
      <c r="L71" t="s">
        <v>1589</v>
      </c>
      <c r="M71" t="s">
        <v>1192</v>
      </c>
      <c r="N71" t="s">
        <v>599</v>
      </c>
      <c r="O71" t="s">
        <v>1590</v>
      </c>
      <c r="P71" t="s">
        <v>1591</v>
      </c>
      <c r="Q71" t="s">
        <v>599</v>
      </c>
      <c r="R71" t="s">
        <v>1182</v>
      </c>
      <c r="S71" t="s">
        <v>1592</v>
      </c>
      <c r="T71">
        <v>1883</v>
      </c>
      <c r="U71">
        <v>1883</v>
      </c>
      <c r="V71" t="s">
        <v>1593</v>
      </c>
      <c r="W71" t="s">
        <v>1594</v>
      </c>
      <c r="X71" t="s">
        <v>599</v>
      </c>
      <c r="Y71" t="s">
        <v>599</v>
      </c>
      <c r="Z71" t="s">
        <v>1250</v>
      </c>
      <c r="AA71" t="s">
        <v>599</v>
      </c>
      <c r="AB71" t="s">
        <v>599</v>
      </c>
      <c r="AC71" t="s">
        <v>1595</v>
      </c>
      <c r="AD71" t="s">
        <v>599</v>
      </c>
      <c r="AE71" t="s">
        <v>1596</v>
      </c>
      <c r="AF71" t="s">
        <v>1190</v>
      </c>
    </row>
    <row r="72" spans="1:32" s="13" customFormat="1" ht="45" x14ac:dyDescent="0.25">
      <c r="A72" s="10">
        <v>613457</v>
      </c>
      <c r="B72" s="10">
        <v>1</v>
      </c>
      <c r="C72" s="9">
        <v>1</v>
      </c>
      <c r="D72" s="56" t="s">
        <v>698</v>
      </c>
      <c r="E72" s="12">
        <v>1</v>
      </c>
      <c r="F72" s="45"/>
      <c r="G72" s="45"/>
      <c r="H72" s="45"/>
      <c r="I72">
        <v>613457</v>
      </c>
      <c r="J72" t="s">
        <v>101</v>
      </c>
      <c r="K72" t="s">
        <v>1599</v>
      </c>
      <c r="L72" t="s">
        <v>1312</v>
      </c>
      <c r="M72" t="s">
        <v>1192</v>
      </c>
      <c r="N72" t="s">
        <v>599</v>
      </c>
      <c r="O72" t="s">
        <v>1105</v>
      </c>
      <c r="P72" t="s">
        <v>599</v>
      </c>
      <c r="Q72" t="s">
        <v>599</v>
      </c>
      <c r="R72" t="s">
        <v>1182</v>
      </c>
      <c r="S72" t="s">
        <v>1453</v>
      </c>
      <c r="T72">
        <v>1968</v>
      </c>
      <c r="U72">
        <v>1968</v>
      </c>
      <c r="V72" t="s">
        <v>1315</v>
      </c>
      <c r="W72" t="s">
        <v>599</v>
      </c>
      <c r="X72" t="s">
        <v>599</v>
      </c>
      <c r="Y72" t="s">
        <v>599</v>
      </c>
      <c r="Z72" t="s">
        <v>599</v>
      </c>
      <c r="AA72" t="s">
        <v>599</v>
      </c>
      <c r="AB72" t="s">
        <v>599</v>
      </c>
      <c r="AC72" t="s">
        <v>1600</v>
      </c>
      <c r="AD72" t="s">
        <v>1188</v>
      </c>
      <c r="AE72" t="s">
        <v>1601</v>
      </c>
      <c r="AF72" t="s">
        <v>1190</v>
      </c>
    </row>
    <row r="73" spans="1:32" s="13" customFormat="1" ht="45" x14ac:dyDescent="0.25">
      <c r="A73" s="10">
        <v>614521</v>
      </c>
      <c r="B73" s="10">
        <v>1</v>
      </c>
      <c r="C73" s="9">
        <v>1</v>
      </c>
      <c r="D73" s="56" t="s">
        <v>699</v>
      </c>
      <c r="E73" s="12">
        <v>1</v>
      </c>
      <c r="F73" s="45"/>
      <c r="G73" s="45"/>
      <c r="H73" s="45"/>
      <c r="I73">
        <v>614521</v>
      </c>
      <c r="J73" t="s">
        <v>102</v>
      </c>
      <c r="K73" t="s">
        <v>1602</v>
      </c>
      <c r="L73" t="s">
        <v>1312</v>
      </c>
      <c r="M73" t="s">
        <v>1192</v>
      </c>
      <c r="N73" t="s">
        <v>599</v>
      </c>
      <c r="O73" t="s">
        <v>1603</v>
      </c>
      <c r="P73" t="s">
        <v>599</v>
      </c>
      <c r="Q73" t="s">
        <v>599</v>
      </c>
      <c r="R73" t="s">
        <v>1182</v>
      </c>
      <c r="S73" t="s">
        <v>1221</v>
      </c>
      <c r="T73">
        <v>1873</v>
      </c>
      <c r="U73">
        <v>1873</v>
      </c>
      <c r="V73" t="s">
        <v>1454</v>
      </c>
      <c r="W73" t="s">
        <v>1604</v>
      </c>
      <c r="X73" t="s">
        <v>599</v>
      </c>
      <c r="Y73" t="s">
        <v>599</v>
      </c>
      <c r="Z73" t="s">
        <v>599</v>
      </c>
      <c r="AA73" t="s">
        <v>599</v>
      </c>
      <c r="AB73" t="s">
        <v>599</v>
      </c>
      <c r="AC73" t="s">
        <v>1605</v>
      </c>
      <c r="AD73" t="s">
        <v>599</v>
      </c>
      <c r="AE73" t="s">
        <v>1606</v>
      </c>
      <c r="AF73" t="s">
        <v>1190</v>
      </c>
    </row>
    <row r="74" spans="1:32" s="13" customFormat="1" ht="45" x14ac:dyDescent="0.25">
      <c r="A74" s="10">
        <v>626460</v>
      </c>
      <c r="B74" s="10">
        <v>1</v>
      </c>
      <c r="C74" s="9">
        <v>1</v>
      </c>
      <c r="D74" s="56" t="s">
        <v>700</v>
      </c>
      <c r="E74" s="12" t="s">
        <v>71</v>
      </c>
      <c r="F74" s="45"/>
      <c r="G74" s="45"/>
      <c r="H74" s="45"/>
      <c r="I74">
        <v>626460</v>
      </c>
      <c r="J74" t="s">
        <v>103</v>
      </c>
      <c r="K74" t="s">
        <v>599</v>
      </c>
      <c r="L74" t="s">
        <v>1312</v>
      </c>
      <c r="M74" t="s">
        <v>1362</v>
      </c>
      <c r="N74" t="s">
        <v>599</v>
      </c>
      <c r="O74" t="s">
        <v>1584</v>
      </c>
      <c r="P74" t="s">
        <v>599</v>
      </c>
      <c r="Q74" t="s">
        <v>599</v>
      </c>
      <c r="R74" t="s">
        <v>1182</v>
      </c>
      <c r="S74" t="s">
        <v>1607</v>
      </c>
      <c r="T74">
        <v>1846</v>
      </c>
      <c r="U74">
        <v>1846</v>
      </c>
      <c r="V74" t="s">
        <v>1454</v>
      </c>
      <c r="W74" t="s">
        <v>1608</v>
      </c>
      <c r="X74" t="s">
        <v>599</v>
      </c>
      <c r="Y74" t="s">
        <v>599</v>
      </c>
      <c r="Z74" t="s">
        <v>599</v>
      </c>
      <c r="AA74" t="s">
        <v>599</v>
      </c>
      <c r="AB74" t="s">
        <v>599</v>
      </c>
      <c r="AC74" t="s">
        <v>1609</v>
      </c>
      <c r="AD74" t="s">
        <v>599</v>
      </c>
      <c r="AE74" t="s">
        <v>1610</v>
      </c>
      <c r="AF74" t="s">
        <v>1190</v>
      </c>
    </row>
    <row r="75" spans="1:32" s="13" customFormat="1" ht="45" x14ac:dyDescent="0.25">
      <c r="A75" s="10">
        <v>626703</v>
      </c>
      <c r="B75" s="10">
        <v>1</v>
      </c>
      <c r="C75" s="9">
        <v>1</v>
      </c>
      <c r="D75" s="56" t="s">
        <v>701</v>
      </c>
      <c r="E75" s="12" t="s">
        <v>71</v>
      </c>
      <c r="F75" s="45"/>
      <c r="G75" s="45"/>
      <c r="H75" s="45"/>
      <c r="I75">
        <v>626703</v>
      </c>
      <c r="J75" t="s">
        <v>104</v>
      </c>
      <c r="K75" t="s">
        <v>599</v>
      </c>
      <c r="L75" t="s">
        <v>1312</v>
      </c>
      <c r="M75" t="s">
        <v>1403</v>
      </c>
      <c r="N75" t="s">
        <v>599</v>
      </c>
      <c r="O75" t="s">
        <v>1611</v>
      </c>
      <c r="P75" t="s">
        <v>599</v>
      </c>
      <c r="Q75" t="s">
        <v>599</v>
      </c>
      <c r="R75" t="s">
        <v>1182</v>
      </c>
      <c r="S75" t="s">
        <v>1453</v>
      </c>
      <c r="T75">
        <v>1840</v>
      </c>
      <c r="U75">
        <v>1840</v>
      </c>
      <c r="V75" t="s">
        <v>1454</v>
      </c>
      <c r="W75" t="s">
        <v>1612</v>
      </c>
      <c r="X75" t="s">
        <v>599</v>
      </c>
      <c r="Y75" t="s">
        <v>599</v>
      </c>
      <c r="Z75" t="s">
        <v>1613</v>
      </c>
      <c r="AA75" t="s">
        <v>599</v>
      </c>
      <c r="AB75" t="s">
        <v>599</v>
      </c>
      <c r="AC75" t="s">
        <v>1614</v>
      </c>
      <c r="AD75" t="s">
        <v>599</v>
      </c>
      <c r="AE75" t="s">
        <v>1615</v>
      </c>
      <c r="AF75" t="s">
        <v>1190</v>
      </c>
    </row>
    <row r="76" spans="1:32" s="13" customFormat="1" ht="45" x14ac:dyDescent="0.25">
      <c r="A76" s="10">
        <v>636335</v>
      </c>
      <c r="B76" s="10">
        <v>1</v>
      </c>
      <c r="C76" s="9">
        <v>1</v>
      </c>
      <c r="D76" s="56" t="s">
        <v>702</v>
      </c>
      <c r="E76" s="12">
        <v>1</v>
      </c>
      <c r="F76" s="45"/>
      <c r="G76" s="45"/>
      <c r="H76" s="45"/>
      <c r="I76">
        <v>636335</v>
      </c>
      <c r="J76" t="s">
        <v>105</v>
      </c>
      <c r="K76" t="s">
        <v>599</v>
      </c>
      <c r="L76" t="s">
        <v>1312</v>
      </c>
      <c r="M76" t="s">
        <v>1192</v>
      </c>
      <c r="N76" t="s">
        <v>599</v>
      </c>
      <c r="O76" t="s">
        <v>1616</v>
      </c>
      <c r="P76" t="s">
        <v>599</v>
      </c>
      <c r="Q76" t="s">
        <v>599</v>
      </c>
      <c r="R76" t="s">
        <v>1182</v>
      </c>
      <c r="S76" t="s">
        <v>1437</v>
      </c>
      <c r="T76">
        <v>1880</v>
      </c>
      <c r="U76">
        <v>1880</v>
      </c>
      <c r="V76" t="s">
        <v>1454</v>
      </c>
      <c r="W76" t="s">
        <v>599</v>
      </c>
      <c r="X76" t="s">
        <v>599</v>
      </c>
      <c r="Y76" t="s">
        <v>599</v>
      </c>
      <c r="Z76" t="s">
        <v>599</v>
      </c>
      <c r="AA76" t="s">
        <v>599</v>
      </c>
      <c r="AB76" t="s">
        <v>599</v>
      </c>
      <c r="AC76" t="s">
        <v>1617</v>
      </c>
      <c r="AD76" t="s">
        <v>599</v>
      </c>
      <c r="AE76" t="s">
        <v>1618</v>
      </c>
      <c r="AF76" t="s">
        <v>1190</v>
      </c>
    </row>
    <row r="77" spans="1:32" s="13" customFormat="1" ht="45" x14ac:dyDescent="0.25">
      <c r="A77" s="10">
        <v>636337</v>
      </c>
      <c r="B77" s="10">
        <v>1</v>
      </c>
      <c r="C77" s="9">
        <v>1</v>
      </c>
      <c r="D77" s="56" t="s">
        <v>703</v>
      </c>
      <c r="E77" s="12">
        <v>1</v>
      </c>
      <c r="F77" s="45"/>
      <c r="G77" s="45"/>
      <c r="H77" s="45"/>
      <c r="I77">
        <v>636337</v>
      </c>
      <c r="J77" t="s">
        <v>106</v>
      </c>
      <c r="K77" t="s">
        <v>1620</v>
      </c>
      <c r="L77" t="s">
        <v>1312</v>
      </c>
      <c r="M77" t="s">
        <v>1192</v>
      </c>
      <c r="N77" t="s">
        <v>599</v>
      </c>
      <c r="O77" t="s">
        <v>1621</v>
      </c>
      <c r="P77" t="s">
        <v>599</v>
      </c>
      <c r="Q77" t="s">
        <v>599</v>
      </c>
      <c r="R77" t="s">
        <v>1182</v>
      </c>
      <c r="S77" t="s">
        <v>1437</v>
      </c>
      <c r="T77">
        <v>1880</v>
      </c>
      <c r="U77">
        <v>1880</v>
      </c>
      <c r="V77" t="s">
        <v>1454</v>
      </c>
      <c r="W77" t="s">
        <v>599</v>
      </c>
      <c r="X77" t="s">
        <v>599</v>
      </c>
      <c r="Y77" t="s">
        <v>599</v>
      </c>
      <c r="Z77" t="s">
        <v>599</v>
      </c>
      <c r="AA77" t="s">
        <v>599</v>
      </c>
      <c r="AB77" t="s">
        <v>599</v>
      </c>
      <c r="AC77" t="s">
        <v>1622</v>
      </c>
      <c r="AD77" t="s">
        <v>599</v>
      </c>
      <c r="AE77" t="s">
        <v>1623</v>
      </c>
      <c r="AF77" t="s">
        <v>1190</v>
      </c>
    </row>
    <row r="78" spans="1:32" s="13" customFormat="1" ht="45" x14ac:dyDescent="0.25">
      <c r="A78" s="10">
        <v>636371</v>
      </c>
      <c r="B78" s="10">
        <v>1</v>
      </c>
      <c r="C78" s="9">
        <v>1</v>
      </c>
      <c r="D78" s="56" t="s">
        <v>704</v>
      </c>
      <c r="E78" s="12" t="s">
        <v>71</v>
      </c>
      <c r="F78" s="45"/>
      <c r="G78" s="45"/>
      <c r="H78" s="45"/>
      <c r="I78">
        <v>636371</v>
      </c>
      <c r="J78" t="s">
        <v>107</v>
      </c>
      <c r="K78" t="s">
        <v>1624</v>
      </c>
      <c r="L78" t="s">
        <v>1312</v>
      </c>
      <c r="M78" t="s">
        <v>1192</v>
      </c>
      <c r="N78" t="s">
        <v>599</v>
      </c>
      <c r="O78" t="s">
        <v>1122</v>
      </c>
      <c r="P78" t="s">
        <v>1625</v>
      </c>
      <c r="Q78" t="s">
        <v>599</v>
      </c>
      <c r="R78" t="s">
        <v>1182</v>
      </c>
      <c r="S78" t="s">
        <v>1453</v>
      </c>
      <c r="T78">
        <v>1880</v>
      </c>
      <c r="U78">
        <v>1880</v>
      </c>
      <c r="V78" t="s">
        <v>1454</v>
      </c>
      <c r="W78" t="s">
        <v>1626</v>
      </c>
      <c r="X78" t="s">
        <v>599</v>
      </c>
      <c r="Y78" t="s">
        <v>599</v>
      </c>
      <c r="Z78" t="s">
        <v>1627</v>
      </c>
      <c r="AA78" t="s">
        <v>599</v>
      </c>
      <c r="AB78" t="s">
        <v>599</v>
      </c>
      <c r="AC78" t="s">
        <v>1628</v>
      </c>
      <c r="AD78" t="s">
        <v>1629</v>
      </c>
      <c r="AE78" t="s">
        <v>1630</v>
      </c>
      <c r="AF78" t="s">
        <v>1190</v>
      </c>
    </row>
    <row r="79" spans="1:32" s="13" customFormat="1" ht="45" x14ac:dyDescent="0.25">
      <c r="A79" s="10">
        <v>636385</v>
      </c>
      <c r="B79" s="10">
        <v>1</v>
      </c>
      <c r="C79" s="9">
        <v>1</v>
      </c>
      <c r="D79" s="56" t="s">
        <v>705</v>
      </c>
      <c r="E79" s="12">
        <v>1</v>
      </c>
      <c r="F79" s="45"/>
      <c r="G79" s="45"/>
      <c r="H79" s="45"/>
      <c r="I79">
        <v>636385</v>
      </c>
      <c r="J79" t="s">
        <v>108</v>
      </c>
      <c r="K79" t="s">
        <v>1631</v>
      </c>
      <c r="L79" t="s">
        <v>1312</v>
      </c>
      <c r="M79" t="s">
        <v>1192</v>
      </c>
      <c r="N79" t="s">
        <v>599</v>
      </c>
      <c r="O79" t="s">
        <v>1632</v>
      </c>
      <c r="P79" t="s">
        <v>599</v>
      </c>
      <c r="Q79" t="s">
        <v>599</v>
      </c>
      <c r="R79" t="s">
        <v>1182</v>
      </c>
      <c r="S79" t="s">
        <v>1453</v>
      </c>
      <c r="T79">
        <v>1868</v>
      </c>
      <c r="U79">
        <v>1868</v>
      </c>
      <c r="V79" t="s">
        <v>1454</v>
      </c>
      <c r="W79" t="s">
        <v>1604</v>
      </c>
      <c r="X79" t="s">
        <v>599</v>
      </c>
      <c r="Y79" t="s">
        <v>599</v>
      </c>
      <c r="Z79" t="s">
        <v>1633</v>
      </c>
      <c r="AA79" t="s">
        <v>599</v>
      </c>
      <c r="AB79" t="s">
        <v>599</v>
      </c>
      <c r="AC79" t="s">
        <v>1634</v>
      </c>
      <c r="AD79" t="s">
        <v>1188</v>
      </c>
      <c r="AE79" t="s">
        <v>1635</v>
      </c>
      <c r="AF79" t="s">
        <v>1190</v>
      </c>
    </row>
    <row r="80" spans="1:32" s="13" customFormat="1" ht="45" x14ac:dyDescent="0.25">
      <c r="A80" s="10">
        <v>636389</v>
      </c>
      <c r="B80" s="10">
        <v>1</v>
      </c>
      <c r="C80" s="9">
        <v>1</v>
      </c>
      <c r="D80" s="56" t="s">
        <v>706</v>
      </c>
      <c r="E80" s="12" t="s">
        <v>71</v>
      </c>
      <c r="F80" s="45"/>
      <c r="G80" s="45"/>
      <c r="H80" s="45"/>
      <c r="I80">
        <v>636389</v>
      </c>
      <c r="J80" t="s">
        <v>109</v>
      </c>
      <c r="K80" t="s">
        <v>1636</v>
      </c>
      <c r="L80" t="s">
        <v>1312</v>
      </c>
      <c r="M80" t="s">
        <v>1192</v>
      </c>
      <c r="N80" t="s">
        <v>599</v>
      </c>
      <c r="O80" t="s">
        <v>1637</v>
      </c>
      <c r="P80" t="s">
        <v>599</v>
      </c>
      <c r="Q80" t="s">
        <v>599</v>
      </c>
      <c r="R80" t="s">
        <v>1182</v>
      </c>
      <c r="S80" t="s">
        <v>1453</v>
      </c>
      <c r="T80">
        <v>1880</v>
      </c>
      <c r="U80">
        <v>1880</v>
      </c>
      <c r="V80" t="s">
        <v>1454</v>
      </c>
      <c r="W80" t="s">
        <v>1638</v>
      </c>
      <c r="X80" t="s">
        <v>599</v>
      </c>
      <c r="Y80" t="s">
        <v>599</v>
      </c>
      <c r="Z80" t="s">
        <v>599</v>
      </c>
      <c r="AA80" t="s">
        <v>599</v>
      </c>
      <c r="AB80" t="s">
        <v>599</v>
      </c>
      <c r="AC80" t="s">
        <v>1639</v>
      </c>
      <c r="AD80" t="s">
        <v>599</v>
      </c>
      <c r="AE80" t="s">
        <v>1640</v>
      </c>
      <c r="AF80" t="s">
        <v>1190</v>
      </c>
    </row>
    <row r="81" spans="1:32" s="13" customFormat="1" ht="45" x14ac:dyDescent="0.25">
      <c r="A81" s="10">
        <v>637133</v>
      </c>
      <c r="B81" s="10">
        <v>1</v>
      </c>
      <c r="C81" s="9">
        <v>1</v>
      </c>
      <c r="D81" s="56" t="s">
        <v>707</v>
      </c>
      <c r="E81" s="12" t="s">
        <v>71</v>
      </c>
      <c r="F81" s="45"/>
      <c r="G81" s="45"/>
      <c r="H81" s="45"/>
      <c r="I81">
        <v>637133</v>
      </c>
      <c r="J81" t="s">
        <v>110</v>
      </c>
      <c r="K81" t="s">
        <v>1641</v>
      </c>
      <c r="L81" t="s">
        <v>1312</v>
      </c>
      <c r="M81" t="s">
        <v>1192</v>
      </c>
      <c r="N81" t="s">
        <v>599</v>
      </c>
      <c r="O81" t="s">
        <v>1642</v>
      </c>
      <c r="P81" t="s">
        <v>599</v>
      </c>
      <c r="Q81" t="s">
        <v>599</v>
      </c>
      <c r="R81" t="s">
        <v>1182</v>
      </c>
      <c r="S81" t="s">
        <v>1437</v>
      </c>
      <c r="T81">
        <v>1808</v>
      </c>
      <c r="U81">
        <v>1808</v>
      </c>
      <c r="V81" t="s">
        <v>1454</v>
      </c>
      <c r="W81" t="s">
        <v>1643</v>
      </c>
      <c r="X81" t="s">
        <v>599</v>
      </c>
      <c r="Y81" t="s">
        <v>599</v>
      </c>
      <c r="Z81" t="s">
        <v>599</v>
      </c>
      <c r="AA81" t="s">
        <v>599</v>
      </c>
      <c r="AB81" t="s">
        <v>599</v>
      </c>
      <c r="AC81" t="s">
        <v>1644</v>
      </c>
      <c r="AD81" t="s">
        <v>599</v>
      </c>
      <c r="AE81" t="s">
        <v>1645</v>
      </c>
      <c r="AF81" t="s">
        <v>1190</v>
      </c>
    </row>
    <row r="82" spans="1:32" s="13" customFormat="1" ht="45" x14ac:dyDescent="0.25">
      <c r="A82" s="10">
        <v>637139</v>
      </c>
      <c r="B82" s="10">
        <v>1</v>
      </c>
      <c r="C82" s="9">
        <v>1</v>
      </c>
      <c r="D82" s="56" t="s">
        <v>708</v>
      </c>
      <c r="E82" s="12" t="s">
        <v>71</v>
      </c>
      <c r="F82" s="45"/>
      <c r="G82" s="45"/>
      <c r="H82" s="45"/>
      <c r="I82">
        <v>637139</v>
      </c>
      <c r="J82" t="s">
        <v>111</v>
      </c>
      <c r="K82" t="s">
        <v>1647</v>
      </c>
      <c r="L82" t="s">
        <v>1312</v>
      </c>
      <c r="M82" t="s">
        <v>1192</v>
      </c>
      <c r="N82" t="s">
        <v>599</v>
      </c>
      <c r="O82" t="s">
        <v>1648</v>
      </c>
      <c r="P82" t="s">
        <v>1649</v>
      </c>
      <c r="Q82" t="s">
        <v>599</v>
      </c>
      <c r="R82" t="s">
        <v>1182</v>
      </c>
      <c r="S82" t="s">
        <v>1571</v>
      </c>
      <c r="T82">
        <v>1880</v>
      </c>
      <c r="U82">
        <v>1880</v>
      </c>
      <c r="V82" t="s">
        <v>1454</v>
      </c>
      <c r="W82" t="s">
        <v>599</v>
      </c>
      <c r="X82" t="s">
        <v>599</v>
      </c>
      <c r="Y82" t="s">
        <v>599</v>
      </c>
      <c r="Z82" t="s">
        <v>599</v>
      </c>
      <c r="AA82" t="s">
        <v>599</v>
      </c>
      <c r="AB82" t="s">
        <v>1650</v>
      </c>
      <c r="AC82" t="s">
        <v>1651</v>
      </c>
      <c r="AD82" t="s">
        <v>599</v>
      </c>
      <c r="AE82" t="s">
        <v>1652</v>
      </c>
      <c r="AF82" t="s">
        <v>1190</v>
      </c>
    </row>
    <row r="83" spans="1:32" s="13" customFormat="1" ht="45" x14ac:dyDescent="0.25">
      <c r="A83" s="10">
        <v>665442</v>
      </c>
      <c r="B83" s="10">
        <v>1</v>
      </c>
      <c r="C83" s="9">
        <v>1</v>
      </c>
      <c r="D83" s="56" t="s">
        <v>709</v>
      </c>
      <c r="E83" s="12">
        <v>1</v>
      </c>
      <c r="F83" s="45"/>
      <c r="G83" s="45"/>
      <c r="H83" s="45"/>
      <c r="I83">
        <v>665442</v>
      </c>
      <c r="J83" t="s">
        <v>112</v>
      </c>
      <c r="K83" t="s">
        <v>599</v>
      </c>
      <c r="L83" t="s">
        <v>1312</v>
      </c>
      <c r="M83" t="s">
        <v>599</v>
      </c>
      <c r="N83" t="s">
        <v>599</v>
      </c>
      <c r="O83" t="s">
        <v>1654</v>
      </c>
      <c r="P83" t="s">
        <v>599</v>
      </c>
      <c r="Q83" t="s">
        <v>599</v>
      </c>
      <c r="R83" t="s">
        <v>1182</v>
      </c>
      <c r="S83" t="s">
        <v>1453</v>
      </c>
      <c r="T83">
        <v>1880</v>
      </c>
      <c r="U83">
        <v>1880</v>
      </c>
      <c r="V83" t="s">
        <v>1454</v>
      </c>
      <c r="W83" t="s">
        <v>599</v>
      </c>
      <c r="X83" t="s">
        <v>599</v>
      </c>
      <c r="Y83" t="s">
        <v>599</v>
      </c>
      <c r="Z83" t="s">
        <v>599</v>
      </c>
      <c r="AA83" t="s">
        <v>599</v>
      </c>
      <c r="AB83" t="s">
        <v>599</v>
      </c>
      <c r="AC83" t="s">
        <v>1655</v>
      </c>
      <c r="AD83" t="s">
        <v>599</v>
      </c>
      <c r="AE83" t="s">
        <v>1656</v>
      </c>
      <c r="AF83" t="s">
        <v>1190</v>
      </c>
    </row>
    <row r="84" spans="1:32" s="13" customFormat="1" ht="45" x14ac:dyDescent="0.25">
      <c r="A84" s="10">
        <v>700486</v>
      </c>
      <c r="B84" s="10">
        <v>1</v>
      </c>
      <c r="C84" s="9">
        <v>1</v>
      </c>
      <c r="D84" s="56" t="s">
        <v>710</v>
      </c>
      <c r="E84" s="12">
        <v>1</v>
      </c>
      <c r="F84" s="45"/>
      <c r="G84" s="45"/>
      <c r="H84" s="45"/>
      <c r="I84">
        <v>700486</v>
      </c>
      <c r="J84" t="s">
        <v>113</v>
      </c>
      <c r="K84" t="s">
        <v>1657</v>
      </c>
      <c r="L84" t="s">
        <v>1312</v>
      </c>
      <c r="M84" t="s">
        <v>1192</v>
      </c>
      <c r="N84" t="s">
        <v>599</v>
      </c>
      <c r="O84" t="s">
        <v>1658</v>
      </c>
      <c r="P84" t="s">
        <v>599</v>
      </c>
      <c r="Q84" t="s">
        <v>599</v>
      </c>
      <c r="R84" t="s">
        <v>1182</v>
      </c>
      <c r="S84" t="s">
        <v>1437</v>
      </c>
      <c r="T84">
        <v>1893</v>
      </c>
      <c r="U84">
        <v>1893</v>
      </c>
      <c r="V84" t="s">
        <v>1454</v>
      </c>
      <c r="W84" t="s">
        <v>1659</v>
      </c>
      <c r="X84" t="s">
        <v>599</v>
      </c>
      <c r="Y84" t="s">
        <v>599</v>
      </c>
      <c r="Z84" t="s">
        <v>599</v>
      </c>
      <c r="AA84" t="s">
        <v>599</v>
      </c>
      <c r="AB84" t="s">
        <v>1660</v>
      </c>
      <c r="AC84" t="s">
        <v>1661</v>
      </c>
      <c r="AD84" t="s">
        <v>599</v>
      </c>
      <c r="AE84" t="s">
        <v>1662</v>
      </c>
      <c r="AF84" t="s">
        <v>1190</v>
      </c>
    </row>
    <row r="85" spans="1:32" s="13" customFormat="1" ht="45" x14ac:dyDescent="0.25">
      <c r="A85" s="10">
        <v>700487</v>
      </c>
      <c r="B85" s="10">
        <v>1</v>
      </c>
      <c r="C85" s="9">
        <v>1</v>
      </c>
      <c r="D85" s="56" t="s">
        <v>711</v>
      </c>
      <c r="E85" s="12">
        <v>1</v>
      </c>
      <c r="F85" s="45"/>
      <c r="G85" s="45"/>
      <c r="H85" s="45"/>
      <c r="I85">
        <v>700487</v>
      </c>
      <c r="J85" t="s">
        <v>114</v>
      </c>
      <c r="K85" t="s">
        <v>1663</v>
      </c>
      <c r="L85" t="s">
        <v>1312</v>
      </c>
      <c r="M85" t="s">
        <v>1192</v>
      </c>
      <c r="N85" t="s">
        <v>599</v>
      </c>
      <c r="O85" t="s">
        <v>1664</v>
      </c>
      <c r="P85" t="s">
        <v>599</v>
      </c>
      <c r="Q85" t="s">
        <v>599</v>
      </c>
      <c r="R85" t="s">
        <v>1182</v>
      </c>
      <c r="S85" t="s">
        <v>1437</v>
      </c>
      <c r="T85">
        <v>1861</v>
      </c>
      <c r="U85">
        <v>1861</v>
      </c>
      <c r="V85" t="s">
        <v>1454</v>
      </c>
      <c r="W85" t="s">
        <v>1665</v>
      </c>
      <c r="X85" t="s">
        <v>599</v>
      </c>
      <c r="Y85" t="s">
        <v>599</v>
      </c>
      <c r="Z85" t="s">
        <v>599</v>
      </c>
      <c r="AA85" t="s">
        <v>599</v>
      </c>
      <c r="AB85" t="s">
        <v>599</v>
      </c>
      <c r="AC85" t="s">
        <v>1666</v>
      </c>
      <c r="AD85" t="s">
        <v>599</v>
      </c>
      <c r="AE85" t="s">
        <v>1667</v>
      </c>
      <c r="AF85" t="s">
        <v>1190</v>
      </c>
    </row>
    <row r="86" spans="1:32" s="13" customFormat="1" ht="45" x14ac:dyDescent="0.25">
      <c r="A86" s="10">
        <v>704429</v>
      </c>
      <c r="B86" s="10">
        <v>1</v>
      </c>
      <c r="C86" s="9">
        <v>1</v>
      </c>
      <c r="D86" s="56" t="s">
        <v>712</v>
      </c>
      <c r="E86" s="12">
        <v>1</v>
      </c>
      <c r="F86" s="45"/>
      <c r="G86" s="45"/>
      <c r="H86" s="45"/>
      <c r="I86">
        <v>704429</v>
      </c>
      <c r="J86" t="s">
        <v>115</v>
      </c>
      <c r="K86" t="s">
        <v>1668</v>
      </c>
      <c r="L86" t="s">
        <v>1312</v>
      </c>
      <c r="M86" t="s">
        <v>1192</v>
      </c>
      <c r="N86" t="s">
        <v>599</v>
      </c>
      <c r="O86" t="s">
        <v>1193</v>
      </c>
      <c r="P86" t="s">
        <v>1669</v>
      </c>
      <c r="Q86" t="s">
        <v>599</v>
      </c>
      <c r="R86" t="s">
        <v>1182</v>
      </c>
      <c r="S86" t="s">
        <v>599</v>
      </c>
      <c r="T86">
        <v>1900</v>
      </c>
      <c r="U86">
        <v>1900</v>
      </c>
      <c r="V86" t="s">
        <v>1670</v>
      </c>
      <c r="W86" t="s">
        <v>1671</v>
      </c>
      <c r="X86" t="s">
        <v>599</v>
      </c>
      <c r="Y86" t="s">
        <v>599</v>
      </c>
      <c r="Z86" t="s">
        <v>599</v>
      </c>
      <c r="AA86" t="s">
        <v>599</v>
      </c>
      <c r="AB86" t="s">
        <v>599</v>
      </c>
      <c r="AC86" t="s">
        <v>1672</v>
      </c>
      <c r="AD86" t="s">
        <v>599</v>
      </c>
      <c r="AE86" t="s">
        <v>1673</v>
      </c>
      <c r="AF86" t="s">
        <v>1190</v>
      </c>
    </row>
    <row r="87" spans="1:32" s="13" customFormat="1" ht="45" x14ac:dyDescent="0.25">
      <c r="A87" s="10">
        <v>709106</v>
      </c>
      <c r="B87" s="10">
        <v>1</v>
      </c>
      <c r="C87" s="9">
        <v>1</v>
      </c>
      <c r="D87" s="56" t="s">
        <v>713</v>
      </c>
      <c r="E87" s="12">
        <v>1</v>
      </c>
      <c r="F87" s="45"/>
      <c r="G87" s="45"/>
      <c r="H87" s="45"/>
      <c r="I87">
        <v>709106</v>
      </c>
      <c r="J87" t="s">
        <v>116</v>
      </c>
      <c r="K87" t="s">
        <v>1675</v>
      </c>
      <c r="L87" t="s">
        <v>1312</v>
      </c>
      <c r="M87" t="s">
        <v>1192</v>
      </c>
      <c r="N87" t="s">
        <v>599</v>
      </c>
      <c r="O87" t="s">
        <v>1603</v>
      </c>
      <c r="P87" t="s">
        <v>599</v>
      </c>
      <c r="Q87" t="s">
        <v>599</v>
      </c>
      <c r="R87" t="s">
        <v>1182</v>
      </c>
      <c r="S87" t="s">
        <v>1453</v>
      </c>
      <c r="T87">
        <v>1878</v>
      </c>
      <c r="U87">
        <v>1878</v>
      </c>
      <c r="V87" t="s">
        <v>1454</v>
      </c>
      <c r="W87" t="s">
        <v>1676</v>
      </c>
      <c r="X87" t="s">
        <v>599</v>
      </c>
      <c r="Y87" t="s">
        <v>599</v>
      </c>
      <c r="Z87" t="s">
        <v>599</v>
      </c>
      <c r="AA87" t="s">
        <v>599</v>
      </c>
      <c r="AB87" t="s">
        <v>599</v>
      </c>
      <c r="AC87" t="s">
        <v>1677</v>
      </c>
      <c r="AD87" t="s">
        <v>599</v>
      </c>
      <c r="AE87" t="s">
        <v>1678</v>
      </c>
      <c r="AF87" t="s">
        <v>1190</v>
      </c>
    </row>
    <row r="88" spans="1:32" s="13" customFormat="1" ht="45" x14ac:dyDescent="0.25">
      <c r="A88" s="10">
        <v>709129</v>
      </c>
      <c r="B88" s="10">
        <v>1</v>
      </c>
      <c r="C88" s="9">
        <v>1</v>
      </c>
      <c r="D88" s="56" t="s">
        <v>714</v>
      </c>
      <c r="E88" s="12">
        <v>1</v>
      </c>
      <c r="F88" s="45"/>
      <c r="G88" s="45"/>
      <c r="H88" s="45"/>
      <c r="I88">
        <v>709129</v>
      </c>
      <c r="J88" t="s">
        <v>117</v>
      </c>
      <c r="K88" t="s">
        <v>1679</v>
      </c>
      <c r="L88" t="s">
        <v>1312</v>
      </c>
      <c r="M88" t="s">
        <v>1192</v>
      </c>
      <c r="N88" t="s">
        <v>599</v>
      </c>
      <c r="O88" t="s">
        <v>1680</v>
      </c>
      <c r="P88" t="s">
        <v>1681</v>
      </c>
      <c r="Q88" t="s">
        <v>599</v>
      </c>
      <c r="R88" t="s">
        <v>1182</v>
      </c>
      <c r="S88" t="s">
        <v>1682</v>
      </c>
      <c r="T88">
        <v>1890</v>
      </c>
      <c r="U88">
        <v>1890</v>
      </c>
      <c r="V88" t="s">
        <v>1315</v>
      </c>
      <c r="W88" t="s">
        <v>599</v>
      </c>
      <c r="X88" t="s">
        <v>599</v>
      </c>
      <c r="Y88" t="s">
        <v>599</v>
      </c>
      <c r="Z88" t="s">
        <v>1683</v>
      </c>
      <c r="AA88" t="s">
        <v>599</v>
      </c>
      <c r="AB88" t="s">
        <v>599</v>
      </c>
      <c r="AC88" t="s">
        <v>1684</v>
      </c>
      <c r="AD88" t="s">
        <v>599</v>
      </c>
      <c r="AE88" t="s">
        <v>1685</v>
      </c>
      <c r="AF88" t="s">
        <v>1190</v>
      </c>
    </row>
    <row r="89" spans="1:32" s="13" customFormat="1" ht="45" x14ac:dyDescent="0.25">
      <c r="A89" s="10">
        <v>729122</v>
      </c>
      <c r="B89" s="10">
        <v>1</v>
      </c>
      <c r="C89" s="9">
        <v>1</v>
      </c>
      <c r="D89" s="56" t="s">
        <v>715</v>
      </c>
      <c r="E89" s="12">
        <v>1</v>
      </c>
      <c r="F89" s="45"/>
      <c r="G89" s="45"/>
      <c r="H89" s="45"/>
      <c r="I89">
        <v>729122</v>
      </c>
      <c r="J89" t="s">
        <v>118</v>
      </c>
      <c r="K89" t="s">
        <v>1687</v>
      </c>
      <c r="L89" t="s">
        <v>1312</v>
      </c>
      <c r="M89" t="s">
        <v>1518</v>
      </c>
      <c r="N89" t="s">
        <v>599</v>
      </c>
      <c r="O89" t="s">
        <v>1688</v>
      </c>
      <c r="P89" t="s">
        <v>599</v>
      </c>
      <c r="Q89" t="s">
        <v>599</v>
      </c>
      <c r="R89" t="s">
        <v>1182</v>
      </c>
      <c r="S89" t="s">
        <v>1689</v>
      </c>
      <c r="T89">
        <v>1779</v>
      </c>
      <c r="U89">
        <v>1779</v>
      </c>
      <c r="V89" t="s">
        <v>1454</v>
      </c>
      <c r="W89" t="s">
        <v>1690</v>
      </c>
      <c r="X89" t="s">
        <v>599</v>
      </c>
      <c r="Y89" t="s">
        <v>599</v>
      </c>
      <c r="Z89" t="s">
        <v>599</v>
      </c>
      <c r="AA89" t="s">
        <v>599</v>
      </c>
      <c r="AB89" t="s">
        <v>1691</v>
      </c>
      <c r="AC89" t="s">
        <v>1692</v>
      </c>
      <c r="AD89" t="s">
        <v>599</v>
      </c>
      <c r="AE89" t="s">
        <v>1693</v>
      </c>
      <c r="AF89" t="s">
        <v>1190</v>
      </c>
    </row>
    <row r="90" spans="1:32" s="13" customFormat="1" ht="45" x14ac:dyDescent="0.25">
      <c r="A90" s="10">
        <v>730341</v>
      </c>
      <c r="B90" s="10">
        <v>1</v>
      </c>
      <c r="C90" s="9">
        <v>1</v>
      </c>
      <c r="D90" s="56" t="s">
        <v>716</v>
      </c>
      <c r="E90" s="12" t="s">
        <v>71</v>
      </c>
      <c r="F90" s="45"/>
      <c r="G90" s="45"/>
      <c r="H90" s="45"/>
      <c r="I90">
        <v>730341</v>
      </c>
      <c r="J90" t="s">
        <v>119</v>
      </c>
      <c r="K90" t="s">
        <v>599</v>
      </c>
      <c r="L90" t="s">
        <v>1312</v>
      </c>
      <c r="M90" t="s">
        <v>1362</v>
      </c>
      <c r="N90" t="s">
        <v>599</v>
      </c>
      <c r="O90" t="s">
        <v>1584</v>
      </c>
      <c r="P90" t="s">
        <v>599</v>
      </c>
      <c r="Q90" t="s">
        <v>599</v>
      </c>
      <c r="R90" t="s">
        <v>1182</v>
      </c>
      <c r="S90" t="s">
        <v>1694</v>
      </c>
      <c r="T90">
        <v>1841</v>
      </c>
      <c r="U90">
        <v>1841</v>
      </c>
      <c r="V90" t="s">
        <v>1454</v>
      </c>
      <c r="W90" t="s">
        <v>1695</v>
      </c>
      <c r="X90" t="s">
        <v>599</v>
      </c>
      <c r="Y90" t="s">
        <v>599</v>
      </c>
      <c r="Z90" t="s">
        <v>599</v>
      </c>
      <c r="AA90" t="s">
        <v>599</v>
      </c>
      <c r="AB90" t="s">
        <v>599</v>
      </c>
      <c r="AC90" t="s">
        <v>1696</v>
      </c>
      <c r="AD90" t="s">
        <v>599</v>
      </c>
      <c r="AE90" t="s">
        <v>1697</v>
      </c>
      <c r="AF90" t="s">
        <v>1190</v>
      </c>
    </row>
    <row r="91" spans="1:32" s="13" customFormat="1" ht="45" x14ac:dyDescent="0.25">
      <c r="A91" s="10">
        <v>733501</v>
      </c>
      <c r="B91" s="10">
        <v>1</v>
      </c>
      <c r="C91" s="9">
        <v>1</v>
      </c>
      <c r="D91" s="56" t="s">
        <v>717</v>
      </c>
      <c r="E91" s="12">
        <v>1</v>
      </c>
      <c r="F91" s="45"/>
      <c r="G91" s="45"/>
      <c r="H91" s="45"/>
      <c r="I91">
        <v>733501</v>
      </c>
      <c r="J91" t="s">
        <v>120</v>
      </c>
      <c r="K91" t="s">
        <v>599</v>
      </c>
      <c r="L91" t="s">
        <v>1312</v>
      </c>
      <c r="M91" t="s">
        <v>1502</v>
      </c>
      <c r="N91" t="s">
        <v>599</v>
      </c>
      <c r="O91" t="s">
        <v>1698</v>
      </c>
      <c r="P91" t="s">
        <v>599</v>
      </c>
      <c r="Q91" t="s">
        <v>599</v>
      </c>
      <c r="R91" t="s">
        <v>1182</v>
      </c>
      <c r="S91" t="s">
        <v>1699</v>
      </c>
      <c r="T91">
        <v>1820</v>
      </c>
      <c r="U91">
        <v>1820</v>
      </c>
      <c r="V91" t="s">
        <v>1454</v>
      </c>
      <c r="W91" t="s">
        <v>1700</v>
      </c>
      <c r="X91" t="s">
        <v>599</v>
      </c>
      <c r="Y91" t="s">
        <v>599</v>
      </c>
      <c r="Z91" t="s">
        <v>599</v>
      </c>
      <c r="AA91" t="s">
        <v>599</v>
      </c>
      <c r="AB91" t="s">
        <v>599</v>
      </c>
      <c r="AC91" t="s">
        <v>1701</v>
      </c>
      <c r="AD91" t="s">
        <v>1702</v>
      </c>
      <c r="AE91" t="s">
        <v>1703</v>
      </c>
      <c r="AF91" t="s">
        <v>1190</v>
      </c>
    </row>
    <row r="92" spans="1:32" s="13" customFormat="1" ht="45" x14ac:dyDescent="0.25">
      <c r="A92" s="10">
        <v>742171</v>
      </c>
      <c r="B92" s="10">
        <v>1</v>
      </c>
      <c r="C92" s="9">
        <v>10</v>
      </c>
      <c r="D92" s="56" t="s">
        <v>718</v>
      </c>
      <c r="E92" s="12" t="s">
        <v>122</v>
      </c>
      <c r="F92" s="45"/>
      <c r="G92" s="45"/>
      <c r="H92" s="45"/>
      <c r="I92">
        <v>742171</v>
      </c>
      <c r="J92" t="s">
        <v>121</v>
      </c>
      <c r="K92" t="s">
        <v>1704</v>
      </c>
      <c r="L92" t="s">
        <v>1178</v>
      </c>
      <c r="M92" t="s">
        <v>1362</v>
      </c>
      <c r="N92" t="s">
        <v>599</v>
      </c>
      <c r="O92" t="s">
        <v>1345</v>
      </c>
      <c r="P92" t="s">
        <v>599</v>
      </c>
      <c r="Q92" t="s">
        <v>599</v>
      </c>
      <c r="R92" t="s">
        <v>1182</v>
      </c>
      <c r="S92" t="s">
        <v>1705</v>
      </c>
      <c r="T92">
        <v>1889</v>
      </c>
      <c r="U92">
        <v>1889</v>
      </c>
      <c r="V92" t="s">
        <v>1706</v>
      </c>
      <c r="W92" t="s">
        <v>1185</v>
      </c>
      <c r="X92" t="s">
        <v>599</v>
      </c>
      <c r="Y92" t="s">
        <v>599</v>
      </c>
      <c r="Z92" t="s">
        <v>1707</v>
      </c>
      <c r="AA92" t="s">
        <v>599</v>
      </c>
      <c r="AB92" t="s">
        <v>599</v>
      </c>
      <c r="AC92" t="s">
        <v>1708</v>
      </c>
      <c r="AD92" t="s">
        <v>1188</v>
      </c>
      <c r="AE92" t="s">
        <v>1709</v>
      </c>
      <c r="AF92" t="s">
        <v>1190</v>
      </c>
    </row>
    <row r="93" spans="1:32" s="13" customFormat="1" ht="45" x14ac:dyDescent="0.25">
      <c r="A93" s="10">
        <v>742171</v>
      </c>
      <c r="B93" s="10">
        <v>1</v>
      </c>
      <c r="C93" s="9">
        <v>18</v>
      </c>
      <c r="D93" s="56" t="s">
        <v>719</v>
      </c>
      <c r="E93" s="12" t="s">
        <v>122</v>
      </c>
      <c r="F93" s="45"/>
      <c r="G93" s="45"/>
      <c r="H93" s="45"/>
      <c r="I93">
        <v>742171</v>
      </c>
      <c r="J93" t="s">
        <v>121</v>
      </c>
      <c r="K93" t="s">
        <v>1704</v>
      </c>
      <c r="L93" t="s">
        <v>1178</v>
      </c>
      <c r="M93" t="s">
        <v>1362</v>
      </c>
      <c r="N93" t="s">
        <v>599</v>
      </c>
      <c r="O93" t="s">
        <v>1345</v>
      </c>
      <c r="P93" t="s">
        <v>599</v>
      </c>
      <c r="Q93" t="s">
        <v>599</v>
      </c>
      <c r="R93" t="s">
        <v>1182</v>
      </c>
      <c r="S93" t="s">
        <v>1705</v>
      </c>
      <c r="T93">
        <v>1889</v>
      </c>
      <c r="U93">
        <v>1889</v>
      </c>
      <c r="V93" t="s">
        <v>1706</v>
      </c>
      <c r="W93" t="s">
        <v>1185</v>
      </c>
      <c r="X93" t="s">
        <v>599</v>
      </c>
      <c r="Y93" t="s">
        <v>599</v>
      </c>
      <c r="Z93" t="s">
        <v>1707</v>
      </c>
      <c r="AA93" t="s">
        <v>599</v>
      </c>
      <c r="AB93" t="s">
        <v>599</v>
      </c>
      <c r="AC93" t="s">
        <v>1708</v>
      </c>
      <c r="AD93" t="s">
        <v>1188</v>
      </c>
      <c r="AE93" t="s">
        <v>1709</v>
      </c>
      <c r="AF93" t="s">
        <v>1190</v>
      </c>
    </row>
    <row r="94" spans="1:32" s="13" customFormat="1" ht="45" x14ac:dyDescent="0.25">
      <c r="A94" s="10">
        <v>764770</v>
      </c>
      <c r="B94" s="10">
        <v>1</v>
      </c>
      <c r="C94" s="9">
        <v>7</v>
      </c>
      <c r="D94" s="56" t="s">
        <v>720</v>
      </c>
      <c r="E94" s="12" t="s">
        <v>125</v>
      </c>
      <c r="F94" s="45"/>
      <c r="G94" s="45"/>
      <c r="H94" s="45"/>
      <c r="I94">
        <v>764770</v>
      </c>
      <c r="J94" t="s">
        <v>124</v>
      </c>
      <c r="K94" t="s">
        <v>1710</v>
      </c>
      <c r="L94" t="s">
        <v>1178</v>
      </c>
      <c r="M94" t="s">
        <v>1192</v>
      </c>
      <c r="N94" t="s">
        <v>599</v>
      </c>
      <c r="O94" t="s">
        <v>1551</v>
      </c>
      <c r="P94" t="s">
        <v>599</v>
      </c>
      <c r="Q94" t="s">
        <v>599</v>
      </c>
      <c r="R94" t="s">
        <v>1182</v>
      </c>
      <c r="S94" t="s">
        <v>1711</v>
      </c>
      <c r="T94">
        <v>1609</v>
      </c>
      <c r="U94">
        <v>1609</v>
      </c>
      <c r="V94" t="s">
        <v>1712</v>
      </c>
      <c r="W94" t="s">
        <v>1185</v>
      </c>
      <c r="X94" t="s">
        <v>599</v>
      </c>
      <c r="Y94" t="s">
        <v>599</v>
      </c>
      <c r="Z94" t="s">
        <v>1713</v>
      </c>
      <c r="AA94" t="s">
        <v>599</v>
      </c>
      <c r="AB94" t="s">
        <v>599</v>
      </c>
      <c r="AC94" t="s">
        <v>1714</v>
      </c>
      <c r="AD94" t="s">
        <v>1188</v>
      </c>
      <c r="AE94" t="s">
        <v>1715</v>
      </c>
      <c r="AF94" t="s">
        <v>1190</v>
      </c>
    </row>
    <row r="95" spans="1:32" s="13" customFormat="1" ht="45" x14ac:dyDescent="0.25">
      <c r="A95" s="10">
        <v>767226</v>
      </c>
      <c r="B95" s="10">
        <v>1</v>
      </c>
      <c r="C95" s="9">
        <v>4</v>
      </c>
      <c r="D95" s="56" t="s">
        <v>721</v>
      </c>
      <c r="E95" s="12">
        <v>4</v>
      </c>
      <c r="F95" s="45"/>
      <c r="G95" s="45"/>
      <c r="H95" s="45"/>
      <c r="I95">
        <v>767226</v>
      </c>
      <c r="J95" t="s">
        <v>126</v>
      </c>
      <c r="K95" t="s">
        <v>599</v>
      </c>
      <c r="L95" t="s">
        <v>1178</v>
      </c>
      <c r="M95" t="s">
        <v>1192</v>
      </c>
      <c r="N95" t="s">
        <v>599</v>
      </c>
      <c r="O95" t="s">
        <v>1551</v>
      </c>
      <c r="P95" t="s">
        <v>1716</v>
      </c>
      <c r="Q95" t="s">
        <v>599</v>
      </c>
      <c r="R95" t="s">
        <v>1717</v>
      </c>
      <c r="S95" t="s">
        <v>1718</v>
      </c>
      <c r="T95">
        <v>1875</v>
      </c>
      <c r="U95">
        <v>1875</v>
      </c>
      <c r="V95" t="s">
        <v>1719</v>
      </c>
      <c r="W95" t="s">
        <v>1185</v>
      </c>
      <c r="X95" t="s">
        <v>599</v>
      </c>
      <c r="Y95" t="s">
        <v>599</v>
      </c>
      <c r="Z95" t="s">
        <v>599</v>
      </c>
      <c r="AA95" t="s">
        <v>599</v>
      </c>
      <c r="AB95" t="s">
        <v>599</v>
      </c>
      <c r="AC95" t="s">
        <v>1720</v>
      </c>
      <c r="AD95" t="s">
        <v>1188</v>
      </c>
      <c r="AE95" t="s">
        <v>1721</v>
      </c>
      <c r="AF95" t="s">
        <v>1190</v>
      </c>
    </row>
    <row r="96" spans="1:32" s="13" customFormat="1" ht="45" x14ac:dyDescent="0.25">
      <c r="A96" s="10">
        <v>767525</v>
      </c>
      <c r="B96" s="10">
        <v>1</v>
      </c>
      <c r="C96" s="9">
        <v>3</v>
      </c>
      <c r="D96" s="56" t="s">
        <v>722</v>
      </c>
      <c r="E96" s="12">
        <v>3</v>
      </c>
      <c r="F96" s="45"/>
      <c r="G96" s="45"/>
      <c r="H96" s="45"/>
      <c r="I96">
        <v>767525</v>
      </c>
      <c r="J96" t="s">
        <v>127</v>
      </c>
      <c r="K96" t="s">
        <v>1722</v>
      </c>
      <c r="L96" t="s">
        <v>1178</v>
      </c>
      <c r="M96" t="s">
        <v>1192</v>
      </c>
      <c r="N96" t="s">
        <v>599</v>
      </c>
      <c r="O96" t="s">
        <v>1723</v>
      </c>
      <c r="P96" t="s">
        <v>1724</v>
      </c>
      <c r="Q96" t="s">
        <v>599</v>
      </c>
      <c r="R96" t="s">
        <v>1182</v>
      </c>
      <c r="S96" t="s">
        <v>1725</v>
      </c>
      <c r="T96">
        <v>1881</v>
      </c>
      <c r="U96">
        <v>1881</v>
      </c>
      <c r="V96" t="s">
        <v>1726</v>
      </c>
      <c r="W96" t="s">
        <v>599</v>
      </c>
      <c r="X96" t="s">
        <v>1727</v>
      </c>
      <c r="Y96" t="s">
        <v>599</v>
      </c>
      <c r="Z96" t="s">
        <v>1432</v>
      </c>
      <c r="AA96" t="s">
        <v>599</v>
      </c>
      <c r="AB96" t="s">
        <v>599</v>
      </c>
      <c r="AC96" t="s">
        <v>1728</v>
      </c>
      <c r="AD96" t="s">
        <v>1188</v>
      </c>
      <c r="AE96" t="s">
        <v>1729</v>
      </c>
      <c r="AF96" t="s">
        <v>1190</v>
      </c>
    </row>
    <row r="97" spans="1:32" s="13" customFormat="1" ht="45" x14ac:dyDescent="0.25">
      <c r="A97" s="10">
        <v>782745</v>
      </c>
      <c r="B97" s="10">
        <v>1</v>
      </c>
      <c r="C97" s="9">
        <v>6</v>
      </c>
      <c r="D97" s="56" t="s">
        <v>723</v>
      </c>
      <c r="E97" s="12" t="s">
        <v>129</v>
      </c>
      <c r="F97" s="45"/>
      <c r="G97" s="45"/>
      <c r="H97" s="45"/>
      <c r="I97">
        <v>782745</v>
      </c>
      <c r="J97" t="s">
        <v>128</v>
      </c>
      <c r="K97" t="s">
        <v>1730</v>
      </c>
      <c r="L97" t="s">
        <v>1178</v>
      </c>
      <c r="M97" t="s">
        <v>1192</v>
      </c>
      <c r="N97" t="s">
        <v>599</v>
      </c>
      <c r="O97" t="s">
        <v>1551</v>
      </c>
      <c r="P97" t="s">
        <v>1330</v>
      </c>
      <c r="Q97" t="s">
        <v>599</v>
      </c>
      <c r="R97" t="s">
        <v>1731</v>
      </c>
      <c r="S97" t="s">
        <v>1732</v>
      </c>
      <c r="T97">
        <v>1889</v>
      </c>
      <c r="U97">
        <v>1889</v>
      </c>
      <c r="V97" t="s">
        <v>1733</v>
      </c>
      <c r="W97" t="s">
        <v>1185</v>
      </c>
      <c r="X97" t="s">
        <v>599</v>
      </c>
      <c r="Y97" t="s">
        <v>599</v>
      </c>
      <c r="Z97" t="s">
        <v>599</v>
      </c>
      <c r="AA97" t="s">
        <v>599</v>
      </c>
      <c r="AB97" t="s">
        <v>599</v>
      </c>
      <c r="AC97" t="s">
        <v>1734</v>
      </c>
      <c r="AD97" t="s">
        <v>1188</v>
      </c>
      <c r="AE97" t="s">
        <v>1735</v>
      </c>
      <c r="AF97" t="s">
        <v>1190</v>
      </c>
    </row>
    <row r="98" spans="1:32" s="13" customFormat="1" ht="45" x14ac:dyDescent="0.25">
      <c r="A98" s="10">
        <v>784907</v>
      </c>
      <c r="B98" s="10">
        <v>1</v>
      </c>
      <c r="C98" s="9">
        <v>21</v>
      </c>
      <c r="D98" s="56" t="s">
        <v>724</v>
      </c>
      <c r="E98" s="12" t="s">
        <v>131</v>
      </c>
      <c r="F98" s="45"/>
      <c r="G98" s="45"/>
      <c r="H98" s="45"/>
      <c r="I98">
        <v>784907</v>
      </c>
      <c r="J98" t="s">
        <v>130</v>
      </c>
      <c r="K98" t="s">
        <v>1736</v>
      </c>
      <c r="L98" t="s">
        <v>1178</v>
      </c>
      <c r="M98" t="s">
        <v>1192</v>
      </c>
      <c r="N98" t="s">
        <v>599</v>
      </c>
      <c r="O98" t="s">
        <v>1737</v>
      </c>
      <c r="P98" t="s">
        <v>599</v>
      </c>
      <c r="Q98" t="s">
        <v>599</v>
      </c>
      <c r="R98" t="s">
        <v>1182</v>
      </c>
      <c r="S98" t="s">
        <v>1738</v>
      </c>
      <c r="T98">
        <v>1836</v>
      </c>
      <c r="U98">
        <v>1836</v>
      </c>
      <c r="V98" t="s">
        <v>599</v>
      </c>
      <c r="W98" t="s">
        <v>1185</v>
      </c>
      <c r="X98" t="s">
        <v>599</v>
      </c>
      <c r="Y98" t="s">
        <v>599</v>
      </c>
      <c r="Z98" t="s">
        <v>599</v>
      </c>
      <c r="AA98" t="s">
        <v>599</v>
      </c>
      <c r="AB98" t="s">
        <v>599</v>
      </c>
      <c r="AC98" t="s">
        <v>1739</v>
      </c>
      <c r="AD98" t="s">
        <v>1188</v>
      </c>
      <c r="AE98" t="s">
        <v>1740</v>
      </c>
      <c r="AF98" t="s">
        <v>1190</v>
      </c>
    </row>
    <row r="99" spans="1:32" s="13" customFormat="1" ht="45" x14ac:dyDescent="0.25">
      <c r="A99" s="10">
        <v>784907</v>
      </c>
      <c r="B99" s="10">
        <v>1</v>
      </c>
      <c r="C99" s="9">
        <v>24</v>
      </c>
      <c r="D99" s="56" t="s">
        <v>725</v>
      </c>
      <c r="E99" s="12" t="s">
        <v>131</v>
      </c>
      <c r="F99" s="45"/>
      <c r="G99" s="45"/>
      <c r="H99" s="45"/>
      <c r="I99">
        <v>784907</v>
      </c>
      <c r="J99" t="s">
        <v>130</v>
      </c>
      <c r="K99" t="s">
        <v>1736</v>
      </c>
      <c r="L99" t="s">
        <v>1178</v>
      </c>
      <c r="M99" t="s">
        <v>1192</v>
      </c>
      <c r="N99" t="s">
        <v>599</v>
      </c>
      <c r="O99" t="s">
        <v>1737</v>
      </c>
      <c r="P99" t="s">
        <v>599</v>
      </c>
      <c r="Q99" t="s">
        <v>599</v>
      </c>
      <c r="R99" t="s">
        <v>1182</v>
      </c>
      <c r="S99" t="s">
        <v>1738</v>
      </c>
      <c r="T99">
        <v>1836</v>
      </c>
      <c r="U99">
        <v>1836</v>
      </c>
      <c r="V99" t="s">
        <v>599</v>
      </c>
      <c r="W99" t="s">
        <v>1185</v>
      </c>
      <c r="X99" t="s">
        <v>599</v>
      </c>
      <c r="Y99" t="s">
        <v>599</v>
      </c>
      <c r="Z99" t="s">
        <v>599</v>
      </c>
      <c r="AA99" t="s">
        <v>599</v>
      </c>
      <c r="AB99" t="s">
        <v>599</v>
      </c>
      <c r="AC99" t="s">
        <v>1739</v>
      </c>
      <c r="AD99" t="s">
        <v>1188</v>
      </c>
      <c r="AE99" t="s">
        <v>1740</v>
      </c>
      <c r="AF99" t="s">
        <v>1190</v>
      </c>
    </row>
    <row r="100" spans="1:32" s="13" customFormat="1" ht="45" x14ac:dyDescent="0.25">
      <c r="A100" s="10">
        <v>784907</v>
      </c>
      <c r="B100" s="10">
        <v>1</v>
      </c>
      <c r="C100" s="9">
        <v>25</v>
      </c>
      <c r="D100" s="56" t="s">
        <v>726</v>
      </c>
      <c r="E100" s="12" t="s">
        <v>131</v>
      </c>
      <c r="F100" s="45"/>
      <c r="G100" s="45"/>
      <c r="H100" s="45"/>
      <c r="I100">
        <v>784907</v>
      </c>
      <c r="J100" t="s">
        <v>130</v>
      </c>
      <c r="K100" t="s">
        <v>1736</v>
      </c>
      <c r="L100" t="s">
        <v>1178</v>
      </c>
      <c r="M100" t="s">
        <v>1192</v>
      </c>
      <c r="N100" t="s">
        <v>599</v>
      </c>
      <c r="O100" t="s">
        <v>1737</v>
      </c>
      <c r="P100" t="s">
        <v>599</v>
      </c>
      <c r="Q100" t="s">
        <v>599</v>
      </c>
      <c r="R100" t="s">
        <v>1182</v>
      </c>
      <c r="S100" t="s">
        <v>1738</v>
      </c>
      <c r="T100">
        <v>1836</v>
      </c>
      <c r="U100">
        <v>1836</v>
      </c>
      <c r="V100" t="s">
        <v>599</v>
      </c>
      <c r="W100" t="s">
        <v>1185</v>
      </c>
      <c r="X100" t="s">
        <v>599</v>
      </c>
      <c r="Y100" t="s">
        <v>599</v>
      </c>
      <c r="Z100" t="s">
        <v>599</v>
      </c>
      <c r="AA100" t="s">
        <v>599</v>
      </c>
      <c r="AB100" t="s">
        <v>599</v>
      </c>
      <c r="AC100" t="s">
        <v>1739</v>
      </c>
      <c r="AD100" t="s">
        <v>1188</v>
      </c>
      <c r="AE100" t="s">
        <v>1740</v>
      </c>
      <c r="AF100" t="s">
        <v>1190</v>
      </c>
    </row>
    <row r="101" spans="1:32" s="13" customFormat="1" ht="45" x14ac:dyDescent="0.25">
      <c r="A101" s="10">
        <v>784907</v>
      </c>
      <c r="B101" s="10">
        <v>1</v>
      </c>
      <c r="C101" s="9">
        <v>28</v>
      </c>
      <c r="D101" s="56" t="s">
        <v>727</v>
      </c>
      <c r="E101" s="12" t="s">
        <v>131</v>
      </c>
      <c r="F101" s="45"/>
      <c r="G101" s="45"/>
      <c r="H101" s="45"/>
      <c r="I101">
        <v>784907</v>
      </c>
      <c r="J101" t="s">
        <v>130</v>
      </c>
      <c r="K101" t="s">
        <v>599</v>
      </c>
      <c r="L101" t="s">
        <v>1178</v>
      </c>
      <c r="M101" t="s">
        <v>1192</v>
      </c>
      <c r="N101" t="s">
        <v>599</v>
      </c>
      <c r="O101" t="s">
        <v>1737</v>
      </c>
      <c r="P101" t="s">
        <v>599</v>
      </c>
      <c r="Q101" t="s">
        <v>599</v>
      </c>
      <c r="R101" t="s">
        <v>1182</v>
      </c>
      <c r="S101" t="s">
        <v>1738</v>
      </c>
      <c r="T101">
        <v>1836</v>
      </c>
      <c r="U101">
        <v>1836</v>
      </c>
      <c r="V101" t="s">
        <v>599</v>
      </c>
      <c r="W101" t="s">
        <v>1185</v>
      </c>
      <c r="X101" t="s">
        <v>599</v>
      </c>
      <c r="Y101" t="s">
        <v>599</v>
      </c>
      <c r="Z101" t="s">
        <v>599</v>
      </c>
      <c r="AA101" t="s">
        <v>599</v>
      </c>
      <c r="AB101" t="s">
        <v>599</v>
      </c>
      <c r="AC101" t="s">
        <v>1739</v>
      </c>
      <c r="AD101" t="s">
        <v>1188</v>
      </c>
      <c r="AE101" t="s">
        <v>1740</v>
      </c>
      <c r="AF101" t="s">
        <v>1190</v>
      </c>
    </row>
    <row r="102" spans="1:32" s="13" customFormat="1" ht="45" x14ac:dyDescent="0.25">
      <c r="A102" s="10">
        <v>784907</v>
      </c>
      <c r="B102" s="10">
        <v>1</v>
      </c>
      <c r="C102" s="9">
        <v>29</v>
      </c>
      <c r="D102" s="56" t="s">
        <v>728</v>
      </c>
      <c r="E102" s="12" t="s">
        <v>131</v>
      </c>
      <c r="F102" s="45"/>
      <c r="G102" s="45"/>
      <c r="H102" s="45"/>
      <c r="I102">
        <v>784907</v>
      </c>
      <c r="J102" t="s">
        <v>130</v>
      </c>
      <c r="K102" t="s">
        <v>599</v>
      </c>
      <c r="L102" t="s">
        <v>1178</v>
      </c>
      <c r="M102" t="s">
        <v>1192</v>
      </c>
      <c r="N102" t="s">
        <v>599</v>
      </c>
      <c r="O102" t="s">
        <v>1737</v>
      </c>
      <c r="P102" t="s">
        <v>599</v>
      </c>
      <c r="Q102" t="s">
        <v>599</v>
      </c>
      <c r="R102" t="s">
        <v>1182</v>
      </c>
      <c r="S102" t="s">
        <v>1738</v>
      </c>
      <c r="T102">
        <v>1836</v>
      </c>
      <c r="U102">
        <v>1836</v>
      </c>
      <c r="V102" t="s">
        <v>599</v>
      </c>
      <c r="W102" t="s">
        <v>1185</v>
      </c>
      <c r="X102" t="s">
        <v>599</v>
      </c>
      <c r="Y102" t="s">
        <v>599</v>
      </c>
      <c r="Z102" t="s">
        <v>599</v>
      </c>
      <c r="AA102" t="s">
        <v>599</v>
      </c>
      <c r="AB102" t="s">
        <v>599</v>
      </c>
      <c r="AC102" t="s">
        <v>1739</v>
      </c>
      <c r="AD102" t="s">
        <v>1188</v>
      </c>
      <c r="AE102" t="s">
        <v>1740</v>
      </c>
      <c r="AF102" t="s">
        <v>1190</v>
      </c>
    </row>
    <row r="103" spans="1:32" s="13" customFormat="1" ht="45" x14ac:dyDescent="0.25">
      <c r="A103" s="10">
        <v>784907</v>
      </c>
      <c r="B103" s="10">
        <v>1</v>
      </c>
      <c r="C103" s="9">
        <v>32</v>
      </c>
      <c r="D103" s="56" t="s">
        <v>729</v>
      </c>
      <c r="E103" s="12" t="s">
        <v>131</v>
      </c>
      <c r="F103" s="45"/>
      <c r="G103" s="45"/>
      <c r="H103" s="45"/>
      <c r="I103">
        <v>784907</v>
      </c>
      <c r="J103" t="s">
        <v>130</v>
      </c>
      <c r="K103" t="s">
        <v>1736</v>
      </c>
      <c r="L103" t="s">
        <v>1178</v>
      </c>
      <c r="M103" t="s">
        <v>1192</v>
      </c>
      <c r="N103" t="s">
        <v>599</v>
      </c>
      <c r="O103" t="s">
        <v>1737</v>
      </c>
      <c r="P103" t="s">
        <v>599</v>
      </c>
      <c r="Q103" t="s">
        <v>599</v>
      </c>
      <c r="R103" t="s">
        <v>1182</v>
      </c>
      <c r="S103" t="s">
        <v>1738</v>
      </c>
      <c r="T103">
        <v>1836</v>
      </c>
      <c r="U103">
        <v>1836</v>
      </c>
      <c r="V103" t="s">
        <v>599</v>
      </c>
      <c r="W103" t="s">
        <v>1185</v>
      </c>
      <c r="X103" t="s">
        <v>599</v>
      </c>
      <c r="Y103" t="s">
        <v>599</v>
      </c>
      <c r="Z103" t="s">
        <v>599</v>
      </c>
      <c r="AA103" t="s">
        <v>599</v>
      </c>
      <c r="AB103" t="s">
        <v>599</v>
      </c>
      <c r="AC103" t="s">
        <v>1739</v>
      </c>
      <c r="AD103" t="s">
        <v>1188</v>
      </c>
      <c r="AE103" t="s">
        <v>1740</v>
      </c>
      <c r="AF103" t="s">
        <v>1190</v>
      </c>
    </row>
    <row r="104" spans="1:32" s="13" customFormat="1" ht="45" x14ac:dyDescent="0.25">
      <c r="A104" s="10">
        <v>784907</v>
      </c>
      <c r="B104" s="10">
        <v>1</v>
      </c>
      <c r="C104" s="9">
        <v>33</v>
      </c>
      <c r="D104" s="56" t="s">
        <v>730</v>
      </c>
      <c r="E104" s="12" t="s">
        <v>131</v>
      </c>
      <c r="F104" s="45"/>
      <c r="G104" s="45"/>
      <c r="H104" s="45"/>
      <c r="I104">
        <v>784907</v>
      </c>
      <c r="J104" t="s">
        <v>130</v>
      </c>
      <c r="K104" t="s">
        <v>1736</v>
      </c>
      <c r="L104" t="s">
        <v>1178</v>
      </c>
      <c r="M104" t="s">
        <v>1192</v>
      </c>
      <c r="N104" t="s">
        <v>599</v>
      </c>
      <c r="O104" t="s">
        <v>1737</v>
      </c>
      <c r="P104" t="s">
        <v>599</v>
      </c>
      <c r="Q104" t="s">
        <v>599</v>
      </c>
      <c r="R104" t="s">
        <v>1182</v>
      </c>
      <c r="S104" t="s">
        <v>1738</v>
      </c>
      <c r="T104">
        <v>1836</v>
      </c>
      <c r="U104">
        <v>1836</v>
      </c>
      <c r="V104" t="s">
        <v>599</v>
      </c>
      <c r="W104" t="s">
        <v>1185</v>
      </c>
      <c r="X104" t="s">
        <v>599</v>
      </c>
      <c r="Y104" t="s">
        <v>599</v>
      </c>
      <c r="Z104" t="s">
        <v>599</v>
      </c>
      <c r="AA104" t="s">
        <v>599</v>
      </c>
      <c r="AB104" t="s">
        <v>599</v>
      </c>
      <c r="AC104" t="s">
        <v>1739</v>
      </c>
      <c r="AD104" t="s">
        <v>1188</v>
      </c>
      <c r="AE104" t="s">
        <v>1740</v>
      </c>
      <c r="AF104" t="s">
        <v>1190</v>
      </c>
    </row>
    <row r="105" spans="1:32" s="13" customFormat="1" ht="45" x14ac:dyDescent="0.25">
      <c r="A105" s="10">
        <v>784907</v>
      </c>
      <c r="B105" s="10">
        <v>1</v>
      </c>
      <c r="C105" s="9">
        <v>36</v>
      </c>
      <c r="D105" s="56" t="s">
        <v>731</v>
      </c>
      <c r="E105" s="12" t="s">
        <v>131</v>
      </c>
      <c r="F105" s="45"/>
      <c r="G105" s="45"/>
      <c r="H105" s="45"/>
      <c r="I105">
        <v>784907</v>
      </c>
      <c r="J105" t="s">
        <v>130</v>
      </c>
      <c r="K105" t="s">
        <v>599</v>
      </c>
      <c r="L105" t="s">
        <v>1178</v>
      </c>
      <c r="M105" t="s">
        <v>1192</v>
      </c>
      <c r="N105" t="s">
        <v>599</v>
      </c>
      <c r="O105" t="s">
        <v>1737</v>
      </c>
      <c r="P105" t="s">
        <v>599</v>
      </c>
      <c r="Q105" t="s">
        <v>599</v>
      </c>
      <c r="R105" t="s">
        <v>1182</v>
      </c>
      <c r="S105" t="s">
        <v>1738</v>
      </c>
      <c r="T105">
        <v>1836</v>
      </c>
      <c r="U105">
        <v>1836</v>
      </c>
      <c r="V105" t="s">
        <v>599</v>
      </c>
      <c r="W105" t="s">
        <v>1185</v>
      </c>
      <c r="X105" t="s">
        <v>599</v>
      </c>
      <c r="Y105" t="s">
        <v>599</v>
      </c>
      <c r="Z105" t="s">
        <v>599</v>
      </c>
      <c r="AA105" t="s">
        <v>599</v>
      </c>
      <c r="AB105" t="s">
        <v>599</v>
      </c>
      <c r="AC105" t="s">
        <v>1739</v>
      </c>
      <c r="AD105" t="s">
        <v>1188</v>
      </c>
      <c r="AE105" t="s">
        <v>1740</v>
      </c>
      <c r="AF105" t="s">
        <v>1190</v>
      </c>
    </row>
    <row r="106" spans="1:32" s="13" customFormat="1" ht="45" x14ac:dyDescent="0.25">
      <c r="A106" s="10">
        <v>784907</v>
      </c>
      <c r="B106" s="10">
        <v>1</v>
      </c>
      <c r="C106" s="9">
        <v>37</v>
      </c>
      <c r="D106" s="56" t="s">
        <v>732</v>
      </c>
      <c r="E106" s="12" t="s">
        <v>131</v>
      </c>
      <c r="F106" s="45"/>
      <c r="G106" s="45"/>
      <c r="H106" s="45"/>
      <c r="I106">
        <v>784907</v>
      </c>
      <c r="J106" t="s">
        <v>130</v>
      </c>
      <c r="K106" t="s">
        <v>599</v>
      </c>
      <c r="L106" t="s">
        <v>1178</v>
      </c>
      <c r="M106" t="s">
        <v>1192</v>
      </c>
      <c r="N106" t="s">
        <v>599</v>
      </c>
      <c r="O106" t="s">
        <v>1737</v>
      </c>
      <c r="P106" t="s">
        <v>599</v>
      </c>
      <c r="Q106" t="s">
        <v>599</v>
      </c>
      <c r="R106" t="s">
        <v>1182</v>
      </c>
      <c r="S106" t="s">
        <v>1738</v>
      </c>
      <c r="T106">
        <v>1836</v>
      </c>
      <c r="U106">
        <v>1836</v>
      </c>
      <c r="V106" t="s">
        <v>599</v>
      </c>
      <c r="W106" t="s">
        <v>1185</v>
      </c>
      <c r="X106" t="s">
        <v>599</v>
      </c>
      <c r="Y106" t="s">
        <v>599</v>
      </c>
      <c r="Z106" t="s">
        <v>599</v>
      </c>
      <c r="AA106" t="s">
        <v>599</v>
      </c>
      <c r="AB106" t="s">
        <v>599</v>
      </c>
      <c r="AC106" t="s">
        <v>1739</v>
      </c>
      <c r="AD106" t="s">
        <v>1188</v>
      </c>
      <c r="AE106" t="s">
        <v>1740</v>
      </c>
      <c r="AF106" t="s">
        <v>1190</v>
      </c>
    </row>
    <row r="107" spans="1:32" s="13" customFormat="1" ht="45" x14ac:dyDescent="0.25">
      <c r="A107" s="10">
        <v>784907</v>
      </c>
      <c r="B107" s="10">
        <v>1</v>
      </c>
      <c r="C107" s="9">
        <v>40</v>
      </c>
      <c r="D107" s="56" t="s">
        <v>733</v>
      </c>
      <c r="E107" s="12" t="s">
        <v>131</v>
      </c>
      <c r="F107" s="45"/>
      <c r="G107" s="45"/>
      <c r="H107" s="45"/>
      <c r="I107">
        <v>784907</v>
      </c>
      <c r="J107" t="s">
        <v>130</v>
      </c>
      <c r="K107" t="s">
        <v>599</v>
      </c>
      <c r="L107" t="s">
        <v>1178</v>
      </c>
      <c r="M107" t="s">
        <v>1192</v>
      </c>
      <c r="N107" t="s">
        <v>599</v>
      </c>
      <c r="O107" t="s">
        <v>1737</v>
      </c>
      <c r="P107" t="s">
        <v>599</v>
      </c>
      <c r="Q107" t="s">
        <v>599</v>
      </c>
      <c r="R107" t="s">
        <v>1182</v>
      </c>
      <c r="S107" t="s">
        <v>1738</v>
      </c>
      <c r="T107">
        <v>1836</v>
      </c>
      <c r="U107">
        <v>1836</v>
      </c>
      <c r="V107" t="s">
        <v>599</v>
      </c>
      <c r="W107" t="s">
        <v>1185</v>
      </c>
      <c r="X107" t="s">
        <v>599</v>
      </c>
      <c r="Y107" t="s">
        <v>599</v>
      </c>
      <c r="Z107" t="s">
        <v>599</v>
      </c>
      <c r="AA107" t="s">
        <v>599</v>
      </c>
      <c r="AB107" t="s">
        <v>599</v>
      </c>
      <c r="AC107" t="s">
        <v>1739</v>
      </c>
      <c r="AD107" t="s">
        <v>1188</v>
      </c>
      <c r="AE107" t="s">
        <v>1740</v>
      </c>
      <c r="AF107" t="s">
        <v>1190</v>
      </c>
    </row>
    <row r="108" spans="1:32" s="13" customFormat="1" ht="45" x14ac:dyDescent="0.25">
      <c r="A108" s="10">
        <v>784907</v>
      </c>
      <c r="B108" s="10">
        <v>1</v>
      </c>
      <c r="C108" s="9">
        <v>41</v>
      </c>
      <c r="D108" s="56" t="s">
        <v>734</v>
      </c>
      <c r="E108" s="12" t="s">
        <v>131</v>
      </c>
      <c r="F108" s="45"/>
      <c r="G108" s="45"/>
      <c r="H108" s="45"/>
      <c r="I108">
        <v>784907</v>
      </c>
      <c r="J108" t="s">
        <v>130</v>
      </c>
      <c r="K108" t="s">
        <v>599</v>
      </c>
      <c r="L108" t="s">
        <v>1178</v>
      </c>
      <c r="M108" t="s">
        <v>1192</v>
      </c>
      <c r="N108" t="s">
        <v>599</v>
      </c>
      <c r="O108" t="s">
        <v>1737</v>
      </c>
      <c r="P108" t="s">
        <v>599</v>
      </c>
      <c r="Q108" t="s">
        <v>599</v>
      </c>
      <c r="R108" t="s">
        <v>1182</v>
      </c>
      <c r="S108" t="s">
        <v>1738</v>
      </c>
      <c r="T108">
        <v>1836</v>
      </c>
      <c r="U108">
        <v>1836</v>
      </c>
      <c r="V108" t="s">
        <v>599</v>
      </c>
      <c r="W108" t="s">
        <v>1185</v>
      </c>
      <c r="X108" t="s">
        <v>599</v>
      </c>
      <c r="Y108" t="s">
        <v>599</v>
      </c>
      <c r="Z108" t="s">
        <v>599</v>
      </c>
      <c r="AA108" t="s">
        <v>599</v>
      </c>
      <c r="AB108" t="s">
        <v>599</v>
      </c>
      <c r="AC108" t="s">
        <v>1739</v>
      </c>
      <c r="AD108" t="s">
        <v>1188</v>
      </c>
      <c r="AE108" t="s">
        <v>1740</v>
      </c>
      <c r="AF108" t="s">
        <v>1190</v>
      </c>
    </row>
    <row r="109" spans="1:32" s="13" customFormat="1" ht="45" x14ac:dyDescent="0.25">
      <c r="A109" s="10">
        <v>785080</v>
      </c>
      <c r="B109" s="10">
        <v>1</v>
      </c>
      <c r="C109" s="9">
        <v>10</v>
      </c>
      <c r="D109" s="56" t="s">
        <v>735</v>
      </c>
      <c r="E109" s="12">
        <v>10</v>
      </c>
      <c r="F109" s="45"/>
      <c r="G109" s="45"/>
      <c r="H109" s="45"/>
      <c r="I109">
        <v>785080</v>
      </c>
      <c r="J109" t="s">
        <v>133</v>
      </c>
      <c r="K109" t="s">
        <v>1741</v>
      </c>
      <c r="L109" t="s">
        <v>1178</v>
      </c>
      <c r="M109" t="s">
        <v>1502</v>
      </c>
      <c r="N109" t="s">
        <v>1192</v>
      </c>
      <c r="O109" t="s">
        <v>1742</v>
      </c>
      <c r="P109" t="s">
        <v>599</v>
      </c>
      <c r="Q109" t="s">
        <v>599</v>
      </c>
      <c r="R109" t="s">
        <v>1743</v>
      </c>
      <c r="S109" t="s">
        <v>1744</v>
      </c>
      <c r="T109">
        <v>1824</v>
      </c>
      <c r="U109">
        <v>1824</v>
      </c>
      <c r="V109" t="s">
        <v>1745</v>
      </c>
      <c r="W109" t="s">
        <v>1185</v>
      </c>
      <c r="X109" t="s">
        <v>599</v>
      </c>
      <c r="Y109" t="s">
        <v>599</v>
      </c>
      <c r="Z109" t="s">
        <v>1746</v>
      </c>
      <c r="AA109" t="s">
        <v>599</v>
      </c>
      <c r="AB109" t="s">
        <v>599</v>
      </c>
      <c r="AC109" t="s">
        <v>1747</v>
      </c>
      <c r="AD109" t="s">
        <v>1188</v>
      </c>
      <c r="AE109" t="s">
        <v>1748</v>
      </c>
      <c r="AF109" t="s">
        <v>1190</v>
      </c>
    </row>
    <row r="110" spans="1:32" s="13" customFormat="1" ht="45" x14ac:dyDescent="0.25">
      <c r="A110" s="10">
        <v>788850</v>
      </c>
      <c r="B110" s="10">
        <v>1</v>
      </c>
      <c r="C110" s="9">
        <v>8</v>
      </c>
      <c r="D110" s="56" t="s">
        <v>736</v>
      </c>
      <c r="E110" s="12" t="s">
        <v>135</v>
      </c>
      <c r="F110" s="45"/>
      <c r="G110" s="45"/>
      <c r="H110" s="45"/>
      <c r="I110">
        <v>788850</v>
      </c>
      <c r="J110" t="s">
        <v>134</v>
      </c>
      <c r="K110" t="s">
        <v>1749</v>
      </c>
      <c r="L110" t="s">
        <v>1178</v>
      </c>
      <c r="M110" t="s">
        <v>1362</v>
      </c>
      <c r="N110" t="s">
        <v>1192</v>
      </c>
      <c r="O110" t="s">
        <v>1750</v>
      </c>
      <c r="P110" t="s">
        <v>599</v>
      </c>
      <c r="Q110" t="s">
        <v>599</v>
      </c>
      <c r="R110" t="s">
        <v>1182</v>
      </c>
      <c r="S110" t="s">
        <v>1751</v>
      </c>
      <c r="T110">
        <v>1828</v>
      </c>
      <c r="U110">
        <v>1828</v>
      </c>
      <c r="V110" t="s">
        <v>1752</v>
      </c>
      <c r="W110" t="s">
        <v>1185</v>
      </c>
      <c r="X110" t="s">
        <v>599</v>
      </c>
      <c r="Y110" t="s">
        <v>599</v>
      </c>
      <c r="Z110" t="s">
        <v>1753</v>
      </c>
      <c r="AA110" t="s">
        <v>599</v>
      </c>
      <c r="AB110" t="s">
        <v>599</v>
      </c>
      <c r="AC110" t="s">
        <v>1754</v>
      </c>
      <c r="AD110" t="s">
        <v>1188</v>
      </c>
      <c r="AE110" t="s">
        <v>1755</v>
      </c>
      <c r="AF110" t="s">
        <v>1190</v>
      </c>
    </row>
    <row r="111" spans="1:32" s="13" customFormat="1" ht="45" x14ac:dyDescent="0.25">
      <c r="A111" s="10">
        <v>788899</v>
      </c>
      <c r="B111" s="10">
        <v>1</v>
      </c>
      <c r="C111" s="9">
        <v>216</v>
      </c>
      <c r="D111" s="56" t="s">
        <v>737</v>
      </c>
      <c r="E111" s="12" t="s">
        <v>137</v>
      </c>
      <c r="F111" s="45"/>
      <c r="G111" s="45"/>
      <c r="H111" s="45"/>
      <c r="I111">
        <v>788899</v>
      </c>
      <c r="J111" t="s">
        <v>136</v>
      </c>
      <c r="K111" t="s">
        <v>1756</v>
      </c>
      <c r="L111" t="s">
        <v>1178</v>
      </c>
      <c r="M111" t="s">
        <v>1502</v>
      </c>
      <c r="N111" t="s">
        <v>1362</v>
      </c>
      <c r="O111" t="s">
        <v>1757</v>
      </c>
      <c r="P111" t="s">
        <v>1758</v>
      </c>
      <c r="Q111" t="s">
        <v>599</v>
      </c>
      <c r="R111" t="s">
        <v>1182</v>
      </c>
      <c r="S111" t="s">
        <v>1759</v>
      </c>
      <c r="T111">
        <v>1809</v>
      </c>
      <c r="U111">
        <v>1809</v>
      </c>
      <c r="V111" t="s">
        <v>1760</v>
      </c>
      <c r="W111" t="s">
        <v>599</v>
      </c>
      <c r="X111" t="s">
        <v>599</v>
      </c>
      <c r="Y111" t="s">
        <v>599</v>
      </c>
      <c r="Z111" t="s">
        <v>1761</v>
      </c>
      <c r="AA111" t="s">
        <v>599</v>
      </c>
      <c r="AB111" t="s">
        <v>599</v>
      </c>
      <c r="AC111" t="s">
        <v>1762</v>
      </c>
      <c r="AD111" t="s">
        <v>1188</v>
      </c>
      <c r="AE111" t="s">
        <v>1763</v>
      </c>
      <c r="AF111" t="s">
        <v>1190</v>
      </c>
    </row>
    <row r="112" spans="1:32" s="13" customFormat="1" ht="45" x14ac:dyDescent="0.25">
      <c r="A112" s="10">
        <v>798614</v>
      </c>
      <c r="B112" s="10">
        <v>1</v>
      </c>
      <c r="C112" s="9">
        <v>10</v>
      </c>
      <c r="D112" s="56" t="s">
        <v>738</v>
      </c>
      <c r="E112" s="12" t="s">
        <v>139</v>
      </c>
      <c r="F112" s="45"/>
      <c r="G112" s="45"/>
      <c r="H112" s="45"/>
      <c r="I112">
        <v>798614</v>
      </c>
      <c r="J112" t="s">
        <v>138</v>
      </c>
      <c r="K112" t="s">
        <v>1764</v>
      </c>
      <c r="L112" t="s">
        <v>1178</v>
      </c>
      <c r="M112" t="s">
        <v>1502</v>
      </c>
      <c r="N112" t="s">
        <v>1192</v>
      </c>
      <c r="O112" t="s">
        <v>1765</v>
      </c>
      <c r="P112" t="s">
        <v>599</v>
      </c>
      <c r="Q112" t="s">
        <v>599</v>
      </c>
      <c r="R112" t="s">
        <v>1182</v>
      </c>
      <c r="S112" t="s">
        <v>1766</v>
      </c>
      <c r="T112">
        <v>1854</v>
      </c>
      <c r="U112">
        <v>1854</v>
      </c>
      <c r="V112" t="s">
        <v>1767</v>
      </c>
      <c r="W112" t="s">
        <v>1185</v>
      </c>
      <c r="X112" t="s">
        <v>599</v>
      </c>
      <c r="Y112" t="s">
        <v>599</v>
      </c>
      <c r="Z112" t="s">
        <v>1768</v>
      </c>
      <c r="AA112" t="s">
        <v>599</v>
      </c>
      <c r="AB112" t="s">
        <v>599</v>
      </c>
      <c r="AC112" t="s">
        <v>1769</v>
      </c>
      <c r="AD112" t="s">
        <v>1188</v>
      </c>
      <c r="AE112" t="s">
        <v>1770</v>
      </c>
      <c r="AF112" t="s">
        <v>1190</v>
      </c>
    </row>
    <row r="113" spans="1:32" s="13" customFormat="1" ht="45" x14ac:dyDescent="0.25">
      <c r="A113" s="10">
        <v>798623</v>
      </c>
      <c r="B113" s="10">
        <v>1</v>
      </c>
      <c r="C113" s="9">
        <v>8</v>
      </c>
      <c r="D113" s="56" t="s">
        <v>739</v>
      </c>
      <c r="E113" s="12" t="s">
        <v>141</v>
      </c>
      <c r="F113" s="45"/>
      <c r="G113" s="45"/>
      <c r="H113" s="45"/>
      <c r="I113">
        <v>798623</v>
      </c>
      <c r="J113" t="s">
        <v>140</v>
      </c>
      <c r="K113" t="s">
        <v>1771</v>
      </c>
      <c r="L113" t="s">
        <v>1178</v>
      </c>
      <c r="M113" t="s">
        <v>1502</v>
      </c>
      <c r="N113" t="s">
        <v>1192</v>
      </c>
      <c r="O113" t="s">
        <v>1772</v>
      </c>
      <c r="P113" t="s">
        <v>599</v>
      </c>
      <c r="Q113" t="s">
        <v>599</v>
      </c>
      <c r="R113" t="s">
        <v>1182</v>
      </c>
      <c r="S113" t="s">
        <v>1773</v>
      </c>
      <c r="T113">
        <v>1803</v>
      </c>
      <c r="U113">
        <v>1803</v>
      </c>
      <c r="V113" t="s">
        <v>1774</v>
      </c>
      <c r="W113" t="s">
        <v>1185</v>
      </c>
      <c r="X113" t="s">
        <v>599</v>
      </c>
      <c r="Y113" t="s">
        <v>599</v>
      </c>
      <c r="Z113" t="s">
        <v>1746</v>
      </c>
      <c r="AA113" t="s">
        <v>599</v>
      </c>
      <c r="AB113" t="s">
        <v>599</v>
      </c>
      <c r="AC113" t="s">
        <v>1775</v>
      </c>
      <c r="AD113" t="s">
        <v>1188</v>
      </c>
      <c r="AE113" t="s">
        <v>1776</v>
      </c>
      <c r="AF113" t="s">
        <v>1190</v>
      </c>
    </row>
    <row r="114" spans="1:32" s="26" customFormat="1" ht="45" x14ac:dyDescent="0.25">
      <c r="A114" s="23">
        <v>798863</v>
      </c>
      <c r="B114" s="23">
        <v>1</v>
      </c>
      <c r="C114" s="27">
        <v>5</v>
      </c>
      <c r="D114" s="53" t="s">
        <v>740</v>
      </c>
      <c r="E114" s="25" t="s">
        <v>143</v>
      </c>
      <c r="F114" s="45"/>
      <c r="G114" s="45"/>
      <c r="H114" s="45"/>
      <c r="I114">
        <v>798863</v>
      </c>
      <c r="J114" t="s">
        <v>142</v>
      </c>
      <c r="K114" t="s">
        <v>1777</v>
      </c>
      <c r="L114" t="s">
        <v>1178</v>
      </c>
      <c r="M114" t="s">
        <v>1192</v>
      </c>
      <c r="N114" t="s">
        <v>599</v>
      </c>
      <c r="O114" t="s">
        <v>1551</v>
      </c>
      <c r="P114" t="s">
        <v>1778</v>
      </c>
      <c r="Q114" t="s">
        <v>599</v>
      </c>
      <c r="R114" t="s">
        <v>1779</v>
      </c>
      <c r="S114" t="s">
        <v>1780</v>
      </c>
      <c r="T114">
        <v>1843</v>
      </c>
      <c r="U114">
        <v>1843</v>
      </c>
      <c r="V114" t="s">
        <v>1781</v>
      </c>
      <c r="W114" t="s">
        <v>1185</v>
      </c>
      <c r="X114" t="s">
        <v>599</v>
      </c>
      <c r="Y114" t="s">
        <v>599</v>
      </c>
      <c r="Z114" t="s">
        <v>599</v>
      </c>
      <c r="AA114" t="s">
        <v>599</v>
      </c>
      <c r="AB114" t="s">
        <v>599</v>
      </c>
      <c r="AC114" t="s">
        <v>1782</v>
      </c>
      <c r="AD114" t="s">
        <v>1188</v>
      </c>
      <c r="AE114" t="s">
        <v>1783</v>
      </c>
      <c r="AF114" t="s">
        <v>1190</v>
      </c>
    </row>
    <row r="115" spans="1:32" s="26" customFormat="1" ht="45" x14ac:dyDescent="0.25">
      <c r="A115" s="23">
        <v>798864</v>
      </c>
      <c r="B115" s="23">
        <v>1</v>
      </c>
      <c r="C115" s="27">
        <v>2</v>
      </c>
      <c r="D115" s="53" t="s">
        <v>741</v>
      </c>
      <c r="E115" s="25" t="s">
        <v>145</v>
      </c>
      <c r="F115" s="45"/>
      <c r="G115" s="45"/>
      <c r="H115" s="45"/>
      <c r="I115">
        <v>798864</v>
      </c>
      <c r="J115" t="s">
        <v>144</v>
      </c>
      <c r="K115" t="s">
        <v>1784</v>
      </c>
      <c r="L115" t="s">
        <v>1178</v>
      </c>
      <c r="M115" t="s">
        <v>1192</v>
      </c>
      <c r="N115" t="s">
        <v>599</v>
      </c>
      <c r="O115" t="s">
        <v>1551</v>
      </c>
      <c r="P115" t="s">
        <v>1785</v>
      </c>
      <c r="Q115" t="s">
        <v>599</v>
      </c>
      <c r="R115" t="s">
        <v>1786</v>
      </c>
      <c r="S115" t="s">
        <v>1787</v>
      </c>
      <c r="T115">
        <v>1870</v>
      </c>
      <c r="U115">
        <v>1870</v>
      </c>
      <c r="V115" t="s">
        <v>1788</v>
      </c>
      <c r="W115" t="s">
        <v>1185</v>
      </c>
      <c r="X115" t="s">
        <v>599</v>
      </c>
      <c r="Y115" t="s">
        <v>599</v>
      </c>
      <c r="Z115" t="s">
        <v>599</v>
      </c>
      <c r="AA115" t="s">
        <v>599</v>
      </c>
      <c r="AB115" t="s">
        <v>599</v>
      </c>
      <c r="AC115" t="s">
        <v>1789</v>
      </c>
      <c r="AD115" t="s">
        <v>1188</v>
      </c>
      <c r="AE115" t="s">
        <v>1790</v>
      </c>
      <c r="AF115" t="s">
        <v>1190</v>
      </c>
    </row>
    <row r="116" spans="1:32" s="26" customFormat="1" ht="45" x14ac:dyDescent="0.25">
      <c r="A116" s="23">
        <v>798881</v>
      </c>
      <c r="B116" s="23">
        <v>1</v>
      </c>
      <c r="C116" s="27">
        <v>5</v>
      </c>
      <c r="D116" s="53" t="s">
        <v>742</v>
      </c>
      <c r="E116" s="25" t="s">
        <v>143</v>
      </c>
      <c r="F116" s="45"/>
      <c r="G116" s="45"/>
      <c r="H116" s="45"/>
      <c r="I116">
        <v>798881</v>
      </c>
      <c r="J116" t="s">
        <v>146</v>
      </c>
      <c r="K116" t="s">
        <v>1791</v>
      </c>
      <c r="L116" t="s">
        <v>1178</v>
      </c>
      <c r="M116" t="s">
        <v>1192</v>
      </c>
      <c r="N116" t="s">
        <v>599</v>
      </c>
      <c r="O116" t="s">
        <v>1792</v>
      </c>
      <c r="P116" t="s">
        <v>599</v>
      </c>
      <c r="Q116" t="s">
        <v>599</v>
      </c>
      <c r="R116" t="s">
        <v>1182</v>
      </c>
      <c r="S116" t="s">
        <v>1793</v>
      </c>
      <c r="T116">
        <v>1883</v>
      </c>
      <c r="U116">
        <v>1883</v>
      </c>
      <c r="V116" t="s">
        <v>1276</v>
      </c>
      <c r="W116" t="s">
        <v>1794</v>
      </c>
      <c r="X116" t="s">
        <v>599</v>
      </c>
      <c r="Y116" t="s">
        <v>599</v>
      </c>
      <c r="Z116" t="s">
        <v>599</v>
      </c>
      <c r="AA116" t="s">
        <v>599</v>
      </c>
      <c r="AB116" t="s">
        <v>599</v>
      </c>
      <c r="AC116" t="s">
        <v>1795</v>
      </c>
      <c r="AD116" t="s">
        <v>1188</v>
      </c>
      <c r="AE116" t="s">
        <v>1796</v>
      </c>
      <c r="AF116" t="s">
        <v>1190</v>
      </c>
    </row>
    <row r="117" spans="1:32" s="13" customFormat="1" ht="45" x14ac:dyDescent="0.25">
      <c r="A117" s="10">
        <v>800848</v>
      </c>
      <c r="B117" s="10">
        <v>1</v>
      </c>
      <c r="C117" s="9">
        <v>5</v>
      </c>
      <c r="D117" s="56" t="s">
        <v>743</v>
      </c>
      <c r="E117" s="12" t="s">
        <v>148</v>
      </c>
      <c r="F117" s="45"/>
      <c r="G117" s="45"/>
      <c r="H117" s="45"/>
      <c r="I117">
        <v>800848</v>
      </c>
      <c r="J117" t="s">
        <v>147</v>
      </c>
      <c r="K117" t="s">
        <v>1798</v>
      </c>
      <c r="L117" t="s">
        <v>1178</v>
      </c>
      <c r="M117" t="s">
        <v>1799</v>
      </c>
      <c r="N117" t="s">
        <v>1192</v>
      </c>
      <c r="O117" t="s">
        <v>1800</v>
      </c>
      <c r="P117" t="s">
        <v>599</v>
      </c>
      <c r="Q117" t="s">
        <v>599</v>
      </c>
      <c r="R117" t="s">
        <v>1182</v>
      </c>
      <c r="S117" t="s">
        <v>1801</v>
      </c>
      <c r="T117">
        <v>1883</v>
      </c>
      <c r="U117">
        <v>1883</v>
      </c>
      <c r="V117" t="s">
        <v>1802</v>
      </c>
      <c r="W117" t="s">
        <v>1185</v>
      </c>
      <c r="X117" t="s">
        <v>599</v>
      </c>
      <c r="Y117" t="s">
        <v>599</v>
      </c>
      <c r="Z117" t="s">
        <v>1803</v>
      </c>
      <c r="AA117" t="s">
        <v>599</v>
      </c>
      <c r="AB117" t="s">
        <v>599</v>
      </c>
      <c r="AC117" t="s">
        <v>1804</v>
      </c>
      <c r="AD117" t="s">
        <v>1188</v>
      </c>
      <c r="AE117" t="s">
        <v>1805</v>
      </c>
      <c r="AF117" t="s">
        <v>1190</v>
      </c>
    </row>
    <row r="118" spans="1:32" s="26" customFormat="1" ht="45" x14ac:dyDescent="0.25">
      <c r="A118" s="23">
        <v>800863</v>
      </c>
      <c r="B118" s="23">
        <v>1</v>
      </c>
      <c r="C118" s="27">
        <v>7</v>
      </c>
      <c r="D118" s="53" t="s">
        <v>744</v>
      </c>
      <c r="E118" s="25" t="s">
        <v>150</v>
      </c>
      <c r="F118" s="45"/>
      <c r="G118" s="45"/>
      <c r="H118" s="45"/>
      <c r="I118">
        <v>800863</v>
      </c>
      <c r="J118" t="s">
        <v>149</v>
      </c>
      <c r="K118" t="s">
        <v>1806</v>
      </c>
      <c r="L118" t="s">
        <v>1178</v>
      </c>
      <c r="M118" t="s">
        <v>1192</v>
      </c>
      <c r="N118" t="s">
        <v>599</v>
      </c>
      <c r="O118" t="s">
        <v>1807</v>
      </c>
      <c r="P118" t="s">
        <v>599</v>
      </c>
      <c r="Q118" t="s">
        <v>599</v>
      </c>
      <c r="R118" t="s">
        <v>1182</v>
      </c>
      <c r="S118" t="s">
        <v>1808</v>
      </c>
      <c r="T118">
        <v>1800</v>
      </c>
      <c r="U118">
        <v>1800</v>
      </c>
      <c r="V118" t="s">
        <v>1241</v>
      </c>
      <c r="W118" t="s">
        <v>1809</v>
      </c>
      <c r="X118" t="s">
        <v>599</v>
      </c>
      <c r="Y118" t="s">
        <v>599</v>
      </c>
      <c r="Z118" t="s">
        <v>1810</v>
      </c>
      <c r="AA118" t="s">
        <v>599</v>
      </c>
      <c r="AB118" t="s">
        <v>599</v>
      </c>
      <c r="AC118" t="s">
        <v>1811</v>
      </c>
      <c r="AD118" t="s">
        <v>1188</v>
      </c>
      <c r="AE118" t="s">
        <v>1812</v>
      </c>
      <c r="AF118" t="s">
        <v>1190</v>
      </c>
    </row>
    <row r="119" spans="1:32" s="26" customFormat="1" ht="45" x14ac:dyDescent="0.25">
      <c r="A119" s="23">
        <v>800870</v>
      </c>
      <c r="B119" s="23">
        <v>1</v>
      </c>
      <c r="C119" s="27">
        <v>13</v>
      </c>
      <c r="D119" s="53" t="s">
        <v>745</v>
      </c>
      <c r="E119" s="25" t="s">
        <v>152</v>
      </c>
      <c r="F119" s="45"/>
      <c r="G119" s="45"/>
      <c r="H119" s="45"/>
      <c r="I119">
        <v>800870</v>
      </c>
      <c r="J119" t="s">
        <v>151</v>
      </c>
      <c r="K119" t="s">
        <v>1813</v>
      </c>
      <c r="L119" t="s">
        <v>1178</v>
      </c>
      <c r="M119" t="s">
        <v>1192</v>
      </c>
      <c r="N119" t="s">
        <v>599</v>
      </c>
      <c r="O119" t="s">
        <v>1814</v>
      </c>
      <c r="P119" t="s">
        <v>599</v>
      </c>
      <c r="Q119" t="s">
        <v>599</v>
      </c>
      <c r="R119" t="s">
        <v>1182</v>
      </c>
      <c r="S119" t="s">
        <v>1815</v>
      </c>
      <c r="T119">
        <v>1784</v>
      </c>
      <c r="U119">
        <v>1784</v>
      </c>
      <c r="V119" t="s">
        <v>1816</v>
      </c>
      <c r="W119" t="s">
        <v>1817</v>
      </c>
      <c r="X119" t="s">
        <v>599</v>
      </c>
      <c r="Y119" t="s">
        <v>599</v>
      </c>
      <c r="Z119" t="s">
        <v>1818</v>
      </c>
      <c r="AA119" t="s">
        <v>599</v>
      </c>
      <c r="AB119" t="s">
        <v>599</v>
      </c>
      <c r="AC119" t="s">
        <v>1819</v>
      </c>
      <c r="AD119" t="s">
        <v>1188</v>
      </c>
      <c r="AE119" t="s">
        <v>1820</v>
      </c>
      <c r="AF119" t="s">
        <v>1190</v>
      </c>
    </row>
    <row r="120" spans="1:32" s="13" customFormat="1" ht="45" x14ac:dyDescent="0.25">
      <c r="A120" s="10">
        <v>801047</v>
      </c>
      <c r="B120" s="10">
        <v>1</v>
      </c>
      <c r="C120" s="9">
        <v>3</v>
      </c>
      <c r="D120" s="56" t="s">
        <v>746</v>
      </c>
      <c r="E120" s="12">
        <v>3</v>
      </c>
      <c r="F120" s="45"/>
      <c r="G120" s="45"/>
      <c r="H120" s="45"/>
      <c r="I120">
        <v>801047</v>
      </c>
      <c r="J120" t="s">
        <v>153</v>
      </c>
      <c r="K120" t="s">
        <v>599</v>
      </c>
      <c r="L120" t="s">
        <v>1178</v>
      </c>
      <c r="M120" t="s">
        <v>1192</v>
      </c>
      <c r="N120" t="s">
        <v>599</v>
      </c>
      <c r="O120" t="s">
        <v>1821</v>
      </c>
      <c r="P120" t="s">
        <v>1822</v>
      </c>
      <c r="Q120" t="s">
        <v>599</v>
      </c>
      <c r="R120" t="s">
        <v>1182</v>
      </c>
      <c r="S120" t="s">
        <v>1437</v>
      </c>
      <c r="T120">
        <v>1880</v>
      </c>
      <c r="U120">
        <v>1880</v>
      </c>
      <c r="V120" t="s">
        <v>1823</v>
      </c>
      <c r="W120" t="s">
        <v>1824</v>
      </c>
      <c r="X120" t="s">
        <v>599</v>
      </c>
      <c r="Y120" t="s">
        <v>599</v>
      </c>
      <c r="Z120" t="s">
        <v>599</v>
      </c>
      <c r="AA120" t="s">
        <v>599</v>
      </c>
      <c r="AB120" t="s">
        <v>599</v>
      </c>
      <c r="AC120" t="s">
        <v>1825</v>
      </c>
      <c r="AD120" t="s">
        <v>1188</v>
      </c>
      <c r="AE120" t="s">
        <v>1826</v>
      </c>
      <c r="AF120" t="s">
        <v>1190</v>
      </c>
    </row>
    <row r="121" spans="1:32" s="13" customFormat="1" ht="45" x14ac:dyDescent="0.25">
      <c r="A121" s="10">
        <v>804699</v>
      </c>
      <c r="B121" s="10">
        <v>1</v>
      </c>
      <c r="C121" s="9">
        <v>8</v>
      </c>
      <c r="D121" s="56" t="s">
        <v>747</v>
      </c>
      <c r="E121" s="12" t="s">
        <v>155</v>
      </c>
      <c r="F121" s="45"/>
      <c r="G121" s="45"/>
      <c r="H121" s="45"/>
      <c r="I121">
        <v>804699</v>
      </c>
      <c r="J121" t="s">
        <v>154</v>
      </c>
      <c r="K121" t="s">
        <v>1827</v>
      </c>
      <c r="L121" t="s">
        <v>1178</v>
      </c>
      <c r="M121" t="s">
        <v>1192</v>
      </c>
      <c r="N121" t="s">
        <v>599</v>
      </c>
      <c r="O121" t="s">
        <v>1551</v>
      </c>
      <c r="P121" t="s">
        <v>1778</v>
      </c>
      <c r="Q121" t="s">
        <v>599</v>
      </c>
      <c r="R121" t="s">
        <v>1828</v>
      </c>
      <c r="S121" t="s">
        <v>1829</v>
      </c>
      <c r="T121">
        <v>1836</v>
      </c>
      <c r="U121">
        <v>1836</v>
      </c>
      <c r="V121" t="s">
        <v>1830</v>
      </c>
      <c r="W121" t="s">
        <v>1185</v>
      </c>
      <c r="X121" t="s">
        <v>599</v>
      </c>
      <c r="Y121" t="s">
        <v>599</v>
      </c>
      <c r="Z121" t="s">
        <v>1831</v>
      </c>
      <c r="AA121" t="s">
        <v>599</v>
      </c>
      <c r="AB121" t="s">
        <v>599</v>
      </c>
      <c r="AC121" t="s">
        <v>1832</v>
      </c>
      <c r="AD121" t="s">
        <v>1188</v>
      </c>
      <c r="AE121" t="s">
        <v>1833</v>
      </c>
      <c r="AF121" t="s">
        <v>1190</v>
      </c>
    </row>
    <row r="122" spans="1:32" s="13" customFormat="1" ht="45" x14ac:dyDescent="0.25">
      <c r="A122" s="10">
        <v>804707</v>
      </c>
      <c r="B122" s="10">
        <v>1</v>
      </c>
      <c r="C122" s="9">
        <v>8</v>
      </c>
      <c r="D122" s="56" t="s">
        <v>748</v>
      </c>
      <c r="E122" s="12" t="s">
        <v>157</v>
      </c>
      <c r="F122" s="45"/>
      <c r="G122" s="45"/>
      <c r="H122" s="45"/>
      <c r="I122">
        <v>804707</v>
      </c>
      <c r="J122" t="s">
        <v>156</v>
      </c>
      <c r="K122" t="s">
        <v>1834</v>
      </c>
      <c r="L122" t="s">
        <v>1178</v>
      </c>
      <c r="M122" t="s">
        <v>1192</v>
      </c>
      <c r="N122" t="s">
        <v>599</v>
      </c>
      <c r="O122" t="s">
        <v>1551</v>
      </c>
      <c r="P122" t="s">
        <v>1835</v>
      </c>
      <c r="Q122" t="s">
        <v>599</v>
      </c>
      <c r="R122" t="s">
        <v>1182</v>
      </c>
      <c r="S122" t="s">
        <v>1836</v>
      </c>
      <c r="T122">
        <v>1840</v>
      </c>
      <c r="U122">
        <v>1840</v>
      </c>
      <c r="V122" t="s">
        <v>1837</v>
      </c>
      <c r="W122" t="s">
        <v>1185</v>
      </c>
      <c r="X122" t="s">
        <v>599</v>
      </c>
      <c r="Y122" t="s">
        <v>599</v>
      </c>
      <c r="Z122" t="s">
        <v>1838</v>
      </c>
      <c r="AA122" t="s">
        <v>599</v>
      </c>
      <c r="AB122" t="s">
        <v>599</v>
      </c>
      <c r="AC122" t="s">
        <v>1839</v>
      </c>
      <c r="AD122" t="s">
        <v>1188</v>
      </c>
      <c r="AE122" t="s">
        <v>1840</v>
      </c>
      <c r="AF122" t="s">
        <v>1190</v>
      </c>
    </row>
    <row r="123" spans="1:32" s="13" customFormat="1" ht="45" x14ac:dyDescent="0.25">
      <c r="A123" s="10">
        <v>804707</v>
      </c>
      <c r="B123" s="10">
        <v>1</v>
      </c>
      <c r="C123" s="9">
        <v>42</v>
      </c>
      <c r="D123" s="56" t="s">
        <v>749</v>
      </c>
      <c r="E123" s="12" t="s">
        <v>157</v>
      </c>
      <c r="F123" s="45"/>
      <c r="G123" s="45"/>
      <c r="H123" s="45"/>
      <c r="I123">
        <v>804707</v>
      </c>
      <c r="J123" t="s">
        <v>156</v>
      </c>
      <c r="K123" t="s">
        <v>1834</v>
      </c>
      <c r="L123" t="s">
        <v>1178</v>
      </c>
      <c r="M123" t="s">
        <v>1192</v>
      </c>
      <c r="N123" t="s">
        <v>599</v>
      </c>
      <c r="O123" t="s">
        <v>1551</v>
      </c>
      <c r="P123" t="s">
        <v>1835</v>
      </c>
      <c r="Q123" t="s">
        <v>599</v>
      </c>
      <c r="R123" t="s">
        <v>1182</v>
      </c>
      <c r="S123" t="s">
        <v>1836</v>
      </c>
      <c r="T123">
        <v>1840</v>
      </c>
      <c r="U123">
        <v>1840</v>
      </c>
      <c r="V123" t="s">
        <v>1837</v>
      </c>
      <c r="W123" t="s">
        <v>1185</v>
      </c>
      <c r="X123" t="s">
        <v>599</v>
      </c>
      <c r="Y123" t="s">
        <v>599</v>
      </c>
      <c r="Z123" t="s">
        <v>1838</v>
      </c>
      <c r="AA123" t="s">
        <v>599</v>
      </c>
      <c r="AB123" t="s">
        <v>599</v>
      </c>
      <c r="AC123" t="s">
        <v>1839</v>
      </c>
      <c r="AD123" t="s">
        <v>1188</v>
      </c>
      <c r="AE123" t="s">
        <v>1840</v>
      </c>
      <c r="AF123" t="s">
        <v>1190</v>
      </c>
    </row>
    <row r="124" spans="1:32" s="13" customFormat="1" ht="60" x14ac:dyDescent="0.25">
      <c r="A124" s="10">
        <v>804731</v>
      </c>
      <c r="B124" s="10">
        <v>1</v>
      </c>
      <c r="C124" s="9">
        <v>10</v>
      </c>
      <c r="D124" s="56" t="s">
        <v>750</v>
      </c>
      <c r="E124" s="12" t="s">
        <v>160</v>
      </c>
      <c r="F124" s="45"/>
      <c r="G124" s="45"/>
      <c r="H124" s="45"/>
      <c r="I124">
        <v>804731</v>
      </c>
      <c r="J124" t="s">
        <v>159</v>
      </c>
      <c r="K124" t="s">
        <v>1841</v>
      </c>
      <c r="L124" t="s">
        <v>1178</v>
      </c>
      <c r="M124" t="s">
        <v>1192</v>
      </c>
      <c r="N124" t="s">
        <v>599</v>
      </c>
      <c r="O124" t="s">
        <v>1842</v>
      </c>
      <c r="P124" t="s">
        <v>1843</v>
      </c>
      <c r="Q124" t="s">
        <v>599</v>
      </c>
      <c r="R124" t="s">
        <v>1182</v>
      </c>
      <c r="S124" t="s">
        <v>1221</v>
      </c>
      <c r="T124">
        <v>1860</v>
      </c>
      <c r="U124">
        <v>1860</v>
      </c>
      <c r="V124" t="s">
        <v>1844</v>
      </c>
      <c r="W124" t="s">
        <v>1185</v>
      </c>
      <c r="X124" t="s">
        <v>599</v>
      </c>
      <c r="Y124" t="s">
        <v>599</v>
      </c>
      <c r="Z124" t="s">
        <v>1845</v>
      </c>
      <c r="AA124" t="s">
        <v>599</v>
      </c>
      <c r="AB124" t="s">
        <v>599</v>
      </c>
      <c r="AC124" t="s">
        <v>1846</v>
      </c>
      <c r="AD124" t="s">
        <v>1188</v>
      </c>
      <c r="AE124" t="s">
        <v>1847</v>
      </c>
      <c r="AF124" t="s">
        <v>1190</v>
      </c>
    </row>
    <row r="125" spans="1:32" s="21" customFormat="1" ht="60" x14ac:dyDescent="0.25">
      <c r="A125" s="18">
        <v>804731</v>
      </c>
      <c r="B125" s="18">
        <v>1</v>
      </c>
      <c r="C125" s="17">
        <v>10</v>
      </c>
      <c r="D125" s="58" t="s">
        <v>750</v>
      </c>
      <c r="E125" s="20" t="s">
        <v>160</v>
      </c>
      <c r="F125" s="45"/>
      <c r="G125" s="45"/>
      <c r="H125" s="45"/>
      <c r="I125">
        <v>804731</v>
      </c>
      <c r="J125" t="s">
        <v>159</v>
      </c>
      <c r="K125" t="s">
        <v>599</v>
      </c>
      <c r="L125" t="s">
        <v>1178</v>
      </c>
      <c r="M125" t="s">
        <v>1192</v>
      </c>
      <c r="N125" t="s">
        <v>599</v>
      </c>
      <c r="O125" t="s">
        <v>1842</v>
      </c>
      <c r="P125" t="s">
        <v>1843</v>
      </c>
      <c r="Q125" t="s">
        <v>599</v>
      </c>
      <c r="R125" t="s">
        <v>1182</v>
      </c>
      <c r="S125" t="s">
        <v>1221</v>
      </c>
      <c r="T125">
        <v>1860</v>
      </c>
      <c r="U125">
        <v>1860</v>
      </c>
      <c r="V125" t="s">
        <v>1844</v>
      </c>
      <c r="W125" t="s">
        <v>1185</v>
      </c>
      <c r="X125" t="s">
        <v>599</v>
      </c>
      <c r="Y125" t="s">
        <v>599</v>
      </c>
      <c r="Z125" t="s">
        <v>1845</v>
      </c>
      <c r="AA125" t="s">
        <v>599</v>
      </c>
      <c r="AB125" t="s">
        <v>599</v>
      </c>
      <c r="AC125" t="s">
        <v>1846</v>
      </c>
      <c r="AD125" t="s">
        <v>1188</v>
      </c>
      <c r="AE125" t="s">
        <v>1847</v>
      </c>
      <c r="AF125" t="s">
        <v>1190</v>
      </c>
    </row>
    <row r="126" spans="1:32" s="32" customFormat="1" ht="60" x14ac:dyDescent="0.25">
      <c r="A126" s="29">
        <v>804731</v>
      </c>
      <c r="B126" s="29">
        <v>1</v>
      </c>
      <c r="C126" s="28">
        <v>43</v>
      </c>
      <c r="D126" s="57" t="s">
        <v>751</v>
      </c>
      <c r="E126" s="31" t="s">
        <v>160</v>
      </c>
      <c r="F126" s="45"/>
      <c r="G126" s="45"/>
      <c r="H126" s="45"/>
      <c r="I126">
        <v>804731</v>
      </c>
      <c r="J126" t="s">
        <v>159</v>
      </c>
      <c r="K126" t="s">
        <v>599</v>
      </c>
      <c r="L126" t="s">
        <v>1178</v>
      </c>
      <c r="M126" t="s">
        <v>1192</v>
      </c>
      <c r="N126" t="s">
        <v>599</v>
      </c>
      <c r="O126" t="s">
        <v>1842</v>
      </c>
      <c r="P126" t="s">
        <v>1843</v>
      </c>
      <c r="Q126" t="s">
        <v>599</v>
      </c>
      <c r="R126" t="s">
        <v>1182</v>
      </c>
      <c r="S126" t="s">
        <v>1221</v>
      </c>
      <c r="T126">
        <v>1860</v>
      </c>
      <c r="U126">
        <v>1860</v>
      </c>
      <c r="V126" t="s">
        <v>1844</v>
      </c>
      <c r="W126" t="s">
        <v>1185</v>
      </c>
      <c r="X126" t="s">
        <v>599</v>
      </c>
      <c r="Y126" t="s">
        <v>599</v>
      </c>
      <c r="Z126" t="s">
        <v>1845</v>
      </c>
      <c r="AA126" t="s">
        <v>599</v>
      </c>
      <c r="AB126" t="s">
        <v>599</v>
      </c>
      <c r="AC126" t="s">
        <v>1846</v>
      </c>
      <c r="AD126" t="s">
        <v>1188</v>
      </c>
      <c r="AE126" t="s">
        <v>1847</v>
      </c>
      <c r="AF126" t="s">
        <v>1190</v>
      </c>
    </row>
    <row r="127" spans="1:32" s="32" customFormat="1" ht="60" x14ac:dyDescent="0.25">
      <c r="A127" s="29">
        <v>804731</v>
      </c>
      <c r="B127" s="29">
        <v>1</v>
      </c>
      <c r="C127" s="28">
        <v>174</v>
      </c>
      <c r="D127" s="57" t="s">
        <v>752</v>
      </c>
      <c r="E127" s="31" t="s">
        <v>160</v>
      </c>
      <c r="F127" s="45"/>
      <c r="G127" s="45"/>
      <c r="H127" s="45"/>
      <c r="I127">
        <v>804731</v>
      </c>
      <c r="J127" t="s">
        <v>159</v>
      </c>
      <c r="K127" t="s">
        <v>1841</v>
      </c>
      <c r="L127" t="s">
        <v>1178</v>
      </c>
      <c r="M127" t="s">
        <v>1192</v>
      </c>
      <c r="N127" t="s">
        <v>599</v>
      </c>
      <c r="O127" t="s">
        <v>1842</v>
      </c>
      <c r="P127" t="s">
        <v>1843</v>
      </c>
      <c r="Q127" t="s">
        <v>599</v>
      </c>
      <c r="R127" t="s">
        <v>1182</v>
      </c>
      <c r="S127" t="s">
        <v>1221</v>
      </c>
      <c r="T127">
        <v>1860</v>
      </c>
      <c r="U127">
        <v>1860</v>
      </c>
      <c r="V127" t="s">
        <v>1844</v>
      </c>
      <c r="W127" t="s">
        <v>1185</v>
      </c>
      <c r="X127" t="s">
        <v>599</v>
      </c>
      <c r="Y127" t="s">
        <v>599</v>
      </c>
      <c r="Z127" t="s">
        <v>1845</v>
      </c>
      <c r="AA127" t="s">
        <v>599</v>
      </c>
      <c r="AB127" t="s">
        <v>599</v>
      </c>
      <c r="AC127" t="s">
        <v>1846</v>
      </c>
      <c r="AD127" t="s">
        <v>1188</v>
      </c>
      <c r="AE127" t="s">
        <v>1847</v>
      </c>
      <c r="AF127" t="s">
        <v>1190</v>
      </c>
    </row>
    <row r="128" spans="1:32" s="32" customFormat="1" ht="60" x14ac:dyDescent="0.25">
      <c r="A128" s="29">
        <v>804731</v>
      </c>
      <c r="B128" s="29">
        <v>1</v>
      </c>
      <c r="C128" s="28">
        <v>388</v>
      </c>
      <c r="D128" s="57" t="s">
        <v>753</v>
      </c>
      <c r="E128" s="31" t="s">
        <v>160</v>
      </c>
      <c r="F128" s="45"/>
      <c r="G128" s="45"/>
      <c r="H128" s="45"/>
      <c r="I128">
        <v>804731</v>
      </c>
      <c r="J128" t="s">
        <v>159</v>
      </c>
      <c r="K128" t="s">
        <v>599</v>
      </c>
      <c r="L128" t="s">
        <v>1178</v>
      </c>
      <c r="M128" t="s">
        <v>1192</v>
      </c>
      <c r="N128" t="s">
        <v>599</v>
      </c>
      <c r="O128" t="s">
        <v>1842</v>
      </c>
      <c r="P128" t="s">
        <v>1843</v>
      </c>
      <c r="Q128" t="s">
        <v>599</v>
      </c>
      <c r="R128" t="s">
        <v>1182</v>
      </c>
      <c r="S128" t="s">
        <v>1221</v>
      </c>
      <c r="T128">
        <v>1860</v>
      </c>
      <c r="U128">
        <v>1860</v>
      </c>
      <c r="V128" t="s">
        <v>1844</v>
      </c>
      <c r="W128" t="s">
        <v>1185</v>
      </c>
      <c r="X128" t="s">
        <v>599</v>
      </c>
      <c r="Y128" t="s">
        <v>599</v>
      </c>
      <c r="Z128" t="s">
        <v>1845</v>
      </c>
      <c r="AA128" t="s">
        <v>599</v>
      </c>
      <c r="AB128" t="s">
        <v>599</v>
      </c>
      <c r="AC128" t="s">
        <v>1846</v>
      </c>
      <c r="AD128" t="s">
        <v>1188</v>
      </c>
      <c r="AE128" t="s">
        <v>1847</v>
      </c>
      <c r="AF128" t="s">
        <v>1190</v>
      </c>
    </row>
    <row r="129" spans="1:32" s="32" customFormat="1" ht="45" x14ac:dyDescent="0.25">
      <c r="A129" s="29">
        <v>805036</v>
      </c>
      <c r="B129" s="29">
        <v>1</v>
      </c>
      <c r="C129" s="28">
        <v>7</v>
      </c>
      <c r="D129" s="57" t="s">
        <v>754</v>
      </c>
      <c r="E129" s="31">
        <v>7</v>
      </c>
      <c r="F129" s="45"/>
      <c r="G129" s="45"/>
      <c r="H129" s="45"/>
      <c r="I129">
        <v>805036</v>
      </c>
      <c r="J129" t="s">
        <v>162</v>
      </c>
      <c r="K129" t="s">
        <v>1848</v>
      </c>
      <c r="L129" t="s">
        <v>1178</v>
      </c>
      <c r="M129" t="s">
        <v>1192</v>
      </c>
      <c r="N129" t="s">
        <v>599</v>
      </c>
      <c r="O129" t="s">
        <v>1849</v>
      </c>
      <c r="P129" t="s">
        <v>1850</v>
      </c>
      <c r="Q129" t="s">
        <v>599</v>
      </c>
      <c r="R129" t="s">
        <v>1182</v>
      </c>
      <c r="S129" t="s">
        <v>1437</v>
      </c>
      <c r="T129">
        <v>1886</v>
      </c>
      <c r="U129">
        <v>1886</v>
      </c>
      <c r="V129" t="s">
        <v>1851</v>
      </c>
      <c r="W129" t="s">
        <v>1185</v>
      </c>
      <c r="X129" t="s">
        <v>599</v>
      </c>
      <c r="Y129" t="s">
        <v>599</v>
      </c>
      <c r="Z129" t="s">
        <v>1852</v>
      </c>
      <c r="AA129" t="s">
        <v>599</v>
      </c>
      <c r="AB129" t="s">
        <v>599</v>
      </c>
      <c r="AC129" t="s">
        <v>1853</v>
      </c>
      <c r="AD129" t="s">
        <v>599</v>
      </c>
      <c r="AE129" t="s">
        <v>1854</v>
      </c>
      <c r="AF129" t="s">
        <v>1190</v>
      </c>
    </row>
    <row r="130" spans="1:32" s="26" customFormat="1" ht="45" x14ac:dyDescent="0.25">
      <c r="A130" s="23">
        <v>807561</v>
      </c>
      <c r="B130" s="23">
        <v>1</v>
      </c>
      <c r="C130" s="27">
        <v>8</v>
      </c>
      <c r="D130" s="53" t="s">
        <v>755</v>
      </c>
      <c r="E130" s="25" t="s">
        <v>164</v>
      </c>
      <c r="F130" s="45"/>
      <c r="G130" s="45"/>
      <c r="H130" s="45"/>
      <c r="I130">
        <v>807561</v>
      </c>
      <c r="J130" t="s">
        <v>163</v>
      </c>
      <c r="K130" t="s">
        <v>1855</v>
      </c>
      <c r="L130" t="s">
        <v>1178</v>
      </c>
      <c r="M130" t="s">
        <v>1179</v>
      </c>
      <c r="N130" t="s">
        <v>1192</v>
      </c>
      <c r="O130" t="s">
        <v>1180</v>
      </c>
      <c r="P130" t="s">
        <v>1181</v>
      </c>
      <c r="Q130" t="s">
        <v>599</v>
      </c>
      <c r="R130" t="s">
        <v>1182</v>
      </c>
      <c r="S130" t="s">
        <v>1856</v>
      </c>
      <c r="T130">
        <v>1862</v>
      </c>
      <c r="U130">
        <v>1862</v>
      </c>
      <c r="V130" t="s">
        <v>1857</v>
      </c>
      <c r="W130" t="s">
        <v>1185</v>
      </c>
      <c r="X130" t="s">
        <v>599</v>
      </c>
      <c r="Y130" t="s">
        <v>599</v>
      </c>
      <c r="Z130" t="s">
        <v>1858</v>
      </c>
      <c r="AA130" t="s">
        <v>599</v>
      </c>
      <c r="AB130" t="s">
        <v>599</v>
      </c>
      <c r="AC130" t="s">
        <v>1859</v>
      </c>
      <c r="AD130" t="s">
        <v>1188</v>
      </c>
      <c r="AE130" t="s">
        <v>1860</v>
      </c>
      <c r="AF130" t="s">
        <v>1190</v>
      </c>
    </row>
    <row r="131" spans="1:32" s="13" customFormat="1" ht="45" x14ac:dyDescent="0.25">
      <c r="A131" s="10">
        <v>807567</v>
      </c>
      <c r="B131" s="10">
        <v>1</v>
      </c>
      <c r="C131" s="9">
        <v>54</v>
      </c>
      <c r="D131" s="56" t="s">
        <v>756</v>
      </c>
      <c r="E131" s="12" t="s">
        <v>166</v>
      </c>
      <c r="F131" s="45"/>
      <c r="G131" s="45"/>
      <c r="H131" s="45"/>
      <c r="I131">
        <v>807567</v>
      </c>
      <c r="J131" t="s">
        <v>165</v>
      </c>
      <c r="K131" t="s">
        <v>1861</v>
      </c>
      <c r="L131" t="s">
        <v>1178</v>
      </c>
      <c r="M131" t="s">
        <v>1502</v>
      </c>
      <c r="N131" t="s">
        <v>1192</v>
      </c>
      <c r="O131" t="s">
        <v>1862</v>
      </c>
      <c r="P131" t="s">
        <v>1863</v>
      </c>
      <c r="Q131" t="s">
        <v>599</v>
      </c>
      <c r="R131" t="s">
        <v>1864</v>
      </c>
      <c r="S131" t="s">
        <v>1865</v>
      </c>
      <c r="T131">
        <v>1791</v>
      </c>
      <c r="U131">
        <v>1791</v>
      </c>
      <c r="V131" t="s">
        <v>1241</v>
      </c>
      <c r="W131" t="s">
        <v>1185</v>
      </c>
      <c r="X131" t="s">
        <v>599</v>
      </c>
      <c r="Y131" t="s">
        <v>599</v>
      </c>
      <c r="Z131" t="s">
        <v>1866</v>
      </c>
      <c r="AA131" t="s">
        <v>599</v>
      </c>
      <c r="AB131" t="s">
        <v>599</v>
      </c>
      <c r="AC131" t="s">
        <v>1867</v>
      </c>
      <c r="AD131" t="s">
        <v>1188</v>
      </c>
      <c r="AE131" t="s">
        <v>1868</v>
      </c>
      <c r="AF131" t="s">
        <v>1190</v>
      </c>
    </row>
    <row r="132" spans="1:32" s="26" customFormat="1" ht="45" x14ac:dyDescent="0.25">
      <c r="A132" s="23">
        <v>807675</v>
      </c>
      <c r="B132" s="23">
        <v>1</v>
      </c>
      <c r="C132" s="33" t="s">
        <v>627</v>
      </c>
      <c r="D132" s="59" t="s">
        <v>757</v>
      </c>
      <c r="E132" s="25" t="s">
        <v>168</v>
      </c>
      <c r="F132" s="45"/>
      <c r="G132" s="45"/>
      <c r="H132" s="45"/>
      <c r="I132">
        <v>807675</v>
      </c>
      <c r="J132" t="s">
        <v>167</v>
      </c>
      <c r="K132" t="s">
        <v>599</v>
      </c>
      <c r="L132" t="s">
        <v>1178</v>
      </c>
      <c r="M132" t="s">
        <v>1179</v>
      </c>
      <c r="N132" t="s">
        <v>1192</v>
      </c>
      <c r="O132" t="s">
        <v>1869</v>
      </c>
      <c r="P132" t="s">
        <v>599</v>
      </c>
      <c r="Q132" t="s">
        <v>599</v>
      </c>
      <c r="R132" t="s">
        <v>1870</v>
      </c>
      <c r="S132" t="s">
        <v>1871</v>
      </c>
      <c r="T132">
        <v>1884</v>
      </c>
      <c r="U132">
        <v>1884</v>
      </c>
      <c r="V132" t="s">
        <v>1872</v>
      </c>
      <c r="W132" t="s">
        <v>1185</v>
      </c>
      <c r="X132" t="s">
        <v>599</v>
      </c>
      <c r="Y132" t="s">
        <v>599</v>
      </c>
      <c r="Z132" t="s">
        <v>1873</v>
      </c>
      <c r="AA132" t="s">
        <v>599</v>
      </c>
      <c r="AB132" t="s">
        <v>599</v>
      </c>
      <c r="AC132" t="s">
        <v>1874</v>
      </c>
      <c r="AD132" t="s">
        <v>1188</v>
      </c>
      <c r="AE132" t="s">
        <v>1875</v>
      </c>
      <c r="AF132" t="s">
        <v>1190</v>
      </c>
    </row>
    <row r="133" spans="1:32" s="13" customFormat="1" ht="45" x14ac:dyDescent="0.25">
      <c r="A133" s="10">
        <v>808481</v>
      </c>
      <c r="B133" s="10">
        <v>1</v>
      </c>
      <c r="C133" s="9">
        <v>17</v>
      </c>
      <c r="D133" s="56" t="s">
        <v>758</v>
      </c>
      <c r="E133" s="12" t="s">
        <v>170</v>
      </c>
      <c r="F133" s="45"/>
      <c r="G133" s="45"/>
      <c r="H133" s="45"/>
      <c r="I133">
        <v>808481</v>
      </c>
      <c r="J133" t="s">
        <v>169</v>
      </c>
      <c r="K133" t="s">
        <v>1876</v>
      </c>
      <c r="L133" t="s">
        <v>1178</v>
      </c>
      <c r="M133" t="s">
        <v>1192</v>
      </c>
      <c r="N133" t="s">
        <v>599</v>
      </c>
      <c r="O133" t="s">
        <v>1877</v>
      </c>
      <c r="P133" t="s">
        <v>599</v>
      </c>
      <c r="Q133" t="s">
        <v>599</v>
      </c>
      <c r="R133" t="s">
        <v>1182</v>
      </c>
      <c r="S133" t="s">
        <v>1878</v>
      </c>
      <c r="T133">
        <v>1887</v>
      </c>
      <c r="U133">
        <v>1887</v>
      </c>
      <c r="V133" t="s">
        <v>1879</v>
      </c>
      <c r="W133" t="s">
        <v>1185</v>
      </c>
      <c r="X133" t="s">
        <v>599</v>
      </c>
      <c r="Y133" t="s">
        <v>599</v>
      </c>
      <c r="Z133" t="s">
        <v>1880</v>
      </c>
      <c r="AA133" t="s">
        <v>599</v>
      </c>
      <c r="AB133" t="s">
        <v>599</v>
      </c>
      <c r="AC133" t="s">
        <v>1881</v>
      </c>
      <c r="AD133" t="s">
        <v>1188</v>
      </c>
      <c r="AE133" t="s">
        <v>1882</v>
      </c>
      <c r="AF133" t="s">
        <v>1190</v>
      </c>
    </row>
    <row r="134" spans="1:32" s="13" customFormat="1" ht="45" x14ac:dyDescent="0.25">
      <c r="A134" s="10">
        <v>808481</v>
      </c>
      <c r="B134" s="10">
        <v>1</v>
      </c>
      <c r="C134" s="9">
        <v>26</v>
      </c>
      <c r="D134" s="56" t="s">
        <v>759</v>
      </c>
      <c r="E134" s="12" t="s">
        <v>170</v>
      </c>
      <c r="F134" s="45"/>
      <c r="G134" s="45"/>
      <c r="H134" s="45"/>
      <c r="I134">
        <v>808481</v>
      </c>
      <c r="J134" t="s">
        <v>169</v>
      </c>
      <c r="K134" t="s">
        <v>599</v>
      </c>
      <c r="L134" t="s">
        <v>1178</v>
      </c>
      <c r="M134" t="s">
        <v>1192</v>
      </c>
      <c r="N134" t="s">
        <v>599</v>
      </c>
      <c r="O134" t="s">
        <v>1877</v>
      </c>
      <c r="P134" t="s">
        <v>599</v>
      </c>
      <c r="Q134" t="s">
        <v>599</v>
      </c>
      <c r="R134" t="s">
        <v>1182</v>
      </c>
      <c r="S134" t="s">
        <v>1878</v>
      </c>
      <c r="T134">
        <v>1887</v>
      </c>
      <c r="U134">
        <v>1887</v>
      </c>
      <c r="V134" t="s">
        <v>1879</v>
      </c>
      <c r="W134" t="s">
        <v>1185</v>
      </c>
      <c r="X134" t="s">
        <v>599</v>
      </c>
      <c r="Y134" t="s">
        <v>599</v>
      </c>
      <c r="Z134" t="s">
        <v>1880</v>
      </c>
      <c r="AA134" t="s">
        <v>599</v>
      </c>
      <c r="AB134" t="s">
        <v>599</v>
      </c>
      <c r="AC134" t="s">
        <v>1881</v>
      </c>
      <c r="AD134" t="s">
        <v>1188</v>
      </c>
      <c r="AE134" t="s">
        <v>1882</v>
      </c>
      <c r="AF134" t="s">
        <v>1190</v>
      </c>
    </row>
    <row r="135" spans="1:32" s="13" customFormat="1" ht="45" x14ac:dyDescent="0.25">
      <c r="A135" s="10">
        <v>808481</v>
      </c>
      <c r="B135" s="10">
        <v>1</v>
      </c>
      <c r="C135" s="9">
        <v>29</v>
      </c>
      <c r="D135" s="56" t="s">
        <v>760</v>
      </c>
      <c r="E135" s="12" t="s">
        <v>170</v>
      </c>
      <c r="F135" s="45"/>
      <c r="G135" s="45"/>
      <c r="H135" s="45"/>
      <c r="I135">
        <v>808481</v>
      </c>
      <c r="J135" t="s">
        <v>169</v>
      </c>
      <c r="K135" t="s">
        <v>1876</v>
      </c>
      <c r="L135" t="s">
        <v>1178</v>
      </c>
      <c r="M135" t="s">
        <v>1192</v>
      </c>
      <c r="N135" t="s">
        <v>599</v>
      </c>
      <c r="O135" t="s">
        <v>1877</v>
      </c>
      <c r="P135" t="s">
        <v>599</v>
      </c>
      <c r="Q135" t="s">
        <v>599</v>
      </c>
      <c r="R135" t="s">
        <v>1182</v>
      </c>
      <c r="S135" t="s">
        <v>1878</v>
      </c>
      <c r="T135">
        <v>1887</v>
      </c>
      <c r="U135">
        <v>1887</v>
      </c>
      <c r="V135" t="s">
        <v>1879</v>
      </c>
      <c r="W135" t="s">
        <v>1185</v>
      </c>
      <c r="X135" t="s">
        <v>599</v>
      </c>
      <c r="Y135" t="s">
        <v>599</v>
      </c>
      <c r="Z135" t="s">
        <v>1880</v>
      </c>
      <c r="AA135" t="s">
        <v>599</v>
      </c>
      <c r="AB135" t="s">
        <v>599</v>
      </c>
      <c r="AC135" t="s">
        <v>1881</v>
      </c>
      <c r="AD135" t="s">
        <v>1188</v>
      </c>
      <c r="AE135" t="s">
        <v>1882</v>
      </c>
      <c r="AF135" t="s">
        <v>1190</v>
      </c>
    </row>
    <row r="136" spans="1:32" s="13" customFormat="1" ht="45" x14ac:dyDescent="0.25">
      <c r="A136" s="10">
        <v>808497</v>
      </c>
      <c r="B136" s="10">
        <v>1</v>
      </c>
      <c r="C136" s="9">
        <v>7</v>
      </c>
      <c r="D136" s="56" t="s">
        <v>761</v>
      </c>
      <c r="E136" s="12" t="s">
        <v>172</v>
      </c>
      <c r="F136" s="45"/>
      <c r="G136" s="45"/>
      <c r="H136" s="45"/>
      <c r="I136">
        <v>808497</v>
      </c>
      <c r="J136" t="s">
        <v>171</v>
      </c>
      <c r="K136" t="s">
        <v>1884</v>
      </c>
      <c r="L136" t="s">
        <v>1178</v>
      </c>
      <c r="M136" t="s">
        <v>1885</v>
      </c>
      <c r="N136" t="s">
        <v>1192</v>
      </c>
      <c r="O136" t="s">
        <v>1886</v>
      </c>
      <c r="P136" t="s">
        <v>599</v>
      </c>
      <c r="Q136" t="s">
        <v>599</v>
      </c>
      <c r="R136" t="s">
        <v>1182</v>
      </c>
      <c r="S136" t="s">
        <v>1887</v>
      </c>
      <c r="T136">
        <v>1893</v>
      </c>
      <c r="U136">
        <v>1893</v>
      </c>
      <c r="V136" t="s">
        <v>1888</v>
      </c>
      <c r="W136" t="s">
        <v>599</v>
      </c>
      <c r="X136" t="s">
        <v>599</v>
      </c>
      <c r="Y136" t="s">
        <v>599</v>
      </c>
      <c r="Z136" t="s">
        <v>1873</v>
      </c>
      <c r="AA136" t="s">
        <v>599</v>
      </c>
      <c r="AB136" t="s">
        <v>599</v>
      </c>
      <c r="AC136" t="s">
        <v>1889</v>
      </c>
      <c r="AD136" t="s">
        <v>1188</v>
      </c>
      <c r="AE136" t="s">
        <v>1890</v>
      </c>
      <c r="AF136" t="s">
        <v>1190</v>
      </c>
    </row>
    <row r="137" spans="1:32" s="13" customFormat="1" ht="45" x14ac:dyDescent="0.25">
      <c r="A137" s="10">
        <v>808502</v>
      </c>
      <c r="B137" s="10">
        <v>1</v>
      </c>
      <c r="C137" s="9">
        <v>12</v>
      </c>
      <c r="D137" s="56" t="s">
        <v>762</v>
      </c>
      <c r="E137" s="12" t="s">
        <v>174</v>
      </c>
      <c r="F137" s="45"/>
      <c r="G137" s="45"/>
      <c r="H137" s="45"/>
      <c r="I137">
        <v>808502</v>
      </c>
      <c r="J137" t="s">
        <v>173</v>
      </c>
      <c r="K137" t="s">
        <v>1891</v>
      </c>
      <c r="L137" t="s">
        <v>1178</v>
      </c>
      <c r="M137" t="s">
        <v>1885</v>
      </c>
      <c r="N137" t="s">
        <v>1192</v>
      </c>
      <c r="O137" t="s">
        <v>1892</v>
      </c>
      <c r="P137" t="s">
        <v>599</v>
      </c>
      <c r="Q137" t="s">
        <v>599</v>
      </c>
      <c r="R137" t="s">
        <v>1182</v>
      </c>
      <c r="S137" t="s">
        <v>1446</v>
      </c>
      <c r="T137">
        <v>1890</v>
      </c>
      <c r="U137">
        <v>1890</v>
      </c>
      <c r="V137" t="s">
        <v>1241</v>
      </c>
      <c r="W137" t="s">
        <v>599</v>
      </c>
      <c r="X137" t="s">
        <v>599</v>
      </c>
      <c r="Y137" t="s">
        <v>1185</v>
      </c>
      <c r="Z137" t="s">
        <v>1873</v>
      </c>
      <c r="AA137" t="s">
        <v>599</v>
      </c>
      <c r="AB137" t="s">
        <v>599</v>
      </c>
      <c r="AC137" t="s">
        <v>1893</v>
      </c>
      <c r="AD137" t="s">
        <v>1188</v>
      </c>
      <c r="AE137" t="s">
        <v>1894</v>
      </c>
      <c r="AF137" t="s">
        <v>1190</v>
      </c>
    </row>
    <row r="138" spans="1:32" s="13" customFormat="1" ht="45" x14ac:dyDescent="0.25">
      <c r="A138" s="10">
        <v>808536</v>
      </c>
      <c r="B138" s="10">
        <v>1</v>
      </c>
      <c r="C138" s="9">
        <v>7</v>
      </c>
      <c r="D138" s="56" t="s">
        <v>763</v>
      </c>
      <c r="E138" s="12" t="s">
        <v>176</v>
      </c>
      <c r="F138" s="45"/>
      <c r="G138" s="45"/>
      <c r="H138" s="45"/>
      <c r="I138">
        <v>808536</v>
      </c>
      <c r="J138" t="s">
        <v>175</v>
      </c>
      <c r="K138" t="s">
        <v>599</v>
      </c>
      <c r="L138" t="s">
        <v>1178</v>
      </c>
      <c r="M138" t="s">
        <v>1179</v>
      </c>
      <c r="N138" t="s">
        <v>1192</v>
      </c>
      <c r="O138" t="s">
        <v>1895</v>
      </c>
      <c r="P138" t="s">
        <v>599</v>
      </c>
      <c r="Q138" t="s">
        <v>599</v>
      </c>
      <c r="R138" t="s">
        <v>1182</v>
      </c>
      <c r="S138" t="s">
        <v>1896</v>
      </c>
      <c r="T138">
        <v>1899</v>
      </c>
      <c r="U138">
        <v>1899</v>
      </c>
      <c r="V138" t="s">
        <v>1241</v>
      </c>
      <c r="W138" t="s">
        <v>599</v>
      </c>
      <c r="X138" t="s">
        <v>599</v>
      </c>
      <c r="Y138" t="s">
        <v>599</v>
      </c>
      <c r="Z138" t="s">
        <v>1873</v>
      </c>
      <c r="AA138" t="s">
        <v>599</v>
      </c>
      <c r="AB138" t="s">
        <v>599</v>
      </c>
      <c r="AC138" t="s">
        <v>1897</v>
      </c>
      <c r="AD138" t="s">
        <v>1188</v>
      </c>
      <c r="AE138" t="s">
        <v>1898</v>
      </c>
      <c r="AF138" t="s">
        <v>1190</v>
      </c>
    </row>
    <row r="139" spans="1:32" s="13" customFormat="1" ht="45" x14ac:dyDescent="0.25">
      <c r="A139" s="10">
        <v>808536</v>
      </c>
      <c r="B139" s="10">
        <v>1</v>
      </c>
      <c r="C139" s="9">
        <v>17</v>
      </c>
      <c r="D139" s="56" t="s">
        <v>764</v>
      </c>
      <c r="E139" s="12" t="s">
        <v>176</v>
      </c>
      <c r="F139" s="45"/>
      <c r="G139" s="45"/>
      <c r="H139" s="45"/>
      <c r="I139">
        <v>808536</v>
      </c>
      <c r="J139" t="s">
        <v>175</v>
      </c>
      <c r="K139" t="s">
        <v>1899</v>
      </c>
      <c r="L139" t="s">
        <v>1178</v>
      </c>
      <c r="M139" t="s">
        <v>1179</v>
      </c>
      <c r="N139" t="s">
        <v>1192</v>
      </c>
      <c r="O139" t="s">
        <v>1895</v>
      </c>
      <c r="P139" t="s">
        <v>599</v>
      </c>
      <c r="Q139" t="s">
        <v>599</v>
      </c>
      <c r="R139" t="s">
        <v>1182</v>
      </c>
      <c r="S139" t="s">
        <v>1896</v>
      </c>
      <c r="T139">
        <v>1899</v>
      </c>
      <c r="U139">
        <v>1899</v>
      </c>
      <c r="V139" t="s">
        <v>1241</v>
      </c>
      <c r="W139" t="s">
        <v>599</v>
      </c>
      <c r="X139" t="s">
        <v>599</v>
      </c>
      <c r="Y139" t="s">
        <v>599</v>
      </c>
      <c r="Z139" t="s">
        <v>1873</v>
      </c>
      <c r="AA139" t="s">
        <v>599</v>
      </c>
      <c r="AB139" t="s">
        <v>599</v>
      </c>
      <c r="AC139" t="s">
        <v>1897</v>
      </c>
      <c r="AD139" t="s">
        <v>1188</v>
      </c>
      <c r="AE139" t="s">
        <v>1898</v>
      </c>
      <c r="AF139" t="s">
        <v>1190</v>
      </c>
    </row>
    <row r="140" spans="1:32" s="13" customFormat="1" ht="45" x14ac:dyDescent="0.25">
      <c r="A140" s="10">
        <v>808536</v>
      </c>
      <c r="B140" s="10">
        <v>1</v>
      </c>
      <c r="C140" s="9">
        <v>79</v>
      </c>
      <c r="D140" s="56" t="s">
        <v>765</v>
      </c>
      <c r="E140" s="12" t="s">
        <v>176</v>
      </c>
      <c r="F140" s="45"/>
      <c r="G140" s="45"/>
      <c r="H140" s="45"/>
      <c r="I140">
        <v>808536</v>
      </c>
      <c r="J140" t="s">
        <v>175</v>
      </c>
      <c r="K140" t="s">
        <v>1899</v>
      </c>
      <c r="L140" t="s">
        <v>1178</v>
      </c>
      <c r="M140" t="s">
        <v>1179</v>
      </c>
      <c r="N140" t="s">
        <v>1192</v>
      </c>
      <c r="O140" t="s">
        <v>1895</v>
      </c>
      <c r="P140" t="s">
        <v>599</v>
      </c>
      <c r="Q140" t="s">
        <v>599</v>
      </c>
      <c r="R140" t="s">
        <v>1182</v>
      </c>
      <c r="S140" t="s">
        <v>1896</v>
      </c>
      <c r="T140">
        <v>1899</v>
      </c>
      <c r="U140">
        <v>1899</v>
      </c>
      <c r="V140" t="s">
        <v>1241</v>
      </c>
      <c r="W140" t="s">
        <v>599</v>
      </c>
      <c r="X140" t="s">
        <v>599</v>
      </c>
      <c r="Y140" t="s">
        <v>599</v>
      </c>
      <c r="Z140" t="s">
        <v>1873</v>
      </c>
      <c r="AA140" t="s">
        <v>599</v>
      </c>
      <c r="AB140" t="s">
        <v>599</v>
      </c>
      <c r="AC140" t="s">
        <v>1897</v>
      </c>
      <c r="AD140" t="s">
        <v>1188</v>
      </c>
      <c r="AE140" t="s">
        <v>1898</v>
      </c>
      <c r="AF140" t="s">
        <v>1190</v>
      </c>
    </row>
    <row r="141" spans="1:32" s="13" customFormat="1" ht="45" x14ac:dyDescent="0.25">
      <c r="A141" s="10">
        <v>808536</v>
      </c>
      <c r="B141" s="10">
        <v>1</v>
      </c>
      <c r="C141" s="9">
        <v>89</v>
      </c>
      <c r="D141" s="56" t="s">
        <v>766</v>
      </c>
      <c r="E141" s="12" t="s">
        <v>176</v>
      </c>
      <c r="F141" s="45"/>
      <c r="G141" s="45"/>
      <c r="H141" s="45"/>
      <c r="I141">
        <v>808536</v>
      </c>
      <c r="J141" t="s">
        <v>175</v>
      </c>
      <c r="K141" t="s">
        <v>599</v>
      </c>
      <c r="L141" t="s">
        <v>1178</v>
      </c>
      <c r="M141" t="s">
        <v>1179</v>
      </c>
      <c r="N141" t="s">
        <v>1192</v>
      </c>
      <c r="O141" t="s">
        <v>1895</v>
      </c>
      <c r="P141" t="s">
        <v>599</v>
      </c>
      <c r="Q141" t="s">
        <v>599</v>
      </c>
      <c r="R141" t="s">
        <v>1182</v>
      </c>
      <c r="S141" t="s">
        <v>1896</v>
      </c>
      <c r="T141">
        <v>1899</v>
      </c>
      <c r="U141">
        <v>1899</v>
      </c>
      <c r="V141" t="s">
        <v>1241</v>
      </c>
      <c r="W141" t="s">
        <v>599</v>
      </c>
      <c r="X141" t="s">
        <v>599</v>
      </c>
      <c r="Y141" t="s">
        <v>599</v>
      </c>
      <c r="Z141" t="s">
        <v>1873</v>
      </c>
      <c r="AA141" t="s">
        <v>599</v>
      </c>
      <c r="AB141" t="s">
        <v>599</v>
      </c>
      <c r="AC141" t="s">
        <v>1897</v>
      </c>
      <c r="AD141" t="s">
        <v>1188</v>
      </c>
      <c r="AE141" t="s">
        <v>1898</v>
      </c>
      <c r="AF141" t="s">
        <v>1190</v>
      </c>
    </row>
    <row r="142" spans="1:32" s="13" customFormat="1" ht="45" x14ac:dyDescent="0.25">
      <c r="A142" s="10">
        <v>808536</v>
      </c>
      <c r="B142" s="10">
        <v>1</v>
      </c>
      <c r="C142" s="9">
        <v>97</v>
      </c>
      <c r="D142" s="56" t="s">
        <v>767</v>
      </c>
      <c r="E142" s="12" t="s">
        <v>176</v>
      </c>
      <c r="F142" s="45"/>
      <c r="G142" s="45"/>
      <c r="H142" s="45"/>
      <c r="I142">
        <v>808536</v>
      </c>
      <c r="J142" t="s">
        <v>175</v>
      </c>
      <c r="K142" t="s">
        <v>599</v>
      </c>
      <c r="L142" t="s">
        <v>1178</v>
      </c>
      <c r="M142" t="s">
        <v>1179</v>
      </c>
      <c r="N142" t="s">
        <v>1192</v>
      </c>
      <c r="O142" t="s">
        <v>1895</v>
      </c>
      <c r="P142" t="s">
        <v>599</v>
      </c>
      <c r="Q142" t="s">
        <v>599</v>
      </c>
      <c r="R142" t="s">
        <v>1182</v>
      </c>
      <c r="S142" t="s">
        <v>1896</v>
      </c>
      <c r="T142">
        <v>1899</v>
      </c>
      <c r="U142">
        <v>1899</v>
      </c>
      <c r="V142" t="s">
        <v>1241</v>
      </c>
      <c r="W142" t="s">
        <v>599</v>
      </c>
      <c r="X142" t="s">
        <v>599</v>
      </c>
      <c r="Y142" t="s">
        <v>599</v>
      </c>
      <c r="Z142" t="s">
        <v>1873</v>
      </c>
      <c r="AA142" t="s">
        <v>599</v>
      </c>
      <c r="AB142" t="s">
        <v>599</v>
      </c>
      <c r="AC142" t="s">
        <v>1897</v>
      </c>
      <c r="AD142" t="s">
        <v>1188</v>
      </c>
      <c r="AE142" t="s">
        <v>1898</v>
      </c>
      <c r="AF142" t="s">
        <v>1190</v>
      </c>
    </row>
    <row r="143" spans="1:32" s="13" customFormat="1" ht="45" x14ac:dyDescent="0.25">
      <c r="A143" s="10">
        <v>808536</v>
      </c>
      <c r="B143" s="10">
        <v>1</v>
      </c>
      <c r="C143" s="9">
        <v>104</v>
      </c>
      <c r="D143" s="56" t="s">
        <v>768</v>
      </c>
      <c r="E143" s="12" t="s">
        <v>176</v>
      </c>
      <c r="F143" s="45"/>
      <c r="G143" s="45"/>
      <c r="H143" s="45"/>
      <c r="I143">
        <v>808536</v>
      </c>
      <c r="J143" t="s">
        <v>175</v>
      </c>
      <c r="K143" t="s">
        <v>599</v>
      </c>
      <c r="L143" t="s">
        <v>1178</v>
      </c>
      <c r="M143" t="s">
        <v>1179</v>
      </c>
      <c r="N143" t="s">
        <v>1192</v>
      </c>
      <c r="O143" t="s">
        <v>1895</v>
      </c>
      <c r="P143" t="s">
        <v>599</v>
      </c>
      <c r="Q143" t="s">
        <v>599</v>
      </c>
      <c r="R143" t="s">
        <v>1182</v>
      </c>
      <c r="S143" t="s">
        <v>1896</v>
      </c>
      <c r="T143">
        <v>1899</v>
      </c>
      <c r="U143">
        <v>1899</v>
      </c>
      <c r="V143" t="s">
        <v>1241</v>
      </c>
      <c r="W143" t="s">
        <v>599</v>
      </c>
      <c r="X143" t="s">
        <v>599</v>
      </c>
      <c r="Y143" t="s">
        <v>599</v>
      </c>
      <c r="Z143" t="s">
        <v>1873</v>
      </c>
      <c r="AA143" t="s">
        <v>599</v>
      </c>
      <c r="AB143" t="s">
        <v>599</v>
      </c>
      <c r="AC143" t="s">
        <v>1897</v>
      </c>
      <c r="AD143" t="s">
        <v>1188</v>
      </c>
      <c r="AE143" t="s">
        <v>1898</v>
      </c>
      <c r="AF143" t="s">
        <v>1190</v>
      </c>
    </row>
    <row r="144" spans="1:32" s="13" customFormat="1" ht="45" x14ac:dyDescent="0.25">
      <c r="A144" s="10">
        <v>808536</v>
      </c>
      <c r="B144" s="10">
        <v>1</v>
      </c>
      <c r="C144" s="9">
        <v>105</v>
      </c>
      <c r="D144" s="56" t="s">
        <v>769</v>
      </c>
      <c r="E144" s="12" t="s">
        <v>176</v>
      </c>
      <c r="F144" s="45"/>
      <c r="G144" s="45"/>
      <c r="H144" s="45"/>
      <c r="I144">
        <v>808536</v>
      </c>
      <c r="J144" t="s">
        <v>175</v>
      </c>
      <c r="K144" t="s">
        <v>599</v>
      </c>
      <c r="L144" t="s">
        <v>1178</v>
      </c>
      <c r="M144" t="s">
        <v>1179</v>
      </c>
      <c r="N144" t="s">
        <v>1192</v>
      </c>
      <c r="O144" t="s">
        <v>1895</v>
      </c>
      <c r="P144" t="s">
        <v>599</v>
      </c>
      <c r="Q144" t="s">
        <v>599</v>
      </c>
      <c r="R144" t="s">
        <v>1182</v>
      </c>
      <c r="S144" t="s">
        <v>1896</v>
      </c>
      <c r="T144">
        <v>1899</v>
      </c>
      <c r="U144">
        <v>1899</v>
      </c>
      <c r="V144" t="s">
        <v>1241</v>
      </c>
      <c r="W144" t="s">
        <v>599</v>
      </c>
      <c r="X144" t="s">
        <v>599</v>
      </c>
      <c r="Y144" t="s">
        <v>599</v>
      </c>
      <c r="Z144" t="s">
        <v>1873</v>
      </c>
      <c r="AA144" t="s">
        <v>599</v>
      </c>
      <c r="AB144" t="s">
        <v>599</v>
      </c>
      <c r="AC144" t="s">
        <v>1897</v>
      </c>
      <c r="AD144" t="s">
        <v>1188</v>
      </c>
      <c r="AE144" t="s">
        <v>1898</v>
      </c>
      <c r="AF144" t="s">
        <v>1190</v>
      </c>
    </row>
    <row r="145" spans="1:32" s="13" customFormat="1" ht="45" x14ac:dyDescent="0.25">
      <c r="A145" s="10">
        <v>808766</v>
      </c>
      <c r="B145" s="10">
        <v>1</v>
      </c>
      <c r="C145" s="9">
        <v>10</v>
      </c>
      <c r="D145" s="56" t="s">
        <v>770</v>
      </c>
      <c r="E145" s="12" t="s">
        <v>178</v>
      </c>
      <c r="F145" s="45"/>
      <c r="G145" s="45"/>
      <c r="H145" s="45"/>
      <c r="I145">
        <v>808766</v>
      </c>
      <c r="J145" t="s">
        <v>177</v>
      </c>
      <c r="K145" t="s">
        <v>599</v>
      </c>
      <c r="L145" t="s">
        <v>1178</v>
      </c>
      <c r="M145" t="s">
        <v>1900</v>
      </c>
      <c r="N145" t="s">
        <v>1192</v>
      </c>
      <c r="O145" t="s">
        <v>1901</v>
      </c>
      <c r="P145" t="s">
        <v>599</v>
      </c>
      <c r="Q145" t="s">
        <v>599</v>
      </c>
      <c r="R145" t="s">
        <v>1182</v>
      </c>
      <c r="S145" t="s">
        <v>1902</v>
      </c>
      <c r="T145">
        <v>1899</v>
      </c>
      <c r="U145">
        <v>1899</v>
      </c>
      <c r="V145" t="s">
        <v>1903</v>
      </c>
      <c r="W145" t="s">
        <v>1185</v>
      </c>
      <c r="X145" t="s">
        <v>599</v>
      </c>
      <c r="Y145" t="s">
        <v>599</v>
      </c>
      <c r="Z145" t="s">
        <v>1904</v>
      </c>
      <c r="AA145" t="s">
        <v>599</v>
      </c>
      <c r="AB145" t="s">
        <v>599</v>
      </c>
      <c r="AC145" t="s">
        <v>1905</v>
      </c>
      <c r="AD145" t="s">
        <v>1188</v>
      </c>
      <c r="AE145" t="s">
        <v>1906</v>
      </c>
      <c r="AF145" t="s">
        <v>1190</v>
      </c>
    </row>
    <row r="146" spans="1:32" s="13" customFormat="1" ht="45" x14ac:dyDescent="0.25">
      <c r="A146" s="10">
        <v>810040</v>
      </c>
      <c r="B146" s="10">
        <v>1</v>
      </c>
      <c r="C146" s="9">
        <v>11</v>
      </c>
      <c r="D146" s="56" t="s">
        <v>643</v>
      </c>
      <c r="E146" s="12" t="s">
        <v>179</v>
      </c>
      <c r="F146" s="45"/>
      <c r="G146" s="45"/>
      <c r="H146" s="45"/>
      <c r="I146">
        <v>810040</v>
      </c>
      <c r="J146" t="s">
        <v>23</v>
      </c>
      <c r="K146" t="s">
        <v>1245</v>
      </c>
      <c r="L146" t="s">
        <v>1178</v>
      </c>
      <c r="M146" t="s">
        <v>1192</v>
      </c>
      <c r="N146" t="s">
        <v>599</v>
      </c>
      <c r="O146" t="s">
        <v>1907</v>
      </c>
      <c r="P146" t="s">
        <v>1908</v>
      </c>
      <c r="Q146" t="s">
        <v>599</v>
      </c>
      <c r="R146" t="s">
        <v>1182</v>
      </c>
      <c r="S146" t="s">
        <v>1909</v>
      </c>
      <c r="T146">
        <v>1898</v>
      </c>
      <c r="U146">
        <v>1898</v>
      </c>
      <c r="V146" t="s">
        <v>1910</v>
      </c>
      <c r="W146" t="s">
        <v>1911</v>
      </c>
      <c r="X146" t="s">
        <v>599</v>
      </c>
      <c r="Y146" t="s">
        <v>599</v>
      </c>
      <c r="Z146" t="s">
        <v>1432</v>
      </c>
      <c r="AA146" t="s">
        <v>599</v>
      </c>
      <c r="AB146" t="s">
        <v>599</v>
      </c>
      <c r="AC146" t="s">
        <v>1912</v>
      </c>
      <c r="AD146" t="s">
        <v>1188</v>
      </c>
      <c r="AE146" t="s">
        <v>1913</v>
      </c>
      <c r="AF146" t="s">
        <v>1190</v>
      </c>
    </row>
    <row r="147" spans="1:32" s="13" customFormat="1" ht="45" x14ac:dyDescent="0.25">
      <c r="A147" s="10">
        <v>810055</v>
      </c>
      <c r="B147" s="10">
        <v>1</v>
      </c>
      <c r="C147" s="9">
        <v>1</v>
      </c>
      <c r="D147" s="56" t="s">
        <v>771</v>
      </c>
      <c r="E147" s="12" t="s">
        <v>181</v>
      </c>
      <c r="F147" s="45"/>
      <c r="G147" s="45"/>
      <c r="H147" s="45"/>
      <c r="I147">
        <v>810055</v>
      </c>
      <c r="J147" t="s">
        <v>180</v>
      </c>
      <c r="K147" t="s">
        <v>599</v>
      </c>
      <c r="L147" t="s">
        <v>1178</v>
      </c>
      <c r="M147" t="s">
        <v>1914</v>
      </c>
      <c r="N147" t="s">
        <v>1192</v>
      </c>
      <c r="O147" t="s">
        <v>1915</v>
      </c>
      <c r="P147" t="s">
        <v>1916</v>
      </c>
      <c r="Q147" t="s">
        <v>599</v>
      </c>
      <c r="R147" t="s">
        <v>1182</v>
      </c>
      <c r="S147" t="s">
        <v>1909</v>
      </c>
      <c r="T147">
        <v>1898</v>
      </c>
      <c r="U147">
        <v>1898</v>
      </c>
      <c r="V147" t="s">
        <v>1917</v>
      </c>
      <c r="W147" t="s">
        <v>1918</v>
      </c>
      <c r="X147" t="s">
        <v>599</v>
      </c>
      <c r="Y147" t="s">
        <v>599</v>
      </c>
      <c r="Z147" t="s">
        <v>1919</v>
      </c>
      <c r="AA147" t="s">
        <v>599</v>
      </c>
      <c r="AB147" t="s">
        <v>599</v>
      </c>
      <c r="AC147" t="s">
        <v>1920</v>
      </c>
      <c r="AD147" t="s">
        <v>1188</v>
      </c>
      <c r="AE147" t="s">
        <v>1921</v>
      </c>
      <c r="AF147" t="s">
        <v>1190</v>
      </c>
    </row>
    <row r="148" spans="1:32" s="13" customFormat="1" ht="45" x14ac:dyDescent="0.25">
      <c r="A148" s="10">
        <v>810055</v>
      </c>
      <c r="B148" s="10">
        <v>1</v>
      </c>
      <c r="C148" s="9">
        <v>5</v>
      </c>
      <c r="D148" s="56" t="s">
        <v>772</v>
      </c>
      <c r="E148" s="12" t="s">
        <v>600</v>
      </c>
      <c r="F148" s="45"/>
      <c r="G148" s="45"/>
      <c r="H148" s="45"/>
      <c r="I148">
        <v>810055</v>
      </c>
      <c r="J148" t="s">
        <v>180</v>
      </c>
      <c r="K148" t="s">
        <v>1922</v>
      </c>
      <c r="L148" t="s">
        <v>1178</v>
      </c>
      <c r="M148" t="s">
        <v>1914</v>
      </c>
      <c r="N148" t="s">
        <v>1192</v>
      </c>
      <c r="O148" t="s">
        <v>1915</v>
      </c>
      <c r="P148" t="s">
        <v>1916</v>
      </c>
      <c r="Q148" t="s">
        <v>599</v>
      </c>
      <c r="R148" t="s">
        <v>1182</v>
      </c>
      <c r="S148" t="s">
        <v>1909</v>
      </c>
      <c r="T148">
        <v>1898</v>
      </c>
      <c r="U148">
        <v>1898</v>
      </c>
      <c r="V148" t="s">
        <v>1917</v>
      </c>
      <c r="W148" t="s">
        <v>1918</v>
      </c>
      <c r="X148" t="s">
        <v>599</v>
      </c>
      <c r="Y148" t="s">
        <v>599</v>
      </c>
      <c r="Z148" t="s">
        <v>1919</v>
      </c>
      <c r="AA148" t="s">
        <v>599</v>
      </c>
      <c r="AB148" t="s">
        <v>599</v>
      </c>
      <c r="AC148" t="s">
        <v>1920</v>
      </c>
      <c r="AD148" t="s">
        <v>1188</v>
      </c>
      <c r="AE148" t="s">
        <v>1921</v>
      </c>
      <c r="AF148" t="s">
        <v>1190</v>
      </c>
    </row>
    <row r="149" spans="1:32" s="26" customFormat="1" ht="45" x14ac:dyDescent="0.25">
      <c r="A149" s="23">
        <v>810381</v>
      </c>
      <c r="B149" s="23">
        <v>1</v>
      </c>
      <c r="C149" s="27">
        <v>7</v>
      </c>
      <c r="D149" s="53" t="s">
        <v>773</v>
      </c>
      <c r="E149" s="25">
        <v>7</v>
      </c>
      <c r="F149" s="45"/>
      <c r="G149" s="45"/>
      <c r="H149" s="45"/>
      <c r="I149">
        <v>810381</v>
      </c>
      <c r="J149" t="s">
        <v>182</v>
      </c>
      <c r="K149" t="s">
        <v>1923</v>
      </c>
      <c r="L149" t="s">
        <v>1178</v>
      </c>
      <c r="M149" t="s">
        <v>1209</v>
      </c>
      <c r="N149" t="s">
        <v>599</v>
      </c>
      <c r="O149" t="s">
        <v>1924</v>
      </c>
      <c r="P149" t="s">
        <v>599</v>
      </c>
      <c r="Q149" t="s">
        <v>599</v>
      </c>
      <c r="R149" t="s">
        <v>1182</v>
      </c>
      <c r="S149" t="s">
        <v>1925</v>
      </c>
      <c r="T149">
        <v>1873</v>
      </c>
      <c r="U149">
        <v>1873</v>
      </c>
      <c r="V149" t="s">
        <v>1926</v>
      </c>
      <c r="W149" t="s">
        <v>1927</v>
      </c>
      <c r="X149" t="s">
        <v>599</v>
      </c>
      <c r="Y149" t="s">
        <v>1928</v>
      </c>
      <c r="Z149" t="s">
        <v>599</v>
      </c>
      <c r="AA149" t="s">
        <v>599</v>
      </c>
      <c r="AB149" t="s">
        <v>1929</v>
      </c>
      <c r="AC149" t="s">
        <v>1930</v>
      </c>
      <c r="AD149" t="s">
        <v>1188</v>
      </c>
      <c r="AE149" t="s">
        <v>1931</v>
      </c>
      <c r="AF149" t="s">
        <v>1190</v>
      </c>
    </row>
    <row r="150" spans="1:32" s="13" customFormat="1" ht="45" x14ac:dyDescent="0.25">
      <c r="A150" s="10">
        <v>847196</v>
      </c>
      <c r="B150" s="10">
        <v>1</v>
      </c>
      <c r="C150" s="9">
        <v>3</v>
      </c>
      <c r="D150" s="56" t="s">
        <v>774</v>
      </c>
      <c r="E150" s="12">
        <v>3</v>
      </c>
      <c r="F150" s="45"/>
      <c r="G150" s="45"/>
      <c r="H150" s="45"/>
      <c r="I150">
        <v>847196</v>
      </c>
      <c r="J150" t="s">
        <v>183</v>
      </c>
      <c r="K150" t="s">
        <v>599</v>
      </c>
      <c r="L150" t="s">
        <v>1178</v>
      </c>
      <c r="M150" t="s">
        <v>1192</v>
      </c>
      <c r="N150" t="s">
        <v>599</v>
      </c>
      <c r="O150" t="s">
        <v>1105</v>
      </c>
      <c r="P150" t="s">
        <v>1933</v>
      </c>
      <c r="Q150" t="s">
        <v>599</v>
      </c>
      <c r="R150" t="s">
        <v>1182</v>
      </c>
      <c r="S150" t="s">
        <v>1934</v>
      </c>
      <c r="T150">
        <v>1880</v>
      </c>
      <c r="U150">
        <v>1880</v>
      </c>
      <c r="V150" t="s">
        <v>1935</v>
      </c>
      <c r="W150" t="s">
        <v>1936</v>
      </c>
      <c r="X150" t="s">
        <v>599</v>
      </c>
      <c r="Y150" t="s">
        <v>599</v>
      </c>
      <c r="Z150" t="s">
        <v>599</v>
      </c>
      <c r="AA150" t="s">
        <v>599</v>
      </c>
      <c r="AB150" t="s">
        <v>599</v>
      </c>
      <c r="AC150" t="s">
        <v>1937</v>
      </c>
      <c r="AD150" t="s">
        <v>1188</v>
      </c>
      <c r="AE150" t="s">
        <v>1938</v>
      </c>
      <c r="AF150" t="s">
        <v>1190</v>
      </c>
    </row>
    <row r="151" spans="1:32" s="26" customFormat="1" ht="45" x14ac:dyDescent="0.25">
      <c r="A151" s="23">
        <v>851350</v>
      </c>
      <c r="B151" s="23">
        <v>1</v>
      </c>
      <c r="C151" s="27">
        <v>5</v>
      </c>
      <c r="D151" s="53" t="s">
        <v>775</v>
      </c>
      <c r="E151" s="25" t="s">
        <v>185</v>
      </c>
      <c r="F151" s="45"/>
      <c r="G151" s="45"/>
      <c r="H151" s="45"/>
      <c r="I151">
        <v>851350</v>
      </c>
      <c r="J151" t="s">
        <v>184</v>
      </c>
      <c r="K151" t="s">
        <v>599</v>
      </c>
      <c r="L151" t="s">
        <v>1178</v>
      </c>
      <c r="M151" t="s">
        <v>1192</v>
      </c>
      <c r="N151" t="s">
        <v>599</v>
      </c>
      <c r="O151" t="s">
        <v>1939</v>
      </c>
      <c r="P151" t="s">
        <v>599</v>
      </c>
      <c r="Q151" t="s">
        <v>599</v>
      </c>
      <c r="R151" t="s">
        <v>1182</v>
      </c>
      <c r="S151" t="s">
        <v>1940</v>
      </c>
      <c r="T151">
        <v>1880</v>
      </c>
      <c r="U151">
        <v>1880</v>
      </c>
      <c r="V151" t="s">
        <v>1802</v>
      </c>
      <c r="W151" t="s">
        <v>1941</v>
      </c>
      <c r="X151" t="s">
        <v>599</v>
      </c>
      <c r="Y151" t="s">
        <v>599</v>
      </c>
      <c r="Z151" t="s">
        <v>599</v>
      </c>
      <c r="AA151" t="s">
        <v>599</v>
      </c>
      <c r="AB151" t="s">
        <v>599</v>
      </c>
      <c r="AC151" t="s">
        <v>1942</v>
      </c>
      <c r="AD151" t="s">
        <v>1188</v>
      </c>
      <c r="AE151" t="s">
        <v>1943</v>
      </c>
      <c r="AF151" t="s">
        <v>1190</v>
      </c>
    </row>
    <row r="152" spans="1:32" s="26" customFormat="1" ht="45" x14ac:dyDescent="0.25">
      <c r="A152" s="23">
        <v>852833</v>
      </c>
      <c r="B152" s="23">
        <v>1</v>
      </c>
      <c r="C152" s="27">
        <v>11</v>
      </c>
      <c r="D152" s="53" t="s">
        <v>776</v>
      </c>
      <c r="E152" s="25">
        <v>11</v>
      </c>
      <c r="F152" s="45"/>
      <c r="G152" s="45"/>
      <c r="H152" s="45"/>
      <c r="I152">
        <v>852833</v>
      </c>
      <c r="J152" t="s">
        <v>186</v>
      </c>
      <c r="K152" t="s">
        <v>599</v>
      </c>
      <c r="L152" t="s">
        <v>1178</v>
      </c>
      <c r="M152" t="s">
        <v>1192</v>
      </c>
      <c r="N152" t="s">
        <v>599</v>
      </c>
      <c r="O152" t="s">
        <v>1944</v>
      </c>
      <c r="P152" t="s">
        <v>599</v>
      </c>
      <c r="Q152" t="s">
        <v>599</v>
      </c>
      <c r="R152" t="s">
        <v>1182</v>
      </c>
      <c r="S152" t="s">
        <v>1945</v>
      </c>
      <c r="T152">
        <v>1891</v>
      </c>
      <c r="U152">
        <v>1891</v>
      </c>
      <c r="V152" t="s">
        <v>1946</v>
      </c>
      <c r="W152" t="s">
        <v>1947</v>
      </c>
      <c r="X152" t="s">
        <v>599</v>
      </c>
      <c r="Y152" t="s">
        <v>599</v>
      </c>
      <c r="Z152" t="s">
        <v>599</v>
      </c>
      <c r="AA152" t="s">
        <v>599</v>
      </c>
      <c r="AB152" t="s">
        <v>599</v>
      </c>
      <c r="AC152" t="s">
        <v>1948</v>
      </c>
      <c r="AD152" t="s">
        <v>1188</v>
      </c>
      <c r="AE152" t="s">
        <v>1949</v>
      </c>
      <c r="AF152" t="s">
        <v>1190</v>
      </c>
    </row>
    <row r="153" spans="1:32" s="26" customFormat="1" ht="45" x14ac:dyDescent="0.25">
      <c r="A153" s="23">
        <v>859037</v>
      </c>
      <c r="B153" s="23">
        <v>1</v>
      </c>
      <c r="C153" s="27">
        <v>3</v>
      </c>
      <c r="D153" s="53" t="s">
        <v>777</v>
      </c>
      <c r="E153" s="25" t="s">
        <v>188</v>
      </c>
      <c r="F153" s="45"/>
      <c r="G153" s="45"/>
      <c r="H153" s="45"/>
      <c r="I153">
        <v>859037</v>
      </c>
      <c r="J153" t="s">
        <v>187</v>
      </c>
      <c r="K153" t="s">
        <v>1950</v>
      </c>
      <c r="L153" t="s">
        <v>1178</v>
      </c>
      <c r="M153" t="s">
        <v>1192</v>
      </c>
      <c r="N153" t="s">
        <v>599</v>
      </c>
      <c r="O153" t="s">
        <v>1951</v>
      </c>
      <c r="P153" t="s">
        <v>599</v>
      </c>
      <c r="Q153" t="s">
        <v>599</v>
      </c>
      <c r="R153" t="s">
        <v>1182</v>
      </c>
      <c r="S153" t="s">
        <v>1952</v>
      </c>
      <c r="T153">
        <v>1920</v>
      </c>
      <c r="U153">
        <v>1920</v>
      </c>
      <c r="V153" t="s">
        <v>1953</v>
      </c>
      <c r="W153" t="s">
        <v>1954</v>
      </c>
      <c r="X153" t="s">
        <v>599</v>
      </c>
      <c r="Y153" t="s">
        <v>599</v>
      </c>
      <c r="Z153" t="s">
        <v>599</v>
      </c>
      <c r="AA153" t="s">
        <v>599</v>
      </c>
      <c r="AB153" t="s">
        <v>599</v>
      </c>
      <c r="AC153" t="s">
        <v>1955</v>
      </c>
      <c r="AD153" t="s">
        <v>1188</v>
      </c>
      <c r="AE153" t="s">
        <v>1956</v>
      </c>
      <c r="AF153" t="s">
        <v>1190</v>
      </c>
    </row>
    <row r="154" spans="1:32" s="13" customFormat="1" ht="45" x14ac:dyDescent="0.25">
      <c r="A154" s="10">
        <v>865410</v>
      </c>
      <c r="B154" s="10">
        <v>1</v>
      </c>
      <c r="C154" s="9">
        <v>1</v>
      </c>
      <c r="D154" s="56" t="s">
        <v>778</v>
      </c>
      <c r="E154" s="12">
        <v>1</v>
      </c>
      <c r="F154" s="45"/>
      <c r="G154" s="45"/>
      <c r="H154" s="45"/>
      <c r="I154">
        <v>865410</v>
      </c>
      <c r="J154" t="s">
        <v>189</v>
      </c>
      <c r="K154" t="s">
        <v>1957</v>
      </c>
      <c r="L154" t="s">
        <v>1178</v>
      </c>
      <c r="M154" t="s">
        <v>1192</v>
      </c>
      <c r="N154" t="s">
        <v>599</v>
      </c>
      <c r="O154" t="s">
        <v>1958</v>
      </c>
      <c r="P154" t="s">
        <v>599</v>
      </c>
      <c r="Q154" t="s">
        <v>599</v>
      </c>
      <c r="R154" t="s">
        <v>1182</v>
      </c>
      <c r="S154" t="s">
        <v>1959</v>
      </c>
      <c r="T154">
        <v>1880</v>
      </c>
      <c r="U154">
        <v>1880</v>
      </c>
      <c r="V154" t="s">
        <v>599</v>
      </c>
      <c r="W154" t="s">
        <v>599</v>
      </c>
      <c r="X154" t="s">
        <v>599</v>
      </c>
      <c r="Y154" t="s">
        <v>599</v>
      </c>
      <c r="Z154" t="s">
        <v>599</v>
      </c>
      <c r="AA154" t="s">
        <v>599</v>
      </c>
      <c r="AB154" t="s">
        <v>599</v>
      </c>
      <c r="AC154" t="s">
        <v>1960</v>
      </c>
      <c r="AD154" t="s">
        <v>1188</v>
      </c>
      <c r="AE154" t="s">
        <v>1961</v>
      </c>
      <c r="AF154" t="s">
        <v>1190</v>
      </c>
    </row>
    <row r="155" spans="1:32" s="26" customFormat="1" ht="45" x14ac:dyDescent="0.25">
      <c r="A155" s="23">
        <v>874327</v>
      </c>
      <c r="B155" s="23">
        <v>1</v>
      </c>
      <c r="C155" s="22"/>
      <c r="D155" s="60" t="s">
        <v>779</v>
      </c>
      <c r="E155" s="25" t="s">
        <v>191</v>
      </c>
      <c r="F155" s="45"/>
      <c r="G155" s="45"/>
      <c r="H155" s="45"/>
      <c r="I155">
        <v>874327</v>
      </c>
      <c r="J155" t="s">
        <v>190</v>
      </c>
      <c r="K155" t="s">
        <v>1963</v>
      </c>
      <c r="L155" t="s">
        <v>1178</v>
      </c>
      <c r="M155" t="s">
        <v>1362</v>
      </c>
      <c r="N155" t="s">
        <v>599</v>
      </c>
      <c r="O155" t="s">
        <v>1964</v>
      </c>
      <c r="P155" t="s">
        <v>599</v>
      </c>
      <c r="Q155" t="s">
        <v>599</v>
      </c>
      <c r="R155" t="s">
        <v>1182</v>
      </c>
      <c r="S155" t="s">
        <v>1965</v>
      </c>
      <c r="T155">
        <v>1890</v>
      </c>
      <c r="U155">
        <v>1890</v>
      </c>
      <c r="V155" t="s">
        <v>1276</v>
      </c>
      <c r="W155" t="s">
        <v>1966</v>
      </c>
      <c r="X155" t="s">
        <v>599</v>
      </c>
      <c r="Y155" t="s">
        <v>599</v>
      </c>
      <c r="Z155" t="s">
        <v>1967</v>
      </c>
      <c r="AA155" t="s">
        <v>599</v>
      </c>
      <c r="AB155" t="s">
        <v>599</v>
      </c>
      <c r="AC155" t="s">
        <v>1968</v>
      </c>
      <c r="AD155" t="s">
        <v>1188</v>
      </c>
      <c r="AE155" t="s">
        <v>1969</v>
      </c>
      <c r="AF155" t="s">
        <v>1190</v>
      </c>
    </row>
    <row r="156" spans="1:32" s="13" customFormat="1" ht="45" x14ac:dyDescent="0.25">
      <c r="A156" s="10">
        <v>917387</v>
      </c>
      <c r="B156" s="10">
        <v>1</v>
      </c>
      <c r="C156" s="9">
        <v>1</v>
      </c>
      <c r="D156" s="56" t="s">
        <v>780</v>
      </c>
      <c r="E156" s="12">
        <v>1</v>
      </c>
      <c r="F156" s="45"/>
      <c r="G156" s="45"/>
      <c r="H156" s="45"/>
      <c r="I156">
        <v>917387</v>
      </c>
      <c r="J156" t="s">
        <v>192</v>
      </c>
      <c r="K156" t="s">
        <v>1971</v>
      </c>
      <c r="L156" t="s">
        <v>1312</v>
      </c>
      <c r="M156" t="s">
        <v>1192</v>
      </c>
      <c r="N156" t="s">
        <v>599</v>
      </c>
      <c r="O156" t="s">
        <v>1972</v>
      </c>
      <c r="P156" t="s">
        <v>599</v>
      </c>
      <c r="Q156" t="s">
        <v>599</v>
      </c>
      <c r="R156" t="s">
        <v>1182</v>
      </c>
      <c r="S156" t="s">
        <v>1973</v>
      </c>
      <c r="T156">
        <v>1880</v>
      </c>
      <c r="U156">
        <v>1880</v>
      </c>
      <c r="V156" t="s">
        <v>1454</v>
      </c>
      <c r="W156" t="s">
        <v>1974</v>
      </c>
      <c r="X156" t="s">
        <v>599</v>
      </c>
      <c r="Y156" t="s">
        <v>599</v>
      </c>
      <c r="Z156" t="s">
        <v>599</v>
      </c>
      <c r="AA156" t="s">
        <v>599</v>
      </c>
      <c r="AB156" t="s">
        <v>599</v>
      </c>
      <c r="AC156" t="s">
        <v>1975</v>
      </c>
      <c r="AD156" t="s">
        <v>1188</v>
      </c>
      <c r="AE156" t="s">
        <v>1976</v>
      </c>
      <c r="AF156" t="s">
        <v>1190</v>
      </c>
    </row>
    <row r="157" spans="1:32" s="13" customFormat="1" ht="45" x14ac:dyDescent="0.25">
      <c r="A157" s="10">
        <v>931586</v>
      </c>
      <c r="B157" s="10">
        <v>1</v>
      </c>
      <c r="C157" s="9">
        <v>1</v>
      </c>
      <c r="D157" s="56" t="s">
        <v>781</v>
      </c>
      <c r="E157" s="12" t="s">
        <v>71</v>
      </c>
      <c r="F157" s="45"/>
      <c r="G157" s="45"/>
      <c r="H157" s="45"/>
      <c r="I157">
        <v>931586</v>
      </c>
      <c r="J157" t="s">
        <v>193</v>
      </c>
      <c r="K157" t="s">
        <v>1977</v>
      </c>
      <c r="L157" t="s">
        <v>1312</v>
      </c>
      <c r="M157" t="s">
        <v>599</v>
      </c>
      <c r="N157" t="s">
        <v>599</v>
      </c>
      <c r="O157" t="s">
        <v>1313</v>
      </c>
      <c r="P157" t="s">
        <v>599</v>
      </c>
      <c r="Q157" t="s">
        <v>599</v>
      </c>
      <c r="R157" t="s">
        <v>1182</v>
      </c>
      <c r="S157" t="s">
        <v>1453</v>
      </c>
      <c r="T157">
        <v>1890</v>
      </c>
      <c r="U157">
        <v>1890</v>
      </c>
      <c r="V157" t="s">
        <v>1978</v>
      </c>
      <c r="W157" t="s">
        <v>599</v>
      </c>
      <c r="X157" t="s">
        <v>599</v>
      </c>
      <c r="Y157" t="s">
        <v>599</v>
      </c>
      <c r="Z157" t="s">
        <v>599</v>
      </c>
      <c r="AA157" t="s">
        <v>599</v>
      </c>
      <c r="AB157" t="s">
        <v>599</v>
      </c>
      <c r="AC157" t="s">
        <v>1979</v>
      </c>
      <c r="AD157" t="s">
        <v>1188</v>
      </c>
      <c r="AE157" t="s">
        <v>1980</v>
      </c>
      <c r="AF157" t="s">
        <v>1190</v>
      </c>
    </row>
    <row r="158" spans="1:32" s="13" customFormat="1" ht="45" x14ac:dyDescent="0.25">
      <c r="A158" s="10">
        <v>950676</v>
      </c>
      <c r="B158" s="10">
        <v>1</v>
      </c>
      <c r="C158" s="9">
        <v>1</v>
      </c>
      <c r="D158" s="56" t="s">
        <v>782</v>
      </c>
      <c r="E158" s="12">
        <v>1</v>
      </c>
      <c r="F158" s="45"/>
      <c r="G158" s="45"/>
      <c r="H158" s="45"/>
      <c r="I158">
        <v>950676</v>
      </c>
      <c r="J158" t="s">
        <v>194</v>
      </c>
      <c r="K158" t="s">
        <v>599</v>
      </c>
      <c r="L158" t="s">
        <v>1312</v>
      </c>
      <c r="M158" t="s">
        <v>1362</v>
      </c>
      <c r="N158" t="s">
        <v>599</v>
      </c>
      <c r="O158" t="s">
        <v>1981</v>
      </c>
      <c r="P158" t="s">
        <v>599</v>
      </c>
      <c r="Q158" t="s">
        <v>599</v>
      </c>
      <c r="R158" t="s">
        <v>1182</v>
      </c>
      <c r="S158" t="s">
        <v>1607</v>
      </c>
      <c r="T158">
        <v>1840</v>
      </c>
      <c r="U158">
        <v>1840</v>
      </c>
      <c r="V158" t="s">
        <v>1454</v>
      </c>
      <c r="W158" t="s">
        <v>1982</v>
      </c>
      <c r="X158" t="s">
        <v>599</v>
      </c>
      <c r="Y158" t="s">
        <v>599</v>
      </c>
      <c r="Z158" t="s">
        <v>1983</v>
      </c>
      <c r="AA158" t="s">
        <v>599</v>
      </c>
      <c r="AB158" t="s">
        <v>599</v>
      </c>
      <c r="AC158" t="s">
        <v>1984</v>
      </c>
      <c r="AD158" t="s">
        <v>599</v>
      </c>
      <c r="AE158" t="s">
        <v>1985</v>
      </c>
      <c r="AF158" t="s">
        <v>1190</v>
      </c>
    </row>
    <row r="159" spans="1:32" s="13" customFormat="1" ht="45" x14ac:dyDescent="0.25">
      <c r="A159" s="10">
        <v>950691</v>
      </c>
      <c r="B159" s="10">
        <v>1</v>
      </c>
      <c r="C159" s="9">
        <v>1</v>
      </c>
      <c r="D159" s="56" t="s">
        <v>783</v>
      </c>
      <c r="E159" s="12">
        <v>1</v>
      </c>
      <c r="F159" s="45"/>
      <c r="G159" s="45"/>
      <c r="H159" s="45"/>
      <c r="I159">
        <v>950691</v>
      </c>
      <c r="J159" t="s">
        <v>195</v>
      </c>
      <c r="K159" t="s">
        <v>599</v>
      </c>
      <c r="L159" t="s">
        <v>1312</v>
      </c>
      <c r="M159" t="s">
        <v>1362</v>
      </c>
      <c r="N159" t="s">
        <v>599</v>
      </c>
      <c r="O159" t="s">
        <v>1986</v>
      </c>
      <c r="P159" t="s">
        <v>599</v>
      </c>
      <c r="Q159" t="s">
        <v>599</v>
      </c>
      <c r="R159" t="s">
        <v>1182</v>
      </c>
      <c r="S159" t="s">
        <v>1607</v>
      </c>
      <c r="T159">
        <v>1850</v>
      </c>
      <c r="U159">
        <v>1850</v>
      </c>
      <c r="V159" t="s">
        <v>1454</v>
      </c>
      <c r="W159" t="s">
        <v>1987</v>
      </c>
      <c r="X159" t="s">
        <v>599</v>
      </c>
      <c r="Y159" t="s">
        <v>1988</v>
      </c>
      <c r="Z159" t="s">
        <v>1989</v>
      </c>
      <c r="AA159" t="s">
        <v>599</v>
      </c>
      <c r="AB159" t="s">
        <v>599</v>
      </c>
      <c r="AC159" t="s">
        <v>1990</v>
      </c>
      <c r="AD159" t="s">
        <v>599</v>
      </c>
      <c r="AE159" t="s">
        <v>1991</v>
      </c>
      <c r="AF159" t="s">
        <v>1190</v>
      </c>
    </row>
    <row r="160" spans="1:32" s="13" customFormat="1" ht="45" x14ac:dyDescent="0.25">
      <c r="A160" s="10">
        <v>959409</v>
      </c>
      <c r="B160" s="10">
        <v>1</v>
      </c>
      <c r="C160" s="9">
        <v>1</v>
      </c>
      <c r="D160" s="56" t="s">
        <v>784</v>
      </c>
      <c r="E160" s="12">
        <v>1</v>
      </c>
      <c r="F160" s="45"/>
      <c r="G160" s="45"/>
      <c r="H160" s="45"/>
      <c r="I160">
        <v>959409</v>
      </c>
      <c r="J160" t="s">
        <v>196</v>
      </c>
      <c r="K160" t="s">
        <v>1992</v>
      </c>
      <c r="L160" t="s">
        <v>1312</v>
      </c>
      <c r="M160" t="s">
        <v>1192</v>
      </c>
      <c r="N160" t="s">
        <v>599</v>
      </c>
      <c r="O160" t="s">
        <v>1122</v>
      </c>
      <c r="P160" t="s">
        <v>1993</v>
      </c>
      <c r="Q160" t="s">
        <v>599</v>
      </c>
      <c r="R160" t="s">
        <v>1182</v>
      </c>
      <c r="S160" t="s">
        <v>1437</v>
      </c>
      <c r="T160">
        <v>1866</v>
      </c>
      <c r="U160">
        <v>1866</v>
      </c>
      <c r="V160" t="s">
        <v>1454</v>
      </c>
      <c r="W160" t="s">
        <v>1994</v>
      </c>
      <c r="X160" t="s">
        <v>599</v>
      </c>
      <c r="Y160" t="s">
        <v>599</v>
      </c>
      <c r="Z160" t="s">
        <v>1995</v>
      </c>
      <c r="AA160" t="s">
        <v>599</v>
      </c>
      <c r="AB160" t="s">
        <v>1996</v>
      </c>
      <c r="AC160" t="s">
        <v>1997</v>
      </c>
      <c r="AD160" t="s">
        <v>1629</v>
      </c>
      <c r="AE160" t="s">
        <v>1998</v>
      </c>
      <c r="AF160" t="s">
        <v>1190</v>
      </c>
    </row>
    <row r="161" spans="1:32" s="13" customFormat="1" ht="45" x14ac:dyDescent="0.25">
      <c r="A161" s="10">
        <v>1025381</v>
      </c>
      <c r="B161" s="10">
        <v>1</v>
      </c>
      <c r="C161" s="9">
        <v>3</v>
      </c>
      <c r="D161" s="56" t="s">
        <v>785</v>
      </c>
      <c r="E161" s="12">
        <v>3</v>
      </c>
      <c r="F161" s="45"/>
      <c r="G161" s="45"/>
      <c r="H161" s="45"/>
      <c r="I161">
        <v>1025381</v>
      </c>
      <c r="J161" t="s">
        <v>197</v>
      </c>
      <c r="K161" t="s">
        <v>1999</v>
      </c>
      <c r="L161" t="s">
        <v>1178</v>
      </c>
      <c r="M161" t="s">
        <v>1192</v>
      </c>
      <c r="N161" t="s">
        <v>599</v>
      </c>
      <c r="O161" t="s">
        <v>1293</v>
      </c>
      <c r="P161" t="s">
        <v>2000</v>
      </c>
      <c r="Q161" t="s">
        <v>599</v>
      </c>
      <c r="R161" t="s">
        <v>1182</v>
      </c>
      <c r="S161" t="s">
        <v>2001</v>
      </c>
      <c r="T161">
        <v>1880</v>
      </c>
      <c r="U161">
        <v>1880</v>
      </c>
      <c r="V161" t="s">
        <v>1463</v>
      </c>
      <c r="W161" t="s">
        <v>599</v>
      </c>
      <c r="X161" t="s">
        <v>599</v>
      </c>
      <c r="Y161" t="s">
        <v>599</v>
      </c>
      <c r="Z161" t="s">
        <v>2002</v>
      </c>
      <c r="AA161" t="s">
        <v>599</v>
      </c>
      <c r="AB161" t="s">
        <v>599</v>
      </c>
      <c r="AC161" t="s">
        <v>2003</v>
      </c>
      <c r="AD161" t="s">
        <v>1188</v>
      </c>
      <c r="AE161" t="s">
        <v>2004</v>
      </c>
      <c r="AF161" t="s">
        <v>1190</v>
      </c>
    </row>
    <row r="162" spans="1:32" s="13" customFormat="1" ht="45" x14ac:dyDescent="0.25">
      <c r="A162" s="10">
        <v>1044776</v>
      </c>
      <c r="B162" s="10">
        <v>1</v>
      </c>
      <c r="C162" s="9">
        <v>1</v>
      </c>
      <c r="D162" s="56" t="s">
        <v>786</v>
      </c>
      <c r="E162" s="12" t="s">
        <v>71</v>
      </c>
      <c r="F162" s="45"/>
      <c r="G162" s="45"/>
      <c r="H162" s="45"/>
      <c r="I162">
        <v>1044776</v>
      </c>
      <c r="J162" t="s">
        <v>198</v>
      </c>
      <c r="K162" t="s">
        <v>599</v>
      </c>
      <c r="L162" t="s">
        <v>1312</v>
      </c>
      <c r="M162" t="s">
        <v>1192</v>
      </c>
      <c r="N162" t="s">
        <v>599</v>
      </c>
      <c r="O162" t="s">
        <v>1551</v>
      </c>
      <c r="P162" t="s">
        <v>2005</v>
      </c>
      <c r="Q162" t="s">
        <v>599</v>
      </c>
      <c r="R162" t="s">
        <v>1182</v>
      </c>
      <c r="S162" t="s">
        <v>2006</v>
      </c>
      <c r="T162">
        <v>1880</v>
      </c>
      <c r="U162">
        <v>1880</v>
      </c>
      <c r="V162" t="s">
        <v>2007</v>
      </c>
      <c r="W162" t="s">
        <v>2008</v>
      </c>
      <c r="X162" t="s">
        <v>599</v>
      </c>
      <c r="Y162" t="s">
        <v>599</v>
      </c>
      <c r="Z162" t="s">
        <v>2009</v>
      </c>
      <c r="AA162" t="s">
        <v>599</v>
      </c>
      <c r="AB162" t="s">
        <v>599</v>
      </c>
      <c r="AC162" t="s">
        <v>2010</v>
      </c>
      <c r="AD162" t="s">
        <v>1188</v>
      </c>
      <c r="AE162" t="s">
        <v>2011</v>
      </c>
      <c r="AF162" t="s">
        <v>1190</v>
      </c>
    </row>
    <row r="163" spans="1:32" s="13" customFormat="1" ht="45" x14ac:dyDescent="0.25">
      <c r="A163" s="10">
        <v>1066418</v>
      </c>
      <c r="B163" s="10">
        <v>1</v>
      </c>
      <c r="C163" s="9">
        <v>126</v>
      </c>
      <c r="D163" s="56" t="s">
        <v>787</v>
      </c>
      <c r="E163" s="12" t="s">
        <v>200</v>
      </c>
      <c r="F163" s="45"/>
      <c r="G163" s="45"/>
      <c r="H163" s="45"/>
      <c r="I163">
        <v>1066418</v>
      </c>
      <c r="J163" t="s">
        <v>199</v>
      </c>
      <c r="K163" t="s">
        <v>2012</v>
      </c>
      <c r="L163" t="s">
        <v>1178</v>
      </c>
      <c r="M163" t="s">
        <v>2013</v>
      </c>
      <c r="N163" t="s">
        <v>599</v>
      </c>
      <c r="O163" t="s">
        <v>2014</v>
      </c>
      <c r="P163" t="s">
        <v>599</v>
      </c>
      <c r="Q163" t="s">
        <v>599</v>
      </c>
      <c r="R163" t="s">
        <v>1182</v>
      </c>
      <c r="S163" t="s">
        <v>2015</v>
      </c>
      <c r="T163">
        <v>1689</v>
      </c>
      <c r="U163">
        <v>1689</v>
      </c>
      <c r="V163" t="s">
        <v>2016</v>
      </c>
      <c r="W163" t="s">
        <v>1185</v>
      </c>
      <c r="X163" t="s">
        <v>599</v>
      </c>
      <c r="Y163" t="s">
        <v>599</v>
      </c>
      <c r="Z163" t="s">
        <v>2017</v>
      </c>
      <c r="AA163" t="s">
        <v>599</v>
      </c>
      <c r="AB163" t="s">
        <v>2018</v>
      </c>
      <c r="AC163" t="s">
        <v>2019</v>
      </c>
      <c r="AD163" t="s">
        <v>1188</v>
      </c>
      <c r="AE163" t="s">
        <v>2020</v>
      </c>
      <c r="AF163" t="s">
        <v>1190</v>
      </c>
    </row>
    <row r="164" spans="1:32" s="13" customFormat="1" ht="45" x14ac:dyDescent="0.25">
      <c r="A164" s="10">
        <v>1066418</v>
      </c>
      <c r="B164" s="10">
        <v>1</v>
      </c>
      <c r="C164" s="9">
        <v>217</v>
      </c>
      <c r="D164" s="56" t="s">
        <v>788</v>
      </c>
      <c r="E164" s="12"/>
      <c r="F164" s="45"/>
      <c r="G164" s="45"/>
      <c r="H164" s="45"/>
      <c r="I164">
        <v>1066418</v>
      </c>
      <c r="J164" t="s">
        <v>199</v>
      </c>
      <c r="K164" t="s">
        <v>599</v>
      </c>
      <c r="L164" t="s">
        <v>1178</v>
      </c>
      <c r="M164" t="s">
        <v>2013</v>
      </c>
      <c r="N164" t="s">
        <v>599</v>
      </c>
      <c r="O164" t="s">
        <v>2014</v>
      </c>
      <c r="P164" t="s">
        <v>599</v>
      </c>
      <c r="Q164" t="s">
        <v>599</v>
      </c>
      <c r="R164" t="s">
        <v>1182</v>
      </c>
      <c r="S164" t="s">
        <v>2015</v>
      </c>
      <c r="T164">
        <v>1689</v>
      </c>
      <c r="U164">
        <v>1689</v>
      </c>
      <c r="V164" t="s">
        <v>2016</v>
      </c>
      <c r="W164" t="s">
        <v>1185</v>
      </c>
      <c r="X164" t="s">
        <v>599</v>
      </c>
      <c r="Y164" t="s">
        <v>599</v>
      </c>
      <c r="Z164" t="s">
        <v>2017</v>
      </c>
      <c r="AA164" t="s">
        <v>599</v>
      </c>
      <c r="AB164" t="s">
        <v>2018</v>
      </c>
      <c r="AC164" t="s">
        <v>2019</v>
      </c>
      <c r="AD164" t="s">
        <v>1188</v>
      </c>
      <c r="AE164" t="s">
        <v>2020</v>
      </c>
      <c r="AF164" t="s">
        <v>1190</v>
      </c>
    </row>
    <row r="165" spans="1:32" s="26" customFormat="1" ht="45" x14ac:dyDescent="0.25">
      <c r="A165" s="23">
        <v>1073960</v>
      </c>
      <c r="B165" s="23">
        <v>1</v>
      </c>
      <c r="C165" s="27">
        <v>9</v>
      </c>
      <c r="D165" s="53" t="s">
        <v>789</v>
      </c>
      <c r="E165" s="25">
        <v>9</v>
      </c>
      <c r="F165" s="45"/>
      <c r="G165" s="45"/>
      <c r="H165" s="45"/>
      <c r="I165">
        <v>1073960</v>
      </c>
      <c r="J165" t="s">
        <v>201</v>
      </c>
      <c r="K165" t="s">
        <v>2021</v>
      </c>
      <c r="L165" t="s">
        <v>1178</v>
      </c>
      <c r="M165" t="s">
        <v>1179</v>
      </c>
      <c r="N165" t="s">
        <v>599</v>
      </c>
      <c r="O165" t="s">
        <v>1584</v>
      </c>
      <c r="P165" t="s">
        <v>2022</v>
      </c>
      <c r="Q165" t="s">
        <v>599</v>
      </c>
      <c r="R165" t="s">
        <v>1182</v>
      </c>
      <c r="S165" t="s">
        <v>2023</v>
      </c>
      <c r="T165">
        <v>1852</v>
      </c>
      <c r="U165">
        <v>1852</v>
      </c>
      <c r="V165" t="s">
        <v>2024</v>
      </c>
      <c r="W165" t="s">
        <v>599</v>
      </c>
      <c r="X165" t="s">
        <v>599</v>
      </c>
      <c r="Y165" t="s">
        <v>599</v>
      </c>
      <c r="Z165" t="s">
        <v>2025</v>
      </c>
      <c r="AA165" t="s">
        <v>599</v>
      </c>
      <c r="AB165" t="s">
        <v>599</v>
      </c>
      <c r="AC165" t="s">
        <v>2026</v>
      </c>
      <c r="AD165" t="s">
        <v>1188</v>
      </c>
      <c r="AE165" t="s">
        <v>2027</v>
      </c>
      <c r="AF165" t="s">
        <v>1190</v>
      </c>
    </row>
    <row r="166" spans="1:32" s="13" customFormat="1" ht="45" x14ac:dyDescent="0.25">
      <c r="A166" s="10">
        <v>1076546</v>
      </c>
      <c r="B166" s="10">
        <v>1</v>
      </c>
      <c r="C166" s="9">
        <v>1</v>
      </c>
      <c r="D166" s="56" t="s">
        <v>790</v>
      </c>
      <c r="E166" s="12" t="s">
        <v>203</v>
      </c>
      <c r="F166" s="45"/>
      <c r="G166" s="45"/>
      <c r="H166" s="45"/>
      <c r="I166">
        <v>1076546</v>
      </c>
      <c r="J166" t="s">
        <v>202</v>
      </c>
      <c r="K166" t="s">
        <v>2029</v>
      </c>
      <c r="L166" t="s">
        <v>1226</v>
      </c>
      <c r="M166" t="s">
        <v>1192</v>
      </c>
      <c r="N166" t="s">
        <v>599</v>
      </c>
      <c r="O166" t="s">
        <v>2030</v>
      </c>
      <c r="P166" t="s">
        <v>599</v>
      </c>
      <c r="Q166" t="s">
        <v>599</v>
      </c>
      <c r="R166" t="s">
        <v>1182</v>
      </c>
      <c r="S166" t="s">
        <v>2031</v>
      </c>
      <c r="T166">
        <v>1882</v>
      </c>
      <c r="U166">
        <v>1882</v>
      </c>
      <c r="V166" t="s">
        <v>599</v>
      </c>
      <c r="W166" t="s">
        <v>599</v>
      </c>
      <c r="X166" t="s">
        <v>599</v>
      </c>
      <c r="Y166" t="s">
        <v>599</v>
      </c>
      <c r="Z166" t="s">
        <v>2032</v>
      </c>
      <c r="AA166" t="s">
        <v>599</v>
      </c>
      <c r="AB166" t="s">
        <v>599</v>
      </c>
      <c r="AC166" t="s">
        <v>2033</v>
      </c>
      <c r="AD166" t="s">
        <v>1188</v>
      </c>
      <c r="AE166" t="s">
        <v>2034</v>
      </c>
      <c r="AF166" t="s">
        <v>1190</v>
      </c>
    </row>
    <row r="167" spans="1:32" s="13" customFormat="1" ht="45" x14ac:dyDescent="0.25">
      <c r="A167" s="10">
        <v>1076546</v>
      </c>
      <c r="B167" s="10">
        <v>1</v>
      </c>
      <c r="C167" s="9">
        <v>13</v>
      </c>
      <c r="D167" s="56" t="s">
        <v>791</v>
      </c>
      <c r="E167" s="12" t="s">
        <v>203</v>
      </c>
      <c r="F167" s="45"/>
      <c r="G167" s="45"/>
      <c r="H167" s="45"/>
      <c r="I167">
        <v>1076546</v>
      </c>
      <c r="J167" t="s">
        <v>202</v>
      </c>
      <c r="K167" t="s">
        <v>2029</v>
      </c>
      <c r="L167" t="s">
        <v>1226</v>
      </c>
      <c r="M167" t="s">
        <v>1192</v>
      </c>
      <c r="N167" t="s">
        <v>599</v>
      </c>
      <c r="O167" t="s">
        <v>2030</v>
      </c>
      <c r="P167" t="s">
        <v>599</v>
      </c>
      <c r="Q167" t="s">
        <v>599</v>
      </c>
      <c r="R167" t="s">
        <v>1182</v>
      </c>
      <c r="S167" t="s">
        <v>2031</v>
      </c>
      <c r="T167">
        <v>1882</v>
      </c>
      <c r="U167">
        <v>1882</v>
      </c>
      <c r="V167" t="s">
        <v>599</v>
      </c>
      <c r="W167" t="s">
        <v>599</v>
      </c>
      <c r="X167" t="s">
        <v>599</v>
      </c>
      <c r="Y167" t="s">
        <v>599</v>
      </c>
      <c r="Z167" t="s">
        <v>2032</v>
      </c>
      <c r="AA167" t="s">
        <v>599</v>
      </c>
      <c r="AB167" t="s">
        <v>599</v>
      </c>
      <c r="AC167" t="s">
        <v>2033</v>
      </c>
      <c r="AD167" t="s">
        <v>1188</v>
      </c>
      <c r="AE167" t="s">
        <v>2034</v>
      </c>
      <c r="AF167" t="s">
        <v>1190</v>
      </c>
    </row>
    <row r="168" spans="1:32" s="13" customFormat="1" ht="45" x14ac:dyDescent="0.25">
      <c r="A168" s="10">
        <v>1076546</v>
      </c>
      <c r="B168" s="10">
        <v>1</v>
      </c>
      <c r="C168" s="9">
        <v>35</v>
      </c>
      <c r="D168" s="56" t="s">
        <v>792</v>
      </c>
      <c r="E168" s="12" t="s">
        <v>203</v>
      </c>
      <c r="F168" s="45"/>
      <c r="G168" s="45"/>
      <c r="H168" s="45"/>
      <c r="I168">
        <v>1076546</v>
      </c>
      <c r="J168" t="s">
        <v>202</v>
      </c>
      <c r="K168" t="s">
        <v>2029</v>
      </c>
      <c r="L168" t="s">
        <v>1226</v>
      </c>
      <c r="M168" t="s">
        <v>1192</v>
      </c>
      <c r="N168" t="s">
        <v>599</v>
      </c>
      <c r="O168" t="s">
        <v>2030</v>
      </c>
      <c r="P168" t="s">
        <v>599</v>
      </c>
      <c r="Q168" t="s">
        <v>599</v>
      </c>
      <c r="R168" t="s">
        <v>1182</v>
      </c>
      <c r="S168" t="s">
        <v>2031</v>
      </c>
      <c r="T168">
        <v>1882</v>
      </c>
      <c r="U168">
        <v>1882</v>
      </c>
      <c r="V168" t="s">
        <v>599</v>
      </c>
      <c r="W168" t="s">
        <v>599</v>
      </c>
      <c r="X168" t="s">
        <v>599</v>
      </c>
      <c r="Y168" t="s">
        <v>599</v>
      </c>
      <c r="Z168" t="s">
        <v>2032</v>
      </c>
      <c r="AA168" t="s">
        <v>599</v>
      </c>
      <c r="AB168" t="s">
        <v>599</v>
      </c>
      <c r="AC168" t="s">
        <v>2033</v>
      </c>
      <c r="AD168" t="s">
        <v>1188</v>
      </c>
      <c r="AE168" t="s">
        <v>2034</v>
      </c>
      <c r="AF168" t="s">
        <v>1190</v>
      </c>
    </row>
    <row r="169" spans="1:32" s="13" customFormat="1" ht="45" x14ac:dyDescent="0.25">
      <c r="A169" s="10">
        <v>1306834</v>
      </c>
      <c r="B169" s="10">
        <v>1</v>
      </c>
      <c r="C169" s="9">
        <v>1</v>
      </c>
      <c r="D169" s="56" t="s">
        <v>793</v>
      </c>
      <c r="E169" s="12">
        <v>1</v>
      </c>
      <c r="F169" s="45"/>
      <c r="G169" s="45"/>
      <c r="H169" s="45"/>
      <c r="I169">
        <v>1306834</v>
      </c>
      <c r="J169" t="s">
        <v>204</v>
      </c>
      <c r="K169" t="s">
        <v>599</v>
      </c>
      <c r="L169" t="s">
        <v>1312</v>
      </c>
      <c r="M169" t="s">
        <v>1362</v>
      </c>
      <c r="N169" t="s">
        <v>599</v>
      </c>
      <c r="O169" t="s">
        <v>2036</v>
      </c>
      <c r="P169" t="s">
        <v>599</v>
      </c>
      <c r="Q169" t="s">
        <v>599</v>
      </c>
      <c r="R169" t="s">
        <v>1182</v>
      </c>
      <c r="S169" t="s">
        <v>1453</v>
      </c>
      <c r="T169">
        <v>1845</v>
      </c>
      <c r="U169">
        <v>1845</v>
      </c>
      <c r="V169" t="s">
        <v>1454</v>
      </c>
      <c r="W169" t="s">
        <v>2037</v>
      </c>
      <c r="X169" t="s">
        <v>599</v>
      </c>
      <c r="Y169" t="s">
        <v>2038</v>
      </c>
      <c r="Z169" t="s">
        <v>2039</v>
      </c>
      <c r="AA169" t="s">
        <v>599</v>
      </c>
      <c r="AB169" t="s">
        <v>599</v>
      </c>
      <c r="AC169" t="s">
        <v>2040</v>
      </c>
      <c r="AD169" t="s">
        <v>1629</v>
      </c>
      <c r="AE169" t="s">
        <v>2041</v>
      </c>
      <c r="AF169" t="s">
        <v>1190</v>
      </c>
    </row>
    <row r="170" spans="1:32" s="13" customFormat="1" ht="45" x14ac:dyDescent="0.25">
      <c r="A170" s="10">
        <v>1313328</v>
      </c>
      <c r="B170" s="10">
        <v>1</v>
      </c>
      <c r="C170" s="9">
        <v>1</v>
      </c>
      <c r="D170" s="56" t="s">
        <v>794</v>
      </c>
      <c r="E170" s="12">
        <v>1</v>
      </c>
      <c r="F170" s="45"/>
      <c r="G170" s="45"/>
      <c r="H170" s="45"/>
      <c r="I170">
        <v>1313328</v>
      </c>
      <c r="J170" t="s">
        <v>205</v>
      </c>
      <c r="K170" t="s">
        <v>2042</v>
      </c>
      <c r="L170" t="s">
        <v>1226</v>
      </c>
      <c r="M170" t="s">
        <v>1192</v>
      </c>
      <c r="N170" t="s">
        <v>599</v>
      </c>
      <c r="O170" t="s">
        <v>2043</v>
      </c>
      <c r="P170" t="s">
        <v>2044</v>
      </c>
      <c r="Q170" t="s">
        <v>599</v>
      </c>
      <c r="R170" t="s">
        <v>1182</v>
      </c>
      <c r="S170" t="s">
        <v>2045</v>
      </c>
      <c r="T170">
        <v>1850</v>
      </c>
      <c r="U170">
        <v>1850</v>
      </c>
      <c r="V170" t="s">
        <v>2046</v>
      </c>
      <c r="W170" t="s">
        <v>2047</v>
      </c>
      <c r="X170" t="s">
        <v>599</v>
      </c>
      <c r="Y170" t="s">
        <v>599</v>
      </c>
      <c r="Z170" t="s">
        <v>2048</v>
      </c>
      <c r="AA170" t="s">
        <v>599</v>
      </c>
      <c r="AB170" t="s">
        <v>2049</v>
      </c>
      <c r="AC170" t="s">
        <v>2050</v>
      </c>
      <c r="AD170" t="s">
        <v>1188</v>
      </c>
      <c r="AE170" t="s">
        <v>2051</v>
      </c>
      <c r="AF170" t="s">
        <v>1190</v>
      </c>
    </row>
    <row r="171" spans="1:32" s="13" customFormat="1" ht="45" x14ac:dyDescent="0.25">
      <c r="A171" s="10">
        <v>1376687</v>
      </c>
      <c r="B171" s="10">
        <v>1</v>
      </c>
      <c r="C171" s="9">
        <v>1</v>
      </c>
      <c r="D171" s="56" t="s">
        <v>795</v>
      </c>
      <c r="E171" s="12">
        <v>1</v>
      </c>
      <c r="F171" s="45"/>
      <c r="G171" s="45"/>
      <c r="H171" s="45"/>
      <c r="I171">
        <v>1376687</v>
      </c>
      <c r="J171" t="s">
        <v>206</v>
      </c>
      <c r="K171" t="s">
        <v>2053</v>
      </c>
      <c r="L171" t="s">
        <v>1312</v>
      </c>
      <c r="M171" t="s">
        <v>1502</v>
      </c>
      <c r="N171" t="s">
        <v>599</v>
      </c>
      <c r="O171" t="s">
        <v>2054</v>
      </c>
      <c r="P171" t="s">
        <v>2055</v>
      </c>
      <c r="Q171" t="s">
        <v>599</v>
      </c>
      <c r="R171" t="s">
        <v>1182</v>
      </c>
      <c r="S171" t="s">
        <v>1453</v>
      </c>
      <c r="T171">
        <v>1930</v>
      </c>
      <c r="U171">
        <v>1930</v>
      </c>
      <c r="V171" t="s">
        <v>2056</v>
      </c>
      <c r="W171" t="s">
        <v>599</v>
      </c>
      <c r="X171" t="s">
        <v>599</v>
      </c>
      <c r="Y171" t="s">
        <v>599</v>
      </c>
      <c r="Z171" t="s">
        <v>599</v>
      </c>
      <c r="AA171" t="s">
        <v>599</v>
      </c>
      <c r="AB171" t="s">
        <v>599</v>
      </c>
      <c r="AC171" t="s">
        <v>2057</v>
      </c>
      <c r="AD171" t="s">
        <v>599</v>
      </c>
      <c r="AE171" t="s">
        <v>2058</v>
      </c>
      <c r="AF171" t="s">
        <v>1190</v>
      </c>
    </row>
    <row r="172" spans="1:32" s="13" customFormat="1" ht="45" x14ac:dyDescent="0.25">
      <c r="A172" s="10">
        <v>1376717</v>
      </c>
      <c r="B172" s="10">
        <v>1</v>
      </c>
      <c r="C172" s="9">
        <v>1</v>
      </c>
      <c r="D172" s="56" t="s">
        <v>796</v>
      </c>
      <c r="E172" s="12">
        <v>1</v>
      </c>
      <c r="F172" s="45"/>
      <c r="G172" s="45"/>
      <c r="H172" s="45"/>
      <c r="I172">
        <v>1376717</v>
      </c>
      <c r="J172" t="s">
        <v>207</v>
      </c>
      <c r="K172" t="s">
        <v>2059</v>
      </c>
      <c r="L172" t="s">
        <v>1312</v>
      </c>
      <c r="M172" t="s">
        <v>1502</v>
      </c>
      <c r="N172" t="s">
        <v>599</v>
      </c>
      <c r="O172" t="s">
        <v>2060</v>
      </c>
      <c r="P172" t="s">
        <v>599</v>
      </c>
      <c r="Q172" t="s">
        <v>599</v>
      </c>
      <c r="R172" t="s">
        <v>1182</v>
      </c>
      <c r="S172" t="s">
        <v>2061</v>
      </c>
      <c r="T172">
        <v>1910</v>
      </c>
      <c r="U172">
        <v>1910</v>
      </c>
      <c r="V172" t="s">
        <v>2056</v>
      </c>
      <c r="W172" t="s">
        <v>599</v>
      </c>
      <c r="X172" t="s">
        <v>599</v>
      </c>
      <c r="Y172" t="s">
        <v>599</v>
      </c>
      <c r="Z172" t="s">
        <v>599</v>
      </c>
      <c r="AA172" t="s">
        <v>599</v>
      </c>
      <c r="AB172" t="s">
        <v>599</v>
      </c>
      <c r="AC172" t="s">
        <v>2062</v>
      </c>
      <c r="AD172" t="s">
        <v>1188</v>
      </c>
      <c r="AE172" t="s">
        <v>2063</v>
      </c>
      <c r="AF172" t="s">
        <v>1190</v>
      </c>
    </row>
    <row r="173" spans="1:32" s="13" customFormat="1" ht="45" x14ac:dyDescent="0.25">
      <c r="A173" s="10">
        <v>1380949</v>
      </c>
      <c r="B173" s="10">
        <v>1</v>
      </c>
      <c r="C173" s="9">
        <v>1</v>
      </c>
      <c r="D173" s="56" t="s">
        <v>797</v>
      </c>
      <c r="E173" s="12">
        <v>1</v>
      </c>
      <c r="F173" s="45"/>
      <c r="G173" s="45"/>
      <c r="H173" s="45"/>
      <c r="I173">
        <v>1380949</v>
      </c>
      <c r="J173" t="s">
        <v>208</v>
      </c>
      <c r="K173" t="s">
        <v>2064</v>
      </c>
      <c r="L173" t="s">
        <v>1312</v>
      </c>
      <c r="M173" t="s">
        <v>1362</v>
      </c>
      <c r="N173" t="s">
        <v>599</v>
      </c>
      <c r="O173" t="s">
        <v>2065</v>
      </c>
      <c r="P173" t="s">
        <v>599</v>
      </c>
      <c r="Q173" t="s">
        <v>599</v>
      </c>
      <c r="R173" t="s">
        <v>1182</v>
      </c>
      <c r="S173" t="s">
        <v>1453</v>
      </c>
      <c r="T173">
        <v>1831</v>
      </c>
      <c r="U173">
        <v>1831</v>
      </c>
      <c r="V173" t="s">
        <v>1454</v>
      </c>
      <c r="W173" t="s">
        <v>2066</v>
      </c>
      <c r="X173" t="s">
        <v>599</v>
      </c>
      <c r="Y173" t="s">
        <v>599</v>
      </c>
      <c r="Z173" t="s">
        <v>2067</v>
      </c>
      <c r="AA173" t="s">
        <v>599</v>
      </c>
      <c r="AB173" t="s">
        <v>2068</v>
      </c>
      <c r="AC173" t="s">
        <v>2069</v>
      </c>
      <c r="AD173" t="s">
        <v>599</v>
      </c>
      <c r="AE173" t="s">
        <v>2070</v>
      </c>
      <c r="AF173" t="s">
        <v>1190</v>
      </c>
    </row>
    <row r="174" spans="1:32" s="13" customFormat="1" ht="45" x14ac:dyDescent="0.25">
      <c r="A174" s="10">
        <v>1381028</v>
      </c>
      <c r="B174" s="10">
        <v>1</v>
      </c>
      <c r="C174" s="9">
        <v>1</v>
      </c>
      <c r="D174" s="56" t="s">
        <v>798</v>
      </c>
      <c r="E174" s="12">
        <v>1</v>
      </c>
      <c r="F174" s="45"/>
      <c r="G174" s="45"/>
      <c r="H174" s="45"/>
      <c r="I174">
        <v>1381028</v>
      </c>
      <c r="J174" t="s">
        <v>209</v>
      </c>
      <c r="K174" t="s">
        <v>2071</v>
      </c>
      <c r="L174" t="s">
        <v>1312</v>
      </c>
      <c r="M174" t="s">
        <v>1192</v>
      </c>
      <c r="N174" t="s">
        <v>599</v>
      </c>
      <c r="O174" t="s">
        <v>1313</v>
      </c>
      <c r="P174" t="s">
        <v>2072</v>
      </c>
      <c r="Q174" t="s">
        <v>599</v>
      </c>
      <c r="R174" t="s">
        <v>1182</v>
      </c>
      <c r="S174" t="s">
        <v>1453</v>
      </c>
      <c r="T174">
        <v>1890</v>
      </c>
      <c r="U174">
        <v>1890</v>
      </c>
      <c r="V174" t="s">
        <v>1315</v>
      </c>
      <c r="W174" t="s">
        <v>599</v>
      </c>
      <c r="X174" t="s">
        <v>599</v>
      </c>
      <c r="Y174" t="s">
        <v>2073</v>
      </c>
      <c r="Z174" t="s">
        <v>2074</v>
      </c>
      <c r="AA174" t="s">
        <v>599</v>
      </c>
      <c r="AB174" t="s">
        <v>599</v>
      </c>
      <c r="AC174" t="s">
        <v>2075</v>
      </c>
      <c r="AD174" t="s">
        <v>1188</v>
      </c>
      <c r="AE174" t="s">
        <v>2076</v>
      </c>
      <c r="AF174" t="s">
        <v>1190</v>
      </c>
    </row>
    <row r="175" spans="1:32" s="13" customFormat="1" ht="45" x14ac:dyDescent="0.25">
      <c r="A175" s="10">
        <v>1381084</v>
      </c>
      <c r="B175" s="10">
        <v>1</v>
      </c>
      <c r="C175" s="9">
        <v>1</v>
      </c>
      <c r="D175" s="56" t="s">
        <v>799</v>
      </c>
      <c r="E175" s="12">
        <v>1</v>
      </c>
      <c r="F175" s="45"/>
      <c r="G175" s="45"/>
      <c r="H175" s="45"/>
      <c r="I175">
        <v>1381084</v>
      </c>
      <c r="J175" t="s">
        <v>210</v>
      </c>
      <c r="K175" t="s">
        <v>2078</v>
      </c>
      <c r="L175" t="s">
        <v>1312</v>
      </c>
      <c r="M175" t="s">
        <v>1192</v>
      </c>
      <c r="N175" t="s">
        <v>599</v>
      </c>
      <c r="O175" t="s">
        <v>2079</v>
      </c>
      <c r="P175" t="s">
        <v>2080</v>
      </c>
      <c r="Q175" t="s">
        <v>599</v>
      </c>
      <c r="R175" t="s">
        <v>1182</v>
      </c>
      <c r="S175" t="s">
        <v>1437</v>
      </c>
      <c r="T175">
        <v>1843</v>
      </c>
      <c r="U175">
        <v>1843</v>
      </c>
      <c r="V175" t="s">
        <v>1454</v>
      </c>
      <c r="W175" t="s">
        <v>2081</v>
      </c>
      <c r="X175" t="s">
        <v>599</v>
      </c>
      <c r="Y175" t="s">
        <v>2082</v>
      </c>
      <c r="Z175" t="s">
        <v>2083</v>
      </c>
      <c r="AA175" t="s">
        <v>599</v>
      </c>
      <c r="AB175" t="s">
        <v>2084</v>
      </c>
      <c r="AC175" t="s">
        <v>2085</v>
      </c>
      <c r="AD175" t="s">
        <v>599</v>
      </c>
      <c r="AE175" t="s">
        <v>2086</v>
      </c>
      <c r="AF175" t="s">
        <v>1190</v>
      </c>
    </row>
    <row r="176" spans="1:32" s="13" customFormat="1" ht="45" x14ac:dyDescent="0.25">
      <c r="A176" s="10">
        <v>1381142</v>
      </c>
      <c r="B176" s="10">
        <v>1</v>
      </c>
      <c r="C176" s="9">
        <v>1</v>
      </c>
      <c r="D176" s="56" t="s">
        <v>800</v>
      </c>
      <c r="E176" s="12">
        <v>1</v>
      </c>
      <c r="F176" s="45"/>
      <c r="G176" s="45"/>
      <c r="H176" s="45"/>
      <c r="I176">
        <v>1381142</v>
      </c>
      <c r="J176" t="s">
        <v>211</v>
      </c>
      <c r="K176" t="s">
        <v>2088</v>
      </c>
      <c r="L176" t="s">
        <v>1312</v>
      </c>
      <c r="M176" t="s">
        <v>1192</v>
      </c>
      <c r="N176" t="s">
        <v>599</v>
      </c>
      <c r="O176" t="s">
        <v>1603</v>
      </c>
      <c r="P176" t="s">
        <v>599</v>
      </c>
      <c r="Q176" t="s">
        <v>599</v>
      </c>
      <c r="R176" t="s">
        <v>1182</v>
      </c>
      <c r="S176" t="s">
        <v>1437</v>
      </c>
      <c r="T176">
        <v>1841</v>
      </c>
      <c r="U176">
        <v>1841</v>
      </c>
      <c r="V176" t="s">
        <v>1454</v>
      </c>
      <c r="W176" t="s">
        <v>2089</v>
      </c>
      <c r="X176" t="s">
        <v>599</v>
      </c>
      <c r="Y176" t="s">
        <v>599</v>
      </c>
      <c r="Z176" t="s">
        <v>599</v>
      </c>
      <c r="AA176" t="s">
        <v>599</v>
      </c>
      <c r="AB176" t="s">
        <v>2084</v>
      </c>
      <c r="AC176" t="s">
        <v>2090</v>
      </c>
      <c r="AD176" t="s">
        <v>599</v>
      </c>
      <c r="AE176" t="s">
        <v>2091</v>
      </c>
      <c r="AF176" t="s">
        <v>1190</v>
      </c>
    </row>
    <row r="177" spans="1:32" s="13" customFormat="1" ht="45" x14ac:dyDescent="0.25">
      <c r="A177" s="10">
        <v>1381247</v>
      </c>
      <c r="B177" s="10">
        <v>1</v>
      </c>
      <c r="C177" s="9">
        <v>1</v>
      </c>
      <c r="D177" s="56" t="s">
        <v>801</v>
      </c>
      <c r="E177" s="12">
        <v>1</v>
      </c>
      <c r="F177" s="45"/>
      <c r="G177" s="45"/>
      <c r="H177" s="45"/>
      <c r="I177">
        <v>1381247</v>
      </c>
      <c r="J177" t="s">
        <v>212</v>
      </c>
      <c r="K177" t="s">
        <v>2092</v>
      </c>
      <c r="L177" t="s">
        <v>1312</v>
      </c>
      <c r="M177" t="s">
        <v>1192</v>
      </c>
      <c r="N177" t="s">
        <v>599</v>
      </c>
      <c r="O177" t="s">
        <v>1105</v>
      </c>
      <c r="P177" t="s">
        <v>2093</v>
      </c>
      <c r="Q177" t="s">
        <v>599</v>
      </c>
      <c r="R177" t="s">
        <v>1182</v>
      </c>
      <c r="S177" t="s">
        <v>1437</v>
      </c>
      <c r="T177">
        <v>1841</v>
      </c>
      <c r="U177">
        <v>1841</v>
      </c>
      <c r="V177" t="s">
        <v>1454</v>
      </c>
      <c r="W177" t="s">
        <v>2089</v>
      </c>
      <c r="X177" t="s">
        <v>599</v>
      </c>
      <c r="Y177" t="s">
        <v>599</v>
      </c>
      <c r="Z177" t="s">
        <v>599</v>
      </c>
      <c r="AA177" t="s">
        <v>599</v>
      </c>
      <c r="AB177" t="s">
        <v>2084</v>
      </c>
      <c r="AC177" t="s">
        <v>2094</v>
      </c>
      <c r="AD177" t="s">
        <v>599</v>
      </c>
      <c r="AE177" t="s">
        <v>2095</v>
      </c>
      <c r="AF177" t="s">
        <v>1190</v>
      </c>
    </row>
    <row r="178" spans="1:32" s="13" customFormat="1" ht="45" x14ac:dyDescent="0.25">
      <c r="A178" s="10">
        <v>1384320</v>
      </c>
      <c r="B178" s="10">
        <v>1</v>
      </c>
      <c r="C178" s="9">
        <v>1</v>
      </c>
      <c r="D178" s="56" t="s">
        <v>802</v>
      </c>
      <c r="E178" s="12">
        <v>1</v>
      </c>
      <c r="F178" s="45"/>
      <c r="G178" s="45"/>
      <c r="H178" s="45"/>
      <c r="I178">
        <v>1384320</v>
      </c>
      <c r="J178" t="s">
        <v>213</v>
      </c>
      <c r="K178" t="s">
        <v>2096</v>
      </c>
      <c r="L178" t="s">
        <v>1312</v>
      </c>
      <c r="M178" t="s">
        <v>1192</v>
      </c>
      <c r="N178" t="s">
        <v>599</v>
      </c>
      <c r="O178" t="s">
        <v>1603</v>
      </c>
      <c r="P178" t="s">
        <v>599</v>
      </c>
      <c r="Q178" t="s">
        <v>599</v>
      </c>
      <c r="R178" t="s">
        <v>1182</v>
      </c>
      <c r="S178" t="s">
        <v>1453</v>
      </c>
      <c r="T178">
        <v>1880</v>
      </c>
      <c r="U178">
        <v>1880</v>
      </c>
      <c r="V178" t="s">
        <v>1454</v>
      </c>
      <c r="W178" t="s">
        <v>599</v>
      </c>
      <c r="X178" t="s">
        <v>599</v>
      </c>
      <c r="Y178" t="s">
        <v>599</v>
      </c>
      <c r="Z178" t="s">
        <v>599</v>
      </c>
      <c r="AA178" t="s">
        <v>599</v>
      </c>
      <c r="AB178" t="s">
        <v>599</v>
      </c>
      <c r="AC178" t="s">
        <v>2097</v>
      </c>
      <c r="AD178" t="s">
        <v>599</v>
      </c>
      <c r="AE178" t="s">
        <v>2098</v>
      </c>
      <c r="AF178" t="s">
        <v>1190</v>
      </c>
    </row>
    <row r="179" spans="1:32" s="13" customFormat="1" ht="45" x14ac:dyDescent="0.25">
      <c r="A179" s="10">
        <v>1651190</v>
      </c>
      <c r="B179" s="10">
        <v>1</v>
      </c>
      <c r="C179" s="9">
        <v>1</v>
      </c>
      <c r="D179" s="56" t="s">
        <v>803</v>
      </c>
      <c r="E179" s="12">
        <v>1</v>
      </c>
      <c r="F179" s="45"/>
      <c r="G179" s="45"/>
      <c r="H179" s="45"/>
      <c r="I179">
        <v>1651190</v>
      </c>
      <c r="J179" t="s">
        <v>214</v>
      </c>
      <c r="K179" t="s">
        <v>2099</v>
      </c>
      <c r="L179" t="s">
        <v>1312</v>
      </c>
      <c r="M179" t="s">
        <v>1518</v>
      </c>
      <c r="N179" t="s">
        <v>599</v>
      </c>
      <c r="O179" t="s">
        <v>2100</v>
      </c>
      <c r="P179" t="s">
        <v>2101</v>
      </c>
      <c r="Q179" t="s">
        <v>599</v>
      </c>
      <c r="R179" t="s">
        <v>1182</v>
      </c>
      <c r="S179" t="s">
        <v>1453</v>
      </c>
      <c r="T179">
        <v>1880</v>
      </c>
      <c r="U179">
        <v>1880</v>
      </c>
      <c r="V179" t="s">
        <v>1315</v>
      </c>
      <c r="W179" t="s">
        <v>2102</v>
      </c>
      <c r="X179" t="s">
        <v>599</v>
      </c>
      <c r="Y179" t="s">
        <v>599</v>
      </c>
      <c r="Z179" t="s">
        <v>599</v>
      </c>
      <c r="AA179" t="s">
        <v>599</v>
      </c>
      <c r="AB179" t="s">
        <v>599</v>
      </c>
      <c r="AC179" t="s">
        <v>2103</v>
      </c>
      <c r="AD179" t="s">
        <v>1188</v>
      </c>
      <c r="AE179" t="s">
        <v>2104</v>
      </c>
      <c r="AF179" t="s">
        <v>1190</v>
      </c>
    </row>
    <row r="180" spans="1:32" s="13" customFormat="1" ht="45" x14ac:dyDescent="0.25">
      <c r="A180" s="10">
        <v>1669786</v>
      </c>
      <c r="B180" s="10">
        <v>1</v>
      </c>
      <c r="C180" s="9">
        <v>1</v>
      </c>
      <c r="D180" s="56" t="s">
        <v>804</v>
      </c>
      <c r="E180" s="12">
        <v>1</v>
      </c>
      <c r="F180" s="45"/>
      <c r="G180" s="45"/>
      <c r="H180" s="45"/>
      <c r="I180">
        <v>1669786</v>
      </c>
      <c r="J180" t="s">
        <v>215</v>
      </c>
      <c r="K180" t="s">
        <v>2105</v>
      </c>
      <c r="L180" t="s">
        <v>1312</v>
      </c>
      <c r="M180" t="s">
        <v>1362</v>
      </c>
      <c r="N180" t="s">
        <v>599</v>
      </c>
      <c r="O180" t="s">
        <v>2106</v>
      </c>
      <c r="P180" t="s">
        <v>2107</v>
      </c>
      <c r="Q180" t="s">
        <v>599</v>
      </c>
      <c r="R180" t="s">
        <v>1182</v>
      </c>
      <c r="S180" t="s">
        <v>1453</v>
      </c>
      <c r="T180">
        <v>1880</v>
      </c>
      <c r="U180">
        <v>1880</v>
      </c>
      <c r="V180" t="s">
        <v>1454</v>
      </c>
      <c r="W180" t="s">
        <v>2108</v>
      </c>
      <c r="X180" t="s">
        <v>599</v>
      </c>
      <c r="Y180" t="s">
        <v>599</v>
      </c>
      <c r="Z180" t="s">
        <v>2109</v>
      </c>
      <c r="AA180" t="s">
        <v>599</v>
      </c>
      <c r="AB180" t="s">
        <v>599</v>
      </c>
      <c r="AC180" t="s">
        <v>2110</v>
      </c>
      <c r="AD180" t="s">
        <v>1188</v>
      </c>
      <c r="AE180" t="s">
        <v>2111</v>
      </c>
      <c r="AF180" t="s">
        <v>1190</v>
      </c>
    </row>
    <row r="181" spans="1:32" s="13" customFormat="1" ht="45" x14ac:dyDescent="0.25">
      <c r="A181" s="10">
        <v>1671826</v>
      </c>
      <c r="B181" s="10">
        <v>1</v>
      </c>
      <c r="C181" s="9">
        <v>1</v>
      </c>
      <c r="D181" s="56" t="s">
        <v>805</v>
      </c>
      <c r="E181" s="12">
        <v>1</v>
      </c>
      <c r="F181" s="45"/>
      <c r="G181" s="45"/>
      <c r="H181" s="45"/>
      <c r="I181">
        <v>1671826</v>
      </c>
      <c r="J181" t="s">
        <v>216</v>
      </c>
      <c r="K181" t="s">
        <v>2113</v>
      </c>
      <c r="L181" t="s">
        <v>1312</v>
      </c>
      <c r="M181" t="s">
        <v>1192</v>
      </c>
      <c r="N181" t="s">
        <v>599</v>
      </c>
      <c r="O181" t="s">
        <v>2114</v>
      </c>
      <c r="P181" t="s">
        <v>2115</v>
      </c>
      <c r="Q181" t="s">
        <v>599</v>
      </c>
      <c r="R181" t="s">
        <v>1182</v>
      </c>
      <c r="S181" t="s">
        <v>1437</v>
      </c>
      <c r="T181">
        <v>1924</v>
      </c>
      <c r="U181">
        <v>1924</v>
      </c>
      <c r="V181" t="s">
        <v>2007</v>
      </c>
      <c r="W181" t="s">
        <v>599</v>
      </c>
      <c r="X181" t="s">
        <v>599</v>
      </c>
      <c r="Y181" t="s">
        <v>599</v>
      </c>
      <c r="Z181" t="s">
        <v>599</v>
      </c>
      <c r="AA181" t="s">
        <v>599</v>
      </c>
      <c r="AB181" t="s">
        <v>599</v>
      </c>
      <c r="AC181" t="s">
        <v>2116</v>
      </c>
      <c r="AD181" t="s">
        <v>1188</v>
      </c>
      <c r="AE181" t="s">
        <v>2117</v>
      </c>
      <c r="AF181" t="s">
        <v>1190</v>
      </c>
    </row>
    <row r="182" spans="1:32" s="13" customFormat="1" ht="45" x14ac:dyDescent="0.25">
      <c r="A182" s="10">
        <v>1684166</v>
      </c>
      <c r="B182" s="10">
        <v>1</v>
      </c>
      <c r="C182" s="9">
        <v>1</v>
      </c>
      <c r="D182" s="56" t="s">
        <v>806</v>
      </c>
      <c r="E182" s="12">
        <v>1</v>
      </c>
      <c r="F182" s="45"/>
      <c r="G182" s="45"/>
      <c r="H182" s="45"/>
      <c r="I182">
        <v>1684166</v>
      </c>
      <c r="J182" t="s">
        <v>217</v>
      </c>
      <c r="K182" t="s">
        <v>2118</v>
      </c>
      <c r="L182" t="s">
        <v>1312</v>
      </c>
      <c r="M182" t="s">
        <v>1192</v>
      </c>
      <c r="N182" t="s">
        <v>599</v>
      </c>
      <c r="O182" t="s">
        <v>2119</v>
      </c>
      <c r="P182" t="s">
        <v>2120</v>
      </c>
      <c r="Q182" t="s">
        <v>599</v>
      </c>
      <c r="R182" t="s">
        <v>1182</v>
      </c>
      <c r="S182" t="s">
        <v>1437</v>
      </c>
      <c r="T182">
        <v>1898</v>
      </c>
      <c r="U182">
        <v>1898</v>
      </c>
      <c r="V182" t="s">
        <v>1454</v>
      </c>
      <c r="W182" t="s">
        <v>599</v>
      </c>
      <c r="X182" t="s">
        <v>599</v>
      </c>
      <c r="Y182" t="s">
        <v>2121</v>
      </c>
      <c r="Z182" t="s">
        <v>599</v>
      </c>
      <c r="AA182" t="s">
        <v>599</v>
      </c>
      <c r="AB182" t="s">
        <v>2122</v>
      </c>
      <c r="AC182" t="s">
        <v>2123</v>
      </c>
      <c r="AD182" t="s">
        <v>1188</v>
      </c>
      <c r="AE182" t="s">
        <v>2124</v>
      </c>
      <c r="AF182" t="s">
        <v>1190</v>
      </c>
    </row>
    <row r="183" spans="1:32" s="13" customFormat="1" ht="45" x14ac:dyDescent="0.25">
      <c r="A183" s="10">
        <v>1718418</v>
      </c>
      <c r="B183" s="10">
        <v>1</v>
      </c>
      <c r="C183" s="9">
        <v>1</v>
      </c>
      <c r="D183" s="56" t="s">
        <v>807</v>
      </c>
      <c r="E183" s="12" t="s">
        <v>219</v>
      </c>
      <c r="F183" s="45"/>
      <c r="G183" s="45"/>
      <c r="H183" s="45"/>
      <c r="I183">
        <v>1718418</v>
      </c>
      <c r="J183" t="s">
        <v>218</v>
      </c>
      <c r="K183" t="s">
        <v>2126</v>
      </c>
      <c r="L183" t="s">
        <v>2127</v>
      </c>
      <c r="M183" t="s">
        <v>1192</v>
      </c>
      <c r="N183" t="s">
        <v>599</v>
      </c>
      <c r="O183" t="s">
        <v>2128</v>
      </c>
      <c r="P183" t="s">
        <v>599</v>
      </c>
      <c r="Q183" t="s">
        <v>599</v>
      </c>
      <c r="R183" t="s">
        <v>1182</v>
      </c>
      <c r="S183" t="s">
        <v>2129</v>
      </c>
      <c r="T183">
        <v>1870</v>
      </c>
      <c r="U183">
        <v>1870</v>
      </c>
      <c r="V183" t="s">
        <v>2130</v>
      </c>
      <c r="W183" t="s">
        <v>2131</v>
      </c>
      <c r="X183" t="s">
        <v>599</v>
      </c>
      <c r="Y183" t="s">
        <v>599</v>
      </c>
      <c r="Z183" t="s">
        <v>2132</v>
      </c>
      <c r="AA183" t="s">
        <v>599</v>
      </c>
      <c r="AB183" t="s">
        <v>2133</v>
      </c>
      <c r="AC183" t="s">
        <v>2134</v>
      </c>
      <c r="AD183" t="s">
        <v>1188</v>
      </c>
      <c r="AE183" t="s">
        <v>2135</v>
      </c>
      <c r="AF183" t="s">
        <v>1190</v>
      </c>
    </row>
    <row r="184" spans="1:32" s="13" customFormat="1" ht="45" x14ac:dyDescent="0.25">
      <c r="A184" s="10">
        <v>1718418</v>
      </c>
      <c r="B184" s="10">
        <v>1</v>
      </c>
      <c r="C184" s="9">
        <v>3</v>
      </c>
      <c r="D184" s="56" t="s">
        <v>808</v>
      </c>
      <c r="E184" s="12" t="s">
        <v>219</v>
      </c>
      <c r="F184" s="45"/>
      <c r="G184" s="45"/>
      <c r="H184" s="45"/>
      <c r="I184">
        <v>1718418</v>
      </c>
      <c r="J184" t="s">
        <v>218</v>
      </c>
      <c r="K184" t="s">
        <v>2126</v>
      </c>
      <c r="L184" t="s">
        <v>2127</v>
      </c>
      <c r="M184" t="s">
        <v>1192</v>
      </c>
      <c r="N184" t="s">
        <v>599</v>
      </c>
      <c r="O184" t="s">
        <v>2128</v>
      </c>
      <c r="P184" t="s">
        <v>599</v>
      </c>
      <c r="Q184" t="s">
        <v>599</v>
      </c>
      <c r="R184" t="s">
        <v>1182</v>
      </c>
      <c r="S184" t="s">
        <v>2129</v>
      </c>
      <c r="T184">
        <v>1870</v>
      </c>
      <c r="U184">
        <v>1870</v>
      </c>
      <c r="V184" t="s">
        <v>2130</v>
      </c>
      <c r="W184" t="s">
        <v>2131</v>
      </c>
      <c r="X184" t="s">
        <v>599</v>
      </c>
      <c r="Y184" t="s">
        <v>599</v>
      </c>
      <c r="Z184" t="s">
        <v>2132</v>
      </c>
      <c r="AA184" t="s">
        <v>599</v>
      </c>
      <c r="AB184" t="s">
        <v>2133</v>
      </c>
      <c r="AC184" t="s">
        <v>2134</v>
      </c>
      <c r="AD184" t="s">
        <v>1188</v>
      </c>
      <c r="AE184" t="s">
        <v>2135</v>
      </c>
      <c r="AF184" t="s">
        <v>1190</v>
      </c>
    </row>
    <row r="185" spans="1:32" s="13" customFormat="1" ht="45" x14ac:dyDescent="0.25">
      <c r="A185" s="10">
        <v>1724855</v>
      </c>
      <c r="B185" s="10">
        <v>1</v>
      </c>
      <c r="C185" s="9">
        <v>1</v>
      </c>
      <c r="D185" s="56" t="s">
        <v>809</v>
      </c>
      <c r="E185" s="12">
        <v>1</v>
      </c>
      <c r="F185" s="45"/>
      <c r="G185" s="45"/>
      <c r="H185" s="45"/>
      <c r="I185">
        <v>1724855</v>
      </c>
      <c r="J185" t="s">
        <v>221</v>
      </c>
      <c r="K185" t="s">
        <v>2137</v>
      </c>
      <c r="L185" t="s">
        <v>2127</v>
      </c>
      <c r="M185" t="s">
        <v>1192</v>
      </c>
      <c r="N185" t="s">
        <v>599</v>
      </c>
      <c r="O185" t="s">
        <v>2138</v>
      </c>
      <c r="P185" t="s">
        <v>2139</v>
      </c>
      <c r="Q185" t="s">
        <v>599</v>
      </c>
      <c r="R185" t="s">
        <v>1182</v>
      </c>
      <c r="S185" t="s">
        <v>2140</v>
      </c>
      <c r="T185">
        <v>1880</v>
      </c>
      <c r="U185">
        <v>1880</v>
      </c>
      <c r="V185" t="s">
        <v>2141</v>
      </c>
      <c r="W185" t="s">
        <v>2142</v>
      </c>
      <c r="X185" t="s">
        <v>599</v>
      </c>
      <c r="Y185" t="s">
        <v>599</v>
      </c>
      <c r="Z185" t="s">
        <v>599</v>
      </c>
      <c r="AA185" t="s">
        <v>599</v>
      </c>
      <c r="AB185" t="s">
        <v>2143</v>
      </c>
      <c r="AC185" t="s">
        <v>2144</v>
      </c>
      <c r="AD185" t="s">
        <v>1188</v>
      </c>
      <c r="AE185" t="s">
        <v>2145</v>
      </c>
      <c r="AF185" t="s">
        <v>1190</v>
      </c>
    </row>
    <row r="186" spans="1:32" s="13" customFormat="1" ht="45" x14ac:dyDescent="0.25">
      <c r="A186" s="10">
        <v>1752559</v>
      </c>
      <c r="B186" s="10">
        <v>1</v>
      </c>
      <c r="C186" s="9">
        <v>1</v>
      </c>
      <c r="D186" s="56" t="s">
        <v>810</v>
      </c>
      <c r="E186" s="12">
        <v>1</v>
      </c>
      <c r="F186" s="45"/>
      <c r="G186" s="45"/>
      <c r="H186" s="45"/>
      <c r="I186">
        <v>1752559</v>
      </c>
      <c r="J186" t="s">
        <v>222</v>
      </c>
      <c r="K186" t="s">
        <v>2147</v>
      </c>
      <c r="L186" t="s">
        <v>1312</v>
      </c>
      <c r="M186" t="s">
        <v>1192</v>
      </c>
      <c r="N186" t="s">
        <v>599</v>
      </c>
      <c r="O186" t="s">
        <v>2148</v>
      </c>
      <c r="P186" t="s">
        <v>599</v>
      </c>
      <c r="Q186" t="s">
        <v>599</v>
      </c>
      <c r="R186" t="s">
        <v>1182</v>
      </c>
      <c r="S186" t="s">
        <v>599</v>
      </c>
      <c r="T186">
        <v>1866</v>
      </c>
      <c r="U186">
        <v>1866</v>
      </c>
      <c r="V186" t="s">
        <v>1670</v>
      </c>
      <c r="W186" t="s">
        <v>1604</v>
      </c>
      <c r="X186" t="s">
        <v>599</v>
      </c>
      <c r="Y186" t="s">
        <v>599</v>
      </c>
      <c r="Z186" t="s">
        <v>599</v>
      </c>
      <c r="AA186" t="s">
        <v>599</v>
      </c>
      <c r="AB186" t="s">
        <v>599</v>
      </c>
      <c r="AC186" t="s">
        <v>2149</v>
      </c>
      <c r="AD186" t="s">
        <v>1188</v>
      </c>
      <c r="AE186" t="s">
        <v>2150</v>
      </c>
      <c r="AF186" t="s">
        <v>1190</v>
      </c>
    </row>
    <row r="187" spans="1:32" s="13" customFormat="1" ht="45" x14ac:dyDescent="0.25">
      <c r="A187" s="10">
        <v>1779910</v>
      </c>
      <c r="B187" s="10">
        <v>1</v>
      </c>
      <c r="C187" s="9">
        <v>1</v>
      </c>
      <c r="D187" s="56" t="s">
        <v>811</v>
      </c>
      <c r="E187" s="12" t="s">
        <v>71</v>
      </c>
      <c r="F187" s="45"/>
      <c r="G187" s="45"/>
      <c r="H187" s="45"/>
      <c r="I187">
        <v>1779910</v>
      </c>
      <c r="J187" t="s">
        <v>223</v>
      </c>
      <c r="K187" t="s">
        <v>2152</v>
      </c>
      <c r="L187" t="s">
        <v>1312</v>
      </c>
      <c r="M187" t="s">
        <v>1209</v>
      </c>
      <c r="N187" t="s">
        <v>599</v>
      </c>
      <c r="O187" t="s">
        <v>2153</v>
      </c>
      <c r="P187" t="s">
        <v>599</v>
      </c>
      <c r="Q187" t="s">
        <v>599</v>
      </c>
      <c r="R187" t="s">
        <v>1182</v>
      </c>
      <c r="S187" t="s">
        <v>1453</v>
      </c>
      <c r="T187">
        <v>1800</v>
      </c>
      <c r="U187">
        <v>1800</v>
      </c>
      <c r="V187" t="s">
        <v>1454</v>
      </c>
      <c r="W187" t="s">
        <v>599</v>
      </c>
      <c r="X187" t="s">
        <v>599</v>
      </c>
      <c r="Y187" t="s">
        <v>599</v>
      </c>
      <c r="Z187" t="s">
        <v>599</v>
      </c>
      <c r="AA187" t="s">
        <v>599</v>
      </c>
      <c r="AB187" t="s">
        <v>599</v>
      </c>
      <c r="AC187" t="s">
        <v>2154</v>
      </c>
      <c r="AD187" t="s">
        <v>1188</v>
      </c>
      <c r="AE187" t="s">
        <v>2155</v>
      </c>
      <c r="AF187" t="s">
        <v>1190</v>
      </c>
    </row>
    <row r="188" spans="1:32" s="13" customFormat="1" ht="45" x14ac:dyDescent="0.25">
      <c r="A188" s="10">
        <v>1784317</v>
      </c>
      <c r="B188" s="10">
        <v>1</v>
      </c>
      <c r="C188" s="9">
        <v>1</v>
      </c>
      <c r="D188" s="56" t="s">
        <v>812</v>
      </c>
      <c r="E188" s="12" t="s">
        <v>71</v>
      </c>
      <c r="F188" s="45"/>
      <c r="G188" s="45"/>
      <c r="H188" s="45"/>
      <c r="I188">
        <v>1784317</v>
      </c>
      <c r="J188" t="s">
        <v>224</v>
      </c>
      <c r="K188" t="s">
        <v>2156</v>
      </c>
      <c r="L188" t="s">
        <v>1312</v>
      </c>
      <c r="M188" t="s">
        <v>1362</v>
      </c>
      <c r="N188" t="s">
        <v>599</v>
      </c>
      <c r="O188" t="s">
        <v>2157</v>
      </c>
      <c r="P188" t="s">
        <v>599</v>
      </c>
      <c r="Q188" t="s">
        <v>599</v>
      </c>
      <c r="R188" t="s">
        <v>1182</v>
      </c>
      <c r="S188" t="s">
        <v>1453</v>
      </c>
      <c r="T188">
        <v>1810</v>
      </c>
      <c r="U188">
        <v>1810</v>
      </c>
      <c r="V188" t="s">
        <v>1454</v>
      </c>
      <c r="W188" t="s">
        <v>599</v>
      </c>
      <c r="X188" t="s">
        <v>599</v>
      </c>
      <c r="Y188" t="s">
        <v>599</v>
      </c>
      <c r="Z188" t="s">
        <v>2158</v>
      </c>
      <c r="AA188" t="s">
        <v>599</v>
      </c>
      <c r="AB188" t="s">
        <v>599</v>
      </c>
      <c r="AC188" t="s">
        <v>2159</v>
      </c>
      <c r="AD188" t="s">
        <v>1188</v>
      </c>
      <c r="AE188" t="s">
        <v>2160</v>
      </c>
      <c r="AF188" t="s">
        <v>1190</v>
      </c>
    </row>
    <row r="189" spans="1:32" s="13" customFormat="1" ht="45" x14ac:dyDescent="0.25">
      <c r="A189" s="10">
        <v>1790475</v>
      </c>
      <c r="B189" s="10">
        <v>1</v>
      </c>
      <c r="C189" s="9">
        <v>1</v>
      </c>
      <c r="D189" s="56" t="s">
        <v>813</v>
      </c>
      <c r="E189" s="12">
        <v>1</v>
      </c>
      <c r="F189" s="45"/>
      <c r="G189" s="45"/>
      <c r="H189" s="45"/>
      <c r="I189">
        <v>1790475</v>
      </c>
      <c r="J189" t="s">
        <v>225</v>
      </c>
      <c r="K189" t="s">
        <v>2162</v>
      </c>
      <c r="L189" t="s">
        <v>1312</v>
      </c>
      <c r="M189" t="s">
        <v>1192</v>
      </c>
      <c r="N189" t="s">
        <v>599</v>
      </c>
      <c r="O189" t="s">
        <v>2163</v>
      </c>
      <c r="P189" t="s">
        <v>2164</v>
      </c>
      <c r="Q189" t="s">
        <v>599</v>
      </c>
      <c r="R189" t="s">
        <v>1182</v>
      </c>
      <c r="S189" t="s">
        <v>1437</v>
      </c>
      <c r="T189">
        <v>1793</v>
      </c>
      <c r="U189">
        <v>1793</v>
      </c>
      <c r="V189" t="s">
        <v>1454</v>
      </c>
      <c r="W189" t="s">
        <v>599</v>
      </c>
      <c r="X189" t="s">
        <v>599</v>
      </c>
      <c r="Y189" t="s">
        <v>599</v>
      </c>
      <c r="Z189" t="s">
        <v>2165</v>
      </c>
      <c r="AA189" t="s">
        <v>599</v>
      </c>
      <c r="AB189" t="s">
        <v>599</v>
      </c>
      <c r="AC189" t="s">
        <v>2166</v>
      </c>
      <c r="AD189" t="s">
        <v>1188</v>
      </c>
      <c r="AE189" t="s">
        <v>2167</v>
      </c>
      <c r="AF189" t="s">
        <v>1190</v>
      </c>
    </row>
    <row r="190" spans="1:32" s="13" customFormat="1" ht="105" x14ac:dyDescent="0.25">
      <c r="A190" s="10">
        <v>1888900</v>
      </c>
      <c r="B190" s="10">
        <v>1</v>
      </c>
      <c r="C190" s="9">
        <v>1</v>
      </c>
      <c r="D190" s="56" t="s">
        <v>814</v>
      </c>
      <c r="E190" s="12" t="s">
        <v>227</v>
      </c>
      <c r="F190" s="45"/>
      <c r="G190" s="45"/>
      <c r="H190" s="45"/>
      <c r="I190">
        <v>1888900</v>
      </c>
      <c r="J190" t="s">
        <v>226</v>
      </c>
      <c r="K190" t="s">
        <v>2168</v>
      </c>
      <c r="L190" t="s">
        <v>1178</v>
      </c>
      <c r="M190" t="s">
        <v>1192</v>
      </c>
      <c r="N190" t="s">
        <v>599</v>
      </c>
      <c r="O190" t="s">
        <v>1193</v>
      </c>
      <c r="P190" t="s">
        <v>599</v>
      </c>
      <c r="Q190" t="s">
        <v>599</v>
      </c>
      <c r="R190" t="s">
        <v>1182</v>
      </c>
      <c r="S190" t="s">
        <v>2169</v>
      </c>
      <c r="T190">
        <v>1958</v>
      </c>
      <c r="U190">
        <v>1958</v>
      </c>
      <c r="V190" t="s">
        <v>2170</v>
      </c>
      <c r="W190" t="s">
        <v>1185</v>
      </c>
      <c r="X190" t="s">
        <v>599</v>
      </c>
      <c r="Y190" t="s">
        <v>599</v>
      </c>
      <c r="Z190" t="s">
        <v>2171</v>
      </c>
      <c r="AA190" t="s">
        <v>599</v>
      </c>
      <c r="AB190" t="s">
        <v>599</v>
      </c>
      <c r="AC190" t="s">
        <v>2172</v>
      </c>
      <c r="AD190" t="s">
        <v>1188</v>
      </c>
      <c r="AE190" t="s">
        <v>2173</v>
      </c>
      <c r="AF190" t="s">
        <v>1190</v>
      </c>
    </row>
    <row r="191" spans="1:32" s="13" customFormat="1" ht="105" x14ac:dyDescent="0.25">
      <c r="A191" s="10">
        <v>1888900</v>
      </c>
      <c r="B191" s="10">
        <v>1</v>
      </c>
      <c r="C191" s="9">
        <v>8</v>
      </c>
      <c r="D191" s="56" t="s">
        <v>815</v>
      </c>
      <c r="E191" s="12" t="s">
        <v>227</v>
      </c>
      <c r="F191" s="45"/>
      <c r="G191" s="45"/>
      <c r="H191" s="45"/>
      <c r="I191">
        <v>1888900</v>
      </c>
      <c r="J191" t="s">
        <v>226</v>
      </c>
      <c r="K191" t="s">
        <v>2168</v>
      </c>
      <c r="L191" t="s">
        <v>1178</v>
      </c>
      <c r="M191" t="s">
        <v>1192</v>
      </c>
      <c r="N191" t="s">
        <v>599</v>
      </c>
      <c r="O191" t="s">
        <v>1193</v>
      </c>
      <c r="P191" t="s">
        <v>599</v>
      </c>
      <c r="Q191" t="s">
        <v>599</v>
      </c>
      <c r="R191" t="s">
        <v>1182</v>
      </c>
      <c r="S191" t="s">
        <v>2169</v>
      </c>
      <c r="T191">
        <v>1958</v>
      </c>
      <c r="U191">
        <v>1958</v>
      </c>
      <c r="V191" t="s">
        <v>2170</v>
      </c>
      <c r="W191" t="s">
        <v>1185</v>
      </c>
      <c r="X191" t="s">
        <v>599</v>
      </c>
      <c r="Y191" t="s">
        <v>599</v>
      </c>
      <c r="Z191" t="s">
        <v>2171</v>
      </c>
      <c r="AA191" t="s">
        <v>599</v>
      </c>
      <c r="AB191" t="s">
        <v>599</v>
      </c>
      <c r="AC191" t="s">
        <v>2172</v>
      </c>
      <c r="AD191" t="s">
        <v>1188</v>
      </c>
      <c r="AE191" t="s">
        <v>2173</v>
      </c>
      <c r="AF191" t="s">
        <v>1190</v>
      </c>
    </row>
    <row r="192" spans="1:32" s="13" customFormat="1" ht="105" x14ac:dyDescent="0.25">
      <c r="A192" s="10">
        <v>1888900</v>
      </c>
      <c r="B192" s="10">
        <v>1</v>
      </c>
      <c r="C192" s="9">
        <v>10</v>
      </c>
      <c r="D192" s="56" t="s">
        <v>816</v>
      </c>
      <c r="E192" s="12" t="s">
        <v>227</v>
      </c>
      <c r="F192" s="45"/>
      <c r="G192" s="45"/>
      <c r="H192" s="45"/>
      <c r="I192">
        <v>1888900</v>
      </c>
      <c r="J192" t="s">
        <v>226</v>
      </c>
      <c r="K192" t="s">
        <v>2168</v>
      </c>
      <c r="L192" t="s">
        <v>1178</v>
      </c>
      <c r="M192" t="s">
        <v>1192</v>
      </c>
      <c r="N192" t="s">
        <v>599</v>
      </c>
      <c r="O192" t="s">
        <v>1193</v>
      </c>
      <c r="P192" t="s">
        <v>599</v>
      </c>
      <c r="Q192" t="s">
        <v>599</v>
      </c>
      <c r="R192" t="s">
        <v>1182</v>
      </c>
      <c r="S192" t="s">
        <v>2169</v>
      </c>
      <c r="T192">
        <v>1958</v>
      </c>
      <c r="U192">
        <v>1958</v>
      </c>
      <c r="V192" t="s">
        <v>2170</v>
      </c>
      <c r="W192" t="s">
        <v>1185</v>
      </c>
      <c r="X192" t="s">
        <v>599</v>
      </c>
      <c r="Y192" t="s">
        <v>599</v>
      </c>
      <c r="Z192" t="s">
        <v>2171</v>
      </c>
      <c r="AA192" t="s">
        <v>599</v>
      </c>
      <c r="AB192" t="s">
        <v>599</v>
      </c>
      <c r="AC192" t="s">
        <v>2172</v>
      </c>
      <c r="AD192" t="s">
        <v>1188</v>
      </c>
      <c r="AE192" t="s">
        <v>2173</v>
      </c>
      <c r="AF192" t="s">
        <v>1190</v>
      </c>
    </row>
    <row r="193" spans="1:32" s="13" customFormat="1" ht="105" x14ac:dyDescent="0.25">
      <c r="A193" s="10">
        <v>1888900</v>
      </c>
      <c r="B193" s="10">
        <v>1</v>
      </c>
      <c r="C193" s="9">
        <v>12</v>
      </c>
      <c r="D193" s="56" t="s">
        <v>817</v>
      </c>
      <c r="E193" s="12" t="s">
        <v>227</v>
      </c>
      <c r="F193" s="45"/>
      <c r="G193" s="45"/>
      <c r="H193" s="45"/>
      <c r="I193">
        <v>1888900</v>
      </c>
      <c r="J193" t="s">
        <v>226</v>
      </c>
      <c r="K193" t="s">
        <v>2168</v>
      </c>
      <c r="L193" t="s">
        <v>1178</v>
      </c>
      <c r="M193" t="s">
        <v>1192</v>
      </c>
      <c r="N193" t="s">
        <v>599</v>
      </c>
      <c r="O193" t="s">
        <v>1193</v>
      </c>
      <c r="P193" t="s">
        <v>599</v>
      </c>
      <c r="Q193" t="s">
        <v>599</v>
      </c>
      <c r="R193" t="s">
        <v>1182</v>
      </c>
      <c r="S193" t="s">
        <v>2169</v>
      </c>
      <c r="T193">
        <v>1958</v>
      </c>
      <c r="U193">
        <v>1958</v>
      </c>
      <c r="V193" t="s">
        <v>2170</v>
      </c>
      <c r="W193" t="s">
        <v>1185</v>
      </c>
      <c r="X193" t="s">
        <v>599</v>
      </c>
      <c r="Y193" t="s">
        <v>599</v>
      </c>
      <c r="Z193" t="s">
        <v>2171</v>
      </c>
      <c r="AA193" t="s">
        <v>599</v>
      </c>
      <c r="AB193" t="s">
        <v>599</v>
      </c>
      <c r="AC193" t="s">
        <v>2172</v>
      </c>
      <c r="AD193" t="s">
        <v>1188</v>
      </c>
      <c r="AE193" t="s">
        <v>2173</v>
      </c>
      <c r="AF193" t="s">
        <v>1190</v>
      </c>
    </row>
    <row r="194" spans="1:32" s="13" customFormat="1" ht="105" x14ac:dyDescent="0.25">
      <c r="A194" s="10">
        <v>1888900</v>
      </c>
      <c r="B194" s="10">
        <v>1</v>
      </c>
      <c r="C194" s="9">
        <v>52</v>
      </c>
      <c r="D194" s="56" t="s">
        <v>818</v>
      </c>
      <c r="E194" s="12" t="s">
        <v>227</v>
      </c>
      <c r="F194" s="45"/>
      <c r="G194" s="45"/>
      <c r="H194" s="45"/>
      <c r="I194">
        <v>1888900</v>
      </c>
      <c r="J194" t="s">
        <v>226</v>
      </c>
      <c r="K194" t="s">
        <v>2168</v>
      </c>
      <c r="L194" t="s">
        <v>1178</v>
      </c>
      <c r="M194" t="s">
        <v>1192</v>
      </c>
      <c r="N194" t="s">
        <v>599</v>
      </c>
      <c r="O194" t="s">
        <v>1193</v>
      </c>
      <c r="P194" t="s">
        <v>599</v>
      </c>
      <c r="Q194" t="s">
        <v>599</v>
      </c>
      <c r="R194" t="s">
        <v>1182</v>
      </c>
      <c r="S194" t="s">
        <v>2169</v>
      </c>
      <c r="T194">
        <v>1958</v>
      </c>
      <c r="U194">
        <v>1958</v>
      </c>
      <c r="V194" t="s">
        <v>2170</v>
      </c>
      <c r="W194" t="s">
        <v>1185</v>
      </c>
      <c r="X194" t="s">
        <v>599</v>
      </c>
      <c r="Y194" t="s">
        <v>599</v>
      </c>
      <c r="Z194" t="s">
        <v>2171</v>
      </c>
      <c r="AA194" t="s">
        <v>599</v>
      </c>
      <c r="AB194" t="s">
        <v>599</v>
      </c>
      <c r="AC194" t="s">
        <v>2172</v>
      </c>
      <c r="AD194" t="s">
        <v>1188</v>
      </c>
      <c r="AE194" t="s">
        <v>2173</v>
      </c>
      <c r="AF194" t="s">
        <v>1190</v>
      </c>
    </row>
    <row r="195" spans="1:32" s="13" customFormat="1" ht="105" x14ac:dyDescent="0.25">
      <c r="A195" s="10">
        <v>1888900</v>
      </c>
      <c r="B195" s="10">
        <v>1</v>
      </c>
      <c r="C195" s="9">
        <v>53</v>
      </c>
      <c r="D195" s="56" t="s">
        <v>819</v>
      </c>
      <c r="E195" s="12" t="s">
        <v>227</v>
      </c>
      <c r="F195" s="45"/>
      <c r="G195" s="45"/>
      <c r="H195" s="45"/>
      <c r="I195">
        <v>1888900</v>
      </c>
      <c r="J195" t="s">
        <v>226</v>
      </c>
      <c r="K195" t="s">
        <v>2168</v>
      </c>
      <c r="L195" t="s">
        <v>1178</v>
      </c>
      <c r="M195" t="s">
        <v>1192</v>
      </c>
      <c r="N195" t="s">
        <v>599</v>
      </c>
      <c r="O195" t="s">
        <v>1193</v>
      </c>
      <c r="P195" t="s">
        <v>599</v>
      </c>
      <c r="Q195" t="s">
        <v>599</v>
      </c>
      <c r="R195" t="s">
        <v>1182</v>
      </c>
      <c r="S195" t="s">
        <v>2169</v>
      </c>
      <c r="T195">
        <v>1958</v>
      </c>
      <c r="U195">
        <v>1958</v>
      </c>
      <c r="V195" t="s">
        <v>2170</v>
      </c>
      <c r="W195" t="s">
        <v>1185</v>
      </c>
      <c r="X195" t="s">
        <v>599</v>
      </c>
      <c r="Y195" t="s">
        <v>599</v>
      </c>
      <c r="Z195" t="s">
        <v>2171</v>
      </c>
      <c r="AA195" t="s">
        <v>599</v>
      </c>
      <c r="AB195" t="s">
        <v>599</v>
      </c>
      <c r="AC195" t="s">
        <v>2172</v>
      </c>
      <c r="AD195" t="s">
        <v>1188</v>
      </c>
      <c r="AE195" t="s">
        <v>2173</v>
      </c>
      <c r="AF195" t="s">
        <v>1190</v>
      </c>
    </row>
    <row r="196" spans="1:32" s="13" customFormat="1" ht="105" x14ac:dyDescent="0.25">
      <c r="A196" s="10">
        <v>1888900</v>
      </c>
      <c r="B196" s="10">
        <v>1</v>
      </c>
      <c r="C196" s="9">
        <v>86</v>
      </c>
      <c r="D196" s="56" t="s">
        <v>820</v>
      </c>
      <c r="E196" s="12" t="s">
        <v>227</v>
      </c>
      <c r="F196" s="45"/>
      <c r="G196" s="45"/>
      <c r="H196" s="45"/>
      <c r="I196">
        <v>1888900</v>
      </c>
      <c r="J196" t="s">
        <v>226</v>
      </c>
      <c r="K196" t="s">
        <v>2168</v>
      </c>
      <c r="L196" t="s">
        <v>1178</v>
      </c>
      <c r="M196" t="s">
        <v>1192</v>
      </c>
      <c r="N196" t="s">
        <v>599</v>
      </c>
      <c r="O196" t="s">
        <v>1193</v>
      </c>
      <c r="P196" t="s">
        <v>599</v>
      </c>
      <c r="Q196" t="s">
        <v>599</v>
      </c>
      <c r="R196" t="s">
        <v>1182</v>
      </c>
      <c r="S196" t="s">
        <v>2169</v>
      </c>
      <c r="T196">
        <v>1958</v>
      </c>
      <c r="U196">
        <v>1958</v>
      </c>
      <c r="V196" t="s">
        <v>2170</v>
      </c>
      <c r="W196" t="s">
        <v>1185</v>
      </c>
      <c r="X196" t="s">
        <v>599</v>
      </c>
      <c r="Y196" t="s">
        <v>599</v>
      </c>
      <c r="Z196" t="s">
        <v>2171</v>
      </c>
      <c r="AA196" t="s">
        <v>599</v>
      </c>
      <c r="AB196" t="s">
        <v>599</v>
      </c>
      <c r="AC196" t="s">
        <v>2172</v>
      </c>
      <c r="AD196" t="s">
        <v>1188</v>
      </c>
      <c r="AE196" t="s">
        <v>2173</v>
      </c>
      <c r="AF196" t="s">
        <v>1190</v>
      </c>
    </row>
    <row r="197" spans="1:32" s="13" customFormat="1" ht="105" x14ac:dyDescent="0.25">
      <c r="A197" s="10">
        <v>1888900</v>
      </c>
      <c r="B197" s="10">
        <v>1</v>
      </c>
      <c r="C197" s="9">
        <v>87</v>
      </c>
      <c r="D197" s="56" t="s">
        <v>821</v>
      </c>
      <c r="E197" s="12" t="s">
        <v>227</v>
      </c>
      <c r="F197" s="45"/>
      <c r="G197" s="45"/>
      <c r="H197" s="45"/>
      <c r="I197">
        <v>1888900</v>
      </c>
      <c r="J197" t="s">
        <v>226</v>
      </c>
      <c r="K197" t="s">
        <v>2168</v>
      </c>
      <c r="L197" t="s">
        <v>1178</v>
      </c>
      <c r="M197" t="s">
        <v>1192</v>
      </c>
      <c r="N197" t="s">
        <v>599</v>
      </c>
      <c r="O197" t="s">
        <v>1193</v>
      </c>
      <c r="P197" t="s">
        <v>599</v>
      </c>
      <c r="Q197" t="s">
        <v>599</v>
      </c>
      <c r="R197" t="s">
        <v>1182</v>
      </c>
      <c r="S197" t="s">
        <v>2169</v>
      </c>
      <c r="T197">
        <v>1958</v>
      </c>
      <c r="U197">
        <v>1958</v>
      </c>
      <c r="V197" t="s">
        <v>2170</v>
      </c>
      <c r="W197" t="s">
        <v>1185</v>
      </c>
      <c r="X197" t="s">
        <v>599</v>
      </c>
      <c r="Y197" t="s">
        <v>599</v>
      </c>
      <c r="Z197" t="s">
        <v>2171</v>
      </c>
      <c r="AA197" t="s">
        <v>599</v>
      </c>
      <c r="AB197" t="s">
        <v>599</v>
      </c>
      <c r="AC197" t="s">
        <v>2172</v>
      </c>
      <c r="AD197" t="s">
        <v>1188</v>
      </c>
      <c r="AE197" t="s">
        <v>2173</v>
      </c>
      <c r="AF197" t="s">
        <v>1190</v>
      </c>
    </row>
    <row r="198" spans="1:32" s="13" customFormat="1" ht="105" x14ac:dyDescent="0.25">
      <c r="A198" s="10">
        <v>1888900</v>
      </c>
      <c r="B198" s="10">
        <v>1</v>
      </c>
      <c r="C198" s="9">
        <v>88</v>
      </c>
      <c r="D198" s="56" t="s">
        <v>822</v>
      </c>
      <c r="E198" s="12" t="s">
        <v>227</v>
      </c>
      <c r="F198" s="45"/>
      <c r="G198" s="45"/>
      <c r="H198" s="45"/>
      <c r="I198">
        <v>1888900</v>
      </c>
      <c r="J198" t="s">
        <v>226</v>
      </c>
      <c r="K198" t="s">
        <v>2168</v>
      </c>
      <c r="L198" t="s">
        <v>1178</v>
      </c>
      <c r="M198" t="s">
        <v>1192</v>
      </c>
      <c r="N198" t="s">
        <v>599</v>
      </c>
      <c r="O198" t="s">
        <v>1193</v>
      </c>
      <c r="P198" t="s">
        <v>599</v>
      </c>
      <c r="Q198" t="s">
        <v>599</v>
      </c>
      <c r="R198" t="s">
        <v>1182</v>
      </c>
      <c r="S198" t="s">
        <v>2169</v>
      </c>
      <c r="T198">
        <v>1958</v>
      </c>
      <c r="U198">
        <v>1958</v>
      </c>
      <c r="V198" t="s">
        <v>2170</v>
      </c>
      <c r="W198" t="s">
        <v>1185</v>
      </c>
      <c r="X198" t="s">
        <v>599</v>
      </c>
      <c r="Y198" t="s">
        <v>599</v>
      </c>
      <c r="Z198" t="s">
        <v>2171</v>
      </c>
      <c r="AA198" t="s">
        <v>599</v>
      </c>
      <c r="AB198" t="s">
        <v>599</v>
      </c>
      <c r="AC198" t="s">
        <v>2172</v>
      </c>
      <c r="AD198" t="s">
        <v>1188</v>
      </c>
      <c r="AE198" t="s">
        <v>2173</v>
      </c>
      <c r="AF198" t="s">
        <v>1190</v>
      </c>
    </row>
    <row r="199" spans="1:32" s="13" customFormat="1" ht="105" x14ac:dyDescent="0.25">
      <c r="A199" s="10">
        <v>1888900</v>
      </c>
      <c r="B199" s="10">
        <v>1</v>
      </c>
      <c r="C199" s="9">
        <v>166</v>
      </c>
      <c r="D199" s="56" t="s">
        <v>823</v>
      </c>
      <c r="E199" s="12" t="s">
        <v>227</v>
      </c>
      <c r="F199" s="45"/>
      <c r="G199" s="45"/>
      <c r="H199" s="45"/>
      <c r="I199">
        <v>1888900</v>
      </c>
      <c r="J199" t="s">
        <v>226</v>
      </c>
      <c r="K199" t="s">
        <v>599</v>
      </c>
      <c r="L199" t="s">
        <v>1178</v>
      </c>
      <c r="M199" t="s">
        <v>1192</v>
      </c>
      <c r="N199" t="s">
        <v>599</v>
      </c>
      <c r="O199" t="s">
        <v>1193</v>
      </c>
      <c r="P199" t="s">
        <v>599</v>
      </c>
      <c r="Q199" t="s">
        <v>599</v>
      </c>
      <c r="R199" t="s">
        <v>1182</v>
      </c>
      <c r="S199" t="s">
        <v>2169</v>
      </c>
      <c r="T199">
        <v>1958</v>
      </c>
      <c r="U199">
        <v>1958</v>
      </c>
      <c r="V199" t="s">
        <v>2170</v>
      </c>
      <c r="W199" t="s">
        <v>1185</v>
      </c>
      <c r="X199" t="s">
        <v>599</v>
      </c>
      <c r="Y199" t="s">
        <v>599</v>
      </c>
      <c r="Z199" t="s">
        <v>2171</v>
      </c>
      <c r="AA199" t="s">
        <v>599</v>
      </c>
      <c r="AB199" t="s">
        <v>599</v>
      </c>
      <c r="AC199" t="s">
        <v>2172</v>
      </c>
      <c r="AD199" t="s">
        <v>1188</v>
      </c>
      <c r="AE199" t="s">
        <v>2173</v>
      </c>
      <c r="AF199" t="s">
        <v>1190</v>
      </c>
    </row>
    <row r="200" spans="1:32" s="13" customFormat="1" ht="105" x14ac:dyDescent="0.25">
      <c r="A200" s="10">
        <v>1888900</v>
      </c>
      <c r="B200" s="10">
        <v>1</v>
      </c>
      <c r="C200" s="9">
        <v>167</v>
      </c>
      <c r="D200" s="56" t="s">
        <v>824</v>
      </c>
      <c r="E200" s="12" t="s">
        <v>227</v>
      </c>
      <c r="F200" s="45"/>
      <c r="G200" s="45"/>
      <c r="H200" s="45"/>
      <c r="I200">
        <v>1888900</v>
      </c>
      <c r="J200" t="s">
        <v>226</v>
      </c>
      <c r="K200" t="s">
        <v>599</v>
      </c>
      <c r="L200" t="s">
        <v>1178</v>
      </c>
      <c r="M200" t="s">
        <v>1192</v>
      </c>
      <c r="N200" t="s">
        <v>599</v>
      </c>
      <c r="O200" t="s">
        <v>1193</v>
      </c>
      <c r="P200" t="s">
        <v>599</v>
      </c>
      <c r="Q200" t="s">
        <v>599</v>
      </c>
      <c r="R200" t="s">
        <v>1182</v>
      </c>
      <c r="S200" t="s">
        <v>2169</v>
      </c>
      <c r="T200">
        <v>1958</v>
      </c>
      <c r="U200">
        <v>1958</v>
      </c>
      <c r="V200" t="s">
        <v>2170</v>
      </c>
      <c r="W200" t="s">
        <v>1185</v>
      </c>
      <c r="X200" t="s">
        <v>599</v>
      </c>
      <c r="Y200" t="s">
        <v>599</v>
      </c>
      <c r="Z200" t="s">
        <v>2171</v>
      </c>
      <c r="AA200" t="s">
        <v>599</v>
      </c>
      <c r="AB200" t="s">
        <v>599</v>
      </c>
      <c r="AC200" t="s">
        <v>2172</v>
      </c>
      <c r="AD200" t="s">
        <v>1188</v>
      </c>
      <c r="AE200" t="s">
        <v>2173</v>
      </c>
      <c r="AF200" t="s">
        <v>1190</v>
      </c>
    </row>
    <row r="201" spans="1:32" s="13" customFormat="1" ht="105" x14ac:dyDescent="0.25">
      <c r="A201" s="10">
        <v>1888900</v>
      </c>
      <c r="B201" s="10">
        <v>1</v>
      </c>
      <c r="C201" s="9">
        <v>168</v>
      </c>
      <c r="D201" s="56" t="s">
        <v>825</v>
      </c>
      <c r="E201" s="12" t="s">
        <v>227</v>
      </c>
      <c r="F201" s="45"/>
      <c r="G201" s="45"/>
      <c r="H201" s="45"/>
      <c r="I201">
        <v>1888900</v>
      </c>
      <c r="J201" t="s">
        <v>226</v>
      </c>
      <c r="K201" t="s">
        <v>599</v>
      </c>
      <c r="L201" t="s">
        <v>1178</v>
      </c>
      <c r="M201" t="s">
        <v>1192</v>
      </c>
      <c r="N201" t="s">
        <v>599</v>
      </c>
      <c r="O201" t="s">
        <v>1193</v>
      </c>
      <c r="P201" t="s">
        <v>599</v>
      </c>
      <c r="Q201" t="s">
        <v>599</v>
      </c>
      <c r="R201" t="s">
        <v>1182</v>
      </c>
      <c r="S201" t="s">
        <v>2169</v>
      </c>
      <c r="T201">
        <v>1958</v>
      </c>
      <c r="U201">
        <v>1958</v>
      </c>
      <c r="V201" t="s">
        <v>2170</v>
      </c>
      <c r="W201" t="s">
        <v>1185</v>
      </c>
      <c r="X201" t="s">
        <v>599</v>
      </c>
      <c r="Y201" t="s">
        <v>599</v>
      </c>
      <c r="Z201" t="s">
        <v>2171</v>
      </c>
      <c r="AA201" t="s">
        <v>599</v>
      </c>
      <c r="AB201" t="s">
        <v>599</v>
      </c>
      <c r="AC201" t="s">
        <v>2172</v>
      </c>
      <c r="AD201" t="s">
        <v>1188</v>
      </c>
      <c r="AE201" t="s">
        <v>2173</v>
      </c>
      <c r="AF201" t="s">
        <v>1190</v>
      </c>
    </row>
    <row r="202" spans="1:32" s="13" customFormat="1" ht="105" x14ac:dyDescent="0.25">
      <c r="A202" s="10">
        <v>1888900</v>
      </c>
      <c r="B202" s="10">
        <v>1</v>
      </c>
      <c r="C202" s="9">
        <v>241</v>
      </c>
      <c r="D202" s="56" t="s">
        <v>826</v>
      </c>
      <c r="E202" s="12" t="s">
        <v>227</v>
      </c>
      <c r="F202" s="45" t="s">
        <v>3900</v>
      </c>
      <c r="G202" s="45"/>
      <c r="H202" s="45"/>
      <c r="I202">
        <v>1888900</v>
      </c>
      <c r="J202" t="s">
        <v>226</v>
      </c>
      <c r="K202" t="s">
        <v>2168</v>
      </c>
      <c r="L202" t="s">
        <v>1178</v>
      </c>
      <c r="M202" t="s">
        <v>1192</v>
      </c>
      <c r="N202" t="s">
        <v>599</v>
      </c>
      <c r="O202" t="s">
        <v>1193</v>
      </c>
      <c r="P202" t="s">
        <v>599</v>
      </c>
      <c r="Q202" t="s">
        <v>599</v>
      </c>
      <c r="R202" t="s">
        <v>1182</v>
      </c>
      <c r="S202" t="s">
        <v>2169</v>
      </c>
      <c r="T202">
        <v>1958</v>
      </c>
      <c r="U202">
        <v>1958</v>
      </c>
      <c r="V202" t="s">
        <v>2170</v>
      </c>
      <c r="W202" t="s">
        <v>1185</v>
      </c>
      <c r="X202" t="s">
        <v>599</v>
      </c>
      <c r="Y202" t="s">
        <v>599</v>
      </c>
      <c r="Z202" t="s">
        <v>2171</v>
      </c>
      <c r="AA202" t="s">
        <v>599</v>
      </c>
      <c r="AB202" t="s">
        <v>599</v>
      </c>
      <c r="AC202" t="s">
        <v>2172</v>
      </c>
      <c r="AD202" t="s">
        <v>1188</v>
      </c>
      <c r="AE202" t="s">
        <v>2173</v>
      </c>
      <c r="AF202" t="s">
        <v>1190</v>
      </c>
    </row>
    <row r="203" spans="1:32" s="13" customFormat="1" ht="105" x14ac:dyDescent="0.25">
      <c r="A203" s="10">
        <v>1888900</v>
      </c>
      <c r="B203" s="10">
        <v>1</v>
      </c>
      <c r="C203" s="9">
        <v>329</v>
      </c>
      <c r="D203" s="56" t="s">
        <v>827</v>
      </c>
      <c r="E203" s="12" t="s">
        <v>227</v>
      </c>
      <c r="F203" s="45" t="s">
        <v>3901</v>
      </c>
      <c r="G203" s="45"/>
      <c r="H203" s="45"/>
      <c r="I203">
        <v>1888900</v>
      </c>
      <c r="J203" t="s">
        <v>226</v>
      </c>
      <c r="K203" t="s">
        <v>599</v>
      </c>
      <c r="L203" t="s">
        <v>1178</v>
      </c>
      <c r="M203" t="s">
        <v>1192</v>
      </c>
      <c r="N203" t="s">
        <v>599</v>
      </c>
      <c r="O203" t="s">
        <v>1193</v>
      </c>
      <c r="P203" t="s">
        <v>599</v>
      </c>
      <c r="Q203" t="s">
        <v>599</v>
      </c>
      <c r="R203" t="s">
        <v>1182</v>
      </c>
      <c r="S203" t="s">
        <v>2169</v>
      </c>
      <c r="T203">
        <v>1958</v>
      </c>
      <c r="U203">
        <v>1958</v>
      </c>
      <c r="V203" t="s">
        <v>2170</v>
      </c>
      <c r="W203" t="s">
        <v>1185</v>
      </c>
      <c r="X203" t="s">
        <v>599</v>
      </c>
      <c r="Y203" t="s">
        <v>599</v>
      </c>
      <c r="Z203" t="s">
        <v>2171</v>
      </c>
      <c r="AA203" t="s">
        <v>599</v>
      </c>
      <c r="AB203" t="s">
        <v>599</v>
      </c>
      <c r="AC203" t="s">
        <v>2172</v>
      </c>
      <c r="AD203" t="s">
        <v>1188</v>
      </c>
      <c r="AE203" t="s">
        <v>2173</v>
      </c>
      <c r="AF203" t="s">
        <v>1190</v>
      </c>
    </row>
    <row r="204" spans="1:32" s="13" customFormat="1" ht="105" x14ac:dyDescent="0.25">
      <c r="A204" s="10">
        <v>1888900</v>
      </c>
      <c r="B204" s="10">
        <v>1</v>
      </c>
      <c r="C204" s="9">
        <v>330</v>
      </c>
      <c r="D204" s="56" t="s">
        <v>828</v>
      </c>
      <c r="E204" s="12" t="s">
        <v>227</v>
      </c>
      <c r="F204" s="45"/>
      <c r="G204" s="45"/>
      <c r="H204" s="45"/>
      <c r="I204">
        <v>1888900</v>
      </c>
      <c r="J204" t="s">
        <v>226</v>
      </c>
      <c r="K204" t="s">
        <v>2168</v>
      </c>
      <c r="L204" t="s">
        <v>1178</v>
      </c>
      <c r="M204" t="s">
        <v>1192</v>
      </c>
      <c r="N204" t="s">
        <v>599</v>
      </c>
      <c r="O204" t="s">
        <v>1193</v>
      </c>
      <c r="P204" t="s">
        <v>599</v>
      </c>
      <c r="Q204" t="s">
        <v>599</v>
      </c>
      <c r="R204" t="s">
        <v>1182</v>
      </c>
      <c r="S204" t="s">
        <v>2169</v>
      </c>
      <c r="T204">
        <v>1958</v>
      </c>
      <c r="U204">
        <v>1958</v>
      </c>
      <c r="V204" t="s">
        <v>2170</v>
      </c>
      <c r="W204" t="s">
        <v>1185</v>
      </c>
      <c r="X204" t="s">
        <v>599</v>
      </c>
      <c r="Y204" t="s">
        <v>599</v>
      </c>
      <c r="Z204" t="s">
        <v>2171</v>
      </c>
      <c r="AA204" t="s">
        <v>599</v>
      </c>
      <c r="AB204" t="s">
        <v>599</v>
      </c>
      <c r="AC204" t="s">
        <v>2172</v>
      </c>
      <c r="AD204" t="s">
        <v>1188</v>
      </c>
      <c r="AE204" t="s">
        <v>2173</v>
      </c>
      <c r="AF204" t="s">
        <v>1190</v>
      </c>
    </row>
    <row r="205" spans="1:32" s="13" customFormat="1" ht="105" x14ac:dyDescent="0.25">
      <c r="A205" s="10">
        <v>1888900</v>
      </c>
      <c r="B205" s="10">
        <v>1</v>
      </c>
      <c r="C205" s="9">
        <v>389</v>
      </c>
      <c r="D205" s="56" t="s">
        <v>829</v>
      </c>
      <c r="E205" s="12" t="s">
        <v>227</v>
      </c>
      <c r="F205" s="45"/>
      <c r="G205" s="45"/>
      <c r="H205" s="45"/>
      <c r="I205">
        <v>1888900</v>
      </c>
      <c r="J205" t="s">
        <v>226</v>
      </c>
      <c r="K205" t="s">
        <v>2168</v>
      </c>
      <c r="L205" t="s">
        <v>1178</v>
      </c>
      <c r="M205" t="s">
        <v>1192</v>
      </c>
      <c r="N205" t="s">
        <v>599</v>
      </c>
      <c r="O205" t="s">
        <v>1193</v>
      </c>
      <c r="P205" t="s">
        <v>599</v>
      </c>
      <c r="Q205" t="s">
        <v>599</v>
      </c>
      <c r="R205" t="s">
        <v>1182</v>
      </c>
      <c r="S205" t="s">
        <v>2169</v>
      </c>
      <c r="T205">
        <v>1958</v>
      </c>
      <c r="U205">
        <v>1958</v>
      </c>
      <c r="V205" t="s">
        <v>2170</v>
      </c>
      <c r="W205" t="s">
        <v>1185</v>
      </c>
      <c r="X205" t="s">
        <v>599</v>
      </c>
      <c r="Y205" t="s">
        <v>599</v>
      </c>
      <c r="Z205" t="s">
        <v>2171</v>
      </c>
      <c r="AA205" t="s">
        <v>599</v>
      </c>
      <c r="AB205" t="s">
        <v>599</v>
      </c>
      <c r="AC205" t="s">
        <v>2172</v>
      </c>
      <c r="AD205" t="s">
        <v>1188</v>
      </c>
      <c r="AE205" t="s">
        <v>2173</v>
      </c>
      <c r="AF205" t="s">
        <v>1190</v>
      </c>
    </row>
    <row r="206" spans="1:32" s="13" customFormat="1" ht="105" x14ac:dyDescent="0.25">
      <c r="A206" s="10">
        <v>1888900</v>
      </c>
      <c r="B206" s="10">
        <v>1</v>
      </c>
      <c r="C206" s="9">
        <v>390</v>
      </c>
      <c r="D206" s="56" t="s">
        <v>830</v>
      </c>
      <c r="E206" s="12" t="s">
        <v>227</v>
      </c>
      <c r="F206" s="45"/>
      <c r="G206" s="45"/>
      <c r="H206" s="45"/>
      <c r="I206">
        <v>1888900</v>
      </c>
      <c r="J206" t="s">
        <v>226</v>
      </c>
      <c r="K206" t="s">
        <v>2168</v>
      </c>
      <c r="L206" t="s">
        <v>1178</v>
      </c>
      <c r="M206" t="s">
        <v>1192</v>
      </c>
      <c r="N206" t="s">
        <v>599</v>
      </c>
      <c r="O206" t="s">
        <v>1193</v>
      </c>
      <c r="P206" t="s">
        <v>599</v>
      </c>
      <c r="Q206" t="s">
        <v>599</v>
      </c>
      <c r="R206" t="s">
        <v>1182</v>
      </c>
      <c r="S206" t="s">
        <v>2169</v>
      </c>
      <c r="T206">
        <v>1958</v>
      </c>
      <c r="U206">
        <v>1958</v>
      </c>
      <c r="V206" t="s">
        <v>2170</v>
      </c>
      <c r="W206" t="s">
        <v>1185</v>
      </c>
      <c r="X206" t="s">
        <v>599</v>
      </c>
      <c r="Y206" t="s">
        <v>599</v>
      </c>
      <c r="Z206" t="s">
        <v>2171</v>
      </c>
      <c r="AA206" t="s">
        <v>599</v>
      </c>
      <c r="AB206" t="s">
        <v>599</v>
      </c>
      <c r="AC206" t="s">
        <v>2172</v>
      </c>
      <c r="AD206" t="s">
        <v>1188</v>
      </c>
      <c r="AE206" t="s">
        <v>2173</v>
      </c>
      <c r="AF206" t="s">
        <v>1190</v>
      </c>
    </row>
    <row r="207" spans="1:32" s="13" customFormat="1" ht="105" x14ac:dyDescent="0.25">
      <c r="A207" s="10">
        <v>1888900</v>
      </c>
      <c r="B207" s="10">
        <v>1</v>
      </c>
      <c r="C207" s="9">
        <v>449</v>
      </c>
      <c r="D207" s="56" t="s">
        <v>831</v>
      </c>
      <c r="E207" s="12" t="s">
        <v>227</v>
      </c>
      <c r="F207" s="45"/>
      <c r="G207" s="45"/>
      <c r="H207" s="45"/>
      <c r="I207">
        <v>1888900</v>
      </c>
      <c r="J207" t="s">
        <v>226</v>
      </c>
      <c r="K207" t="s">
        <v>599</v>
      </c>
      <c r="L207" t="s">
        <v>1178</v>
      </c>
      <c r="M207" t="s">
        <v>1192</v>
      </c>
      <c r="N207" t="s">
        <v>599</v>
      </c>
      <c r="O207" t="s">
        <v>1193</v>
      </c>
      <c r="P207" t="s">
        <v>599</v>
      </c>
      <c r="Q207" t="s">
        <v>599</v>
      </c>
      <c r="R207" t="s">
        <v>1182</v>
      </c>
      <c r="S207" t="s">
        <v>2169</v>
      </c>
      <c r="T207">
        <v>1958</v>
      </c>
      <c r="U207">
        <v>1958</v>
      </c>
      <c r="V207" t="s">
        <v>2170</v>
      </c>
      <c r="W207" t="s">
        <v>1185</v>
      </c>
      <c r="X207" t="s">
        <v>599</v>
      </c>
      <c r="Y207" t="s">
        <v>599</v>
      </c>
      <c r="Z207" t="s">
        <v>2171</v>
      </c>
      <c r="AA207" t="s">
        <v>599</v>
      </c>
      <c r="AB207" t="s">
        <v>599</v>
      </c>
      <c r="AC207" t="s">
        <v>2172</v>
      </c>
      <c r="AD207" t="s">
        <v>1188</v>
      </c>
      <c r="AE207" t="s">
        <v>2173</v>
      </c>
      <c r="AF207" t="s">
        <v>1190</v>
      </c>
    </row>
    <row r="208" spans="1:32" s="13" customFormat="1" ht="105" x14ac:dyDescent="0.25">
      <c r="A208" s="10">
        <v>1888900</v>
      </c>
      <c r="B208" s="10">
        <v>1</v>
      </c>
      <c r="C208" s="9">
        <v>450</v>
      </c>
      <c r="D208" s="56" t="s">
        <v>832</v>
      </c>
      <c r="E208" s="12" t="s">
        <v>227</v>
      </c>
      <c r="F208" s="45"/>
      <c r="G208" s="45"/>
      <c r="H208" s="45"/>
      <c r="I208">
        <v>1888900</v>
      </c>
      <c r="J208" t="s">
        <v>226</v>
      </c>
      <c r="K208" t="s">
        <v>2168</v>
      </c>
      <c r="L208" t="s">
        <v>1178</v>
      </c>
      <c r="M208" t="s">
        <v>1192</v>
      </c>
      <c r="N208" t="s">
        <v>599</v>
      </c>
      <c r="O208" t="s">
        <v>1193</v>
      </c>
      <c r="P208" t="s">
        <v>599</v>
      </c>
      <c r="Q208" t="s">
        <v>599</v>
      </c>
      <c r="R208" t="s">
        <v>1182</v>
      </c>
      <c r="S208" t="s">
        <v>2169</v>
      </c>
      <c r="T208">
        <v>1958</v>
      </c>
      <c r="U208">
        <v>1958</v>
      </c>
      <c r="V208" t="s">
        <v>2170</v>
      </c>
      <c r="W208" t="s">
        <v>1185</v>
      </c>
      <c r="X208" t="s">
        <v>599</v>
      </c>
      <c r="Y208" t="s">
        <v>599</v>
      </c>
      <c r="Z208" t="s">
        <v>2171</v>
      </c>
      <c r="AA208" t="s">
        <v>599</v>
      </c>
      <c r="AB208" t="s">
        <v>599</v>
      </c>
      <c r="AC208" t="s">
        <v>2172</v>
      </c>
      <c r="AD208" t="s">
        <v>1188</v>
      </c>
      <c r="AE208" t="s">
        <v>2173</v>
      </c>
      <c r="AF208" t="s">
        <v>1190</v>
      </c>
    </row>
    <row r="209" spans="1:32" s="13" customFormat="1" ht="105" x14ac:dyDescent="0.25">
      <c r="A209" s="10">
        <v>1888900</v>
      </c>
      <c r="B209" s="10">
        <v>1</v>
      </c>
      <c r="C209" s="9">
        <v>505</v>
      </c>
      <c r="D209" s="56" t="s">
        <v>833</v>
      </c>
      <c r="E209" s="12" t="s">
        <v>227</v>
      </c>
      <c r="F209" s="45"/>
      <c r="G209" s="45"/>
      <c r="H209" s="45"/>
      <c r="I209">
        <v>1888900</v>
      </c>
      <c r="J209" t="s">
        <v>226</v>
      </c>
      <c r="K209" t="s">
        <v>599</v>
      </c>
      <c r="L209" t="s">
        <v>1178</v>
      </c>
      <c r="M209" t="s">
        <v>1192</v>
      </c>
      <c r="N209" t="s">
        <v>599</v>
      </c>
      <c r="O209" t="s">
        <v>1193</v>
      </c>
      <c r="P209" t="s">
        <v>599</v>
      </c>
      <c r="Q209" t="s">
        <v>599</v>
      </c>
      <c r="R209" t="s">
        <v>1182</v>
      </c>
      <c r="S209" t="s">
        <v>2169</v>
      </c>
      <c r="T209">
        <v>1958</v>
      </c>
      <c r="U209">
        <v>1958</v>
      </c>
      <c r="V209" t="s">
        <v>2170</v>
      </c>
      <c r="W209" t="s">
        <v>1185</v>
      </c>
      <c r="X209" t="s">
        <v>599</v>
      </c>
      <c r="Y209" t="s">
        <v>599</v>
      </c>
      <c r="Z209" t="s">
        <v>2171</v>
      </c>
      <c r="AA209" t="s">
        <v>599</v>
      </c>
      <c r="AB209" t="s">
        <v>599</v>
      </c>
      <c r="AC209" t="s">
        <v>2172</v>
      </c>
      <c r="AD209" t="s">
        <v>1188</v>
      </c>
      <c r="AE209" t="s">
        <v>2173</v>
      </c>
      <c r="AF209" t="s">
        <v>1190</v>
      </c>
    </row>
    <row r="210" spans="1:32" s="13" customFormat="1" ht="105" x14ac:dyDescent="0.25">
      <c r="A210" s="10">
        <v>1888900</v>
      </c>
      <c r="B210" s="10">
        <v>1</v>
      </c>
      <c r="C210" s="9">
        <v>506</v>
      </c>
      <c r="D210" s="56" t="s">
        <v>834</v>
      </c>
      <c r="E210" s="12" t="s">
        <v>227</v>
      </c>
      <c r="F210" s="45"/>
      <c r="G210" s="45"/>
      <c r="H210" s="45"/>
      <c r="I210">
        <v>1888900</v>
      </c>
      <c r="J210" t="s">
        <v>226</v>
      </c>
      <c r="K210" t="s">
        <v>599</v>
      </c>
      <c r="L210" t="s">
        <v>1178</v>
      </c>
      <c r="M210" t="s">
        <v>1192</v>
      </c>
      <c r="N210" t="s">
        <v>599</v>
      </c>
      <c r="O210" t="s">
        <v>1193</v>
      </c>
      <c r="P210" t="s">
        <v>599</v>
      </c>
      <c r="Q210" t="s">
        <v>599</v>
      </c>
      <c r="R210" t="s">
        <v>1182</v>
      </c>
      <c r="S210" t="s">
        <v>2169</v>
      </c>
      <c r="T210">
        <v>1958</v>
      </c>
      <c r="U210">
        <v>1958</v>
      </c>
      <c r="V210" t="s">
        <v>2170</v>
      </c>
      <c r="W210" t="s">
        <v>1185</v>
      </c>
      <c r="X210" t="s">
        <v>599</v>
      </c>
      <c r="Y210" t="s">
        <v>599</v>
      </c>
      <c r="Z210" t="s">
        <v>2171</v>
      </c>
      <c r="AA210" t="s">
        <v>599</v>
      </c>
      <c r="AB210" t="s">
        <v>599</v>
      </c>
      <c r="AC210" t="s">
        <v>2172</v>
      </c>
      <c r="AD210" t="s">
        <v>1188</v>
      </c>
      <c r="AE210" t="s">
        <v>2173</v>
      </c>
      <c r="AF210" t="s">
        <v>1190</v>
      </c>
    </row>
    <row r="211" spans="1:32" s="13" customFormat="1" ht="105" x14ac:dyDescent="0.25">
      <c r="A211" s="10">
        <v>1888900</v>
      </c>
      <c r="B211" s="10">
        <v>1</v>
      </c>
      <c r="C211" s="9">
        <v>559</v>
      </c>
      <c r="D211" s="56" t="s">
        <v>835</v>
      </c>
      <c r="E211" s="12" t="s">
        <v>227</v>
      </c>
      <c r="F211" s="45"/>
      <c r="G211" s="45"/>
      <c r="H211" s="45"/>
      <c r="I211">
        <v>1888900</v>
      </c>
      <c r="J211" t="s">
        <v>226</v>
      </c>
      <c r="K211" t="s">
        <v>2168</v>
      </c>
      <c r="L211" t="s">
        <v>1178</v>
      </c>
      <c r="M211" t="s">
        <v>1192</v>
      </c>
      <c r="N211" t="s">
        <v>599</v>
      </c>
      <c r="O211" t="s">
        <v>1193</v>
      </c>
      <c r="P211" t="s">
        <v>599</v>
      </c>
      <c r="Q211" t="s">
        <v>599</v>
      </c>
      <c r="R211" t="s">
        <v>1182</v>
      </c>
      <c r="S211" t="s">
        <v>2169</v>
      </c>
      <c r="T211">
        <v>1958</v>
      </c>
      <c r="U211">
        <v>1958</v>
      </c>
      <c r="V211" t="s">
        <v>2170</v>
      </c>
      <c r="W211" t="s">
        <v>1185</v>
      </c>
      <c r="X211" t="s">
        <v>599</v>
      </c>
      <c r="Y211" t="s">
        <v>599</v>
      </c>
      <c r="Z211" t="s">
        <v>2171</v>
      </c>
      <c r="AA211" t="s">
        <v>599</v>
      </c>
      <c r="AB211" t="s">
        <v>599</v>
      </c>
      <c r="AC211" t="s">
        <v>2172</v>
      </c>
      <c r="AD211" t="s">
        <v>1188</v>
      </c>
      <c r="AE211" t="s">
        <v>2173</v>
      </c>
      <c r="AF211" t="s">
        <v>1190</v>
      </c>
    </row>
    <row r="212" spans="1:32" s="13" customFormat="1" ht="105" x14ac:dyDescent="0.25">
      <c r="A212" s="10">
        <v>1888900</v>
      </c>
      <c r="B212" s="10">
        <v>1</v>
      </c>
      <c r="C212" s="9">
        <v>560</v>
      </c>
      <c r="D212" s="56" t="s">
        <v>836</v>
      </c>
      <c r="E212" s="12" t="s">
        <v>227</v>
      </c>
      <c r="F212" s="45"/>
      <c r="G212" s="45"/>
      <c r="H212" s="45"/>
      <c r="I212">
        <v>1888900</v>
      </c>
      <c r="J212" t="s">
        <v>226</v>
      </c>
      <c r="K212" t="s">
        <v>2168</v>
      </c>
      <c r="L212" t="s">
        <v>1178</v>
      </c>
      <c r="M212" t="s">
        <v>1192</v>
      </c>
      <c r="N212" t="s">
        <v>599</v>
      </c>
      <c r="O212" t="s">
        <v>1193</v>
      </c>
      <c r="P212" t="s">
        <v>599</v>
      </c>
      <c r="Q212" t="s">
        <v>599</v>
      </c>
      <c r="R212" t="s">
        <v>1182</v>
      </c>
      <c r="S212" t="s">
        <v>2169</v>
      </c>
      <c r="T212">
        <v>1958</v>
      </c>
      <c r="U212">
        <v>1958</v>
      </c>
      <c r="V212" t="s">
        <v>2170</v>
      </c>
      <c r="W212" t="s">
        <v>1185</v>
      </c>
      <c r="X212" t="s">
        <v>599</v>
      </c>
      <c r="Y212" t="s">
        <v>599</v>
      </c>
      <c r="Z212" t="s">
        <v>2171</v>
      </c>
      <c r="AA212" t="s">
        <v>599</v>
      </c>
      <c r="AB212" t="s">
        <v>599</v>
      </c>
      <c r="AC212" t="s">
        <v>2172</v>
      </c>
      <c r="AD212" t="s">
        <v>1188</v>
      </c>
      <c r="AE212" t="s">
        <v>2173</v>
      </c>
      <c r="AF212" t="s">
        <v>1190</v>
      </c>
    </row>
    <row r="213" spans="1:32" s="13" customFormat="1" ht="105" x14ac:dyDescent="0.25">
      <c r="A213" s="10">
        <v>1888900</v>
      </c>
      <c r="B213" s="10">
        <v>1</v>
      </c>
      <c r="C213" s="9">
        <v>615</v>
      </c>
      <c r="D213" s="56" t="s">
        <v>837</v>
      </c>
      <c r="E213" s="12" t="s">
        <v>227</v>
      </c>
      <c r="F213" s="45"/>
      <c r="G213" s="45"/>
      <c r="H213" s="45"/>
      <c r="I213">
        <v>1888900</v>
      </c>
      <c r="J213" t="s">
        <v>226</v>
      </c>
      <c r="K213" t="s">
        <v>599</v>
      </c>
      <c r="L213" t="s">
        <v>1178</v>
      </c>
      <c r="M213" t="s">
        <v>1192</v>
      </c>
      <c r="N213" t="s">
        <v>599</v>
      </c>
      <c r="O213" t="s">
        <v>1193</v>
      </c>
      <c r="P213" t="s">
        <v>599</v>
      </c>
      <c r="Q213" t="s">
        <v>599</v>
      </c>
      <c r="R213" t="s">
        <v>1182</v>
      </c>
      <c r="S213" t="s">
        <v>2169</v>
      </c>
      <c r="T213">
        <v>1958</v>
      </c>
      <c r="U213">
        <v>1958</v>
      </c>
      <c r="V213" t="s">
        <v>2170</v>
      </c>
      <c r="W213" t="s">
        <v>1185</v>
      </c>
      <c r="X213" t="s">
        <v>599</v>
      </c>
      <c r="Y213" t="s">
        <v>599</v>
      </c>
      <c r="Z213" t="s">
        <v>2171</v>
      </c>
      <c r="AA213" t="s">
        <v>599</v>
      </c>
      <c r="AB213" t="s">
        <v>599</v>
      </c>
      <c r="AC213" t="s">
        <v>2172</v>
      </c>
      <c r="AD213" t="s">
        <v>1188</v>
      </c>
      <c r="AE213" t="s">
        <v>2173</v>
      </c>
      <c r="AF213" t="s">
        <v>1190</v>
      </c>
    </row>
    <row r="214" spans="1:32" s="13" customFormat="1" ht="105" x14ac:dyDescent="0.25">
      <c r="A214" s="10">
        <v>1888900</v>
      </c>
      <c r="B214" s="10">
        <v>1</v>
      </c>
      <c r="C214" s="9">
        <v>616</v>
      </c>
      <c r="D214" s="56" t="s">
        <v>838</v>
      </c>
      <c r="E214" s="12" t="s">
        <v>227</v>
      </c>
      <c r="F214" s="45"/>
      <c r="G214" s="45"/>
      <c r="H214" s="45"/>
      <c r="I214">
        <v>1888900</v>
      </c>
      <c r="J214" t="s">
        <v>226</v>
      </c>
      <c r="K214" t="s">
        <v>599</v>
      </c>
      <c r="L214" t="s">
        <v>1178</v>
      </c>
      <c r="M214" t="s">
        <v>1192</v>
      </c>
      <c r="N214" t="s">
        <v>599</v>
      </c>
      <c r="O214" t="s">
        <v>1193</v>
      </c>
      <c r="P214" t="s">
        <v>599</v>
      </c>
      <c r="Q214" t="s">
        <v>599</v>
      </c>
      <c r="R214" t="s">
        <v>1182</v>
      </c>
      <c r="S214" t="s">
        <v>2169</v>
      </c>
      <c r="T214">
        <v>1958</v>
      </c>
      <c r="U214">
        <v>1958</v>
      </c>
      <c r="V214" t="s">
        <v>2170</v>
      </c>
      <c r="W214" t="s">
        <v>1185</v>
      </c>
      <c r="X214" t="s">
        <v>599</v>
      </c>
      <c r="Y214" t="s">
        <v>599</v>
      </c>
      <c r="Z214" t="s">
        <v>2171</v>
      </c>
      <c r="AA214" t="s">
        <v>599</v>
      </c>
      <c r="AB214" t="s">
        <v>599</v>
      </c>
      <c r="AC214" t="s">
        <v>2172</v>
      </c>
      <c r="AD214" t="s">
        <v>1188</v>
      </c>
      <c r="AE214" t="s">
        <v>2173</v>
      </c>
      <c r="AF214" t="s">
        <v>1190</v>
      </c>
    </row>
    <row r="215" spans="1:32" s="13" customFormat="1" ht="105" x14ac:dyDescent="0.25">
      <c r="A215" s="10">
        <v>1888900</v>
      </c>
      <c r="B215" s="10">
        <v>1</v>
      </c>
      <c r="C215" s="9">
        <v>670</v>
      </c>
      <c r="D215" s="56" t="s">
        <v>839</v>
      </c>
      <c r="E215" s="12" t="s">
        <v>227</v>
      </c>
      <c r="F215" s="45"/>
      <c r="G215" s="45"/>
      <c r="H215" s="45"/>
      <c r="I215">
        <v>1888900</v>
      </c>
      <c r="J215" t="s">
        <v>226</v>
      </c>
      <c r="K215" t="s">
        <v>599</v>
      </c>
      <c r="L215" t="s">
        <v>1178</v>
      </c>
      <c r="M215" t="s">
        <v>1192</v>
      </c>
      <c r="N215" t="s">
        <v>599</v>
      </c>
      <c r="O215" t="s">
        <v>1193</v>
      </c>
      <c r="P215" t="s">
        <v>599</v>
      </c>
      <c r="Q215" t="s">
        <v>599</v>
      </c>
      <c r="R215" t="s">
        <v>1182</v>
      </c>
      <c r="S215" t="s">
        <v>2169</v>
      </c>
      <c r="T215">
        <v>1958</v>
      </c>
      <c r="U215">
        <v>1958</v>
      </c>
      <c r="V215" t="s">
        <v>2170</v>
      </c>
      <c r="W215" t="s">
        <v>1185</v>
      </c>
      <c r="X215" t="s">
        <v>599</v>
      </c>
      <c r="Y215" t="s">
        <v>599</v>
      </c>
      <c r="Z215" t="s">
        <v>2171</v>
      </c>
      <c r="AA215" t="s">
        <v>599</v>
      </c>
      <c r="AB215" t="s">
        <v>599</v>
      </c>
      <c r="AC215" t="s">
        <v>2172</v>
      </c>
      <c r="AD215" t="s">
        <v>1188</v>
      </c>
      <c r="AE215" t="s">
        <v>2173</v>
      </c>
      <c r="AF215" t="s">
        <v>1190</v>
      </c>
    </row>
    <row r="216" spans="1:32" s="13" customFormat="1" ht="105" x14ac:dyDescent="0.25">
      <c r="A216" s="10">
        <v>1888900</v>
      </c>
      <c r="B216" s="10">
        <v>1</v>
      </c>
      <c r="C216" s="9">
        <v>671</v>
      </c>
      <c r="D216" s="56" t="s">
        <v>840</v>
      </c>
      <c r="E216" s="12" t="s">
        <v>227</v>
      </c>
      <c r="F216" s="45"/>
      <c r="G216" s="45"/>
      <c r="H216" s="45"/>
      <c r="I216">
        <v>1888900</v>
      </c>
      <c r="J216" t="s">
        <v>226</v>
      </c>
      <c r="K216" t="s">
        <v>599</v>
      </c>
      <c r="L216" t="s">
        <v>1178</v>
      </c>
      <c r="M216" t="s">
        <v>1192</v>
      </c>
      <c r="N216" t="s">
        <v>599</v>
      </c>
      <c r="O216" t="s">
        <v>1193</v>
      </c>
      <c r="P216" t="s">
        <v>599</v>
      </c>
      <c r="Q216" t="s">
        <v>599</v>
      </c>
      <c r="R216" t="s">
        <v>1182</v>
      </c>
      <c r="S216" t="s">
        <v>2169</v>
      </c>
      <c r="T216">
        <v>1958</v>
      </c>
      <c r="U216">
        <v>1958</v>
      </c>
      <c r="V216" t="s">
        <v>2170</v>
      </c>
      <c r="W216" t="s">
        <v>1185</v>
      </c>
      <c r="X216" t="s">
        <v>599</v>
      </c>
      <c r="Y216" t="s">
        <v>599</v>
      </c>
      <c r="Z216" t="s">
        <v>2171</v>
      </c>
      <c r="AA216" t="s">
        <v>599</v>
      </c>
      <c r="AB216" t="s">
        <v>599</v>
      </c>
      <c r="AC216" t="s">
        <v>2172</v>
      </c>
      <c r="AD216" t="s">
        <v>1188</v>
      </c>
      <c r="AE216" t="s">
        <v>2173</v>
      </c>
      <c r="AF216" t="s">
        <v>1190</v>
      </c>
    </row>
    <row r="217" spans="1:32" s="13" customFormat="1" ht="105" x14ac:dyDescent="0.25">
      <c r="A217" s="10">
        <v>1888900</v>
      </c>
      <c r="B217" s="10">
        <v>1</v>
      </c>
      <c r="C217" s="9">
        <v>672</v>
      </c>
      <c r="D217" s="56" t="s">
        <v>841</v>
      </c>
      <c r="E217" s="12" t="s">
        <v>227</v>
      </c>
      <c r="F217" s="45"/>
      <c r="G217" s="45"/>
      <c r="H217" s="45"/>
      <c r="I217">
        <v>1888900</v>
      </c>
      <c r="J217" t="s">
        <v>226</v>
      </c>
      <c r="K217" t="s">
        <v>599</v>
      </c>
      <c r="L217" t="s">
        <v>1178</v>
      </c>
      <c r="M217" t="s">
        <v>1192</v>
      </c>
      <c r="N217" t="s">
        <v>599</v>
      </c>
      <c r="O217" t="s">
        <v>1193</v>
      </c>
      <c r="P217" t="s">
        <v>599</v>
      </c>
      <c r="Q217" t="s">
        <v>599</v>
      </c>
      <c r="R217" t="s">
        <v>1182</v>
      </c>
      <c r="S217" t="s">
        <v>2169</v>
      </c>
      <c r="T217">
        <v>1958</v>
      </c>
      <c r="U217">
        <v>1958</v>
      </c>
      <c r="V217" t="s">
        <v>2170</v>
      </c>
      <c r="W217" t="s">
        <v>1185</v>
      </c>
      <c r="X217" t="s">
        <v>599</v>
      </c>
      <c r="Y217" t="s">
        <v>599</v>
      </c>
      <c r="Z217" t="s">
        <v>2171</v>
      </c>
      <c r="AA217" t="s">
        <v>599</v>
      </c>
      <c r="AB217" t="s">
        <v>599</v>
      </c>
      <c r="AC217" t="s">
        <v>2172</v>
      </c>
      <c r="AD217" t="s">
        <v>1188</v>
      </c>
      <c r="AE217" t="s">
        <v>2173</v>
      </c>
      <c r="AF217" t="s">
        <v>1190</v>
      </c>
    </row>
    <row r="218" spans="1:32" s="13" customFormat="1" ht="105" x14ac:dyDescent="0.25">
      <c r="A218" s="10">
        <v>1888900</v>
      </c>
      <c r="B218" s="10">
        <v>1</v>
      </c>
      <c r="C218" s="9">
        <v>792</v>
      </c>
      <c r="D218" s="56" t="s">
        <v>842</v>
      </c>
      <c r="E218" s="12" t="s">
        <v>227</v>
      </c>
      <c r="F218" s="45"/>
      <c r="G218" s="45"/>
      <c r="H218" s="45"/>
      <c r="I218">
        <v>1888900</v>
      </c>
      <c r="J218" t="s">
        <v>226</v>
      </c>
      <c r="K218" t="s">
        <v>2168</v>
      </c>
      <c r="L218" t="s">
        <v>1178</v>
      </c>
      <c r="M218" t="s">
        <v>1192</v>
      </c>
      <c r="N218" t="s">
        <v>599</v>
      </c>
      <c r="O218" t="s">
        <v>1193</v>
      </c>
      <c r="P218" t="s">
        <v>599</v>
      </c>
      <c r="Q218" t="s">
        <v>599</v>
      </c>
      <c r="R218" t="s">
        <v>1182</v>
      </c>
      <c r="S218" t="s">
        <v>2169</v>
      </c>
      <c r="T218">
        <v>1958</v>
      </c>
      <c r="U218">
        <v>1958</v>
      </c>
      <c r="V218" t="s">
        <v>2170</v>
      </c>
      <c r="W218" t="s">
        <v>1185</v>
      </c>
      <c r="X218" t="s">
        <v>599</v>
      </c>
      <c r="Y218" t="s">
        <v>599</v>
      </c>
      <c r="Z218" t="s">
        <v>2171</v>
      </c>
      <c r="AA218" t="s">
        <v>599</v>
      </c>
      <c r="AB218" t="s">
        <v>599</v>
      </c>
      <c r="AC218" t="s">
        <v>2172</v>
      </c>
      <c r="AD218" t="s">
        <v>1188</v>
      </c>
      <c r="AE218" t="s">
        <v>2173</v>
      </c>
      <c r="AF218" t="s">
        <v>1190</v>
      </c>
    </row>
    <row r="219" spans="1:32" s="13" customFormat="1" ht="105" x14ac:dyDescent="0.25">
      <c r="A219" s="10">
        <v>1888900</v>
      </c>
      <c r="B219" s="10">
        <v>1</v>
      </c>
      <c r="C219" s="9">
        <v>793</v>
      </c>
      <c r="D219" s="56" t="s">
        <v>843</v>
      </c>
      <c r="E219" s="12" t="s">
        <v>227</v>
      </c>
      <c r="F219" s="45"/>
      <c r="G219" s="45"/>
      <c r="H219" s="45"/>
      <c r="I219">
        <v>1888900</v>
      </c>
      <c r="J219" t="s">
        <v>226</v>
      </c>
      <c r="K219" t="s">
        <v>599</v>
      </c>
      <c r="L219" t="s">
        <v>1178</v>
      </c>
      <c r="M219" t="s">
        <v>1192</v>
      </c>
      <c r="N219" t="s">
        <v>599</v>
      </c>
      <c r="O219" t="s">
        <v>1193</v>
      </c>
      <c r="P219" t="s">
        <v>599</v>
      </c>
      <c r="Q219" t="s">
        <v>599</v>
      </c>
      <c r="R219" t="s">
        <v>1182</v>
      </c>
      <c r="S219" t="s">
        <v>2169</v>
      </c>
      <c r="T219">
        <v>1958</v>
      </c>
      <c r="U219">
        <v>1958</v>
      </c>
      <c r="V219" t="s">
        <v>2170</v>
      </c>
      <c r="W219" t="s">
        <v>1185</v>
      </c>
      <c r="X219" t="s">
        <v>599</v>
      </c>
      <c r="Y219" t="s">
        <v>599</v>
      </c>
      <c r="Z219" t="s">
        <v>2171</v>
      </c>
      <c r="AA219" t="s">
        <v>599</v>
      </c>
      <c r="AB219" t="s">
        <v>599</v>
      </c>
      <c r="AC219" t="s">
        <v>2172</v>
      </c>
      <c r="AD219" t="s">
        <v>1188</v>
      </c>
      <c r="AE219" t="s">
        <v>2173</v>
      </c>
      <c r="AF219" t="s">
        <v>1190</v>
      </c>
    </row>
    <row r="220" spans="1:32" s="13" customFormat="1" ht="105" x14ac:dyDescent="0.25">
      <c r="A220" s="10">
        <v>1888900</v>
      </c>
      <c r="B220" s="10">
        <v>1</v>
      </c>
      <c r="C220" s="9">
        <v>794</v>
      </c>
      <c r="D220" s="56" t="s">
        <v>844</v>
      </c>
      <c r="E220" s="12" t="s">
        <v>227</v>
      </c>
      <c r="F220" s="45"/>
      <c r="G220" s="45"/>
      <c r="H220" s="45"/>
      <c r="I220">
        <v>1888900</v>
      </c>
      <c r="J220" t="s">
        <v>226</v>
      </c>
      <c r="K220" t="s">
        <v>599</v>
      </c>
      <c r="L220" t="s">
        <v>1178</v>
      </c>
      <c r="M220" t="s">
        <v>1192</v>
      </c>
      <c r="N220" t="s">
        <v>599</v>
      </c>
      <c r="O220" t="s">
        <v>1193</v>
      </c>
      <c r="P220" t="s">
        <v>599</v>
      </c>
      <c r="Q220" t="s">
        <v>599</v>
      </c>
      <c r="R220" t="s">
        <v>1182</v>
      </c>
      <c r="S220" t="s">
        <v>2169</v>
      </c>
      <c r="T220">
        <v>1958</v>
      </c>
      <c r="U220">
        <v>1958</v>
      </c>
      <c r="V220" t="s">
        <v>2170</v>
      </c>
      <c r="W220" t="s">
        <v>1185</v>
      </c>
      <c r="X220" t="s">
        <v>599</v>
      </c>
      <c r="Y220" t="s">
        <v>599</v>
      </c>
      <c r="Z220" t="s">
        <v>2171</v>
      </c>
      <c r="AA220" t="s">
        <v>599</v>
      </c>
      <c r="AB220" t="s">
        <v>599</v>
      </c>
      <c r="AC220" t="s">
        <v>2172</v>
      </c>
      <c r="AD220" t="s">
        <v>1188</v>
      </c>
      <c r="AE220" t="s">
        <v>2173</v>
      </c>
      <c r="AF220" t="s">
        <v>1190</v>
      </c>
    </row>
    <row r="221" spans="1:32" s="13" customFormat="1" ht="105" x14ac:dyDescent="0.25">
      <c r="A221" s="10">
        <v>1888900</v>
      </c>
      <c r="B221" s="10">
        <v>1</v>
      </c>
      <c r="C221" s="9">
        <v>795</v>
      </c>
      <c r="D221" s="56" t="s">
        <v>845</v>
      </c>
      <c r="E221" s="12" t="s">
        <v>227</v>
      </c>
      <c r="F221" s="45"/>
      <c r="G221" s="45"/>
      <c r="H221" s="45"/>
      <c r="I221">
        <v>1888900</v>
      </c>
      <c r="J221" t="s">
        <v>226</v>
      </c>
      <c r="K221" t="s">
        <v>2168</v>
      </c>
      <c r="L221" t="s">
        <v>1178</v>
      </c>
      <c r="M221" t="s">
        <v>1192</v>
      </c>
      <c r="N221" t="s">
        <v>599</v>
      </c>
      <c r="O221" t="s">
        <v>1193</v>
      </c>
      <c r="P221" t="s">
        <v>599</v>
      </c>
      <c r="Q221" t="s">
        <v>599</v>
      </c>
      <c r="R221" t="s">
        <v>1182</v>
      </c>
      <c r="S221" t="s">
        <v>2169</v>
      </c>
      <c r="T221">
        <v>1958</v>
      </c>
      <c r="U221">
        <v>1958</v>
      </c>
      <c r="V221" t="s">
        <v>2170</v>
      </c>
      <c r="W221" t="s">
        <v>1185</v>
      </c>
      <c r="X221" t="s">
        <v>599</v>
      </c>
      <c r="Y221" t="s">
        <v>599</v>
      </c>
      <c r="Z221" t="s">
        <v>2171</v>
      </c>
      <c r="AA221" t="s">
        <v>599</v>
      </c>
      <c r="AB221" t="s">
        <v>599</v>
      </c>
      <c r="AC221" t="s">
        <v>2172</v>
      </c>
      <c r="AD221" t="s">
        <v>1188</v>
      </c>
      <c r="AE221" t="s">
        <v>2173</v>
      </c>
      <c r="AF221" t="s">
        <v>1190</v>
      </c>
    </row>
    <row r="222" spans="1:32" s="13" customFormat="1" ht="105" x14ac:dyDescent="0.25">
      <c r="A222" s="10">
        <v>1888900</v>
      </c>
      <c r="B222" s="10">
        <v>1</v>
      </c>
      <c r="C222" s="9">
        <v>796</v>
      </c>
      <c r="D222" s="56" t="s">
        <v>846</v>
      </c>
      <c r="E222" s="12" t="s">
        <v>227</v>
      </c>
      <c r="F222" s="45"/>
      <c r="G222" s="45"/>
      <c r="H222" s="45"/>
      <c r="I222">
        <v>1888900</v>
      </c>
      <c r="J222" t="s">
        <v>226</v>
      </c>
      <c r="K222" t="s">
        <v>2168</v>
      </c>
      <c r="L222" t="s">
        <v>1178</v>
      </c>
      <c r="M222" t="s">
        <v>1192</v>
      </c>
      <c r="N222" t="s">
        <v>599</v>
      </c>
      <c r="O222" t="s">
        <v>1193</v>
      </c>
      <c r="P222" t="s">
        <v>599</v>
      </c>
      <c r="Q222" t="s">
        <v>599</v>
      </c>
      <c r="R222" t="s">
        <v>1182</v>
      </c>
      <c r="S222" t="s">
        <v>2169</v>
      </c>
      <c r="T222">
        <v>1958</v>
      </c>
      <c r="U222">
        <v>1958</v>
      </c>
      <c r="V222" t="s">
        <v>2170</v>
      </c>
      <c r="W222" t="s">
        <v>1185</v>
      </c>
      <c r="X222" t="s">
        <v>599</v>
      </c>
      <c r="Y222" t="s">
        <v>599</v>
      </c>
      <c r="Z222" t="s">
        <v>2171</v>
      </c>
      <c r="AA222" t="s">
        <v>599</v>
      </c>
      <c r="AB222" t="s">
        <v>599</v>
      </c>
      <c r="AC222" t="s">
        <v>2172</v>
      </c>
      <c r="AD222" t="s">
        <v>1188</v>
      </c>
      <c r="AE222" t="s">
        <v>2173</v>
      </c>
      <c r="AF222" t="s">
        <v>1190</v>
      </c>
    </row>
    <row r="223" spans="1:32" s="13" customFormat="1" ht="105" x14ac:dyDescent="0.25">
      <c r="A223" s="10">
        <v>1888900</v>
      </c>
      <c r="B223" s="10">
        <v>1</v>
      </c>
      <c r="C223" s="9">
        <v>797</v>
      </c>
      <c r="D223" s="56" t="s">
        <v>847</v>
      </c>
      <c r="E223" s="12" t="s">
        <v>227</v>
      </c>
      <c r="F223" s="45"/>
      <c r="G223" s="45"/>
      <c r="H223" s="45"/>
      <c r="I223">
        <v>1888900</v>
      </c>
      <c r="J223" t="s">
        <v>226</v>
      </c>
      <c r="K223" t="s">
        <v>2168</v>
      </c>
      <c r="L223" t="s">
        <v>1178</v>
      </c>
      <c r="M223" t="s">
        <v>1192</v>
      </c>
      <c r="N223" t="s">
        <v>599</v>
      </c>
      <c r="O223" t="s">
        <v>1193</v>
      </c>
      <c r="P223" t="s">
        <v>599</v>
      </c>
      <c r="Q223" t="s">
        <v>599</v>
      </c>
      <c r="R223" t="s">
        <v>1182</v>
      </c>
      <c r="S223" t="s">
        <v>2169</v>
      </c>
      <c r="T223">
        <v>1958</v>
      </c>
      <c r="U223">
        <v>1958</v>
      </c>
      <c r="V223" t="s">
        <v>2170</v>
      </c>
      <c r="W223" t="s">
        <v>1185</v>
      </c>
      <c r="X223" t="s">
        <v>599</v>
      </c>
      <c r="Y223" t="s">
        <v>599</v>
      </c>
      <c r="Z223" t="s">
        <v>2171</v>
      </c>
      <c r="AA223" t="s">
        <v>599</v>
      </c>
      <c r="AB223" t="s">
        <v>599</v>
      </c>
      <c r="AC223" t="s">
        <v>2172</v>
      </c>
      <c r="AD223" t="s">
        <v>1188</v>
      </c>
      <c r="AE223" t="s">
        <v>2173</v>
      </c>
      <c r="AF223" t="s">
        <v>1190</v>
      </c>
    </row>
    <row r="224" spans="1:32" s="13" customFormat="1" ht="105" x14ac:dyDescent="0.25">
      <c r="A224" s="10">
        <v>1888900</v>
      </c>
      <c r="B224" s="10">
        <v>1</v>
      </c>
      <c r="C224" s="9">
        <v>798</v>
      </c>
      <c r="D224" s="56" t="s">
        <v>848</v>
      </c>
      <c r="E224" s="12" t="s">
        <v>227</v>
      </c>
      <c r="F224" s="45"/>
      <c r="G224" s="45"/>
      <c r="H224" s="45"/>
      <c r="I224">
        <v>1888900</v>
      </c>
      <c r="J224" t="s">
        <v>226</v>
      </c>
      <c r="K224" t="s">
        <v>2168</v>
      </c>
      <c r="L224" t="s">
        <v>1178</v>
      </c>
      <c r="M224" t="s">
        <v>1192</v>
      </c>
      <c r="N224" t="s">
        <v>599</v>
      </c>
      <c r="O224" t="s">
        <v>1193</v>
      </c>
      <c r="P224" t="s">
        <v>599</v>
      </c>
      <c r="Q224" t="s">
        <v>599</v>
      </c>
      <c r="R224" t="s">
        <v>1182</v>
      </c>
      <c r="S224" t="s">
        <v>2169</v>
      </c>
      <c r="T224">
        <v>1958</v>
      </c>
      <c r="U224">
        <v>1958</v>
      </c>
      <c r="V224" t="s">
        <v>2170</v>
      </c>
      <c r="W224" t="s">
        <v>1185</v>
      </c>
      <c r="X224" t="s">
        <v>599</v>
      </c>
      <c r="Y224" t="s">
        <v>599</v>
      </c>
      <c r="Z224" t="s">
        <v>2171</v>
      </c>
      <c r="AA224" t="s">
        <v>599</v>
      </c>
      <c r="AB224" t="s">
        <v>599</v>
      </c>
      <c r="AC224" t="s">
        <v>2172</v>
      </c>
      <c r="AD224" t="s">
        <v>1188</v>
      </c>
      <c r="AE224" t="s">
        <v>2173</v>
      </c>
      <c r="AF224" t="s">
        <v>1190</v>
      </c>
    </row>
    <row r="225" spans="1:32" s="13" customFormat="1" ht="105" x14ac:dyDescent="0.25">
      <c r="A225" s="10">
        <v>1888900</v>
      </c>
      <c r="B225" s="10">
        <v>1</v>
      </c>
      <c r="C225" s="9">
        <v>799</v>
      </c>
      <c r="D225" s="56" t="s">
        <v>849</v>
      </c>
      <c r="E225" s="12" t="s">
        <v>227</v>
      </c>
      <c r="F225" s="45"/>
      <c r="G225" s="45"/>
      <c r="H225" s="45"/>
      <c r="I225">
        <v>1888900</v>
      </c>
      <c r="J225" t="s">
        <v>226</v>
      </c>
      <c r="K225" t="s">
        <v>2168</v>
      </c>
      <c r="L225" t="s">
        <v>1178</v>
      </c>
      <c r="M225" t="s">
        <v>1192</v>
      </c>
      <c r="N225" t="s">
        <v>599</v>
      </c>
      <c r="O225" t="s">
        <v>1193</v>
      </c>
      <c r="P225" t="s">
        <v>599</v>
      </c>
      <c r="Q225" t="s">
        <v>599</v>
      </c>
      <c r="R225" t="s">
        <v>1182</v>
      </c>
      <c r="S225" t="s">
        <v>2169</v>
      </c>
      <c r="T225">
        <v>1958</v>
      </c>
      <c r="U225">
        <v>1958</v>
      </c>
      <c r="V225" t="s">
        <v>2170</v>
      </c>
      <c r="W225" t="s">
        <v>1185</v>
      </c>
      <c r="X225" t="s">
        <v>599</v>
      </c>
      <c r="Y225" t="s">
        <v>599</v>
      </c>
      <c r="Z225" t="s">
        <v>2171</v>
      </c>
      <c r="AA225" t="s">
        <v>599</v>
      </c>
      <c r="AB225" t="s">
        <v>599</v>
      </c>
      <c r="AC225" t="s">
        <v>2172</v>
      </c>
      <c r="AD225" t="s">
        <v>1188</v>
      </c>
      <c r="AE225" t="s">
        <v>2173</v>
      </c>
      <c r="AF225" t="s">
        <v>1190</v>
      </c>
    </row>
    <row r="226" spans="1:32" s="13" customFormat="1" ht="105" x14ac:dyDescent="0.25">
      <c r="A226" s="10">
        <v>1888900</v>
      </c>
      <c r="B226" s="10">
        <v>1</v>
      </c>
      <c r="C226" s="9">
        <v>800</v>
      </c>
      <c r="D226" s="56" t="s">
        <v>850</v>
      </c>
      <c r="E226" s="12" t="s">
        <v>227</v>
      </c>
      <c r="F226" s="45"/>
      <c r="G226" s="45"/>
      <c r="H226" s="45"/>
      <c r="I226">
        <v>1888900</v>
      </c>
      <c r="J226" t="s">
        <v>226</v>
      </c>
      <c r="K226" t="s">
        <v>2168</v>
      </c>
      <c r="L226" t="s">
        <v>1178</v>
      </c>
      <c r="M226" t="s">
        <v>1192</v>
      </c>
      <c r="N226" t="s">
        <v>599</v>
      </c>
      <c r="O226" t="s">
        <v>1193</v>
      </c>
      <c r="P226" t="s">
        <v>599</v>
      </c>
      <c r="Q226" t="s">
        <v>599</v>
      </c>
      <c r="R226" t="s">
        <v>1182</v>
      </c>
      <c r="S226" t="s">
        <v>2169</v>
      </c>
      <c r="T226">
        <v>1958</v>
      </c>
      <c r="U226">
        <v>1958</v>
      </c>
      <c r="V226" t="s">
        <v>2170</v>
      </c>
      <c r="W226" t="s">
        <v>1185</v>
      </c>
      <c r="X226" t="s">
        <v>599</v>
      </c>
      <c r="Y226" t="s">
        <v>599</v>
      </c>
      <c r="Z226" t="s">
        <v>2171</v>
      </c>
      <c r="AA226" t="s">
        <v>599</v>
      </c>
      <c r="AB226" t="s">
        <v>599</v>
      </c>
      <c r="AC226" t="s">
        <v>2172</v>
      </c>
      <c r="AD226" t="s">
        <v>1188</v>
      </c>
      <c r="AE226" t="s">
        <v>2173</v>
      </c>
      <c r="AF226" t="s">
        <v>1190</v>
      </c>
    </row>
    <row r="227" spans="1:32" s="13" customFormat="1" ht="105" x14ac:dyDescent="0.25">
      <c r="A227" s="10">
        <v>1888900</v>
      </c>
      <c r="B227" s="10">
        <v>1</v>
      </c>
      <c r="C227" s="9">
        <v>804</v>
      </c>
      <c r="D227" s="56" t="s">
        <v>851</v>
      </c>
      <c r="E227" s="12" t="s">
        <v>227</v>
      </c>
      <c r="F227" s="45"/>
      <c r="G227" s="45"/>
      <c r="H227" s="45"/>
      <c r="I227">
        <v>1888900</v>
      </c>
      <c r="J227" t="s">
        <v>226</v>
      </c>
      <c r="K227" t="s">
        <v>2168</v>
      </c>
      <c r="L227" t="s">
        <v>1178</v>
      </c>
      <c r="M227" t="s">
        <v>1192</v>
      </c>
      <c r="N227" t="s">
        <v>599</v>
      </c>
      <c r="O227" t="s">
        <v>1193</v>
      </c>
      <c r="P227" t="s">
        <v>599</v>
      </c>
      <c r="Q227" t="s">
        <v>599</v>
      </c>
      <c r="R227" t="s">
        <v>1182</v>
      </c>
      <c r="S227" t="s">
        <v>2169</v>
      </c>
      <c r="T227">
        <v>1958</v>
      </c>
      <c r="U227">
        <v>1958</v>
      </c>
      <c r="V227" t="s">
        <v>2170</v>
      </c>
      <c r="W227" t="s">
        <v>1185</v>
      </c>
      <c r="X227" t="s">
        <v>599</v>
      </c>
      <c r="Y227" t="s">
        <v>599</v>
      </c>
      <c r="Z227" t="s">
        <v>2171</v>
      </c>
      <c r="AA227" t="s">
        <v>599</v>
      </c>
      <c r="AB227" t="s">
        <v>599</v>
      </c>
      <c r="AC227" t="s">
        <v>2172</v>
      </c>
      <c r="AD227" t="s">
        <v>1188</v>
      </c>
      <c r="AE227" t="s">
        <v>2173</v>
      </c>
      <c r="AF227" t="s">
        <v>1190</v>
      </c>
    </row>
    <row r="228" spans="1:32" s="13" customFormat="1" ht="45" x14ac:dyDescent="0.25">
      <c r="A228" s="10">
        <v>1891325</v>
      </c>
      <c r="B228" s="10">
        <v>1</v>
      </c>
      <c r="C228" s="9">
        <v>1</v>
      </c>
      <c r="D228" s="56" t="s">
        <v>852</v>
      </c>
      <c r="E228" s="12">
        <v>1</v>
      </c>
      <c r="F228" s="45"/>
      <c r="G228" s="45"/>
      <c r="H228" s="45"/>
      <c r="I228">
        <v>1891325</v>
      </c>
      <c r="J228" t="s">
        <v>229</v>
      </c>
      <c r="K228" t="s">
        <v>2174</v>
      </c>
      <c r="L228" t="s">
        <v>1312</v>
      </c>
      <c r="M228" t="s">
        <v>1192</v>
      </c>
      <c r="N228" t="s">
        <v>599</v>
      </c>
      <c r="O228" t="s">
        <v>2175</v>
      </c>
      <c r="P228" t="s">
        <v>2176</v>
      </c>
      <c r="Q228" t="s">
        <v>599</v>
      </c>
      <c r="R228" t="s">
        <v>1182</v>
      </c>
      <c r="S228" t="s">
        <v>1453</v>
      </c>
      <c r="T228">
        <v>1890</v>
      </c>
      <c r="U228">
        <v>1890</v>
      </c>
      <c r="V228" t="s">
        <v>1454</v>
      </c>
      <c r="W228" t="s">
        <v>599</v>
      </c>
      <c r="X228" t="s">
        <v>599</v>
      </c>
      <c r="Y228" t="s">
        <v>599</v>
      </c>
      <c r="Z228" t="s">
        <v>2177</v>
      </c>
      <c r="AA228" t="s">
        <v>599</v>
      </c>
      <c r="AB228" t="s">
        <v>599</v>
      </c>
      <c r="AC228" t="s">
        <v>2178</v>
      </c>
      <c r="AD228" t="s">
        <v>1188</v>
      </c>
      <c r="AE228" t="s">
        <v>2179</v>
      </c>
      <c r="AF228" t="s">
        <v>1190</v>
      </c>
    </row>
    <row r="229" spans="1:32" s="13" customFormat="1" ht="45" x14ac:dyDescent="0.25">
      <c r="A229" s="10">
        <v>1915110</v>
      </c>
      <c r="B229" s="10">
        <v>1</v>
      </c>
      <c r="C229" s="9">
        <v>3</v>
      </c>
      <c r="D229" s="56" t="s">
        <v>853</v>
      </c>
      <c r="E229" s="12">
        <v>3</v>
      </c>
      <c r="F229" s="45"/>
      <c r="G229" s="45"/>
      <c r="H229" s="45"/>
      <c r="I229">
        <v>1915110</v>
      </c>
      <c r="J229" t="s">
        <v>230</v>
      </c>
      <c r="K229" t="s">
        <v>2181</v>
      </c>
      <c r="L229" t="s">
        <v>2127</v>
      </c>
      <c r="M229" t="s">
        <v>1362</v>
      </c>
      <c r="N229" t="s">
        <v>599</v>
      </c>
      <c r="O229" t="s">
        <v>2182</v>
      </c>
      <c r="P229" t="s">
        <v>2183</v>
      </c>
      <c r="Q229" t="s">
        <v>599</v>
      </c>
      <c r="R229" t="s">
        <v>1182</v>
      </c>
      <c r="S229" t="s">
        <v>2184</v>
      </c>
      <c r="T229">
        <v>1867</v>
      </c>
      <c r="U229">
        <v>1867</v>
      </c>
      <c r="V229" t="s">
        <v>599</v>
      </c>
      <c r="W229" t="s">
        <v>2185</v>
      </c>
      <c r="X229" t="s">
        <v>599</v>
      </c>
      <c r="Y229" t="s">
        <v>599</v>
      </c>
      <c r="Z229" t="s">
        <v>2186</v>
      </c>
      <c r="AA229" t="s">
        <v>599</v>
      </c>
      <c r="AB229" t="s">
        <v>2187</v>
      </c>
      <c r="AC229" t="s">
        <v>2188</v>
      </c>
      <c r="AD229" t="s">
        <v>1188</v>
      </c>
      <c r="AE229" t="s">
        <v>2189</v>
      </c>
      <c r="AF229" t="s">
        <v>1190</v>
      </c>
    </row>
    <row r="230" spans="1:32" s="13" customFormat="1" ht="45" x14ac:dyDescent="0.25">
      <c r="A230" s="10">
        <v>1976927</v>
      </c>
      <c r="B230" s="10">
        <v>1</v>
      </c>
      <c r="C230" s="9">
        <v>1</v>
      </c>
      <c r="D230" s="56" t="s">
        <v>854</v>
      </c>
      <c r="E230" s="12">
        <v>1</v>
      </c>
      <c r="F230" s="45"/>
      <c r="G230" s="45"/>
      <c r="H230" s="45"/>
      <c r="I230">
        <v>1976927</v>
      </c>
      <c r="J230" t="s">
        <v>231</v>
      </c>
      <c r="K230" t="s">
        <v>2192</v>
      </c>
      <c r="L230" t="s">
        <v>1312</v>
      </c>
      <c r="M230" t="s">
        <v>1192</v>
      </c>
      <c r="N230" t="s">
        <v>599</v>
      </c>
      <c r="O230" t="s">
        <v>2193</v>
      </c>
      <c r="P230" t="s">
        <v>2194</v>
      </c>
      <c r="Q230" t="s">
        <v>599</v>
      </c>
      <c r="R230" t="s">
        <v>1182</v>
      </c>
      <c r="S230" t="s">
        <v>2195</v>
      </c>
      <c r="T230">
        <v>1903</v>
      </c>
      <c r="U230">
        <v>1903</v>
      </c>
      <c r="V230" t="s">
        <v>2056</v>
      </c>
      <c r="W230" t="s">
        <v>2196</v>
      </c>
      <c r="X230" t="s">
        <v>599</v>
      </c>
      <c r="Y230" t="s">
        <v>599</v>
      </c>
      <c r="Z230" t="s">
        <v>2197</v>
      </c>
      <c r="AA230" t="s">
        <v>599</v>
      </c>
      <c r="AB230" t="s">
        <v>599</v>
      </c>
      <c r="AC230" t="s">
        <v>2198</v>
      </c>
      <c r="AD230" t="s">
        <v>1188</v>
      </c>
      <c r="AE230" t="s">
        <v>2199</v>
      </c>
      <c r="AF230" t="s">
        <v>1190</v>
      </c>
    </row>
    <row r="231" spans="1:32" s="13" customFormat="1" ht="45" x14ac:dyDescent="0.25">
      <c r="A231" s="10">
        <v>1979399</v>
      </c>
      <c r="B231" s="10">
        <v>1</v>
      </c>
      <c r="C231" s="9">
        <v>1</v>
      </c>
      <c r="D231" s="56" t="s">
        <v>855</v>
      </c>
      <c r="E231" s="12">
        <v>1</v>
      </c>
      <c r="F231" s="45"/>
      <c r="G231" s="45"/>
      <c r="H231" s="45"/>
      <c r="I231">
        <v>1979399</v>
      </c>
      <c r="J231" t="s">
        <v>232</v>
      </c>
      <c r="K231" t="s">
        <v>2200</v>
      </c>
      <c r="L231" t="s">
        <v>1312</v>
      </c>
      <c r="M231" t="s">
        <v>1192</v>
      </c>
      <c r="N231" t="s">
        <v>599</v>
      </c>
      <c r="O231" t="s">
        <v>2201</v>
      </c>
      <c r="P231" t="s">
        <v>599</v>
      </c>
      <c r="Q231" t="s">
        <v>599</v>
      </c>
      <c r="R231" t="s">
        <v>1182</v>
      </c>
      <c r="S231" t="s">
        <v>2202</v>
      </c>
      <c r="T231">
        <v>1911</v>
      </c>
      <c r="U231">
        <v>1911</v>
      </c>
      <c r="V231" t="s">
        <v>2203</v>
      </c>
      <c r="W231" t="s">
        <v>599</v>
      </c>
      <c r="X231" t="s">
        <v>2204</v>
      </c>
      <c r="Y231" t="s">
        <v>599</v>
      </c>
      <c r="Z231" t="s">
        <v>599</v>
      </c>
      <c r="AA231" t="s">
        <v>599</v>
      </c>
      <c r="AB231" t="s">
        <v>599</v>
      </c>
      <c r="AC231" t="s">
        <v>2205</v>
      </c>
      <c r="AD231" t="s">
        <v>1188</v>
      </c>
      <c r="AE231" t="s">
        <v>2206</v>
      </c>
      <c r="AF231" t="s">
        <v>1190</v>
      </c>
    </row>
    <row r="232" spans="1:32" s="13" customFormat="1" ht="45" x14ac:dyDescent="0.25">
      <c r="A232" s="10">
        <v>1979400</v>
      </c>
      <c r="B232" s="10">
        <v>1</v>
      </c>
      <c r="C232" s="9">
        <v>1</v>
      </c>
      <c r="D232" s="56" t="s">
        <v>856</v>
      </c>
      <c r="E232" s="12">
        <v>1</v>
      </c>
      <c r="F232" s="45"/>
      <c r="G232" s="45"/>
      <c r="H232" s="45"/>
      <c r="I232">
        <v>1979400</v>
      </c>
      <c r="J232" t="s">
        <v>233</v>
      </c>
      <c r="K232" t="s">
        <v>2208</v>
      </c>
      <c r="L232" t="s">
        <v>1312</v>
      </c>
      <c r="M232" t="s">
        <v>1192</v>
      </c>
      <c r="N232" t="s">
        <v>599</v>
      </c>
      <c r="O232" t="s">
        <v>2209</v>
      </c>
      <c r="P232" t="s">
        <v>599</v>
      </c>
      <c r="Q232" t="s">
        <v>599</v>
      </c>
      <c r="R232" t="s">
        <v>1182</v>
      </c>
      <c r="S232" t="s">
        <v>2202</v>
      </c>
      <c r="T232">
        <v>1911</v>
      </c>
      <c r="U232">
        <v>1911</v>
      </c>
      <c r="V232" t="s">
        <v>2203</v>
      </c>
      <c r="W232" t="s">
        <v>599</v>
      </c>
      <c r="X232" t="s">
        <v>2204</v>
      </c>
      <c r="Y232" t="s">
        <v>599</v>
      </c>
      <c r="Z232" t="s">
        <v>599</v>
      </c>
      <c r="AA232" t="s">
        <v>599</v>
      </c>
      <c r="AB232" t="s">
        <v>599</v>
      </c>
      <c r="AC232" t="s">
        <v>2210</v>
      </c>
      <c r="AD232" t="s">
        <v>1188</v>
      </c>
      <c r="AE232" t="s">
        <v>2211</v>
      </c>
      <c r="AF232" t="s">
        <v>1190</v>
      </c>
    </row>
    <row r="233" spans="1:32" s="13" customFormat="1" ht="45" x14ac:dyDescent="0.25">
      <c r="A233" s="10">
        <v>2129622</v>
      </c>
      <c r="B233" s="10">
        <v>1</v>
      </c>
      <c r="C233" s="9">
        <v>7</v>
      </c>
      <c r="D233" s="56" t="s">
        <v>857</v>
      </c>
      <c r="E233" s="12" t="s">
        <v>235</v>
      </c>
      <c r="F233" s="45"/>
      <c r="G233" s="45"/>
      <c r="H233" s="45"/>
      <c r="I233">
        <v>2129622</v>
      </c>
      <c r="J233" t="s">
        <v>234</v>
      </c>
      <c r="K233" t="s">
        <v>2212</v>
      </c>
      <c r="L233" t="s">
        <v>1517</v>
      </c>
      <c r="M233" t="s">
        <v>2213</v>
      </c>
      <c r="N233" t="s">
        <v>599</v>
      </c>
      <c r="O233" t="s">
        <v>2214</v>
      </c>
      <c r="P233" t="s">
        <v>599</v>
      </c>
      <c r="Q233" t="s">
        <v>599</v>
      </c>
      <c r="R233" t="s">
        <v>1182</v>
      </c>
      <c r="S233" t="s">
        <v>599</v>
      </c>
      <c r="T233">
        <v>1712</v>
      </c>
      <c r="U233">
        <v>1712</v>
      </c>
      <c r="V233" t="s">
        <v>2215</v>
      </c>
      <c r="W233" t="s">
        <v>599</v>
      </c>
      <c r="X233" t="s">
        <v>599</v>
      </c>
      <c r="Y233" t="s">
        <v>2216</v>
      </c>
      <c r="Z233" t="s">
        <v>599</v>
      </c>
      <c r="AA233" t="s">
        <v>599</v>
      </c>
      <c r="AB233" t="s">
        <v>599</v>
      </c>
      <c r="AC233" t="s">
        <v>2217</v>
      </c>
      <c r="AD233" t="s">
        <v>1188</v>
      </c>
      <c r="AE233" t="s">
        <v>2218</v>
      </c>
      <c r="AF233" t="s">
        <v>1190</v>
      </c>
    </row>
    <row r="234" spans="1:32" s="13" customFormat="1" ht="45" x14ac:dyDescent="0.25">
      <c r="A234" s="10">
        <v>2129622</v>
      </c>
      <c r="B234" s="10">
        <v>1</v>
      </c>
      <c r="C234" s="9">
        <v>9</v>
      </c>
      <c r="D234" s="56" t="s">
        <v>858</v>
      </c>
      <c r="E234" s="12" t="s">
        <v>235</v>
      </c>
      <c r="F234" s="45"/>
      <c r="G234" s="45"/>
      <c r="H234" s="45"/>
      <c r="I234">
        <v>2129622</v>
      </c>
      <c r="J234" t="s">
        <v>234</v>
      </c>
      <c r="K234" t="s">
        <v>2212</v>
      </c>
      <c r="L234" t="s">
        <v>1517</v>
      </c>
      <c r="M234" t="s">
        <v>2213</v>
      </c>
      <c r="N234" t="s">
        <v>599</v>
      </c>
      <c r="O234" t="s">
        <v>2214</v>
      </c>
      <c r="P234" t="s">
        <v>599</v>
      </c>
      <c r="Q234" t="s">
        <v>599</v>
      </c>
      <c r="R234" t="s">
        <v>1182</v>
      </c>
      <c r="S234" t="s">
        <v>599</v>
      </c>
      <c r="T234">
        <v>1712</v>
      </c>
      <c r="U234">
        <v>1712</v>
      </c>
      <c r="V234" t="s">
        <v>2215</v>
      </c>
      <c r="W234" t="s">
        <v>599</v>
      </c>
      <c r="X234" t="s">
        <v>599</v>
      </c>
      <c r="Y234" t="s">
        <v>2216</v>
      </c>
      <c r="Z234" t="s">
        <v>599</v>
      </c>
      <c r="AA234" t="s">
        <v>599</v>
      </c>
      <c r="AB234" t="s">
        <v>599</v>
      </c>
      <c r="AC234" t="s">
        <v>2217</v>
      </c>
      <c r="AD234" t="s">
        <v>1188</v>
      </c>
      <c r="AE234" t="s">
        <v>2218</v>
      </c>
      <c r="AF234" t="s">
        <v>1190</v>
      </c>
    </row>
    <row r="235" spans="1:32" s="13" customFormat="1" ht="45" x14ac:dyDescent="0.25">
      <c r="A235" s="10">
        <v>586409</v>
      </c>
      <c r="B235" s="10">
        <v>1</v>
      </c>
      <c r="C235" s="9">
        <v>1</v>
      </c>
      <c r="D235" s="56" t="s">
        <v>859</v>
      </c>
      <c r="E235" s="12">
        <v>1</v>
      </c>
      <c r="F235" s="45"/>
      <c r="G235" s="45"/>
      <c r="H235" s="45"/>
      <c r="I235">
        <v>586409</v>
      </c>
      <c r="J235" t="s">
        <v>237</v>
      </c>
      <c r="K235" t="s">
        <v>2222</v>
      </c>
      <c r="L235" t="s">
        <v>1178</v>
      </c>
      <c r="M235" t="s">
        <v>1192</v>
      </c>
      <c r="N235" t="s">
        <v>599</v>
      </c>
      <c r="O235" t="s">
        <v>2223</v>
      </c>
      <c r="P235" t="s">
        <v>2224</v>
      </c>
      <c r="Q235" t="s">
        <v>599</v>
      </c>
      <c r="R235" t="s">
        <v>1182</v>
      </c>
      <c r="S235" t="s">
        <v>2225</v>
      </c>
      <c r="T235">
        <v>1850</v>
      </c>
      <c r="U235">
        <v>1850</v>
      </c>
      <c r="V235" t="s">
        <v>1391</v>
      </c>
      <c r="W235" t="s">
        <v>2226</v>
      </c>
      <c r="X235" t="s">
        <v>599</v>
      </c>
      <c r="Y235" t="s">
        <v>599</v>
      </c>
      <c r="Z235" t="s">
        <v>599</v>
      </c>
      <c r="AA235" t="s">
        <v>599</v>
      </c>
      <c r="AB235" t="s">
        <v>599</v>
      </c>
      <c r="AC235" t="s">
        <v>2227</v>
      </c>
      <c r="AD235" t="s">
        <v>1441</v>
      </c>
      <c r="AE235" t="s">
        <v>2228</v>
      </c>
      <c r="AF235" t="s">
        <v>1190</v>
      </c>
    </row>
    <row r="236" spans="1:32" s="13" customFormat="1" ht="45" x14ac:dyDescent="0.25">
      <c r="A236" s="10">
        <v>811645</v>
      </c>
      <c r="B236" s="10">
        <v>1</v>
      </c>
      <c r="C236" s="9">
        <v>1</v>
      </c>
      <c r="D236" s="56" t="s">
        <v>860</v>
      </c>
      <c r="E236" s="12">
        <v>1</v>
      </c>
      <c r="F236" s="45"/>
      <c r="G236" s="45"/>
      <c r="H236" s="45"/>
      <c r="I236">
        <v>811645</v>
      </c>
      <c r="J236" t="s">
        <v>238</v>
      </c>
      <c r="K236" t="s">
        <v>2230</v>
      </c>
      <c r="L236" t="s">
        <v>1178</v>
      </c>
      <c r="M236" t="s">
        <v>1362</v>
      </c>
      <c r="N236" t="s">
        <v>599</v>
      </c>
      <c r="O236" t="s">
        <v>2231</v>
      </c>
      <c r="P236" t="s">
        <v>2232</v>
      </c>
      <c r="Q236" t="s">
        <v>599</v>
      </c>
      <c r="R236" t="s">
        <v>1182</v>
      </c>
      <c r="S236" t="s">
        <v>2233</v>
      </c>
      <c r="T236">
        <v>1884</v>
      </c>
      <c r="U236">
        <v>1884</v>
      </c>
      <c r="V236" t="s">
        <v>2234</v>
      </c>
      <c r="W236" t="s">
        <v>599</v>
      </c>
      <c r="X236" t="s">
        <v>599</v>
      </c>
      <c r="Y236" t="s">
        <v>599</v>
      </c>
      <c r="Z236" t="s">
        <v>2235</v>
      </c>
      <c r="AA236" t="s">
        <v>599</v>
      </c>
      <c r="AB236" t="s">
        <v>599</v>
      </c>
      <c r="AC236" t="s">
        <v>2236</v>
      </c>
      <c r="AD236" t="s">
        <v>1188</v>
      </c>
      <c r="AE236" t="s">
        <v>2237</v>
      </c>
      <c r="AF236" t="s">
        <v>1190</v>
      </c>
    </row>
    <row r="237" spans="1:32" s="13" customFormat="1" ht="45" x14ac:dyDescent="0.25">
      <c r="A237" s="10">
        <v>742175</v>
      </c>
      <c r="B237" s="10">
        <v>1</v>
      </c>
      <c r="C237" s="9">
        <v>7</v>
      </c>
      <c r="D237" s="56" t="s">
        <v>861</v>
      </c>
      <c r="E237" s="12" t="s">
        <v>172</v>
      </c>
      <c r="F237" s="45"/>
      <c r="G237" s="45"/>
      <c r="H237" s="45"/>
      <c r="I237">
        <v>742175</v>
      </c>
      <c r="J237" t="s">
        <v>239</v>
      </c>
      <c r="K237" t="s">
        <v>2238</v>
      </c>
      <c r="L237" t="s">
        <v>1178</v>
      </c>
      <c r="M237" t="s">
        <v>1179</v>
      </c>
      <c r="N237" t="s">
        <v>1192</v>
      </c>
      <c r="O237" t="s">
        <v>2239</v>
      </c>
      <c r="P237" t="s">
        <v>2240</v>
      </c>
      <c r="Q237" t="s">
        <v>599</v>
      </c>
      <c r="R237" t="s">
        <v>1182</v>
      </c>
      <c r="S237" t="s">
        <v>2241</v>
      </c>
      <c r="T237">
        <v>1898</v>
      </c>
      <c r="U237">
        <v>1898</v>
      </c>
      <c r="V237" t="s">
        <v>2242</v>
      </c>
      <c r="W237" t="s">
        <v>1185</v>
      </c>
      <c r="X237" t="s">
        <v>599</v>
      </c>
      <c r="Y237" t="s">
        <v>599</v>
      </c>
      <c r="Z237" t="s">
        <v>2243</v>
      </c>
      <c r="AA237" t="s">
        <v>599</v>
      </c>
      <c r="AB237" t="s">
        <v>599</v>
      </c>
      <c r="AC237" t="s">
        <v>2244</v>
      </c>
      <c r="AD237" t="s">
        <v>1188</v>
      </c>
      <c r="AE237" t="s">
        <v>2245</v>
      </c>
      <c r="AF237" t="s">
        <v>1190</v>
      </c>
    </row>
    <row r="238" spans="1:32" s="13" customFormat="1" ht="45" x14ac:dyDescent="0.25">
      <c r="A238" s="10">
        <v>742176</v>
      </c>
      <c r="B238" s="10">
        <v>1</v>
      </c>
      <c r="C238" s="9">
        <v>3</v>
      </c>
      <c r="D238" s="56" t="s">
        <v>862</v>
      </c>
      <c r="E238" s="12" t="s">
        <v>188</v>
      </c>
      <c r="F238" s="45"/>
      <c r="G238" s="45"/>
      <c r="H238" s="45"/>
      <c r="I238">
        <v>742176</v>
      </c>
      <c r="J238" t="s">
        <v>240</v>
      </c>
      <c r="K238" t="s">
        <v>2246</v>
      </c>
      <c r="L238" t="s">
        <v>1178</v>
      </c>
      <c r="M238" t="s">
        <v>1192</v>
      </c>
      <c r="N238" t="s">
        <v>599</v>
      </c>
      <c r="O238" t="s">
        <v>2247</v>
      </c>
      <c r="P238" t="s">
        <v>599</v>
      </c>
      <c r="Q238" t="s">
        <v>599</v>
      </c>
      <c r="R238" t="s">
        <v>1182</v>
      </c>
      <c r="S238" t="s">
        <v>2241</v>
      </c>
      <c r="T238">
        <v>1915</v>
      </c>
      <c r="U238">
        <v>1915</v>
      </c>
      <c r="V238" t="s">
        <v>2248</v>
      </c>
      <c r="W238" t="s">
        <v>2249</v>
      </c>
      <c r="X238" t="s">
        <v>599</v>
      </c>
      <c r="Y238" t="s">
        <v>599</v>
      </c>
      <c r="Z238" t="s">
        <v>599</v>
      </c>
      <c r="AA238" t="s">
        <v>599</v>
      </c>
      <c r="AB238" t="s">
        <v>599</v>
      </c>
      <c r="AC238" t="s">
        <v>2250</v>
      </c>
      <c r="AD238" t="s">
        <v>1188</v>
      </c>
      <c r="AE238" t="s">
        <v>2251</v>
      </c>
      <c r="AF238" t="s">
        <v>1190</v>
      </c>
    </row>
    <row r="239" spans="1:32" s="13" customFormat="1" ht="45" x14ac:dyDescent="0.25">
      <c r="A239" s="10">
        <v>742180</v>
      </c>
      <c r="B239" s="10">
        <v>1</v>
      </c>
      <c r="C239" s="9">
        <v>5</v>
      </c>
      <c r="D239" s="56" t="s">
        <v>863</v>
      </c>
      <c r="E239" s="12" t="s">
        <v>143</v>
      </c>
      <c r="F239" s="45"/>
      <c r="G239" s="45"/>
      <c r="H239" s="45"/>
      <c r="I239">
        <v>742180</v>
      </c>
      <c r="J239" t="s">
        <v>241</v>
      </c>
      <c r="K239" t="s">
        <v>2252</v>
      </c>
      <c r="L239" t="s">
        <v>1178</v>
      </c>
      <c r="M239" t="s">
        <v>1502</v>
      </c>
      <c r="N239" t="s">
        <v>1192</v>
      </c>
      <c r="O239" t="s">
        <v>1105</v>
      </c>
      <c r="P239" t="s">
        <v>2253</v>
      </c>
      <c r="Q239" t="s">
        <v>599</v>
      </c>
      <c r="R239" t="s">
        <v>1182</v>
      </c>
      <c r="S239" t="s">
        <v>1437</v>
      </c>
      <c r="T239">
        <v>1892</v>
      </c>
      <c r="U239">
        <v>1892</v>
      </c>
      <c r="V239" t="s">
        <v>2254</v>
      </c>
      <c r="W239" t="s">
        <v>2255</v>
      </c>
      <c r="X239" t="s">
        <v>599</v>
      </c>
      <c r="Y239" t="s">
        <v>599</v>
      </c>
      <c r="Z239" t="s">
        <v>2256</v>
      </c>
      <c r="AA239" t="s">
        <v>599</v>
      </c>
      <c r="AB239" t="s">
        <v>599</v>
      </c>
      <c r="AC239" t="s">
        <v>2257</v>
      </c>
      <c r="AD239" t="s">
        <v>1188</v>
      </c>
      <c r="AE239" t="s">
        <v>2258</v>
      </c>
      <c r="AF239" t="s">
        <v>1190</v>
      </c>
    </row>
    <row r="240" spans="1:32" s="13" customFormat="1" ht="90" x14ac:dyDescent="0.25">
      <c r="A240" s="10">
        <v>458243</v>
      </c>
      <c r="B240" s="10">
        <v>1</v>
      </c>
      <c r="C240" s="9">
        <v>69</v>
      </c>
      <c r="D240" s="56" t="s">
        <v>864</v>
      </c>
      <c r="E240" s="12" t="s">
        <v>243</v>
      </c>
      <c r="F240" s="45"/>
      <c r="G240" s="45"/>
      <c r="H240" s="45"/>
      <c r="I240">
        <v>458243</v>
      </c>
      <c r="J240" t="s">
        <v>242</v>
      </c>
      <c r="K240" t="s">
        <v>2259</v>
      </c>
      <c r="L240" t="s">
        <v>1178</v>
      </c>
      <c r="M240" t="s">
        <v>1192</v>
      </c>
      <c r="N240" t="s">
        <v>599</v>
      </c>
      <c r="O240" t="s">
        <v>1193</v>
      </c>
      <c r="P240" t="s">
        <v>599</v>
      </c>
      <c r="Q240" t="s">
        <v>599</v>
      </c>
      <c r="R240" t="s">
        <v>2260</v>
      </c>
      <c r="S240" t="s">
        <v>2261</v>
      </c>
      <c r="T240">
        <v>1940</v>
      </c>
      <c r="U240">
        <v>1940</v>
      </c>
      <c r="V240" t="s">
        <v>2262</v>
      </c>
      <c r="W240" t="s">
        <v>1185</v>
      </c>
      <c r="X240" t="s">
        <v>599</v>
      </c>
      <c r="Y240" t="s">
        <v>599</v>
      </c>
      <c r="Z240" t="s">
        <v>2263</v>
      </c>
      <c r="AA240" t="s">
        <v>599</v>
      </c>
      <c r="AB240" t="s">
        <v>599</v>
      </c>
      <c r="AC240" t="s">
        <v>2264</v>
      </c>
      <c r="AD240" t="s">
        <v>1188</v>
      </c>
      <c r="AE240" t="s">
        <v>2265</v>
      </c>
      <c r="AF240" t="s">
        <v>1190</v>
      </c>
    </row>
    <row r="241" spans="1:32" s="13" customFormat="1" ht="90" x14ac:dyDescent="0.25">
      <c r="A241" s="10">
        <v>458243</v>
      </c>
      <c r="B241" s="10">
        <v>1</v>
      </c>
      <c r="C241" s="9">
        <v>71</v>
      </c>
      <c r="D241" s="56" t="s">
        <v>865</v>
      </c>
      <c r="E241" s="12" t="s">
        <v>243</v>
      </c>
      <c r="F241" s="45"/>
      <c r="G241" s="45"/>
      <c r="H241" s="45"/>
      <c r="I241">
        <v>458243</v>
      </c>
      <c r="J241" t="s">
        <v>242</v>
      </c>
      <c r="K241" t="s">
        <v>2259</v>
      </c>
      <c r="L241" t="s">
        <v>1178</v>
      </c>
      <c r="M241" t="s">
        <v>1192</v>
      </c>
      <c r="N241" t="s">
        <v>599</v>
      </c>
      <c r="O241" t="s">
        <v>1193</v>
      </c>
      <c r="P241" t="s">
        <v>599</v>
      </c>
      <c r="Q241" t="s">
        <v>599</v>
      </c>
      <c r="R241" t="s">
        <v>2260</v>
      </c>
      <c r="S241" t="s">
        <v>2261</v>
      </c>
      <c r="T241">
        <v>1940</v>
      </c>
      <c r="U241">
        <v>1940</v>
      </c>
      <c r="V241" t="s">
        <v>2262</v>
      </c>
      <c r="W241" t="s">
        <v>1185</v>
      </c>
      <c r="X241" t="s">
        <v>599</v>
      </c>
      <c r="Y241" t="s">
        <v>599</v>
      </c>
      <c r="Z241" t="s">
        <v>2263</v>
      </c>
      <c r="AA241" t="s">
        <v>599</v>
      </c>
      <c r="AB241" t="s">
        <v>599</v>
      </c>
      <c r="AC241" t="s">
        <v>2264</v>
      </c>
      <c r="AD241" t="s">
        <v>1188</v>
      </c>
      <c r="AE241" t="s">
        <v>2265</v>
      </c>
      <c r="AF241" t="s">
        <v>1190</v>
      </c>
    </row>
    <row r="242" spans="1:32" s="13" customFormat="1" ht="90" x14ac:dyDescent="0.25">
      <c r="A242" s="10">
        <v>458243</v>
      </c>
      <c r="B242" s="10">
        <v>1</v>
      </c>
      <c r="C242" s="9">
        <v>73</v>
      </c>
      <c r="D242" s="56" t="s">
        <v>866</v>
      </c>
      <c r="E242" s="12" t="s">
        <v>243</v>
      </c>
      <c r="F242" s="45"/>
      <c r="G242" s="45"/>
      <c r="H242" s="45"/>
      <c r="I242">
        <v>458243</v>
      </c>
      <c r="J242" t="s">
        <v>242</v>
      </c>
      <c r="K242" t="s">
        <v>2259</v>
      </c>
      <c r="L242" t="s">
        <v>1178</v>
      </c>
      <c r="M242" t="s">
        <v>1192</v>
      </c>
      <c r="N242" t="s">
        <v>599</v>
      </c>
      <c r="O242" t="s">
        <v>1193</v>
      </c>
      <c r="P242" t="s">
        <v>599</v>
      </c>
      <c r="Q242" t="s">
        <v>599</v>
      </c>
      <c r="R242" t="s">
        <v>2260</v>
      </c>
      <c r="S242" t="s">
        <v>2261</v>
      </c>
      <c r="T242">
        <v>1940</v>
      </c>
      <c r="U242">
        <v>1940</v>
      </c>
      <c r="V242" t="s">
        <v>2262</v>
      </c>
      <c r="W242" t="s">
        <v>1185</v>
      </c>
      <c r="X242" t="s">
        <v>599</v>
      </c>
      <c r="Y242" t="s">
        <v>599</v>
      </c>
      <c r="Z242" t="s">
        <v>2263</v>
      </c>
      <c r="AA242" t="s">
        <v>599</v>
      </c>
      <c r="AB242" t="s">
        <v>599</v>
      </c>
      <c r="AC242" t="s">
        <v>2264</v>
      </c>
      <c r="AD242" t="s">
        <v>1188</v>
      </c>
      <c r="AE242" t="s">
        <v>2265</v>
      </c>
      <c r="AF242" t="s">
        <v>1190</v>
      </c>
    </row>
    <row r="243" spans="1:32" s="13" customFormat="1" ht="90" x14ac:dyDescent="0.25">
      <c r="A243" s="10">
        <v>458243</v>
      </c>
      <c r="B243" s="10">
        <v>1</v>
      </c>
      <c r="C243" s="9">
        <v>102</v>
      </c>
      <c r="D243" s="56" t="s">
        <v>867</v>
      </c>
      <c r="E243" s="12" t="s">
        <v>243</v>
      </c>
      <c r="F243" s="45"/>
      <c r="G243" s="45"/>
      <c r="H243" s="45"/>
      <c r="I243">
        <v>458243</v>
      </c>
      <c r="J243" t="s">
        <v>242</v>
      </c>
      <c r="K243" t="s">
        <v>2259</v>
      </c>
      <c r="L243" t="s">
        <v>1178</v>
      </c>
      <c r="M243" t="s">
        <v>1192</v>
      </c>
      <c r="N243" t="s">
        <v>599</v>
      </c>
      <c r="O243" t="s">
        <v>1193</v>
      </c>
      <c r="P243" t="s">
        <v>599</v>
      </c>
      <c r="Q243" t="s">
        <v>599</v>
      </c>
      <c r="R243" t="s">
        <v>2260</v>
      </c>
      <c r="S243" t="s">
        <v>2261</v>
      </c>
      <c r="T243">
        <v>1940</v>
      </c>
      <c r="U243">
        <v>1940</v>
      </c>
      <c r="V243" t="s">
        <v>2262</v>
      </c>
      <c r="W243" t="s">
        <v>1185</v>
      </c>
      <c r="X243" t="s">
        <v>599</v>
      </c>
      <c r="Y243" t="s">
        <v>599</v>
      </c>
      <c r="Z243" t="s">
        <v>2263</v>
      </c>
      <c r="AA243" t="s">
        <v>599</v>
      </c>
      <c r="AB243" t="s">
        <v>599</v>
      </c>
      <c r="AC243" t="s">
        <v>2264</v>
      </c>
      <c r="AD243" t="s">
        <v>1188</v>
      </c>
      <c r="AE243" t="s">
        <v>2265</v>
      </c>
      <c r="AF243" t="s">
        <v>1190</v>
      </c>
    </row>
    <row r="244" spans="1:32" s="13" customFormat="1" ht="90" x14ac:dyDescent="0.25">
      <c r="A244" s="10">
        <v>458243</v>
      </c>
      <c r="B244" s="10">
        <v>1</v>
      </c>
      <c r="C244" s="9">
        <v>122</v>
      </c>
      <c r="D244" s="56" t="s">
        <v>868</v>
      </c>
      <c r="E244" s="12" t="s">
        <v>243</v>
      </c>
      <c r="F244" s="45"/>
      <c r="G244" s="45"/>
      <c r="H244" s="45"/>
      <c r="I244">
        <v>458243</v>
      </c>
      <c r="J244" t="s">
        <v>242</v>
      </c>
      <c r="K244" t="s">
        <v>2259</v>
      </c>
      <c r="L244" t="s">
        <v>1178</v>
      </c>
      <c r="M244" t="s">
        <v>1192</v>
      </c>
      <c r="N244" t="s">
        <v>599</v>
      </c>
      <c r="O244" t="s">
        <v>1193</v>
      </c>
      <c r="P244" t="s">
        <v>599</v>
      </c>
      <c r="Q244" t="s">
        <v>599</v>
      </c>
      <c r="R244" t="s">
        <v>2260</v>
      </c>
      <c r="S244" t="s">
        <v>2261</v>
      </c>
      <c r="T244">
        <v>1940</v>
      </c>
      <c r="U244">
        <v>1940</v>
      </c>
      <c r="V244" t="s">
        <v>2262</v>
      </c>
      <c r="W244" t="s">
        <v>1185</v>
      </c>
      <c r="X244" t="s">
        <v>599</v>
      </c>
      <c r="Y244" t="s">
        <v>599</v>
      </c>
      <c r="Z244" t="s">
        <v>2263</v>
      </c>
      <c r="AA244" t="s">
        <v>599</v>
      </c>
      <c r="AB244" t="s">
        <v>599</v>
      </c>
      <c r="AC244" t="s">
        <v>2264</v>
      </c>
      <c r="AD244" t="s">
        <v>1188</v>
      </c>
      <c r="AE244" t="s">
        <v>2265</v>
      </c>
      <c r="AF244" t="s">
        <v>1190</v>
      </c>
    </row>
    <row r="245" spans="1:32" s="21" customFormat="1" ht="90" x14ac:dyDescent="0.25">
      <c r="A245" s="18">
        <v>458243</v>
      </c>
      <c r="B245" s="39" t="s">
        <v>629</v>
      </c>
      <c r="C245" s="17">
        <v>103</v>
      </c>
      <c r="D245" s="58" t="s">
        <v>869</v>
      </c>
      <c r="E245" s="20" t="s">
        <v>243</v>
      </c>
      <c r="F245" s="45"/>
      <c r="G245" s="45"/>
      <c r="H245" s="45"/>
      <c r="I245">
        <v>458243</v>
      </c>
      <c r="J245" t="s">
        <v>242</v>
      </c>
      <c r="K245" t="s">
        <v>2259</v>
      </c>
      <c r="L245" t="s">
        <v>1178</v>
      </c>
      <c r="M245" t="s">
        <v>1192</v>
      </c>
      <c r="N245" t="s">
        <v>599</v>
      </c>
      <c r="O245" t="s">
        <v>1193</v>
      </c>
      <c r="P245" t="s">
        <v>599</v>
      </c>
      <c r="Q245" t="s">
        <v>599</v>
      </c>
      <c r="R245" t="s">
        <v>2260</v>
      </c>
      <c r="S245" t="s">
        <v>2261</v>
      </c>
      <c r="T245">
        <v>1940</v>
      </c>
      <c r="U245">
        <v>1940</v>
      </c>
      <c r="V245" t="s">
        <v>2262</v>
      </c>
      <c r="W245" t="s">
        <v>1185</v>
      </c>
      <c r="X245" t="s">
        <v>599</v>
      </c>
      <c r="Y245" t="s">
        <v>599</v>
      </c>
      <c r="Z245" t="s">
        <v>2263</v>
      </c>
      <c r="AA245" t="s">
        <v>599</v>
      </c>
      <c r="AB245" t="s">
        <v>599</v>
      </c>
      <c r="AC245" t="s">
        <v>2264</v>
      </c>
      <c r="AD245" t="s">
        <v>1188</v>
      </c>
      <c r="AE245" t="s">
        <v>2265</v>
      </c>
      <c r="AF245" t="s">
        <v>1190</v>
      </c>
    </row>
    <row r="246" spans="1:32" s="21" customFormat="1" ht="90" x14ac:dyDescent="0.25">
      <c r="A246" s="18">
        <v>458243</v>
      </c>
      <c r="B246" s="39" t="s">
        <v>629</v>
      </c>
      <c r="C246" s="17">
        <v>135</v>
      </c>
      <c r="D246" s="58" t="s">
        <v>870</v>
      </c>
      <c r="E246" s="20" t="s">
        <v>243</v>
      </c>
      <c r="F246" s="45"/>
      <c r="G246" s="45"/>
      <c r="H246" s="45"/>
      <c r="I246">
        <v>458243</v>
      </c>
      <c r="J246" t="s">
        <v>242</v>
      </c>
      <c r="K246" t="s">
        <v>2259</v>
      </c>
      <c r="L246" t="s">
        <v>1178</v>
      </c>
      <c r="M246" t="s">
        <v>1192</v>
      </c>
      <c r="N246" t="s">
        <v>599</v>
      </c>
      <c r="O246" t="s">
        <v>1193</v>
      </c>
      <c r="P246" t="s">
        <v>599</v>
      </c>
      <c r="Q246" t="s">
        <v>599</v>
      </c>
      <c r="R246" t="s">
        <v>2260</v>
      </c>
      <c r="S246" t="s">
        <v>2261</v>
      </c>
      <c r="T246">
        <v>1940</v>
      </c>
      <c r="U246">
        <v>1940</v>
      </c>
      <c r="V246" t="s">
        <v>2262</v>
      </c>
      <c r="W246" t="s">
        <v>1185</v>
      </c>
      <c r="X246" t="s">
        <v>599</v>
      </c>
      <c r="Y246" t="s">
        <v>599</v>
      </c>
      <c r="Z246" t="s">
        <v>2263</v>
      </c>
      <c r="AA246" t="s">
        <v>599</v>
      </c>
      <c r="AB246" t="s">
        <v>599</v>
      </c>
      <c r="AC246" t="s">
        <v>2264</v>
      </c>
      <c r="AD246" t="s">
        <v>1188</v>
      </c>
      <c r="AE246" t="s">
        <v>2265</v>
      </c>
      <c r="AF246" t="s">
        <v>1190</v>
      </c>
    </row>
    <row r="247" spans="1:32" s="21" customFormat="1" ht="90" x14ac:dyDescent="0.25">
      <c r="A247" s="18">
        <v>458243</v>
      </c>
      <c r="B247" s="39" t="s">
        <v>629</v>
      </c>
      <c r="C247" s="17">
        <v>175</v>
      </c>
      <c r="D247" s="58" t="s">
        <v>871</v>
      </c>
      <c r="E247" s="20" t="s">
        <v>243</v>
      </c>
      <c r="F247" s="45"/>
      <c r="G247" s="45"/>
      <c r="H247" s="45"/>
      <c r="I247">
        <v>458243</v>
      </c>
      <c r="J247" t="s">
        <v>242</v>
      </c>
      <c r="K247" t="s">
        <v>2259</v>
      </c>
      <c r="L247" t="s">
        <v>1178</v>
      </c>
      <c r="M247" t="s">
        <v>1192</v>
      </c>
      <c r="N247" t="s">
        <v>599</v>
      </c>
      <c r="O247" t="s">
        <v>1193</v>
      </c>
      <c r="P247" t="s">
        <v>599</v>
      </c>
      <c r="Q247" t="s">
        <v>599</v>
      </c>
      <c r="R247" t="s">
        <v>2260</v>
      </c>
      <c r="S247" t="s">
        <v>2261</v>
      </c>
      <c r="T247">
        <v>1940</v>
      </c>
      <c r="U247">
        <v>1940</v>
      </c>
      <c r="V247" t="s">
        <v>2262</v>
      </c>
      <c r="W247" t="s">
        <v>1185</v>
      </c>
      <c r="X247" t="s">
        <v>599</v>
      </c>
      <c r="Y247" t="s">
        <v>599</v>
      </c>
      <c r="Z247" t="s">
        <v>2263</v>
      </c>
      <c r="AA247" t="s">
        <v>599</v>
      </c>
      <c r="AB247" t="s">
        <v>599</v>
      </c>
      <c r="AC247" t="s">
        <v>2264</v>
      </c>
      <c r="AD247" t="s">
        <v>1188</v>
      </c>
      <c r="AE247" t="s">
        <v>2265</v>
      </c>
      <c r="AF247" t="s">
        <v>1190</v>
      </c>
    </row>
    <row r="248" spans="1:32" s="21" customFormat="1" ht="90" x14ac:dyDescent="0.25">
      <c r="A248" s="18">
        <v>458243</v>
      </c>
      <c r="B248" s="39" t="s">
        <v>629</v>
      </c>
      <c r="C248" s="17">
        <v>205</v>
      </c>
      <c r="D248" s="58" t="s">
        <v>872</v>
      </c>
      <c r="E248" s="20" t="s">
        <v>243</v>
      </c>
      <c r="F248" s="45"/>
      <c r="G248" s="45"/>
      <c r="H248" s="45"/>
      <c r="I248">
        <v>458243</v>
      </c>
      <c r="J248" t="s">
        <v>242</v>
      </c>
      <c r="K248" t="s">
        <v>2259</v>
      </c>
      <c r="L248" t="s">
        <v>1178</v>
      </c>
      <c r="M248" t="s">
        <v>1192</v>
      </c>
      <c r="N248" t="s">
        <v>599</v>
      </c>
      <c r="O248" t="s">
        <v>1193</v>
      </c>
      <c r="P248" t="s">
        <v>599</v>
      </c>
      <c r="Q248" t="s">
        <v>599</v>
      </c>
      <c r="R248" t="s">
        <v>2260</v>
      </c>
      <c r="S248" t="s">
        <v>2261</v>
      </c>
      <c r="T248">
        <v>1940</v>
      </c>
      <c r="U248">
        <v>1940</v>
      </c>
      <c r="V248" t="s">
        <v>2262</v>
      </c>
      <c r="W248" t="s">
        <v>1185</v>
      </c>
      <c r="X248" t="s">
        <v>599</v>
      </c>
      <c r="Y248" t="s">
        <v>599</v>
      </c>
      <c r="Z248" t="s">
        <v>2263</v>
      </c>
      <c r="AA248" t="s">
        <v>599</v>
      </c>
      <c r="AB248" t="s">
        <v>599</v>
      </c>
      <c r="AC248" t="s">
        <v>2264</v>
      </c>
      <c r="AD248" t="s">
        <v>1188</v>
      </c>
      <c r="AE248" t="s">
        <v>2265</v>
      </c>
      <c r="AF248" t="s">
        <v>1190</v>
      </c>
    </row>
    <row r="249" spans="1:32" s="21" customFormat="1" ht="90" x14ac:dyDescent="0.25">
      <c r="A249" s="18">
        <v>458243</v>
      </c>
      <c r="B249" s="39" t="s">
        <v>629</v>
      </c>
      <c r="C249" s="17">
        <v>233</v>
      </c>
      <c r="D249" s="58" t="s">
        <v>873</v>
      </c>
      <c r="E249" s="20" t="s">
        <v>243</v>
      </c>
      <c r="F249" s="45"/>
      <c r="G249" s="45"/>
      <c r="H249" s="45"/>
      <c r="I249">
        <v>458243</v>
      </c>
      <c r="J249" t="s">
        <v>242</v>
      </c>
      <c r="K249" t="s">
        <v>2259</v>
      </c>
      <c r="L249" t="s">
        <v>1178</v>
      </c>
      <c r="M249" t="s">
        <v>1192</v>
      </c>
      <c r="N249" t="s">
        <v>599</v>
      </c>
      <c r="O249" t="s">
        <v>1193</v>
      </c>
      <c r="P249" t="s">
        <v>599</v>
      </c>
      <c r="Q249" t="s">
        <v>599</v>
      </c>
      <c r="R249" t="s">
        <v>2260</v>
      </c>
      <c r="S249" t="s">
        <v>2261</v>
      </c>
      <c r="T249">
        <v>1940</v>
      </c>
      <c r="U249">
        <v>1940</v>
      </c>
      <c r="V249" t="s">
        <v>2262</v>
      </c>
      <c r="W249" t="s">
        <v>1185</v>
      </c>
      <c r="X249" t="s">
        <v>599</v>
      </c>
      <c r="Y249" t="s">
        <v>599</v>
      </c>
      <c r="Z249" t="s">
        <v>2263</v>
      </c>
      <c r="AA249" t="s">
        <v>599</v>
      </c>
      <c r="AB249" t="s">
        <v>599</v>
      </c>
      <c r="AC249" t="s">
        <v>2264</v>
      </c>
      <c r="AD249" t="s">
        <v>1188</v>
      </c>
      <c r="AE249" t="s">
        <v>2265</v>
      </c>
      <c r="AF249" t="s">
        <v>1190</v>
      </c>
    </row>
    <row r="250" spans="1:32" s="21" customFormat="1" ht="90" x14ac:dyDescent="0.25">
      <c r="A250" s="18">
        <v>458243</v>
      </c>
      <c r="B250" s="39" t="s">
        <v>629</v>
      </c>
      <c r="C250" s="17">
        <v>261</v>
      </c>
      <c r="D250" s="58" t="s">
        <v>874</v>
      </c>
      <c r="E250" s="20" t="s">
        <v>243</v>
      </c>
      <c r="F250" s="45"/>
      <c r="G250" s="45"/>
      <c r="H250" s="45"/>
      <c r="I250">
        <v>458243</v>
      </c>
      <c r="J250" t="s">
        <v>242</v>
      </c>
      <c r="K250" t="s">
        <v>2259</v>
      </c>
      <c r="L250" t="s">
        <v>1178</v>
      </c>
      <c r="M250" t="s">
        <v>1192</v>
      </c>
      <c r="N250" t="s">
        <v>599</v>
      </c>
      <c r="O250" t="s">
        <v>1193</v>
      </c>
      <c r="P250" t="s">
        <v>599</v>
      </c>
      <c r="Q250" t="s">
        <v>599</v>
      </c>
      <c r="R250" t="s">
        <v>2260</v>
      </c>
      <c r="S250" t="s">
        <v>2261</v>
      </c>
      <c r="T250">
        <v>1940</v>
      </c>
      <c r="U250">
        <v>1940</v>
      </c>
      <c r="V250" t="s">
        <v>2262</v>
      </c>
      <c r="W250" t="s">
        <v>1185</v>
      </c>
      <c r="X250" t="s">
        <v>599</v>
      </c>
      <c r="Y250" t="s">
        <v>599</v>
      </c>
      <c r="Z250" t="s">
        <v>2263</v>
      </c>
      <c r="AA250" t="s">
        <v>599</v>
      </c>
      <c r="AB250" t="s">
        <v>599</v>
      </c>
      <c r="AC250" t="s">
        <v>2264</v>
      </c>
      <c r="AD250" t="s">
        <v>1188</v>
      </c>
      <c r="AE250" t="s">
        <v>2265</v>
      </c>
      <c r="AF250" t="s">
        <v>1190</v>
      </c>
    </row>
    <row r="251" spans="1:32" s="21" customFormat="1" ht="90" x14ac:dyDescent="0.25">
      <c r="A251" s="18">
        <v>458243</v>
      </c>
      <c r="B251" s="39" t="s">
        <v>629</v>
      </c>
      <c r="C251" s="17">
        <v>287</v>
      </c>
      <c r="D251" s="58" t="s">
        <v>875</v>
      </c>
      <c r="E251" s="20" t="s">
        <v>243</v>
      </c>
      <c r="F251" s="45"/>
      <c r="G251" s="45"/>
      <c r="H251" s="45"/>
      <c r="I251">
        <v>458243</v>
      </c>
      <c r="J251" t="s">
        <v>242</v>
      </c>
      <c r="K251" t="s">
        <v>2259</v>
      </c>
      <c r="L251" t="s">
        <v>1178</v>
      </c>
      <c r="M251" t="s">
        <v>1192</v>
      </c>
      <c r="N251" t="s">
        <v>599</v>
      </c>
      <c r="O251" t="s">
        <v>1193</v>
      </c>
      <c r="P251" t="s">
        <v>599</v>
      </c>
      <c r="Q251" t="s">
        <v>599</v>
      </c>
      <c r="R251" t="s">
        <v>2260</v>
      </c>
      <c r="S251" t="s">
        <v>2261</v>
      </c>
      <c r="T251">
        <v>1940</v>
      </c>
      <c r="U251">
        <v>1940</v>
      </c>
      <c r="V251" t="s">
        <v>2262</v>
      </c>
      <c r="W251" t="s">
        <v>1185</v>
      </c>
      <c r="X251" t="s">
        <v>599</v>
      </c>
      <c r="Y251" t="s">
        <v>599</v>
      </c>
      <c r="Z251" t="s">
        <v>2263</v>
      </c>
      <c r="AA251" t="s">
        <v>599</v>
      </c>
      <c r="AB251" t="s">
        <v>599</v>
      </c>
      <c r="AC251" t="s">
        <v>2264</v>
      </c>
      <c r="AD251" t="s">
        <v>1188</v>
      </c>
      <c r="AE251" t="s">
        <v>2265</v>
      </c>
      <c r="AF251" t="s">
        <v>1190</v>
      </c>
    </row>
    <row r="252" spans="1:32" s="21" customFormat="1" ht="90" x14ac:dyDescent="0.25">
      <c r="A252" s="18">
        <v>458243</v>
      </c>
      <c r="B252" s="39" t="s">
        <v>629</v>
      </c>
      <c r="C252" s="17">
        <v>315</v>
      </c>
      <c r="D252" s="58" t="s">
        <v>876</v>
      </c>
      <c r="E252" s="20" t="s">
        <v>243</v>
      </c>
      <c r="F252" s="45"/>
      <c r="G252" s="45"/>
      <c r="H252" s="45"/>
      <c r="I252">
        <v>458243</v>
      </c>
      <c r="J252" t="s">
        <v>242</v>
      </c>
      <c r="K252" t="s">
        <v>2259</v>
      </c>
      <c r="L252" t="s">
        <v>1178</v>
      </c>
      <c r="M252" t="s">
        <v>1192</v>
      </c>
      <c r="N252" t="s">
        <v>599</v>
      </c>
      <c r="O252" t="s">
        <v>1193</v>
      </c>
      <c r="P252" t="s">
        <v>599</v>
      </c>
      <c r="Q252" t="s">
        <v>599</v>
      </c>
      <c r="R252" t="s">
        <v>2260</v>
      </c>
      <c r="S252" t="s">
        <v>2261</v>
      </c>
      <c r="T252">
        <v>1940</v>
      </c>
      <c r="U252">
        <v>1940</v>
      </c>
      <c r="V252" t="s">
        <v>2262</v>
      </c>
      <c r="W252" t="s">
        <v>1185</v>
      </c>
      <c r="X252" t="s">
        <v>599</v>
      </c>
      <c r="Y252" t="s">
        <v>599</v>
      </c>
      <c r="Z252" t="s">
        <v>2263</v>
      </c>
      <c r="AA252" t="s">
        <v>599</v>
      </c>
      <c r="AB252" t="s">
        <v>599</v>
      </c>
      <c r="AC252" t="s">
        <v>2264</v>
      </c>
      <c r="AD252" t="s">
        <v>1188</v>
      </c>
      <c r="AE252" t="s">
        <v>2265</v>
      </c>
      <c r="AF252" t="s">
        <v>1190</v>
      </c>
    </row>
    <row r="253" spans="1:32" s="21" customFormat="1" ht="90" x14ac:dyDescent="0.25">
      <c r="A253" s="18">
        <v>458243</v>
      </c>
      <c r="B253" s="39" t="s">
        <v>629</v>
      </c>
      <c r="C253" s="17">
        <v>343</v>
      </c>
      <c r="D253" s="58" t="s">
        <v>877</v>
      </c>
      <c r="E253" s="20" t="s">
        <v>243</v>
      </c>
      <c r="F253" s="45"/>
      <c r="G253" s="45"/>
      <c r="H253" s="45"/>
      <c r="I253">
        <v>458243</v>
      </c>
      <c r="J253" t="s">
        <v>242</v>
      </c>
      <c r="K253" t="s">
        <v>2259</v>
      </c>
      <c r="L253" t="s">
        <v>1178</v>
      </c>
      <c r="M253" t="s">
        <v>1192</v>
      </c>
      <c r="N253" t="s">
        <v>599</v>
      </c>
      <c r="O253" t="s">
        <v>1193</v>
      </c>
      <c r="P253" t="s">
        <v>599</v>
      </c>
      <c r="Q253" t="s">
        <v>599</v>
      </c>
      <c r="R253" t="s">
        <v>2260</v>
      </c>
      <c r="S253" t="s">
        <v>2261</v>
      </c>
      <c r="T253">
        <v>1940</v>
      </c>
      <c r="U253">
        <v>1940</v>
      </c>
      <c r="V253" t="s">
        <v>2262</v>
      </c>
      <c r="W253" t="s">
        <v>1185</v>
      </c>
      <c r="X253" t="s">
        <v>599</v>
      </c>
      <c r="Y253" t="s">
        <v>599</v>
      </c>
      <c r="Z253" t="s">
        <v>2263</v>
      </c>
      <c r="AA253" t="s">
        <v>599</v>
      </c>
      <c r="AB253" t="s">
        <v>599</v>
      </c>
      <c r="AC253" t="s">
        <v>2264</v>
      </c>
      <c r="AD253" t="s">
        <v>1188</v>
      </c>
      <c r="AE253" t="s">
        <v>2265</v>
      </c>
      <c r="AF253" t="s">
        <v>1190</v>
      </c>
    </row>
    <row r="254" spans="1:32" s="13" customFormat="1" ht="45" x14ac:dyDescent="0.25">
      <c r="A254" s="10">
        <v>335235</v>
      </c>
      <c r="B254" s="10">
        <v>1</v>
      </c>
      <c r="C254" s="9">
        <v>23</v>
      </c>
      <c r="D254" s="56" t="s">
        <v>878</v>
      </c>
      <c r="E254" s="12" t="s">
        <v>246</v>
      </c>
      <c r="F254" s="45"/>
      <c r="G254" s="45"/>
      <c r="H254" s="45"/>
      <c r="I254">
        <v>335235</v>
      </c>
      <c r="J254" t="s">
        <v>245</v>
      </c>
      <c r="K254" t="s">
        <v>2266</v>
      </c>
      <c r="L254" t="s">
        <v>1178</v>
      </c>
      <c r="M254" t="s">
        <v>1192</v>
      </c>
      <c r="N254" t="s">
        <v>599</v>
      </c>
      <c r="O254" t="s">
        <v>1551</v>
      </c>
      <c r="P254" t="s">
        <v>1778</v>
      </c>
      <c r="Q254" t="s">
        <v>599</v>
      </c>
      <c r="R254" t="s">
        <v>2267</v>
      </c>
      <c r="S254" t="s">
        <v>2268</v>
      </c>
      <c r="T254">
        <v>1856</v>
      </c>
      <c r="U254">
        <v>1856</v>
      </c>
      <c r="V254" t="s">
        <v>2269</v>
      </c>
      <c r="W254" t="s">
        <v>1185</v>
      </c>
      <c r="X254" t="s">
        <v>599</v>
      </c>
      <c r="Y254" t="s">
        <v>599</v>
      </c>
      <c r="Z254" t="s">
        <v>2270</v>
      </c>
      <c r="AA254" t="s">
        <v>599</v>
      </c>
      <c r="AB254" t="s">
        <v>599</v>
      </c>
      <c r="AC254" t="s">
        <v>2271</v>
      </c>
      <c r="AD254" t="s">
        <v>1188</v>
      </c>
      <c r="AE254" t="s">
        <v>2272</v>
      </c>
      <c r="AF254" t="s">
        <v>1190</v>
      </c>
    </row>
    <row r="255" spans="1:32" s="13" customFormat="1" ht="45" x14ac:dyDescent="0.25">
      <c r="A255" s="10">
        <v>335235</v>
      </c>
      <c r="B255" s="10">
        <v>1</v>
      </c>
      <c r="C255" s="9">
        <v>63</v>
      </c>
      <c r="D255" s="56" t="s">
        <v>879</v>
      </c>
      <c r="E255" s="12" t="s">
        <v>246</v>
      </c>
      <c r="F255" s="45"/>
      <c r="G255" s="45"/>
      <c r="H255" s="45"/>
      <c r="I255">
        <v>335235</v>
      </c>
      <c r="J255" t="s">
        <v>245</v>
      </c>
      <c r="K255" t="s">
        <v>2266</v>
      </c>
      <c r="L255" t="s">
        <v>1178</v>
      </c>
      <c r="M255" t="s">
        <v>1192</v>
      </c>
      <c r="N255" t="s">
        <v>599</v>
      </c>
      <c r="O255" t="s">
        <v>1551</v>
      </c>
      <c r="P255" t="s">
        <v>1778</v>
      </c>
      <c r="Q255" t="s">
        <v>599</v>
      </c>
      <c r="R255" t="s">
        <v>2267</v>
      </c>
      <c r="S255" t="s">
        <v>2268</v>
      </c>
      <c r="T255">
        <v>1856</v>
      </c>
      <c r="U255">
        <v>1856</v>
      </c>
      <c r="V255" t="s">
        <v>2269</v>
      </c>
      <c r="W255" t="s">
        <v>1185</v>
      </c>
      <c r="X255" t="s">
        <v>599</v>
      </c>
      <c r="Y255" t="s">
        <v>599</v>
      </c>
      <c r="Z255" t="s">
        <v>2270</v>
      </c>
      <c r="AA255" t="s">
        <v>599</v>
      </c>
      <c r="AB255" t="s">
        <v>599</v>
      </c>
      <c r="AC255" t="s">
        <v>2271</v>
      </c>
      <c r="AD255" t="s">
        <v>1188</v>
      </c>
      <c r="AE255" t="s">
        <v>2272</v>
      </c>
      <c r="AF255" t="s">
        <v>1190</v>
      </c>
    </row>
    <row r="256" spans="1:32" s="13" customFormat="1" ht="45" x14ac:dyDescent="0.25">
      <c r="A256" s="10">
        <v>335235</v>
      </c>
      <c r="B256" s="10">
        <v>1</v>
      </c>
      <c r="C256" s="9">
        <v>105</v>
      </c>
      <c r="D256" s="56" t="s">
        <v>880</v>
      </c>
      <c r="E256" s="12" t="s">
        <v>246</v>
      </c>
      <c r="F256" s="45"/>
      <c r="G256" s="45"/>
      <c r="H256" s="45"/>
      <c r="I256">
        <v>335235</v>
      </c>
      <c r="J256" t="s">
        <v>245</v>
      </c>
      <c r="K256" t="s">
        <v>2266</v>
      </c>
      <c r="L256" t="s">
        <v>1178</v>
      </c>
      <c r="M256" t="s">
        <v>1192</v>
      </c>
      <c r="N256" t="s">
        <v>599</v>
      </c>
      <c r="O256" t="s">
        <v>1551</v>
      </c>
      <c r="P256" t="s">
        <v>1778</v>
      </c>
      <c r="Q256" t="s">
        <v>599</v>
      </c>
      <c r="R256" t="s">
        <v>2267</v>
      </c>
      <c r="S256" t="s">
        <v>2268</v>
      </c>
      <c r="T256">
        <v>1856</v>
      </c>
      <c r="U256">
        <v>1856</v>
      </c>
      <c r="V256" t="s">
        <v>2269</v>
      </c>
      <c r="W256" t="s">
        <v>1185</v>
      </c>
      <c r="X256" t="s">
        <v>599</v>
      </c>
      <c r="Y256" t="s">
        <v>599</v>
      </c>
      <c r="Z256" t="s">
        <v>2270</v>
      </c>
      <c r="AA256" t="s">
        <v>599</v>
      </c>
      <c r="AB256" t="s">
        <v>599</v>
      </c>
      <c r="AC256" t="s">
        <v>2271</v>
      </c>
      <c r="AD256" t="s">
        <v>1188</v>
      </c>
      <c r="AE256" t="s">
        <v>2272</v>
      </c>
      <c r="AF256" t="s">
        <v>1190</v>
      </c>
    </row>
    <row r="257" spans="1:32" s="13" customFormat="1" ht="45" x14ac:dyDescent="0.25">
      <c r="A257" s="10">
        <v>335235</v>
      </c>
      <c r="B257" s="10">
        <v>1</v>
      </c>
      <c r="C257" s="9">
        <v>157</v>
      </c>
      <c r="D257" s="56" t="s">
        <v>881</v>
      </c>
      <c r="E257" s="12" t="s">
        <v>246</v>
      </c>
      <c r="F257" s="45"/>
      <c r="G257" s="45"/>
      <c r="H257" s="45"/>
      <c r="I257">
        <v>335235</v>
      </c>
      <c r="J257" t="s">
        <v>245</v>
      </c>
      <c r="K257" t="s">
        <v>2266</v>
      </c>
      <c r="L257" t="s">
        <v>1178</v>
      </c>
      <c r="M257" t="s">
        <v>1192</v>
      </c>
      <c r="N257" t="s">
        <v>599</v>
      </c>
      <c r="O257" t="s">
        <v>1551</v>
      </c>
      <c r="P257" t="s">
        <v>1778</v>
      </c>
      <c r="Q257" t="s">
        <v>599</v>
      </c>
      <c r="R257" t="s">
        <v>2267</v>
      </c>
      <c r="S257" t="s">
        <v>2268</v>
      </c>
      <c r="T257">
        <v>1856</v>
      </c>
      <c r="U257">
        <v>1856</v>
      </c>
      <c r="V257" t="s">
        <v>2269</v>
      </c>
      <c r="W257" t="s">
        <v>1185</v>
      </c>
      <c r="X257" t="s">
        <v>599</v>
      </c>
      <c r="Y257" t="s">
        <v>599</v>
      </c>
      <c r="Z257" t="s">
        <v>2270</v>
      </c>
      <c r="AA257" t="s">
        <v>599</v>
      </c>
      <c r="AB257" t="s">
        <v>599</v>
      </c>
      <c r="AC257" t="s">
        <v>2271</v>
      </c>
      <c r="AD257" t="s">
        <v>1188</v>
      </c>
      <c r="AE257" t="s">
        <v>2272</v>
      </c>
      <c r="AF257" t="s">
        <v>1190</v>
      </c>
    </row>
    <row r="258" spans="1:32" s="13" customFormat="1" ht="45" x14ac:dyDescent="0.25">
      <c r="A258" s="10">
        <v>335235</v>
      </c>
      <c r="B258" s="10">
        <v>1</v>
      </c>
      <c r="C258" s="9">
        <v>197</v>
      </c>
      <c r="D258" s="56" t="s">
        <v>882</v>
      </c>
      <c r="E258" s="12" t="s">
        <v>246</v>
      </c>
      <c r="F258" s="45"/>
      <c r="G258" s="45"/>
      <c r="H258" s="45"/>
      <c r="I258">
        <v>335235</v>
      </c>
      <c r="J258" t="s">
        <v>245</v>
      </c>
      <c r="K258" t="s">
        <v>2266</v>
      </c>
      <c r="L258" t="s">
        <v>1178</v>
      </c>
      <c r="M258" t="s">
        <v>1192</v>
      </c>
      <c r="N258" t="s">
        <v>599</v>
      </c>
      <c r="O258" t="s">
        <v>1551</v>
      </c>
      <c r="P258" t="s">
        <v>1778</v>
      </c>
      <c r="Q258" t="s">
        <v>599</v>
      </c>
      <c r="R258" t="s">
        <v>2267</v>
      </c>
      <c r="S258" t="s">
        <v>2268</v>
      </c>
      <c r="T258">
        <v>1856</v>
      </c>
      <c r="U258">
        <v>1856</v>
      </c>
      <c r="V258" t="s">
        <v>2269</v>
      </c>
      <c r="W258" t="s">
        <v>1185</v>
      </c>
      <c r="X258" t="s">
        <v>599</v>
      </c>
      <c r="Y258" t="s">
        <v>599</v>
      </c>
      <c r="Z258" t="s">
        <v>2270</v>
      </c>
      <c r="AA258" t="s">
        <v>599</v>
      </c>
      <c r="AB258" t="s">
        <v>599</v>
      </c>
      <c r="AC258" t="s">
        <v>2271</v>
      </c>
      <c r="AD258" t="s">
        <v>1188</v>
      </c>
      <c r="AE258" t="s">
        <v>2272</v>
      </c>
      <c r="AF258" t="s">
        <v>1190</v>
      </c>
    </row>
    <row r="259" spans="1:32" s="13" customFormat="1" ht="45" x14ac:dyDescent="0.25">
      <c r="A259" s="10">
        <v>335235</v>
      </c>
      <c r="B259" s="10">
        <v>1</v>
      </c>
      <c r="C259" s="9">
        <v>268</v>
      </c>
      <c r="D259" s="56" t="s">
        <v>883</v>
      </c>
      <c r="E259" s="12" t="s">
        <v>246</v>
      </c>
      <c r="F259" s="45"/>
      <c r="G259" s="45"/>
      <c r="H259" s="45"/>
      <c r="I259">
        <v>335235</v>
      </c>
      <c r="J259" t="s">
        <v>245</v>
      </c>
      <c r="K259" t="s">
        <v>2266</v>
      </c>
      <c r="L259" t="s">
        <v>1178</v>
      </c>
      <c r="M259" t="s">
        <v>1192</v>
      </c>
      <c r="N259" t="s">
        <v>599</v>
      </c>
      <c r="O259" t="s">
        <v>1551</v>
      </c>
      <c r="P259" t="s">
        <v>1778</v>
      </c>
      <c r="Q259" t="s">
        <v>599</v>
      </c>
      <c r="R259" t="s">
        <v>2267</v>
      </c>
      <c r="S259" t="s">
        <v>2268</v>
      </c>
      <c r="T259">
        <v>1856</v>
      </c>
      <c r="U259">
        <v>1856</v>
      </c>
      <c r="V259" t="s">
        <v>2269</v>
      </c>
      <c r="W259" t="s">
        <v>1185</v>
      </c>
      <c r="X259" t="s">
        <v>599</v>
      </c>
      <c r="Y259" t="s">
        <v>599</v>
      </c>
      <c r="Z259" t="s">
        <v>2270</v>
      </c>
      <c r="AA259" t="s">
        <v>599</v>
      </c>
      <c r="AB259" t="s">
        <v>599</v>
      </c>
      <c r="AC259" t="s">
        <v>2271</v>
      </c>
      <c r="AD259" t="s">
        <v>1188</v>
      </c>
      <c r="AE259" t="s">
        <v>2272</v>
      </c>
      <c r="AF259" t="s">
        <v>1190</v>
      </c>
    </row>
    <row r="260" spans="1:32" s="13" customFormat="1" ht="45" x14ac:dyDescent="0.25">
      <c r="A260" s="10">
        <v>335235</v>
      </c>
      <c r="B260" s="10">
        <v>1</v>
      </c>
      <c r="C260" s="9">
        <v>309</v>
      </c>
      <c r="D260" s="56" t="s">
        <v>884</v>
      </c>
      <c r="E260" s="12" t="s">
        <v>246</v>
      </c>
      <c r="F260" s="45"/>
      <c r="G260" s="45"/>
      <c r="H260" s="45"/>
      <c r="I260">
        <v>335235</v>
      </c>
      <c r="J260" t="s">
        <v>245</v>
      </c>
      <c r="K260" t="s">
        <v>2266</v>
      </c>
      <c r="L260" t="s">
        <v>1178</v>
      </c>
      <c r="M260" t="s">
        <v>1192</v>
      </c>
      <c r="N260" t="s">
        <v>599</v>
      </c>
      <c r="O260" t="s">
        <v>1551</v>
      </c>
      <c r="P260" t="s">
        <v>1778</v>
      </c>
      <c r="Q260" t="s">
        <v>599</v>
      </c>
      <c r="R260" t="s">
        <v>2267</v>
      </c>
      <c r="S260" t="s">
        <v>2268</v>
      </c>
      <c r="T260">
        <v>1856</v>
      </c>
      <c r="U260">
        <v>1856</v>
      </c>
      <c r="V260" t="s">
        <v>2269</v>
      </c>
      <c r="W260" t="s">
        <v>1185</v>
      </c>
      <c r="X260" t="s">
        <v>599</v>
      </c>
      <c r="Y260" t="s">
        <v>599</v>
      </c>
      <c r="Z260" t="s">
        <v>2270</v>
      </c>
      <c r="AA260" t="s">
        <v>599</v>
      </c>
      <c r="AB260" t="s">
        <v>599</v>
      </c>
      <c r="AC260" t="s">
        <v>2271</v>
      </c>
      <c r="AD260" t="s">
        <v>1188</v>
      </c>
      <c r="AE260" t="s">
        <v>2272</v>
      </c>
      <c r="AF260" t="s">
        <v>1190</v>
      </c>
    </row>
    <row r="261" spans="1:32" s="13" customFormat="1" ht="45" x14ac:dyDescent="0.25">
      <c r="A261" s="10">
        <v>335235</v>
      </c>
      <c r="B261" s="10">
        <v>1</v>
      </c>
      <c r="C261" s="9">
        <v>375</v>
      </c>
      <c r="D261" s="56" t="s">
        <v>885</v>
      </c>
      <c r="E261" s="12" t="s">
        <v>246</v>
      </c>
      <c r="F261" s="45"/>
      <c r="G261" s="45"/>
      <c r="H261" s="45"/>
      <c r="I261">
        <v>335235</v>
      </c>
      <c r="J261" t="s">
        <v>245</v>
      </c>
      <c r="K261" t="s">
        <v>2266</v>
      </c>
      <c r="L261" t="s">
        <v>1178</v>
      </c>
      <c r="M261" t="s">
        <v>1192</v>
      </c>
      <c r="N261" t="s">
        <v>599</v>
      </c>
      <c r="O261" t="s">
        <v>1551</v>
      </c>
      <c r="P261" t="s">
        <v>1778</v>
      </c>
      <c r="Q261" t="s">
        <v>599</v>
      </c>
      <c r="R261" t="s">
        <v>2267</v>
      </c>
      <c r="S261" t="s">
        <v>2268</v>
      </c>
      <c r="T261">
        <v>1856</v>
      </c>
      <c r="U261">
        <v>1856</v>
      </c>
      <c r="V261" t="s">
        <v>2269</v>
      </c>
      <c r="W261" t="s">
        <v>1185</v>
      </c>
      <c r="X261" t="s">
        <v>599</v>
      </c>
      <c r="Y261" t="s">
        <v>599</v>
      </c>
      <c r="Z261" t="s">
        <v>2270</v>
      </c>
      <c r="AA261" t="s">
        <v>599</v>
      </c>
      <c r="AB261" t="s">
        <v>599</v>
      </c>
      <c r="AC261" t="s">
        <v>2271</v>
      </c>
      <c r="AD261" t="s">
        <v>1188</v>
      </c>
      <c r="AE261" t="s">
        <v>2272</v>
      </c>
      <c r="AF261" t="s">
        <v>1190</v>
      </c>
    </row>
    <row r="262" spans="1:32" s="13" customFormat="1" ht="45" x14ac:dyDescent="0.25">
      <c r="A262" s="10">
        <v>256272</v>
      </c>
      <c r="B262" s="10">
        <v>1</v>
      </c>
      <c r="C262" s="9">
        <v>10</v>
      </c>
      <c r="D262" s="56" t="s">
        <v>886</v>
      </c>
      <c r="E262" s="12" t="s">
        <v>248</v>
      </c>
      <c r="F262" s="45"/>
      <c r="G262" s="45"/>
      <c r="H262" s="45"/>
      <c r="I262">
        <v>256272</v>
      </c>
      <c r="J262" t="s">
        <v>247</v>
      </c>
      <c r="K262" t="s">
        <v>2275</v>
      </c>
      <c r="L262" t="s">
        <v>1178</v>
      </c>
      <c r="M262" t="s">
        <v>1192</v>
      </c>
      <c r="N262" t="s">
        <v>599</v>
      </c>
      <c r="O262" t="s">
        <v>1551</v>
      </c>
      <c r="P262" t="s">
        <v>599</v>
      </c>
      <c r="Q262" t="s">
        <v>599</v>
      </c>
      <c r="R262" t="s">
        <v>2276</v>
      </c>
      <c r="S262" t="s">
        <v>2277</v>
      </c>
      <c r="T262">
        <v>1823</v>
      </c>
      <c r="U262">
        <v>1823</v>
      </c>
      <c r="V262" t="s">
        <v>2278</v>
      </c>
      <c r="W262" t="s">
        <v>1185</v>
      </c>
      <c r="X262" t="s">
        <v>599</v>
      </c>
      <c r="Y262" t="s">
        <v>599</v>
      </c>
      <c r="Z262" t="s">
        <v>2279</v>
      </c>
      <c r="AA262" t="s">
        <v>599</v>
      </c>
      <c r="AB262" t="s">
        <v>599</v>
      </c>
      <c r="AC262" t="s">
        <v>2280</v>
      </c>
      <c r="AD262" t="s">
        <v>1188</v>
      </c>
      <c r="AE262" t="s">
        <v>2281</v>
      </c>
      <c r="AF262" t="s">
        <v>1190</v>
      </c>
    </row>
    <row r="263" spans="1:32" s="13" customFormat="1" ht="45" x14ac:dyDescent="0.25">
      <c r="A263" s="10">
        <v>256272</v>
      </c>
      <c r="B263" s="10">
        <v>1</v>
      </c>
      <c r="C263" s="9">
        <v>11</v>
      </c>
      <c r="D263" s="56" t="s">
        <v>887</v>
      </c>
      <c r="E263" s="12" t="s">
        <v>248</v>
      </c>
      <c r="F263" s="45"/>
      <c r="G263" s="45"/>
      <c r="H263" s="45"/>
      <c r="I263">
        <v>256272</v>
      </c>
      <c r="J263" t="s">
        <v>247</v>
      </c>
      <c r="K263" t="s">
        <v>2275</v>
      </c>
      <c r="L263" t="s">
        <v>1178</v>
      </c>
      <c r="M263" t="s">
        <v>1192</v>
      </c>
      <c r="N263" t="s">
        <v>599</v>
      </c>
      <c r="O263" t="s">
        <v>1551</v>
      </c>
      <c r="P263" t="s">
        <v>599</v>
      </c>
      <c r="Q263" t="s">
        <v>599</v>
      </c>
      <c r="R263" t="s">
        <v>2276</v>
      </c>
      <c r="S263" t="s">
        <v>2277</v>
      </c>
      <c r="T263">
        <v>1823</v>
      </c>
      <c r="U263">
        <v>1823</v>
      </c>
      <c r="V263" t="s">
        <v>2278</v>
      </c>
      <c r="W263" t="s">
        <v>1185</v>
      </c>
      <c r="X263" t="s">
        <v>599</v>
      </c>
      <c r="Y263" t="s">
        <v>599</v>
      </c>
      <c r="Z263" t="s">
        <v>2279</v>
      </c>
      <c r="AA263" t="s">
        <v>599</v>
      </c>
      <c r="AB263" t="s">
        <v>599</v>
      </c>
      <c r="AC263" t="s">
        <v>2280</v>
      </c>
      <c r="AD263" t="s">
        <v>1188</v>
      </c>
      <c r="AE263" t="s">
        <v>2281</v>
      </c>
      <c r="AF263" t="s">
        <v>1190</v>
      </c>
    </row>
    <row r="264" spans="1:32" s="13" customFormat="1" ht="45" x14ac:dyDescent="0.25">
      <c r="A264" s="10">
        <v>458267</v>
      </c>
      <c r="B264" s="10">
        <v>1</v>
      </c>
      <c r="C264" s="9">
        <v>5</v>
      </c>
      <c r="D264" s="56" t="s">
        <v>888</v>
      </c>
      <c r="E264" s="12" t="s">
        <v>143</v>
      </c>
      <c r="F264" s="45"/>
      <c r="G264" s="45"/>
      <c r="H264" s="45"/>
      <c r="I264">
        <v>458267</v>
      </c>
      <c r="J264" t="s">
        <v>250</v>
      </c>
      <c r="K264" t="s">
        <v>2282</v>
      </c>
      <c r="L264" t="s">
        <v>1178</v>
      </c>
      <c r="M264" t="s">
        <v>1192</v>
      </c>
      <c r="N264" t="s">
        <v>599</v>
      </c>
      <c r="O264" t="s">
        <v>2283</v>
      </c>
      <c r="P264" t="s">
        <v>599</v>
      </c>
      <c r="Q264" t="s">
        <v>599</v>
      </c>
      <c r="R264" t="s">
        <v>1182</v>
      </c>
      <c r="S264" t="s">
        <v>1221</v>
      </c>
      <c r="T264">
        <v>1887</v>
      </c>
      <c r="U264">
        <v>1887</v>
      </c>
      <c r="V264" t="s">
        <v>2284</v>
      </c>
      <c r="W264" t="s">
        <v>2285</v>
      </c>
      <c r="X264" t="s">
        <v>599</v>
      </c>
      <c r="Y264" t="s">
        <v>599</v>
      </c>
      <c r="Z264" t="s">
        <v>599</v>
      </c>
      <c r="AA264" t="s">
        <v>599</v>
      </c>
      <c r="AB264" t="s">
        <v>599</v>
      </c>
      <c r="AC264" t="s">
        <v>2286</v>
      </c>
      <c r="AD264" t="s">
        <v>2287</v>
      </c>
      <c r="AE264" t="s">
        <v>2288</v>
      </c>
      <c r="AF264" t="s">
        <v>1190</v>
      </c>
    </row>
    <row r="265" spans="1:32" s="13" customFormat="1" ht="45" x14ac:dyDescent="0.25">
      <c r="A265" s="10">
        <v>849980</v>
      </c>
      <c r="B265" s="10">
        <v>1</v>
      </c>
      <c r="C265" s="9">
        <v>96</v>
      </c>
      <c r="D265" s="56" t="s">
        <v>889</v>
      </c>
      <c r="E265" s="12" t="s">
        <v>252</v>
      </c>
      <c r="F265" s="45"/>
      <c r="G265" s="45"/>
      <c r="H265" s="45"/>
      <c r="I265">
        <v>849980</v>
      </c>
      <c r="J265" t="s">
        <v>251</v>
      </c>
      <c r="K265" t="s">
        <v>2289</v>
      </c>
      <c r="L265" t="s">
        <v>1178</v>
      </c>
      <c r="M265" t="s">
        <v>1192</v>
      </c>
      <c r="N265" t="s">
        <v>599</v>
      </c>
      <c r="O265" t="s">
        <v>2290</v>
      </c>
      <c r="P265" t="s">
        <v>599</v>
      </c>
      <c r="Q265" t="s">
        <v>599</v>
      </c>
      <c r="R265" t="s">
        <v>1182</v>
      </c>
      <c r="S265" t="s">
        <v>2291</v>
      </c>
      <c r="T265">
        <v>1880</v>
      </c>
      <c r="U265">
        <v>1880</v>
      </c>
      <c r="V265" t="s">
        <v>2292</v>
      </c>
      <c r="W265" t="s">
        <v>2293</v>
      </c>
      <c r="X265" t="s">
        <v>599</v>
      </c>
      <c r="Y265" t="s">
        <v>599</v>
      </c>
      <c r="Z265" t="s">
        <v>599</v>
      </c>
      <c r="AA265" t="s">
        <v>599</v>
      </c>
      <c r="AB265" t="s">
        <v>599</v>
      </c>
      <c r="AC265" t="s">
        <v>2294</v>
      </c>
      <c r="AD265" t="s">
        <v>1188</v>
      </c>
      <c r="AE265" t="s">
        <v>2295</v>
      </c>
      <c r="AF265" t="s">
        <v>1190</v>
      </c>
    </row>
    <row r="266" spans="1:32" s="13" customFormat="1" ht="45" x14ac:dyDescent="0.25">
      <c r="A266" s="10">
        <v>849980</v>
      </c>
      <c r="B266" s="10">
        <v>1</v>
      </c>
      <c r="C266" s="9">
        <v>97</v>
      </c>
      <c r="D266" s="56" t="s">
        <v>890</v>
      </c>
      <c r="E266" s="12"/>
      <c r="F266" s="45"/>
      <c r="G266" s="45"/>
      <c r="H266" s="45"/>
      <c r="I266">
        <v>849980</v>
      </c>
      <c r="J266" t="s">
        <v>251</v>
      </c>
      <c r="K266" t="s">
        <v>2289</v>
      </c>
      <c r="L266" t="s">
        <v>1178</v>
      </c>
      <c r="M266" t="s">
        <v>1192</v>
      </c>
      <c r="N266" t="s">
        <v>599</v>
      </c>
      <c r="O266" t="s">
        <v>2290</v>
      </c>
      <c r="P266" t="s">
        <v>599</v>
      </c>
      <c r="Q266" t="s">
        <v>599</v>
      </c>
      <c r="R266" t="s">
        <v>1182</v>
      </c>
      <c r="S266" t="s">
        <v>2291</v>
      </c>
      <c r="T266">
        <v>1880</v>
      </c>
      <c r="U266">
        <v>1880</v>
      </c>
      <c r="V266" t="s">
        <v>2292</v>
      </c>
      <c r="W266" t="s">
        <v>2293</v>
      </c>
      <c r="X266" t="s">
        <v>599</v>
      </c>
      <c r="Y266" t="s">
        <v>599</v>
      </c>
      <c r="Z266" t="s">
        <v>599</v>
      </c>
      <c r="AA266" t="s">
        <v>599</v>
      </c>
      <c r="AB266" t="s">
        <v>599</v>
      </c>
      <c r="AC266" t="s">
        <v>2294</v>
      </c>
      <c r="AD266" t="s">
        <v>1188</v>
      </c>
      <c r="AE266" t="s">
        <v>2295</v>
      </c>
      <c r="AF266" t="s">
        <v>1190</v>
      </c>
    </row>
    <row r="267" spans="1:32" s="13" customFormat="1" ht="45" x14ac:dyDescent="0.25">
      <c r="A267" s="10">
        <v>849980</v>
      </c>
      <c r="B267" s="10">
        <v>1</v>
      </c>
      <c r="C267" s="9">
        <v>100</v>
      </c>
      <c r="D267" s="56" t="s">
        <v>891</v>
      </c>
      <c r="E267" s="12"/>
      <c r="F267" s="45"/>
      <c r="G267" s="45"/>
      <c r="H267" s="45"/>
      <c r="I267">
        <v>849980</v>
      </c>
      <c r="J267" t="s">
        <v>251</v>
      </c>
      <c r="K267" t="s">
        <v>2289</v>
      </c>
      <c r="L267" t="s">
        <v>1178</v>
      </c>
      <c r="M267" t="s">
        <v>1192</v>
      </c>
      <c r="N267" t="s">
        <v>599</v>
      </c>
      <c r="O267" t="s">
        <v>2290</v>
      </c>
      <c r="P267" t="s">
        <v>599</v>
      </c>
      <c r="Q267" t="s">
        <v>599</v>
      </c>
      <c r="R267" t="s">
        <v>1182</v>
      </c>
      <c r="S267" t="s">
        <v>2291</v>
      </c>
      <c r="T267">
        <v>1880</v>
      </c>
      <c r="U267">
        <v>1880</v>
      </c>
      <c r="V267" t="s">
        <v>2292</v>
      </c>
      <c r="W267" t="s">
        <v>2293</v>
      </c>
      <c r="X267" t="s">
        <v>599</v>
      </c>
      <c r="Y267" t="s">
        <v>599</v>
      </c>
      <c r="Z267" t="s">
        <v>599</v>
      </c>
      <c r="AA267" t="s">
        <v>599</v>
      </c>
      <c r="AB267" t="s">
        <v>599</v>
      </c>
      <c r="AC267" t="s">
        <v>2294</v>
      </c>
      <c r="AD267" t="s">
        <v>1188</v>
      </c>
      <c r="AE267" t="s">
        <v>2295</v>
      </c>
      <c r="AF267" t="s">
        <v>1190</v>
      </c>
    </row>
    <row r="268" spans="1:32" s="13" customFormat="1" ht="45" x14ac:dyDescent="0.25">
      <c r="A268" s="10">
        <v>849980</v>
      </c>
      <c r="B268" s="10">
        <v>1</v>
      </c>
      <c r="C268" s="9">
        <v>101</v>
      </c>
      <c r="D268" s="56" t="s">
        <v>892</v>
      </c>
      <c r="E268" s="12"/>
      <c r="F268" s="45"/>
      <c r="G268" s="45"/>
      <c r="H268" s="45"/>
      <c r="I268">
        <v>849980</v>
      </c>
      <c r="J268" t="s">
        <v>251</v>
      </c>
      <c r="K268" t="s">
        <v>2289</v>
      </c>
      <c r="L268" t="s">
        <v>1178</v>
      </c>
      <c r="M268" t="s">
        <v>1192</v>
      </c>
      <c r="N268" t="s">
        <v>599</v>
      </c>
      <c r="O268" t="s">
        <v>2290</v>
      </c>
      <c r="P268" t="s">
        <v>599</v>
      </c>
      <c r="Q268" t="s">
        <v>599</v>
      </c>
      <c r="R268" t="s">
        <v>1182</v>
      </c>
      <c r="S268" t="s">
        <v>2291</v>
      </c>
      <c r="T268">
        <v>1880</v>
      </c>
      <c r="U268">
        <v>1880</v>
      </c>
      <c r="V268" t="s">
        <v>2292</v>
      </c>
      <c r="W268" t="s">
        <v>2293</v>
      </c>
      <c r="X268" t="s">
        <v>599</v>
      </c>
      <c r="Y268" t="s">
        <v>599</v>
      </c>
      <c r="Z268" t="s">
        <v>599</v>
      </c>
      <c r="AA268" t="s">
        <v>599</v>
      </c>
      <c r="AB268" t="s">
        <v>599</v>
      </c>
      <c r="AC268" t="s">
        <v>2294</v>
      </c>
      <c r="AD268" t="s">
        <v>1188</v>
      </c>
      <c r="AE268" t="s">
        <v>2295</v>
      </c>
      <c r="AF268" t="s">
        <v>1190</v>
      </c>
    </row>
    <row r="269" spans="1:32" s="13" customFormat="1" ht="45" x14ac:dyDescent="0.25">
      <c r="A269" s="10">
        <v>458260</v>
      </c>
      <c r="B269" s="10">
        <v>1</v>
      </c>
      <c r="C269" s="9">
        <v>8</v>
      </c>
      <c r="D269" s="56" t="s">
        <v>893</v>
      </c>
      <c r="E269" s="12" t="s">
        <v>254</v>
      </c>
      <c r="F269" s="45"/>
      <c r="G269" s="45"/>
      <c r="H269" s="45"/>
      <c r="I269">
        <v>458260</v>
      </c>
      <c r="J269" t="s">
        <v>253</v>
      </c>
      <c r="K269" t="s">
        <v>2296</v>
      </c>
      <c r="L269" t="s">
        <v>1178</v>
      </c>
      <c r="M269" t="s">
        <v>1192</v>
      </c>
      <c r="N269" t="s">
        <v>599</v>
      </c>
      <c r="O269" t="s">
        <v>2297</v>
      </c>
      <c r="P269" t="s">
        <v>2298</v>
      </c>
      <c r="Q269" t="s">
        <v>599</v>
      </c>
      <c r="R269" t="s">
        <v>1182</v>
      </c>
      <c r="S269" t="s">
        <v>1221</v>
      </c>
      <c r="T269">
        <v>1888</v>
      </c>
      <c r="U269">
        <v>1888</v>
      </c>
      <c r="V269" t="s">
        <v>2299</v>
      </c>
      <c r="W269" t="s">
        <v>1185</v>
      </c>
      <c r="X269" t="s">
        <v>599</v>
      </c>
      <c r="Y269" t="s">
        <v>599</v>
      </c>
      <c r="Z269" t="s">
        <v>599</v>
      </c>
      <c r="AA269" t="s">
        <v>599</v>
      </c>
      <c r="AB269" t="s">
        <v>599</v>
      </c>
      <c r="AC269" t="s">
        <v>2300</v>
      </c>
      <c r="AD269" t="s">
        <v>1188</v>
      </c>
      <c r="AE269" t="s">
        <v>2301</v>
      </c>
      <c r="AF269" t="s">
        <v>1190</v>
      </c>
    </row>
    <row r="270" spans="1:32" s="26" customFormat="1" ht="45" x14ac:dyDescent="0.25">
      <c r="A270" s="23">
        <v>256276</v>
      </c>
      <c r="B270" s="23">
        <v>1</v>
      </c>
      <c r="C270" s="27">
        <v>7</v>
      </c>
      <c r="D270" s="53" t="s">
        <v>894</v>
      </c>
      <c r="E270" s="25" t="s">
        <v>172</v>
      </c>
      <c r="F270" s="45"/>
      <c r="G270" s="45"/>
      <c r="H270" s="45"/>
      <c r="I270">
        <v>256276</v>
      </c>
      <c r="J270" t="s">
        <v>255</v>
      </c>
      <c r="K270" t="s">
        <v>2302</v>
      </c>
      <c r="L270" t="s">
        <v>1178</v>
      </c>
      <c r="M270" t="s">
        <v>1192</v>
      </c>
      <c r="N270" t="s">
        <v>599</v>
      </c>
      <c r="O270" t="s">
        <v>1551</v>
      </c>
      <c r="P270" t="s">
        <v>599</v>
      </c>
      <c r="Q270" t="s">
        <v>599</v>
      </c>
      <c r="R270" t="s">
        <v>2303</v>
      </c>
      <c r="S270" t="s">
        <v>2304</v>
      </c>
      <c r="T270">
        <v>1827</v>
      </c>
      <c r="U270">
        <v>1827</v>
      </c>
      <c r="V270" t="s">
        <v>2305</v>
      </c>
      <c r="W270" t="s">
        <v>1185</v>
      </c>
      <c r="X270" t="s">
        <v>599</v>
      </c>
      <c r="Y270" t="s">
        <v>599</v>
      </c>
      <c r="Z270" t="s">
        <v>2306</v>
      </c>
      <c r="AA270" t="s">
        <v>599</v>
      </c>
      <c r="AB270" t="s">
        <v>2307</v>
      </c>
      <c r="AC270" t="s">
        <v>2308</v>
      </c>
      <c r="AD270" t="s">
        <v>1188</v>
      </c>
      <c r="AE270" t="s">
        <v>2309</v>
      </c>
      <c r="AF270" t="s">
        <v>1190</v>
      </c>
    </row>
    <row r="271" spans="1:32" s="13" customFormat="1" ht="45" x14ac:dyDescent="0.25">
      <c r="A271" s="10">
        <v>849990</v>
      </c>
      <c r="B271" s="10">
        <v>1</v>
      </c>
      <c r="C271" s="9">
        <v>7</v>
      </c>
      <c r="D271" s="56" t="s">
        <v>895</v>
      </c>
      <c r="E271" s="12" t="s">
        <v>257</v>
      </c>
      <c r="F271" s="45"/>
      <c r="G271" s="45"/>
      <c r="H271" s="45"/>
      <c r="I271">
        <v>849990</v>
      </c>
      <c r="J271" t="s">
        <v>256</v>
      </c>
      <c r="K271" t="s">
        <v>2310</v>
      </c>
      <c r="L271" t="s">
        <v>1178</v>
      </c>
      <c r="M271" t="s">
        <v>1192</v>
      </c>
      <c r="N271" t="s">
        <v>599</v>
      </c>
      <c r="O271" t="s">
        <v>2311</v>
      </c>
      <c r="P271" t="s">
        <v>2312</v>
      </c>
      <c r="Q271" t="s">
        <v>599</v>
      </c>
      <c r="R271" t="s">
        <v>1182</v>
      </c>
      <c r="S271" t="s">
        <v>2313</v>
      </c>
      <c r="T271">
        <v>1880</v>
      </c>
      <c r="U271">
        <v>1880</v>
      </c>
      <c r="V271" t="s">
        <v>2314</v>
      </c>
      <c r="W271" t="s">
        <v>2315</v>
      </c>
      <c r="X271" t="s">
        <v>599</v>
      </c>
      <c r="Y271" t="s">
        <v>599</v>
      </c>
      <c r="Z271" t="s">
        <v>599</v>
      </c>
      <c r="AA271" t="s">
        <v>599</v>
      </c>
      <c r="AB271" t="s">
        <v>599</v>
      </c>
      <c r="AC271" t="s">
        <v>2316</v>
      </c>
      <c r="AD271" t="s">
        <v>1188</v>
      </c>
      <c r="AE271" t="s">
        <v>2317</v>
      </c>
      <c r="AF271" t="s">
        <v>1190</v>
      </c>
    </row>
    <row r="272" spans="1:32" s="13" customFormat="1" ht="105" x14ac:dyDescent="0.25">
      <c r="A272" s="10">
        <v>851358</v>
      </c>
      <c r="B272" s="10">
        <v>1</v>
      </c>
      <c r="C272" s="9">
        <v>100</v>
      </c>
      <c r="D272" s="56" t="s">
        <v>896</v>
      </c>
      <c r="E272" s="12" t="s">
        <v>259</v>
      </c>
      <c r="F272" s="45"/>
      <c r="G272" s="45"/>
      <c r="H272" s="45"/>
      <c r="I272">
        <v>851358</v>
      </c>
      <c r="J272" t="s">
        <v>258</v>
      </c>
      <c r="K272" t="s">
        <v>2318</v>
      </c>
      <c r="L272" t="s">
        <v>1178</v>
      </c>
      <c r="M272" t="s">
        <v>1192</v>
      </c>
      <c r="N272" t="s">
        <v>599</v>
      </c>
      <c r="O272" t="s">
        <v>2319</v>
      </c>
      <c r="P272" t="s">
        <v>2320</v>
      </c>
      <c r="Q272" t="s">
        <v>599</v>
      </c>
      <c r="R272" t="s">
        <v>1182</v>
      </c>
      <c r="S272" t="s">
        <v>1221</v>
      </c>
      <c r="T272">
        <v>1886</v>
      </c>
      <c r="U272">
        <v>1886</v>
      </c>
      <c r="V272" t="s">
        <v>1241</v>
      </c>
      <c r="W272" t="s">
        <v>2321</v>
      </c>
      <c r="X272" t="s">
        <v>599</v>
      </c>
      <c r="Y272" t="s">
        <v>599</v>
      </c>
      <c r="Z272" t="s">
        <v>599</v>
      </c>
      <c r="AA272" t="s">
        <v>599</v>
      </c>
      <c r="AB272" t="s">
        <v>599</v>
      </c>
      <c r="AC272" t="s">
        <v>2322</v>
      </c>
      <c r="AD272" t="s">
        <v>1188</v>
      </c>
      <c r="AE272" t="s">
        <v>2323</v>
      </c>
      <c r="AF272" t="s">
        <v>1190</v>
      </c>
    </row>
    <row r="273" spans="1:32" s="13" customFormat="1" ht="105" x14ac:dyDescent="0.25">
      <c r="A273" s="10">
        <v>851358</v>
      </c>
      <c r="B273" s="10">
        <v>1</v>
      </c>
      <c r="C273" s="9">
        <v>121</v>
      </c>
      <c r="D273" s="56" t="s">
        <v>897</v>
      </c>
      <c r="E273" s="12" t="s">
        <v>259</v>
      </c>
      <c r="F273" s="45"/>
      <c r="G273" s="45"/>
      <c r="H273" s="45"/>
      <c r="I273">
        <v>851358</v>
      </c>
      <c r="J273" t="s">
        <v>258</v>
      </c>
      <c r="K273" t="s">
        <v>2318</v>
      </c>
      <c r="L273" t="s">
        <v>1178</v>
      </c>
      <c r="M273" t="s">
        <v>1192</v>
      </c>
      <c r="N273" t="s">
        <v>599</v>
      </c>
      <c r="O273" t="s">
        <v>2319</v>
      </c>
      <c r="P273" t="s">
        <v>2320</v>
      </c>
      <c r="Q273" t="s">
        <v>599</v>
      </c>
      <c r="R273" t="s">
        <v>1182</v>
      </c>
      <c r="S273" t="s">
        <v>1221</v>
      </c>
      <c r="T273">
        <v>1886</v>
      </c>
      <c r="U273">
        <v>1886</v>
      </c>
      <c r="V273" t="s">
        <v>1241</v>
      </c>
      <c r="W273" t="s">
        <v>2321</v>
      </c>
      <c r="X273" t="s">
        <v>599</v>
      </c>
      <c r="Y273" t="s">
        <v>599</v>
      </c>
      <c r="Z273" t="s">
        <v>599</v>
      </c>
      <c r="AA273" t="s">
        <v>599</v>
      </c>
      <c r="AB273" t="s">
        <v>599</v>
      </c>
      <c r="AC273" t="s">
        <v>2322</v>
      </c>
      <c r="AD273" t="s">
        <v>1188</v>
      </c>
      <c r="AE273" t="s">
        <v>2323</v>
      </c>
      <c r="AF273" t="s">
        <v>1190</v>
      </c>
    </row>
    <row r="274" spans="1:32" s="13" customFormat="1" ht="105" x14ac:dyDescent="0.25">
      <c r="A274" s="10">
        <v>851358</v>
      </c>
      <c r="B274" s="10">
        <v>1</v>
      </c>
      <c r="C274" s="9">
        <v>125</v>
      </c>
      <c r="D274" s="56" t="s">
        <v>898</v>
      </c>
      <c r="E274" s="12" t="s">
        <v>259</v>
      </c>
      <c r="F274" s="45"/>
      <c r="G274" s="45"/>
      <c r="H274" s="45"/>
      <c r="I274">
        <v>851358</v>
      </c>
      <c r="J274" t="s">
        <v>258</v>
      </c>
      <c r="K274" t="s">
        <v>2318</v>
      </c>
      <c r="L274" t="s">
        <v>1178</v>
      </c>
      <c r="M274" t="s">
        <v>1192</v>
      </c>
      <c r="N274" t="s">
        <v>599</v>
      </c>
      <c r="O274" t="s">
        <v>2319</v>
      </c>
      <c r="P274" t="s">
        <v>2320</v>
      </c>
      <c r="Q274" t="s">
        <v>599</v>
      </c>
      <c r="R274" t="s">
        <v>1182</v>
      </c>
      <c r="S274" t="s">
        <v>1221</v>
      </c>
      <c r="T274">
        <v>1886</v>
      </c>
      <c r="U274">
        <v>1886</v>
      </c>
      <c r="V274" t="s">
        <v>1241</v>
      </c>
      <c r="W274" t="s">
        <v>2321</v>
      </c>
      <c r="X274" t="s">
        <v>599</v>
      </c>
      <c r="Y274" t="s">
        <v>599</v>
      </c>
      <c r="Z274" t="s">
        <v>599</v>
      </c>
      <c r="AA274" t="s">
        <v>599</v>
      </c>
      <c r="AB274" t="s">
        <v>599</v>
      </c>
      <c r="AC274" t="s">
        <v>2322</v>
      </c>
      <c r="AD274" t="s">
        <v>1188</v>
      </c>
      <c r="AE274" t="s">
        <v>2323</v>
      </c>
      <c r="AF274" t="s">
        <v>1190</v>
      </c>
    </row>
    <row r="275" spans="1:32" s="13" customFormat="1" ht="105" x14ac:dyDescent="0.25">
      <c r="A275" s="10">
        <v>851358</v>
      </c>
      <c r="B275" s="10">
        <v>1</v>
      </c>
      <c r="C275" s="9">
        <v>129</v>
      </c>
      <c r="D275" s="56" t="s">
        <v>899</v>
      </c>
      <c r="E275" s="12" t="s">
        <v>259</v>
      </c>
      <c r="F275" s="45"/>
      <c r="G275" s="45"/>
      <c r="H275" s="45"/>
      <c r="I275">
        <v>851358</v>
      </c>
      <c r="J275" t="s">
        <v>258</v>
      </c>
      <c r="K275" t="s">
        <v>2318</v>
      </c>
      <c r="L275" t="s">
        <v>1178</v>
      </c>
      <c r="M275" t="s">
        <v>1192</v>
      </c>
      <c r="N275" t="s">
        <v>599</v>
      </c>
      <c r="O275" t="s">
        <v>2319</v>
      </c>
      <c r="P275" t="s">
        <v>2320</v>
      </c>
      <c r="Q275" t="s">
        <v>599</v>
      </c>
      <c r="R275" t="s">
        <v>1182</v>
      </c>
      <c r="S275" t="s">
        <v>1221</v>
      </c>
      <c r="T275">
        <v>1886</v>
      </c>
      <c r="U275">
        <v>1886</v>
      </c>
      <c r="V275" t="s">
        <v>1241</v>
      </c>
      <c r="W275" t="s">
        <v>2321</v>
      </c>
      <c r="X275" t="s">
        <v>599</v>
      </c>
      <c r="Y275" t="s">
        <v>599</v>
      </c>
      <c r="Z275" t="s">
        <v>599</v>
      </c>
      <c r="AA275" t="s">
        <v>599</v>
      </c>
      <c r="AB275" t="s">
        <v>599</v>
      </c>
      <c r="AC275" t="s">
        <v>2322</v>
      </c>
      <c r="AD275" t="s">
        <v>1188</v>
      </c>
      <c r="AE275" t="s">
        <v>2323</v>
      </c>
      <c r="AF275" t="s">
        <v>1190</v>
      </c>
    </row>
    <row r="276" spans="1:32" s="13" customFormat="1" ht="105" x14ac:dyDescent="0.25">
      <c r="A276" s="10">
        <v>851358</v>
      </c>
      <c r="B276" s="10">
        <v>1</v>
      </c>
      <c r="C276" s="9">
        <v>137</v>
      </c>
      <c r="D276" s="56" t="s">
        <v>900</v>
      </c>
      <c r="E276" s="12" t="s">
        <v>259</v>
      </c>
      <c r="F276" s="45"/>
      <c r="G276" s="45"/>
      <c r="H276" s="45"/>
      <c r="I276">
        <v>851358</v>
      </c>
      <c r="J276" t="s">
        <v>258</v>
      </c>
      <c r="K276" t="s">
        <v>2318</v>
      </c>
      <c r="L276" t="s">
        <v>1178</v>
      </c>
      <c r="M276" t="s">
        <v>1192</v>
      </c>
      <c r="N276" t="s">
        <v>599</v>
      </c>
      <c r="O276" t="s">
        <v>2319</v>
      </c>
      <c r="P276" t="s">
        <v>2320</v>
      </c>
      <c r="Q276" t="s">
        <v>599</v>
      </c>
      <c r="R276" t="s">
        <v>1182</v>
      </c>
      <c r="S276" t="s">
        <v>1221</v>
      </c>
      <c r="T276">
        <v>1886</v>
      </c>
      <c r="U276">
        <v>1886</v>
      </c>
      <c r="V276" t="s">
        <v>1241</v>
      </c>
      <c r="W276" t="s">
        <v>2321</v>
      </c>
      <c r="X276" t="s">
        <v>599</v>
      </c>
      <c r="Y276" t="s">
        <v>599</v>
      </c>
      <c r="Z276" t="s">
        <v>599</v>
      </c>
      <c r="AA276" t="s">
        <v>599</v>
      </c>
      <c r="AB276" t="s">
        <v>599</v>
      </c>
      <c r="AC276" t="s">
        <v>2322</v>
      </c>
      <c r="AD276" t="s">
        <v>1188</v>
      </c>
      <c r="AE276" t="s">
        <v>2323</v>
      </c>
      <c r="AF276" t="s">
        <v>1190</v>
      </c>
    </row>
    <row r="277" spans="1:32" s="13" customFormat="1" ht="105" x14ac:dyDescent="0.25">
      <c r="A277" s="10">
        <v>851358</v>
      </c>
      <c r="B277" s="10">
        <v>1</v>
      </c>
      <c r="C277" s="9">
        <v>151</v>
      </c>
      <c r="D277" s="56" t="s">
        <v>901</v>
      </c>
      <c r="E277" s="12" t="s">
        <v>259</v>
      </c>
      <c r="F277" s="45"/>
      <c r="G277" s="45"/>
      <c r="H277" s="45"/>
      <c r="I277">
        <v>851358</v>
      </c>
      <c r="J277" t="s">
        <v>258</v>
      </c>
      <c r="K277" t="s">
        <v>2318</v>
      </c>
      <c r="L277" t="s">
        <v>1178</v>
      </c>
      <c r="M277" t="s">
        <v>1192</v>
      </c>
      <c r="N277" t="s">
        <v>599</v>
      </c>
      <c r="O277" t="s">
        <v>2319</v>
      </c>
      <c r="P277" t="s">
        <v>2320</v>
      </c>
      <c r="Q277" t="s">
        <v>599</v>
      </c>
      <c r="R277" t="s">
        <v>1182</v>
      </c>
      <c r="S277" t="s">
        <v>1221</v>
      </c>
      <c r="T277">
        <v>1886</v>
      </c>
      <c r="U277">
        <v>1886</v>
      </c>
      <c r="V277" t="s">
        <v>1241</v>
      </c>
      <c r="W277" t="s">
        <v>2321</v>
      </c>
      <c r="X277" t="s">
        <v>599</v>
      </c>
      <c r="Y277" t="s">
        <v>599</v>
      </c>
      <c r="Z277" t="s">
        <v>599</v>
      </c>
      <c r="AA277" t="s">
        <v>599</v>
      </c>
      <c r="AB277" t="s">
        <v>599</v>
      </c>
      <c r="AC277" t="s">
        <v>2322</v>
      </c>
      <c r="AD277" t="s">
        <v>1188</v>
      </c>
      <c r="AE277" t="s">
        <v>2323</v>
      </c>
      <c r="AF277" t="s">
        <v>1190</v>
      </c>
    </row>
    <row r="278" spans="1:32" s="13" customFormat="1" ht="105" x14ac:dyDescent="0.25">
      <c r="A278" s="10">
        <v>851358</v>
      </c>
      <c r="B278" s="10">
        <v>1</v>
      </c>
      <c r="C278" s="9">
        <v>157</v>
      </c>
      <c r="D278" s="56" t="s">
        <v>902</v>
      </c>
      <c r="E278" s="12" t="s">
        <v>259</v>
      </c>
      <c r="F278" s="45"/>
      <c r="G278" s="45"/>
      <c r="H278" s="45"/>
      <c r="I278">
        <v>851358</v>
      </c>
      <c r="J278" t="s">
        <v>258</v>
      </c>
      <c r="K278" t="s">
        <v>2318</v>
      </c>
      <c r="L278" t="s">
        <v>1178</v>
      </c>
      <c r="M278" t="s">
        <v>1192</v>
      </c>
      <c r="N278" t="s">
        <v>599</v>
      </c>
      <c r="O278" t="s">
        <v>2319</v>
      </c>
      <c r="P278" t="s">
        <v>2320</v>
      </c>
      <c r="Q278" t="s">
        <v>599</v>
      </c>
      <c r="R278" t="s">
        <v>1182</v>
      </c>
      <c r="S278" t="s">
        <v>1221</v>
      </c>
      <c r="T278">
        <v>1886</v>
      </c>
      <c r="U278">
        <v>1886</v>
      </c>
      <c r="V278" t="s">
        <v>1241</v>
      </c>
      <c r="W278" t="s">
        <v>2321</v>
      </c>
      <c r="X278" t="s">
        <v>599</v>
      </c>
      <c r="Y278" t="s">
        <v>599</v>
      </c>
      <c r="Z278" t="s">
        <v>599</v>
      </c>
      <c r="AA278" t="s">
        <v>599</v>
      </c>
      <c r="AB278" t="s">
        <v>599</v>
      </c>
      <c r="AC278" t="s">
        <v>2322</v>
      </c>
      <c r="AD278" t="s">
        <v>1188</v>
      </c>
      <c r="AE278" t="s">
        <v>2323</v>
      </c>
      <c r="AF278" t="s">
        <v>1190</v>
      </c>
    </row>
    <row r="279" spans="1:32" s="13" customFormat="1" ht="105" x14ac:dyDescent="0.25">
      <c r="A279" s="10">
        <v>851358</v>
      </c>
      <c r="B279" s="10">
        <v>1</v>
      </c>
      <c r="C279" s="9">
        <v>159</v>
      </c>
      <c r="D279" s="56" t="s">
        <v>903</v>
      </c>
      <c r="E279" s="12" t="s">
        <v>259</v>
      </c>
      <c r="F279" s="45"/>
      <c r="G279" s="45"/>
      <c r="H279" s="45"/>
      <c r="I279">
        <v>851358</v>
      </c>
      <c r="J279" t="s">
        <v>258</v>
      </c>
      <c r="K279" t="s">
        <v>2318</v>
      </c>
      <c r="L279" t="s">
        <v>1178</v>
      </c>
      <c r="M279" t="s">
        <v>1192</v>
      </c>
      <c r="N279" t="s">
        <v>599</v>
      </c>
      <c r="O279" t="s">
        <v>2319</v>
      </c>
      <c r="P279" t="s">
        <v>2320</v>
      </c>
      <c r="Q279" t="s">
        <v>599</v>
      </c>
      <c r="R279" t="s">
        <v>1182</v>
      </c>
      <c r="S279" t="s">
        <v>1221</v>
      </c>
      <c r="T279">
        <v>1886</v>
      </c>
      <c r="U279">
        <v>1886</v>
      </c>
      <c r="V279" t="s">
        <v>1241</v>
      </c>
      <c r="W279" t="s">
        <v>2321</v>
      </c>
      <c r="X279" t="s">
        <v>599</v>
      </c>
      <c r="Y279" t="s">
        <v>599</v>
      </c>
      <c r="Z279" t="s">
        <v>599</v>
      </c>
      <c r="AA279" t="s">
        <v>599</v>
      </c>
      <c r="AB279" t="s">
        <v>599</v>
      </c>
      <c r="AC279" t="s">
        <v>2322</v>
      </c>
      <c r="AD279" t="s">
        <v>1188</v>
      </c>
      <c r="AE279" t="s">
        <v>2323</v>
      </c>
      <c r="AF279" t="s">
        <v>1190</v>
      </c>
    </row>
    <row r="280" spans="1:32" s="13" customFormat="1" ht="105" x14ac:dyDescent="0.25">
      <c r="A280" s="10">
        <v>851358</v>
      </c>
      <c r="B280" s="10">
        <v>1</v>
      </c>
      <c r="C280" s="9">
        <v>192</v>
      </c>
      <c r="D280" s="56" t="s">
        <v>904</v>
      </c>
      <c r="E280" s="12" t="s">
        <v>259</v>
      </c>
      <c r="F280" s="45"/>
      <c r="G280" s="45"/>
      <c r="H280" s="45"/>
      <c r="I280">
        <v>851358</v>
      </c>
      <c r="J280" t="s">
        <v>258</v>
      </c>
      <c r="K280" t="s">
        <v>2318</v>
      </c>
      <c r="L280" t="s">
        <v>1178</v>
      </c>
      <c r="M280" t="s">
        <v>1192</v>
      </c>
      <c r="N280" t="s">
        <v>599</v>
      </c>
      <c r="O280" t="s">
        <v>2319</v>
      </c>
      <c r="P280" t="s">
        <v>2320</v>
      </c>
      <c r="Q280" t="s">
        <v>599</v>
      </c>
      <c r="R280" t="s">
        <v>1182</v>
      </c>
      <c r="S280" t="s">
        <v>1221</v>
      </c>
      <c r="T280">
        <v>1886</v>
      </c>
      <c r="U280">
        <v>1886</v>
      </c>
      <c r="V280" t="s">
        <v>1241</v>
      </c>
      <c r="W280" t="s">
        <v>2321</v>
      </c>
      <c r="X280" t="s">
        <v>599</v>
      </c>
      <c r="Y280" t="s">
        <v>599</v>
      </c>
      <c r="Z280" t="s">
        <v>599</v>
      </c>
      <c r="AA280" t="s">
        <v>599</v>
      </c>
      <c r="AB280" t="s">
        <v>599</v>
      </c>
      <c r="AC280" t="s">
        <v>2322</v>
      </c>
      <c r="AD280" t="s">
        <v>1188</v>
      </c>
      <c r="AE280" t="s">
        <v>2323</v>
      </c>
      <c r="AF280" t="s">
        <v>1190</v>
      </c>
    </row>
    <row r="281" spans="1:32" s="13" customFormat="1" ht="105" x14ac:dyDescent="0.25">
      <c r="A281" s="10">
        <v>851358</v>
      </c>
      <c r="B281" s="10">
        <v>1</v>
      </c>
      <c r="C281" s="9">
        <v>193</v>
      </c>
      <c r="D281" s="56" t="s">
        <v>905</v>
      </c>
      <c r="E281" s="12" t="s">
        <v>259</v>
      </c>
      <c r="F281" s="45"/>
      <c r="G281" s="45"/>
      <c r="H281" s="45"/>
      <c r="I281">
        <v>851358</v>
      </c>
      <c r="J281" t="s">
        <v>258</v>
      </c>
      <c r="K281" t="s">
        <v>2318</v>
      </c>
      <c r="L281" t="s">
        <v>1178</v>
      </c>
      <c r="M281" t="s">
        <v>1192</v>
      </c>
      <c r="N281" t="s">
        <v>599</v>
      </c>
      <c r="O281" t="s">
        <v>2319</v>
      </c>
      <c r="P281" t="s">
        <v>2320</v>
      </c>
      <c r="Q281" t="s">
        <v>599</v>
      </c>
      <c r="R281" t="s">
        <v>1182</v>
      </c>
      <c r="S281" t="s">
        <v>1221</v>
      </c>
      <c r="T281">
        <v>1886</v>
      </c>
      <c r="U281">
        <v>1886</v>
      </c>
      <c r="V281" t="s">
        <v>1241</v>
      </c>
      <c r="W281" t="s">
        <v>2321</v>
      </c>
      <c r="X281" t="s">
        <v>599</v>
      </c>
      <c r="Y281" t="s">
        <v>599</v>
      </c>
      <c r="Z281" t="s">
        <v>599</v>
      </c>
      <c r="AA281" t="s">
        <v>599</v>
      </c>
      <c r="AB281" t="s">
        <v>599</v>
      </c>
      <c r="AC281" t="s">
        <v>2322</v>
      </c>
      <c r="AD281" t="s">
        <v>1188</v>
      </c>
      <c r="AE281" t="s">
        <v>2323</v>
      </c>
      <c r="AF281" t="s">
        <v>1190</v>
      </c>
    </row>
    <row r="282" spans="1:32" s="13" customFormat="1" ht="105" x14ac:dyDescent="0.25">
      <c r="A282" s="10">
        <v>851358</v>
      </c>
      <c r="B282" s="10">
        <v>1</v>
      </c>
      <c r="C282" s="9">
        <v>226</v>
      </c>
      <c r="D282" s="56" t="s">
        <v>906</v>
      </c>
      <c r="E282" s="12" t="s">
        <v>259</v>
      </c>
      <c r="F282" s="45"/>
      <c r="G282" s="45"/>
      <c r="H282" s="45"/>
      <c r="I282">
        <v>851358</v>
      </c>
      <c r="J282" t="s">
        <v>258</v>
      </c>
      <c r="K282" t="s">
        <v>2318</v>
      </c>
      <c r="L282" t="s">
        <v>1178</v>
      </c>
      <c r="M282" t="s">
        <v>1192</v>
      </c>
      <c r="N282" t="s">
        <v>599</v>
      </c>
      <c r="O282" t="s">
        <v>2319</v>
      </c>
      <c r="P282" t="s">
        <v>2320</v>
      </c>
      <c r="Q282" t="s">
        <v>599</v>
      </c>
      <c r="R282" t="s">
        <v>1182</v>
      </c>
      <c r="S282" t="s">
        <v>1221</v>
      </c>
      <c r="T282">
        <v>1886</v>
      </c>
      <c r="U282">
        <v>1886</v>
      </c>
      <c r="V282" t="s">
        <v>1241</v>
      </c>
      <c r="W282" t="s">
        <v>2321</v>
      </c>
      <c r="X282" t="s">
        <v>599</v>
      </c>
      <c r="Y282" t="s">
        <v>599</v>
      </c>
      <c r="Z282" t="s">
        <v>599</v>
      </c>
      <c r="AA282" t="s">
        <v>599</v>
      </c>
      <c r="AB282" t="s">
        <v>599</v>
      </c>
      <c r="AC282" t="s">
        <v>2322</v>
      </c>
      <c r="AD282" t="s">
        <v>1188</v>
      </c>
      <c r="AE282" t="s">
        <v>2323</v>
      </c>
      <c r="AF282" t="s">
        <v>1190</v>
      </c>
    </row>
    <row r="283" spans="1:32" s="13" customFormat="1" ht="105" x14ac:dyDescent="0.25">
      <c r="A283" s="10">
        <v>851358</v>
      </c>
      <c r="B283" s="10">
        <v>1</v>
      </c>
      <c r="C283" s="9">
        <v>281</v>
      </c>
      <c r="D283" s="56" t="s">
        <v>907</v>
      </c>
      <c r="E283" s="12" t="s">
        <v>259</v>
      </c>
      <c r="F283" s="45"/>
      <c r="G283" s="45"/>
      <c r="H283" s="45"/>
      <c r="I283">
        <v>851358</v>
      </c>
      <c r="J283" t="s">
        <v>258</v>
      </c>
      <c r="K283" t="s">
        <v>2318</v>
      </c>
      <c r="L283" t="s">
        <v>1178</v>
      </c>
      <c r="M283" t="s">
        <v>1192</v>
      </c>
      <c r="N283" t="s">
        <v>599</v>
      </c>
      <c r="O283" t="s">
        <v>2319</v>
      </c>
      <c r="P283" t="s">
        <v>2320</v>
      </c>
      <c r="Q283" t="s">
        <v>599</v>
      </c>
      <c r="R283" t="s">
        <v>1182</v>
      </c>
      <c r="S283" t="s">
        <v>1221</v>
      </c>
      <c r="T283">
        <v>1886</v>
      </c>
      <c r="U283">
        <v>1886</v>
      </c>
      <c r="V283" t="s">
        <v>1241</v>
      </c>
      <c r="W283" t="s">
        <v>2321</v>
      </c>
      <c r="X283" t="s">
        <v>599</v>
      </c>
      <c r="Y283" t="s">
        <v>599</v>
      </c>
      <c r="Z283" t="s">
        <v>599</v>
      </c>
      <c r="AA283" t="s">
        <v>599</v>
      </c>
      <c r="AB283" t="s">
        <v>599</v>
      </c>
      <c r="AC283" t="s">
        <v>2322</v>
      </c>
      <c r="AD283" t="s">
        <v>1188</v>
      </c>
      <c r="AE283" t="s">
        <v>2323</v>
      </c>
      <c r="AF283" t="s">
        <v>1190</v>
      </c>
    </row>
    <row r="284" spans="1:32" s="13" customFormat="1" ht="105" x14ac:dyDescent="0.25">
      <c r="A284" s="10">
        <v>851358</v>
      </c>
      <c r="B284" s="10">
        <v>1</v>
      </c>
      <c r="C284" s="9">
        <v>294</v>
      </c>
      <c r="D284" s="56" t="s">
        <v>908</v>
      </c>
      <c r="E284" s="12" t="s">
        <v>259</v>
      </c>
      <c r="F284" s="45"/>
      <c r="G284" s="45"/>
      <c r="H284" s="45"/>
      <c r="I284">
        <v>851358</v>
      </c>
      <c r="J284" t="s">
        <v>258</v>
      </c>
      <c r="K284" t="s">
        <v>2318</v>
      </c>
      <c r="L284" t="s">
        <v>1178</v>
      </c>
      <c r="M284" t="s">
        <v>1192</v>
      </c>
      <c r="N284" t="s">
        <v>599</v>
      </c>
      <c r="O284" t="s">
        <v>2319</v>
      </c>
      <c r="P284" t="s">
        <v>2320</v>
      </c>
      <c r="Q284" t="s">
        <v>599</v>
      </c>
      <c r="R284" t="s">
        <v>1182</v>
      </c>
      <c r="S284" t="s">
        <v>1221</v>
      </c>
      <c r="T284">
        <v>1886</v>
      </c>
      <c r="U284">
        <v>1886</v>
      </c>
      <c r="V284" t="s">
        <v>1241</v>
      </c>
      <c r="W284" t="s">
        <v>2321</v>
      </c>
      <c r="X284" t="s">
        <v>599</v>
      </c>
      <c r="Y284" t="s">
        <v>599</v>
      </c>
      <c r="Z284" t="s">
        <v>599</v>
      </c>
      <c r="AA284" t="s">
        <v>599</v>
      </c>
      <c r="AB284" t="s">
        <v>599</v>
      </c>
      <c r="AC284" t="s">
        <v>2322</v>
      </c>
      <c r="AD284" t="s">
        <v>1188</v>
      </c>
      <c r="AE284" t="s">
        <v>2323</v>
      </c>
      <c r="AF284" t="s">
        <v>1190</v>
      </c>
    </row>
    <row r="285" spans="1:32" s="13" customFormat="1" ht="105" x14ac:dyDescent="0.25">
      <c r="A285" s="10">
        <v>851358</v>
      </c>
      <c r="B285" s="10">
        <v>1</v>
      </c>
      <c r="C285" s="9">
        <v>325</v>
      </c>
      <c r="D285" s="56" t="s">
        <v>909</v>
      </c>
      <c r="E285" s="12" t="s">
        <v>259</v>
      </c>
      <c r="F285" s="45"/>
      <c r="G285" s="45"/>
      <c r="H285" s="45"/>
      <c r="I285">
        <v>851358</v>
      </c>
      <c r="J285" t="s">
        <v>258</v>
      </c>
      <c r="K285" t="s">
        <v>2318</v>
      </c>
      <c r="L285" t="s">
        <v>1178</v>
      </c>
      <c r="M285" t="s">
        <v>1192</v>
      </c>
      <c r="N285" t="s">
        <v>599</v>
      </c>
      <c r="O285" t="s">
        <v>2319</v>
      </c>
      <c r="P285" t="s">
        <v>2320</v>
      </c>
      <c r="Q285" t="s">
        <v>599</v>
      </c>
      <c r="R285" t="s">
        <v>1182</v>
      </c>
      <c r="S285" t="s">
        <v>1221</v>
      </c>
      <c r="T285">
        <v>1886</v>
      </c>
      <c r="U285">
        <v>1886</v>
      </c>
      <c r="V285" t="s">
        <v>1241</v>
      </c>
      <c r="W285" t="s">
        <v>2321</v>
      </c>
      <c r="X285" t="s">
        <v>599</v>
      </c>
      <c r="Y285" t="s">
        <v>599</v>
      </c>
      <c r="Z285" t="s">
        <v>599</v>
      </c>
      <c r="AA285" t="s">
        <v>599</v>
      </c>
      <c r="AB285" t="s">
        <v>599</v>
      </c>
      <c r="AC285" t="s">
        <v>2322</v>
      </c>
      <c r="AD285" t="s">
        <v>1188</v>
      </c>
      <c r="AE285" t="s">
        <v>2323</v>
      </c>
      <c r="AF285" t="s">
        <v>1190</v>
      </c>
    </row>
    <row r="286" spans="1:32" s="13" customFormat="1" ht="105" x14ac:dyDescent="0.25">
      <c r="A286" s="10">
        <v>851358</v>
      </c>
      <c r="B286" s="10">
        <v>1</v>
      </c>
      <c r="C286" s="9">
        <v>468</v>
      </c>
      <c r="D286" s="56" t="s">
        <v>910</v>
      </c>
      <c r="E286" s="12" t="s">
        <v>259</v>
      </c>
      <c r="F286" s="45"/>
      <c r="G286" s="45"/>
      <c r="H286" s="45"/>
      <c r="I286">
        <v>851358</v>
      </c>
      <c r="J286" t="s">
        <v>258</v>
      </c>
      <c r="K286" t="s">
        <v>2318</v>
      </c>
      <c r="L286" t="s">
        <v>1178</v>
      </c>
      <c r="M286" t="s">
        <v>1192</v>
      </c>
      <c r="N286" t="s">
        <v>599</v>
      </c>
      <c r="O286" t="s">
        <v>2319</v>
      </c>
      <c r="P286" t="s">
        <v>2320</v>
      </c>
      <c r="Q286" t="s">
        <v>599</v>
      </c>
      <c r="R286" t="s">
        <v>1182</v>
      </c>
      <c r="S286" t="s">
        <v>1221</v>
      </c>
      <c r="T286">
        <v>1886</v>
      </c>
      <c r="U286">
        <v>1886</v>
      </c>
      <c r="V286" t="s">
        <v>1241</v>
      </c>
      <c r="W286" t="s">
        <v>2321</v>
      </c>
      <c r="X286" t="s">
        <v>599</v>
      </c>
      <c r="Y286" t="s">
        <v>599</v>
      </c>
      <c r="Z286" t="s">
        <v>599</v>
      </c>
      <c r="AA286" t="s">
        <v>599</v>
      </c>
      <c r="AB286" t="s">
        <v>599</v>
      </c>
      <c r="AC286" t="s">
        <v>2322</v>
      </c>
      <c r="AD286" t="s">
        <v>1188</v>
      </c>
      <c r="AE286" t="s">
        <v>2323</v>
      </c>
      <c r="AF286" t="s">
        <v>1190</v>
      </c>
    </row>
    <row r="287" spans="1:32" s="43" customFormat="1" ht="105" x14ac:dyDescent="0.25">
      <c r="A287" s="40">
        <v>851358</v>
      </c>
      <c r="B287" s="40">
        <v>1</v>
      </c>
      <c r="C287" s="38">
        <v>500</v>
      </c>
      <c r="D287" s="52" t="s">
        <v>911</v>
      </c>
      <c r="E287" s="42" t="s">
        <v>259</v>
      </c>
      <c r="F287" s="45"/>
      <c r="G287" s="45"/>
      <c r="H287" s="45"/>
      <c r="I287">
        <v>851358</v>
      </c>
      <c r="J287" t="s">
        <v>258</v>
      </c>
      <c r="K287" t="s">
        <v>2318</v>
      </c>
      <c r="L287" t="s">
        <v>1178</v>
      </c>
      <c r="M287" t="s">
        <v>1192</v>
      </c>
      <c r="N287" t="s">
        <v>599</v>
      </c>
      <c r="O287" t="s">
        <v>2319</v>
      </c>
      <c r="P287" t="s">
        <v>2320</v>
      </c>
      <c r="Q287" t="s">
        <v>599</v>
      </c>
      <c r="R287" t="s">
        <v>1182</v>
      </c>
      <c r="S287" t="s">
        <v>1221</v>
      </c>
      <c r="T287">
        <v>1886</v>
      </c>
      <c r="U287">
        <v>1886</v>
      </c>
      <c r="V287" t="s">
        <v>1241</v>
      </c>
      <c r="W287" t="s">
        <v>2321</v>
      </c>
      <c r="X287" t="s">
        <v>599</v>
      </c>
      <c r="Y287" t="s">
        <v>599</v>
      </c>
      <c r="Z287" t="s">
        <v>599</v>
      </c>
      <c r="AA287" t="s">
        <v>599</v>
      </c>
      <c r="AB287" t="s">
        <v>599</v>
      </c>
      <c r="AC287" t="s">
        <v>2322</v>
      </c>
      <c r="AD287" t="s">
        <v>1188</v>
      </c>
      <c r="AE287" t="s">
        <v>2323</v>
      </c>
      <c r="AF287" t="s">
        <v>1190</v>
      </c>
    </row>
    <row r="288" spans="1:32" s="13" customFormat="1" ht="45" x14ac:dyDescent="0.25">
      <c r="A288" s="10">
        <v>851957</v>
      </c>
      <c r="B288" s="10">
        <v>1</v>
      </c>
      <c r="C288" s="9">
        <v>5</v>
      </c>
      <c r="D288" s="56" t="s">
        <v>912</v>
      </c>
      <c r="E288" s="12">
        <v>5</v>
      </c>
      <c r="F288" s="45"/>
      <c r="G288" s="45"/>
      <c r="H288" s="45"/>
      <c r="I288">
        <v>851957</v>
      </c>
      <c r="J288" t="s">
        <v>261</v>
      </c>
      <c r="K288" t="s">
        <v>2325</v>
      </c>
      <c r="L288" t="s">
        <v>1178</v>
      </c>
      <c r="M288" t="s">
        <v>1192</v>
      </c>
      <c r="N288" t="s">
        <v>599</v>
      </c>
      <c r="O288" t="s">
        <v>2326</v>
      </c>
      <c r="P288" t="s">
        <v>2327</v>
      </c>
      <c r="Q288" t="s">
        <v>599</v>
      </c>
      <c r="R288" t="s">
        <v>1182</v>
      </c>
      <c r="S288" t="s">
        <v>2328</v>
      </c>
      <c r="T288">
        <v>1880</v>
      </c>
      <c r="U288">
        <v>1880</v>
      </c>
      <c r="V288" t="s">
        <v>1276</v>
      </c>
      <c r="W288" t="s">
        <v>2329</v>
      </c>
      <c r="X288" t="s">
        <v>599</v>
      </c>
      <c r="Y288" t="s">
        <v>599</v>
      </c>
      <c r="Z288" t="s">
        <v>599</v>
      </c>
      <c r="AA288" t="s">
        <v>599</v>
      </c>
      <c r="AB288" t="s">
        <v>599</v>
      </c>
      <c r="AC288" t="s">
        <v>2330</v>
      </c>
      <c r="AD288" t="s">
        <v>1188</v>
      </c>
      <c r="AE288" t="s">
        <v>2331</v>
      </c>
      <c r="AF288" t="s">
        <v>1190</v>
      </c>
    </row>
    <row r="289" spans="1:32" s="13" customFormat="1" ht="45" x14ac:dyDescent="0.25">
      <c r="A289" s="10">
        <v>780308</v>
      </c>
      <c r="B289" s="10">
        <v>1</v>
      </c>
      <c r="C289" s="9">
        <v>5</v>
      </c>
      <c r="D289" s="56" t="s">
        <v>913</v>
      </c>
      <c r="E289" s="12">
        <v>5</v>
      </c>
      <c r="F289" s="45"/>
      <c r="G289" s="45"/>
      <c r="H289" s="45"/>
      <c r="I289">
        <v>780308</v>
      </c>
      <c r="J289" t="s">
        <v>262</v>
      </c>
      <c r="K289" t="s">
        <v>2332</v>
      </c>
      <c r="L289" t="s">
        <v>1178</v>
      </c>
      <c r="M289" t="s">
        <v>1192</v>
      </c>
      <c r="N289" t="s">
        <v>599</v>
      </c>
      <c r="O289" t="s">
        <v>2333</v>
      </c>
      <c r="P289" t="s">
        <v>599</v>
      </c>
      <c r="Q289" t="s">
        <v>599</v>
      </c>
      <c r="R289" t="s">
        <v>1182</v>
      </c>
      <c r="S289" t="s">
        <v>2334</v>
      </c>
      <c r="T289">
        <v>1880</v>
      </c>
      <c r="U289">
        <v>1880</v>
      </c>
      <c r="V289" t="s">
        <v>2335</v>
      </c>
      <c r="W289" t="s">
        <v>2336</v>
      </c>
      <c r="X289" t="s">
        <v>599</v>
      </c>
      <c r="Y289" t="s">
        <v>599</v>
      </c>
      <c r="Z289" t="s">
        <v>599</v>
      </c>
      <c r="AA289" t="s">
        <v>599</v>
      </c>
      <c r="AB289" t="s">
        <v>599</v>
      </c>
      <c r="AC289" t="s">
        <v>2337</v>
      </c>
      <c r="AD289" t="s">
        <v>1188</v>
      </c>
      <c r="AE289" t="s">
        <v>2338</v>
      </c>
      <c r="AF289" t="s">
        <v>1190</v>
      </c>
    </row>
    <row r="290" spans="1:32" s="13" customFormat="1" ht="45" x14ac:dyDescent="0.25">
      <c r="A290" s="10">
        <v>852081</v>
      </c>
      <c r="B290" s="10">
        <v>1</v>
      </c>
      <c r="C290" s="9">
        <v>4</v>
      </c>
      <c r="D290" s="56" t="s">
        <v>914</v>
      </c>
      <c r="E290" s="12" t="s">
        <v>264</v>
      </c>
      <c r="F290" s="45"/>
      <c r="G290" s="45"/>
      <c r="H290" s="45"/>
      <c r="I290">
        <v>852081</v>
      </c>
      <c r="J290" t="s">
        <v>263</v>
      </c>
      <c r="K290" t="s">
        <v>2339</v>
      </c>
      <c r="L290" t="s">
        <v>1178</v>
      </c>
      <c r="M290" t="s">
        <v>1192</v>
      </c>
      <c r="N290" t="s">
        <v>599</v>
      </c>
      <c r="O290" t="s">
        <v>2333</v>
      </c>
      <c r="P290" t="s">
        <v>2340</v>
      </c>
      <c r="Q290" t="s">
        <v>599</v>
      </c>
      <c r="R290" t="s">
        <v>1182</v>
      </c>
      <c r="S290" t="s">
        <v>1221</v>
      </c>
      <c r="T290">
        <v>1880</v>
      </c>
      <c r="U290">
        <v>1880</v>
      </c>
      <c r="V290" t="s">
        <v>2341</v>
      </c>
      <c r="W290" t="s">
        <v>599</v>
      </c>
      <c r="X290" t="s">
        <v>599</v>
      </c>
      <c r="Y290" t="s">
        <v>599</v>
      </c>
      <c r="Z290" t="s">
        <v>2342</v>
      </c>
      <c r="AA290" t="s">
        <v>599</v>
      </c>
      <c r="AB290" t="s">
        <v>599</v>
      </c>
      <c r="AC290" t="s">
        <v>2343</v>
      </c>
      <c r="AD290" t="s">
        <v>1188</v>
      </c>
      <c r="AE290" t="s">
        <v>2344</v>
      </c>
      <c r="AF290" t="s">
        <v>1190</v>
      </c>
    </row>
    <row r="291" spans="1:32" s="13" customFormat="1" ht="45" x14ac:dyDescent="0.25">
      <c r="A291" s="10">
        <v>352640</v>
      </c>
      <c r="B291" s="10">
        <v>1</v>
      </c>
      <c r="C291" s="9">
        <v>6</v>
      </c>
      <c r="D291" s="56" t="s">
        <v>915</v>
      </c>
      <c r="E291" s="12">
        <v>6</v>
      </c>
      <c r="F291" s="45"/>
      <c r="G291" s="45"/>
      <c r="H291" s="45"/>
      <c r="I291">
        <v>352640</v>
      </c>
      <c r="J291" t="s">
        <v>265</v>
      </c>
      <c r="K291" t="s">
        <v>2345</v>
      </c>
      <c r="L291" t="s">
        <v>1178</v>
      </c>
      <c r="M291" t="s">
        <v>1362</v>
      </c>
      <c r="N291" t="s">
        <v>599</v>
      </c>
      <c r="O291" t="s">
        <v>2346</v>
      </c>
      <c r="P291" t="s">
        <v>2347</v>
      </c>
      <c r="Q291" t="s">
        <v>599</v>
      </c>
      <c r="R291" t="s">
        <v>1182</v>
      </c>
      <c r="S291" t="s">
        <v>2348</v>
      </c>
      <c r="T291">
        <v>1824</v>
      </c>
      <c r="U291">
        <v>1824</v>
      </c>
      <c r="V291" t="s">
        <v>2349</v>
      </c>
      <c r="W291" t="s">
        <v>2350</v>
      </c>
      <c r="X291" t="s">
        <v>599</v>
      </c>
      <c r="Y291" t="s">
        <v>599</v>
      </c>
      <c r="Z291" t="s">
        <v>2351</v>
      </c>
      <c r="AA291" t="s">
        <v>599</v>
      </c>
      <c r="AB291" t="s">
        <v>599</v>
      </c>
      <c r="AC291" t="s">
        <v>2352</v>
      </c>
      <c r="AD291" t="s">
        <v>1188</v>
      </c>
      <c r="AE291" t="s">
        <v>2353</v>
      </c>
      <c r="AF291" t="s">
        <v>1190</v>
      </c>
    </row>
    <row r="292" spans="1:32" s="13" customFormat="1" ht="45" x14ac:dyDescent="0.25">
      <c r="A292" s="10">
        <v>943524</v>
      </c>
      <c r="B292" s="10">
        <v>1</v>
      </c>
      <c r="C292" s="9">
        <v>6</v>
      </c>
      <c r="D292" s="56" t="s">
        <v>916</v>
      </c>
      <c r="E292" s="12" t="s">
        <v>267</v>
      </c>
      <c r="F292" s="45"/>
      <c r="G292" s="45"/>
      <c r="H292" s="45"/>
      <c r="I292">
        <v>943524</v>
      </c>
      <c r="J292" t="s">
        <v>266</v>
      </c>
      <c r="K292" t="s">
        <v>2354</v>
      </c>
      <c r="L292" t="s">
        <v>1178</v>
      </c>
      <c r="M292" t="s">
        <v>1192</v>
      </c>
      <c r="N292" t="s">
        <v>599</v>
      </c>
      <c r="O292" t="s">
        <v>2355</v>
      </c>
      <c r="P292" t="s">
        <v>2356</v>
      </c>
      <c r="Q292" t="s">
        <v>599</v>
      </c>
      <c r="R292" t="s">
        <v>2357</v>
      </c>
      <c r="S292" t="s">
        <v>2358</v>
      </c>
      <c r="T292">
        <v>1817</v>
      </c>
      <c r="U292">
        <v>1817</v>
      </c>
      <c r="V292" t="s">
        <v>2359</v>
      </c>
      <c r="W292" t="s">
        <v>2360</v>
      </c>
      <c r="X292" t="s">
        <v>599</v>
      </c>
      <c r="Y292" t="s">
        <v>599</v>
      </c>
      <c r="Z292" t="s">
        <v>599</v>
      </c>
      <c r="AA292" t="s">
        <v>599</v>
      </c>
      <c r="AB292" t="s">
        <v>599</v>
      </c>
      <c r="AC292" t="s">
        <v>2361</v>
      </c>
      <c r="AD292" t="s">
        <v>1188</v>
      </c>
      <c r="AE292" t="s">
        <v>2362</v>
      </c>
      <c r="AF292" t="s">
        <v>1190</v>
      </c>
    </row>
    <row r="293" spans="1:32" s="13" customFormat="1" ht="45" x14ac:dyDescent="0.25">
      <c r="A293" s="10">
        <v>120404</v>
      </c>
      <c r="B293" s="10">
        <v>1</v>
      </c>
      <c r="C293" s="9">
        <v>1</v>
      </c>
      <c r="D293" s="56" t="s">
        <v>917</v>
      </c>
      <c r="E293" s="12" t="s">
        <v>269</v>
      </c>
      <c r="F293" s="45"/>
      <c r="G293" s="45"/>
      <c r="H293" s="45"/>
      <c r="I293">
        <v>120404</v>
      </c>
      <c r="J293" t="s">
        <v>268</v>
      </c>
      <c r="K293" t="s">
        <v>2363</v>
      </c>
      <c r="L293" t="s">
        <v>1178</v>
      </c>
      <c r="M293" t="s">
        <v>1192</v>
      </c>
      <c r="N293" t="s">
        <v>599</v>
      </c>
      <c r="O293" t="s">
        <v>1193</v>
      </c>
      <c r="P293" t="s">
        <v>599</v>
      </c>
      <c r="Q293" t="s">
        <v>599</v>
      </c>
      <c r="R293" t="s">
        <v>1552</v>
      </c>
      <c r="S293" t="s">
        <v>2364</v>
      </c>
      <c r="T293">
        <v>1880</v>
      </c>
      <c r="U293">
        <v>1880</v>
      </c>
      <c r="V293" t="s">
        <v>1554</v>
      </c>
      <c r="W293" t="s">
        <v>1185</v>
      </c>
      <c r="X293" t="s">
        <v>599</v>
      </c>
      <c r="Y293" t="s">
        <v>599</v>
      </c>
      <c r="Z293" t="s">
        <v>599</v>
      </c>
      <c r="AA293" t="s">
        <v>599</v>
      </c>
      <c r="AB293" t="s">
        <v>599</v>
      </c>
      <c r="AC293" t="s">
        <v>2365</v>
      </c>
      <c r="AD293" t="s">
        <v>1188</v>
      </c>
      <c r="AE293" t="s">
        <v>2366</v>
      </c>
      <c r="AF293" t="s">
        <v>1190</v>
      </c>
    </row>
    <row r="294" spans="1:32" s="13" customFormat="1" ht="45" x14ac:dyDescent="0.25">
      <c r="A294" s="10">
        <v>397864</v>
      </c>
      <c r="B294" s="10">
        <v>1</v>
      </c>
      <c r="C294" s="9">
        <v>10</v>
      </c>
      <c r="D294" s="56" t="s">
        <v>918</v>
      </c>
      <c r="E294" s="12">
        <v>10</v>
      </c>
      <c r="F294" s="45"/>
      <c r="G294" s="45"/>
      <c r="H294" s="45"/>
      <c r="I294">
        <v>397864</v>
      </c>
      <c r="J294" t="s">
        <v>270</v>
      </c>
      <c r="K294" t="s">
        <v>2367</v>
      </c>
      <c r="L294" t="s">
        <v>1178</v>
      </c>
      <c r="M294" t="s">
        <v>1502</v>
      </c>
      <c r="N294" t="s">
        <v>1192</v>
      </c>
      <c r="O294" t="s">
        <v>2368</v>
      </c>
      <c r="P294" t="s">
        <v>2369</v>
      </c>
      <c r="Q294" t="s">
        <v>599</v>
      </c>
      <c r="R294" t="s">
        <v>2370</v>
      </c>
      <c r="S294" t="s">
        <v>2371</v>
      </c>
      <c r="T294">
        <v>1808</v>
      </c>
      <c r="U294">
        <v>1808</v>
      </c>
      <c r="V294" t="s">
        <v>2372</v>
      </c>
      <c r="W294" t="s">
        <v>1185</v>
      </c>
      <c r="X294" t="s">
        <v>599</v>
      </c>
      <c r="Y294" t="s">
        <v>599</v>
      </c>
      <c r="Z294" t="s">
        <v>1746</v>
      </c>
      <c r="AA294" t="s">
        <v>599</v>
      </c>
      <c r="AB294" t="s">
        <v>599</v>
      </c>
      <c r="AC294" t="s">
        <v>2373</v>
      </c>
      <c r="AD294" t="s">
        <v>1188</v>
      </c>
      <c r="AE294" t="s">
        <v>2374</v>
      </c>
      <c r="AF294" t="s">
        <v>1190</v>
      </c>
    </row>
    <row r="295" spans="1:32" s="13" customFormat="1" ht="45" x14ac:dyDescent="0.25">
      <c r="A295" s="10">
        <v>256426</v>
      </c>
      <c r="B295" s="10">
        <v>1</v>
      </c>
      <c r="C295" s="9">
        <v>8</v>
      </c>
      <c r="D295" s="56" t="s">
        <v>919</v>
      </c>
      <c r="E295" s="12" t="s">
        <v>272</v>
      </c>
      <c r="F295" s="45"/>
      <c r="G295" s="45"/>
      <c r="H295" s="45"/>
      <c r="I295">
        <v>256426</v>
      </c>
      <c r="J295" t="s">
        <v>271</v>
      </c>
      <c r="K295" t="s">
        <v>2375</v>
      </c>
      <c r="L295" t="s">
        <v>1178</v>
      </c>
      <c r="M295" t="s">
        <v>1192</v>
      </c>
      <c r="N295" t="s">
        <v>599</v>
      </c>
      <c r="O295" t="s">
        <v>1551</v>
      </c>
      <c r="P295" t="s">
        <v>599</v>
      </c>
      <c r="Q295" t="s">
        <v>599</v>
      </c>
      <c r="R295" t="s">
        <v>2376</v>
      </c>
      <c r="S295" t="s">
        <v>2377</v>
      </c>
      <c r="T295">
        <v>1855</v>
      </c>
      <c r="U295">
        <v>1855</v>
      </c>
      <c r="V295" t="s">
        <v>2378</v>
      </c>
      <c r="W295" t="s">
        <v>1185</v>
      </c>
      <c r="X295" t="s">
        <v>599</v>
      </c>
      <c r="Y295" t="s">
        <v>599</v>
      </c>
      <c r="Z295" t="s">
        <v>2379</v>
      </c>
      <c r="AA295" t="s">
        <v>599</v>
      </c>
      <c r="AB295" t="s">
        <v>2380</v>
      </c>
      <c r="AC295" t="s">
        <v>2381</v>
      </c>
      <c r="AD295" t="s">
        <v>1188</v>
      </c>
      <c r="AE295" t="s">
        <v>2382</v>
      </c>
      <c r="AF295" t="s">
        <v>1190</v>
      </c>
    </row>
    <row r="296" spans="1:32" s="13" customFormat="1" ht="45" x14ac:dyDescent="0.25">
      <c r="A296" s="10">
        <v>381260</v>
      </c>
      <c r="B296" s="10">
        <v>1</v>
      </c>
      <c r="C296" s="9">
        <v>9</v>
      </c>
      <c r="D296" s="56" t="s">
        <v>920</v>
      </c>
      <c r="E296" s="12" t="s">
        <v>274</v>
      </c>
      <c r="F296" s="45"/>
      <c r="G296" s="45"/>
      <c r="H296" s="45"/>
      <c r="I296">
        <v>381260</v>
      </c>
      <c r="J296" t="s">
        <v>273</v>
      </c>
      <c r="K296" t="s">
        <v>2383</v>
      </c>
      <c r="L296" t="s">
        <v>1178</v>
      </c>
      <c r="M296" t="s">
        <v>1192</v>
      </c>
      <c r="N296" t="s">
        <v>599</v>
      </c>
      <c r="O296" t="s">
        <v>2384</v>
      </c>
      <c r="P296" t="s">
        <v>2385</v>
      </c>
      <c r="Q296" t="s">
        <v>599</v>
      </c>
      <c r="R296" t="s">
        <v>2386</v>
      </c>
      <c r="S296" t="s">
        <v>2387</v>
      </c>
      <c r="T296">
        <v>1720</v>
      </c>
      <c r="U296">
        <v>1720</v>
      </c>
      <c r="V296" t="s">
        <v>2388</v>
      </c>
      <c r="W296" t="s">
        <v>1185</v>
      </c>
      <c r="X296" t="s">
        <v>599</v>
      </c>
      <c r="Y296" t="s">
        <v>2389</v>
      </c>
      <c r="Z296" t="s">
        <v>2390</v>
      </c>
      <c r="AA296" t="s">
        <v>599</v>
      </c>
      <c r="AB296" t="s">
        <v>599</v>
      </c>
      <c r="AC296" t="s">
        <v>2391</v>
      </c>
      <c r="AD296" t="s">
        <v>1188</v>
      </c>
      <c r="AE296" t="s">
        <v>2392</v>
      </c>
      <c r="AF296" t="s">
        <v>1190</v>
      </c>
    </row>
    <row r="297" spans="1:32" s="13" customFormat="1" ht="45" x14ac:dyDescent="0.25">
      <c r="A297" s="10">
        <v>381260</v>
      </c>
      <c r="B297" s="10">
        <v>1</v>
      </c>
      <c r="C297" s="9">
        <v>16</v>
      </c>
      <c r="D297" s="56" t="s">
        <v>921</v>
      </c>
      <c r="E297" s="12" t="s">
        <v>274</v>
      </c>
      <c r="F297" s="45"/>
      <c r="G297" s="45"/>
      <c r="H297" s="45"/>
      <c r="I297">
        <v>381260</v>
      </c>
      <c r="J297" t="s">
        <v>273</v>
      </c>
      <c r="K297" t="s">
        <v>2383</v>
      </c>
      <c r="L297" t="s">
        <v>1178</v>
      </c>
      <c r="M297" t="s">
        <v>1192</v>
      </c>
      <c r="N297" t="s">
        <v>599</v>
      </c>
      <c r="O297" t="s">
        <v>2384</v>
      </c>
      <c r="P297" t="s">
        <v>2385</v>
      </c>
      <c r="Q297" t="s">
        <v>599</v>
      </c>
      <c r="R297" t="s">
        <v>2386</v>
      </c>
      <c r="S297" t="s">
        <v>2387</v>
      </c>
      <c r="T297">
        <v>1720</v>
      </c>
      <c r="U297">
        <v>1720</v>
      </c>
      <c r="V297" t="s">
        <v>2388</v>
      </c>
      <c r="W297" t="s">
        <v>1185</v>
      </c>
      <c r="X297" t="s">
        <v>599</v>
      </c>
      <c r="Y297" t="s">
        <v>2389</v>
      </c>
      <c r="Z297" t="s">
        <v>2390</v>
      </c>
      <c r="AA297" t="s">
        <v>599</v>
      </c>
      <c r="AB297" t="s">
        <v>599</v>
      </c>
      <c r="AC297" t="s">
        <v>2391</v>
      </c>
      <c r="AD297" t="s">
        <v>1188</v>
      </c>
      <c r="AE297" t="s">
        <v>2392</v>
      </c>
      <c r="AF297" t="s">
        <v>1190</v>
      </c>
    </row>
    <row r="298" spans="1:32" s="13" customFormat="1" ht="45" x14ac:dyDescent="0.25">
      <c r="A298" s="10">
        <v>397821</v>
      </c>
      <c r="B298" s="10">
        <v>1</v>
      </c>
      <c r="C298" s="9">
        <v>7</v>
      </c>
      <c r="D298" s="56" t="s">
        <v>922</v>
      </c>
      <c r="E298" s="12" t="s">
        <v>277</v>
      </c>
      <c r="F298" s="45"/>
      <c r="G298" s="45"/>
      <c r="H298" s="45"/>
      <c r="I298">
        <v>397821</v>
      </c>
      <c r="J298" t="s">
        <v>276</v>
      </c>
      <c r="K298" t="s">
        <v>2394</v>
      </c>
      <c r="L298" t="s">
        <v>1178</v>
      </c>
      <c r="M298" t="s">
        <v>1192</v>
      </c>
      <c r="N298" t="s">
        <v>599</v>
      </c>
      <c r="O298" t="s">
        <v>1193</v>
      </c>
      <c r="P298" t="s">
        <v>1202</v>
      </c>
      <c r="Q298" t="s">
        <v>599</v>
      </c>
      <c r="R298" t="s">
        <v>1182</v>
      </c>
      <c r="S298" t="s">
        <v>1203</v>
      </c>
      <c r="T298">
        <v>1898</v>
      </c>
      <c r="U298">
        <v>1898</v>
      </c>
      <c r="V298" t="s">
        <v>1204</v>
      </c>
      <c r="W298" t="s">
        <v>1185</v>
      </c>
      <c r="X298" t="s">
        <v>599</v>
      </c>
      <c r="Y298" t="s">
        <v>599</v>
      </c>
      <c r="Z298" t="s">
        <v>1205</v>
      </c>
      <c r="AA298" t="s">
        <v>599</v>
      </c>
      <c r="AB298" t="s">
        <v>599</v>
      </c>
      <c r="AC298" t="s">
        <v>2395</v>
      </c>
      <c r="AD298" t="s">
        <v>1188</v>
      </c>
      <c r="AE298" t="s">
        <v>2396</v>
      </c>
      <c r="AF298" t="s">
        <v>1190</v>
      </c>
    </row>
    <row r="299" spans="1:32" s="13" customFormat="1" ht="45" x14ac:dyDescent="0.25">
      <c r="A299" s="10">
        <v>397821</v>
      </c>
      <c r="B299" s="10">
        <v>1</v>
      </c>
      <c r="C299" s="9">
        <v>12</v>
      </c>
      <c r="D299" s="56" t="s">
        <v>923</v>
      </c>
      <c r="E299" s="12" t="s">
        <v>277</v>
      </c>
      <c r="F299" s="45"/>
      <c r="G299" s="45"/>
      <c r="H299" s="45"/>
      <c r="I299">
        <v>397821</v>
      </c>
      <c r="J299" t="s">
        <v>276</v>
      </c>
      <c r="K299" t="s">
        <v>2394</v>
      </c>
      <c r="L299" t="s">
        <v>1178</v>
      </c>
      <c r="M299" t="s">
        <v>1192</v>
      </c>
      <c r="N299" t="s">
        <v>599</v>
      </c>
      <c r="O299" t="s">
        <v>1193</v>
      </c>
      <c r="P299" t="s">
        <v>1202</v>
      </c>
      <c r="Q299" t="s">
        <v>599</v>
      </c>
      <c r="R299" t="s">
        <v>1182</v>
      </c>
      <c r="S299" t="s">
        <v>1203</v>
      </c>
      <c r="T299">
        <v>1898</v>
      </c>
      <c r="U299">
        <v>1898</v>
      </c>
      <c r="V299" t="s">
        <v>1204</v>
      </c>
      <c r="W299" t="s">
        <v>1185</v>
      </c>
      <c r="X299" t="s">
        <v>599</v>
      </c>
      <c r="Y299" t="s">
        <v>599</v>
      </c>
      <c r="Z299" t="s">
        <v>1205</v>
      </c>
      <c r="AA299" t="s">
        <v>599</v>
      </c>
      <c r="AB299" t="s">
        <v>599</v>
      </c>
      <c r="AC299" t="s">
        <v>2395</v>
      </c>
      <c r="AD299" t="s">
        <v>1188</v>
      </c>
      <c r="AE299" t="s">
        <v>2396</v>
      </c>
      <c r="AF299" t="s">
        <v>1190</v>
      </c>
    </row>
    <row r="300" spans="1:32" s="13" customFormat="1" ht="45" x14ac:dyDescent="0.25">
      <c r="A300" s="10">
        <v>397821</v>
      </c>
      <c r="B300" s="10">
        <v>1</v>
      </c>
      <c r="C300" s="9">
        <v>25</v>
      </c>
      <c r="D300" s="56" t="s">
        <v>924</v>
      </c>
      <c r="E300" s="12" t="s">
        <v>277</v>
      </c>
      <c r="F300" s="45"/>
      <c r="G300" s="45"/>
      <c r="H300" s="45"/>
      <c r="I300">
        <v>397821</v>
      </c>
      <c r="J300" t="s">
        <v>276</v>
      </c>
      <c r="K300" t="s">
        <v>2394</v>
      </c>
      <c r="L300" t="s">
        <v>1178</v>
      </c>
      <c r="M300" t="s">
        <v>1192</v>
      </c>
      <c r="N300" t="s">
        <v>599</v>
      </c>
      <c r="O300" t="s">
        <v>1193</v>
      </c>
      <c r="P300" t="s">
        <v>1202</v>
      </c>
      <c r="Q300" t="s">
        <v>599</v>
      </c>
      <c r="R300" t="s">
        <v>1182</v>
      </c>
      <c r="S300" t="s">
        <v>1203</v>
      </c>
      <c r="T300">
        <v>1898</v>
      </c>
      <c r="U300">
        <v>1898</v>
      </c>
      <c r="V300" t="s">
        <v>1204</v>
      </c>
      <c r="W300" t="s">
        <v>1185</v>
      </c>
      <c r="X300" t="s">
        <v>599</v>
      </c>
      <c r="Y300" t="s">
        <v>599</v>
      </c>
      <c r="Z300" t="s">
        <v>1205</v>
      </c>
      <c r="AA300" t="s">
        <v>599</v>
      </c>
      <c r="AB300" t="s">
        <v>599</v>
      </c>
      <c r="AC300" t="s">
        <v>2395</v>
      </c>
      <c r="AD300" t="s">
        <v>1188</v>
      </c>
      <c r="AE300" t="s">
        <v>2396</v>
      </c>
      <c r="AF300" t="s">
        <v>1190</v>
      </c>
    </row>
    <row r="301" spans="1:32" s="13" customFormat="1" ht="45" x14ac:dyDescent="0.25">
      <c r="A301" s="10">
        <v>397821</v>
      </c>
      <c r="B301" s="10">
        <v>1</v>
      </c>
      <c r="C301" s="9">
        <v>48</v>
      </c>
      <c r="D301" s="56" t="s">
        <v>925</v>
      </c>
      <c r="E301" s="12" t="s">
        <v>277</v>
      </c>
      <c r="F301" s="45"/>
      <c r="G301" s="45"/>
      <c r="H301" s="45"/>
      <c r="I301">
        <v>397821</v>
      </c>
      <c r="J301" t="s">
        <v>276</v>
      </c>
      <c r="K301" t="s">
        <v>2394</v>
      </c>
      <c r="L301" t="s">
        <v>1178</v>
      </c>
      <c r="M301" t="s">
        <v>1192</v>
      </c>
      <c r="N301" t="s">
        <v>599</v>
      </c>
      <c r="O301" t="s">
        <v>1193</v>
      </c>
      <c r="P301" t="s">
        <v>1202</v>
      </c>
      <c r="Q301" t="s">
        <v>599</v>
      </c>
      <c r="R301" t="s">
        <v>1182</v>
      </c>
      <c r="S301" t="s">
        <v>1203</v>
      </c>
      <c r="T301">
        <v>1898</v>
      </c>
      <c r="U301">
        <v>1898</v>
      </c>
      <c r="V301" t="s">
        <v>1204</v>
      </c>
      <c r="W301" t="s">
        <v>1185</v>
      </c>
      <c r="X301" t="s">
        <v>599</v>
      </c>
      <c r="Y301" t="s">
        <v>599</v>
      </c>
      <c r="Z301" t="s">
        <v>1205</v>
      </c>
      <c r="AA301" t="s">
        <v>599</v>
      </c>
      <c r="AB301" t="s">
        <v>599</v>
      </c>
      <c r="AC301" t="s">
        <v>2395</v>
      </c>
      <c r="AD301" t="s">
        <v>1188</v>
      </c>
      <c r="AE301" t="s">
        <v>2396</v>
      </c>
      <c r="AF301" t="s">
        <v>1190</v>
      </c>
    </row>
    <row r="302" spans="1:32" s="13" customFormat="1" ht="45" x14ac:dyDescent="0.25">
      <c r="A302" s="10">
        <v>397821</v>
      </c>
      <c r="B302" s="10">
        <v>1</v>
      </c>
      <c r="C302" s="9">
        <v>103</v>
      </c>
      <c r="D302" s="56" t="s">
        <v>926</v>
      </c>
      <c r="E302" s="12" t="s">
        <v>277</v>
      </c>
      <c r="F302" s="45"/>
      <c r="G302" s="45"/>
      <c r="H302" s="45"/>
      <c r="I302">
        <v>397821</v>
      </c>
      <c r="J302" t="s">
        <v>276</v>
      </c>
      <c r="K302" t="s">
        <v>2394</v>
      </c>
      <c r="L302" t="s">
        <v>1178</v>
      </c>
      <c r="M302" t="s">
        <v>1192</v>
      </c>
      <c r="N302" t="s">
        <v>599</v>
      </c>
      <c r="O302" t="s">
        <v>1193</v>
      </c>
      <c r="P302" t="s">
        <v>1202</v>
      </c>
      <c r="Q302" t="s">
        <v>599</v>
      </c>
      <c r="R302" t="s">
        <v>1182</v>
      </c>
      <c r="S302" t="s">
        <v>1203</v>
      </c>
      <c r="T302">
        <v>1898</v>
      </c>
      <c r="U302">
        <v>1898</v>
      </c>
      <c r="V302" t="s">
        <v>1204</v>
      </c>
      <c r="W302" t="s">
        <v>1185</v>
      </c>
      <c r="X302" t="s">
        <v>599</v>
      </c>
      <c r="Y302" t="s">
        <v>599</v>
      </c>
      <c r="Z302" t="s">
        <v>1205</v>
      </c>
      <c r="AA302" t="s">
        <v>599</v>
      </c>
      <c r="AB302" t="s">
        <v>599</v>
      </c>
      <c r="AC302" t="s">
        <v>2395</v>
      </c>
      <c r="AD302" t="s">
        <v>1188</v>
      </c>
      <c r="AE302" t="s">
        <v>2396</v>
      </c>
      <c r="AF302" t="s">
        <v>1190</v>
      </c>
    </row>
    <row r="303" spans="1:32" s="13" customFormat="1" ht="45" x14ac:dyDescent="0.25">
      <c r="A303" s="10">
        <v>397821</v>
      </c>
      <c r="B303" s="10">
        <v>1</v>
      </c>
      <c r="C303" s="9">
        <v>163</v>
      </c>
      <c r="D303" s="56" t="s">
        <v>927</v>
      </c>
      <c r="E303" s="12" t="s">
        <v>277</v>
      </c>
      <c r="F303" s="45"/>
      <c r="G303" s="45"/>
      <c r="H303" s="45"/>
      <c r="I303">
        <v>397821</v>
      </c>
      <c r="J303" t="s">
        <v>276</v>
      </c>
      <c r="K303" t="s">
        <v>2394</v>
      </c>
      <c r="L303" t="s">
        <v>1178</v>
      </c>
      <c r="M303" t="s">
        <v>1192</v>
      </c>
      <c r="N303" t="s">
        <v>599</v>
      </c>
      <c r="O303" t="s">
        <v>1193</v>
      </c>
      <c r="P303" t="s">
        <v>1202</v>
      </c>
      <c r="Q303" t="s">
        <v>599</v>
      </c>
      <c r="R303" t="s">
        <v>1182</v>
      </c>
      <c r="S303" t="s">
        <v>1203</v>
      </c>
      <c r="T303">
        <v>1898</v>
      </c>
      <c r="U303">
        <v>1898</v>
      </c>
      <c r="V303" t="s">
        <v>1204</v>
      </c>
      <c r="W303" t="s">
        <v>1185</v>
      </c>
      <c r="X303" t="s">
        <v>599</v>
      </c>
      <c r="Y303" t="s">
        <v>599</v>
      </c>
      <c r="Z303" t="s">
        <v>1205</v>
      </c>
      <c r="AA303" t="s">
        <v>599</v>
      </c>
      <c r="AB303" t="s">
        <v>599</v>
      </c>
      <c r="AC303" t="s">
        <v>2395</v>
      </c>
      <c r="AD303" t="s">
        <v>1188</v>
      </c>
      <c r="AE303" t="s">
        <v>2396</v>
      </c>
      <c r="AF303" t="s">
        <v>1190</v>
      </c>
    </row>
    <row r="304" spans="1:32" s="13" customFormat="1" ht="45" x14ac:dyDescent="0.25">
      <c r="A304" s="10">
        <v>397821</v>
      </c>
      <c r="B304" s="10">
        <v>1</v>
      </c>
      <c r="C304" s="9">
        <v>237</v>
      </c>
      <c r="D304" s="56" t="s">
        <v>928</v>
      </c>
      <c r="E304" s="12" t="s">
        <v>277</v>
      </c>
      <c r="F304" s="45"/>
      <c r="G304" s="45"/>
      <c r="H304" s="45"/>
      <c r="I304">
        <v>397821</v>
      </c>
      <c r="J304" t="s">
        <v>276</v>
      </c>
      <c r="K304" t="s">
        <v>2394</v>
      </c>
      <c r="L304" t="s">
        <v>1178</v>
      </c>
      <c r="M304" t="s">
        <v>1192</v>
      </c>
      <c r="N304" t="s">
        <v>599</v>
      </c>
      <c r="O304" t="s">
        <v>1193</v>
      </c>
      <c r="P304" t="s">
        <v>1202</v>
      </c>
      <c r="Q304" t="s">
        <v>599</v>
      </c>
      <c r="R304" t="s">
        <v>1182</v>
      </c>
      <c r="S304" t="s">
        <v>1203</v>
      </c>
      <c r="T304">
        <v>1898</v>
      </c>
      <c r="U304">
        <v>1898</v>
      </c>
      <c r="V304" t="s">
        <v>1204</v>
      </c>
      <c r="W304" t="s">
        <v>1185</v>
      </c>
      <c r="X304" t="s">
        <v>599</v>
      </c>
      <c r="Y304" t="s">
        <v>599</v>
      </c>
      <c r="Z304" t="s">
        <v>1205</v>
      </c>
      <c r="AA304" t="s">
        <v>599</v>
      </c>
      <c r="AB304" t="s">
        <v>599</v>
      </c>
      <c r="AC304" t="s">
        <v>2395</v>
      </c>
      <c r="AD304" t="s">
        <v>1188</v>
      </c>
      <c r="AE304" t="s">
        <v>2396</v>
      </c>
      <c r="AF304" t="s">
        <v>1190</v>
      </c>
    </row>
    <row r="305" spans="1:32" s="13" customFormat="1" ht="45" x14ac:dyDescent="0.25">
      <c r="A305" s="10">
        <v>397821</v>
      </c>
      <c r="B305" s="10">
        <v>1</v>
      </c>
      <c r="C305" s="9">
        <v>239</v>
      </c>
      <c r="D305" s="56" t="s">
        <v>929</v>
      </c>
      <c r="E305" s="12" t="s">
        <v>277</v>
      </c>
      <c r="F305" s="45"/>
      <c r="G305" s="45"/>
      <c r="H305" s="45"/>
      <c r="I305">
        <v>397821</v>
      </c>
      <c r="J305" t="s">
        <v>276</v>
      </c>
      <c r="K305" t="s">
        <v>2394</v>
      </c>
      <c r="L305" t="s">
        <v>1178</v>
      </c>
      <c r="M305" t="s">
        <v>1192</v>
      </c>
      <c r="N305" t="s">
        <v>599</v>
      </c>
      <c r="O305" t="s">
        <v>1193</v>
      </c>
      <c r="P305" t="s">
        <v>1202</v>
      </c>
      <c r="Q305" t="s">
        <v>599</v>
      </c>
      <c r="R305" t="s">
        <v>1182</v>
      </c>
      <c r="S305" t="s">
        <v>1203</v>
      </c>
      <c r="T305">
        <v>1898</v>
      </c>
      <c r="U305">
        <v>1898</v>
      </c>
      <c r="V305" t="s">
        <v>1204</v>
      </c>
      <c r="W305" t="s">
        <v>1185</v>
      </c>
      <c r="X305" t="s">
        <v>599</v>
      </c>
      <c r="Y305" t="s">
        <v>599</v>
      </c>
      <c r="Z305" t="s">
        <v>1205</v>
      </c>
      <c r="AA305" t="s">
        <v>599</v>
      </c>
      <c r="AB305" t="s">
        <v>599</v>
      </c>
      <c r="AC305" t="s">
        <v>2395</v>
      </c>
      <c r="AD305" t="s">
        <v>1188</v>
      </c>
      <c r="AE305" t="s">
        <v>2396</v>
      </c>
      <c r="AF305" t="s">
        <v>1190</v>
      </c>
    </row>
    <row r="306" spans="1:32" s="13" customFormat="1" ht="45" x14ac:dyDescent="0.25">
      <c r="A306" s="10">
        <v>397821</v>
      </c>
      <c r="B306" s="10">
        <v>1</v>
      </c>
      <c r="C306" s="9">
        <v>293</v>
      </c>
      <c r="D306" s="56" t="s">
        <v>930</v>
      </c>
      <c r="E306" s="12" t="s">
        <v>277</v>
      </c>
      <c r="F306" s="45"/>
      <c r="G306" s="45"/>
      <c r="H306" s="45"/>
      <c r="I306">
        <v>397821</v>
      </c>
      <c r="J306" t="s">
        <v>276</v>
      </c>
      <c r="K306" t="s">
        <v>2394</v>
      </c>
      <c r="L306" t="s">
        <v>1178</v>
      </c>
      <c r="M306" t="s">
        <v>1192</v>
      </c>
      <c r="N306" t="s">
        <v>599</v>
      </c>
      <c r="O306" t="s">
        <v>1193</v>
      </c>
      <c r="P306" t="s">
        <v>1202</v>
      </c>
      <c r="Q306" t="s">
        <v>599</v>
      </c>
      <c r="R306" t="s">
        <v>1182</v>
      </c>
      <c r="S306" t="s">
        <v>1203</v>
      </c>
      <c r="T306">
        <v>1898</v>
      </c>
      <c r="U306">
        <v>1898</v>
      </c>
      <c r="V306" t="s">
        <v>1204</v>
      </c>
      <c r="W306" t="s">
        <v>1185</v>
      </c>
      <c r="X306" t="s">
        <v>599</v>
      </c>
      <c r="Y306" t="s">
        <v>599</v>
      </c>
      <c r="Z306" t="s">
        <v>1205</v>
      </c>
      <c r="AA306" t="s">
        <v>599</v>
      </c>
      <c r="AB306" t="s">
        <v>599</v>
      </c>
      <c r="AC306" t="s">
        <v>2395</v>
      </c>
      <c r="AD306" t="s">
        <v>1188</v>
      </c>
      <c r="AE306" t="s">
        <v>2396</v>
      </c>
      <c r="AF306" t="s">
        <v>1190</v>
      </c>
    </row>
    <row r="307" spans="1:32" s="13" customFormat="1" ht="45" x14ac:dyDescent="0.25">
      <c r="A307" s="10">
        <v>397821</v>
      </c>
      <c r="B307" s="10">
        <v>1</v>
      </c>
      <c r="C307" s="9">
        <v>347</v>
      </c>
      <c r="D307" s="56" t="s">
        <v>931</v>
      </c>
      <c r="E307" s="12" t="s">
        <v>277</v>
      </c>
      <c r="F307" s="45"/>
      <c r="G307" s="45"/>
      <c r="H307" s="45"/>
      <c r="I307">
        <v>397821</v>
      </c>
      <c r="J307" t="s">
        <v>276</v>
      </c>
      <c r="K307" t="s">
        <v>2394</v>
      </c>
      <c r="L307" t="s">
        <v>1178</v>
      </c>
      <c r="M307" t="s">
        <v>1192</v>
      </c>
      <c r="N307" t="s">
        <v>599</v>
      </c>
      <c r="O307" t="s">
        <v>1193</v>
      </c>
      <c r="P307" t="s">
        <v>1202</v>
      </c>
      <c r="Q307" t="s">
        <v>599</v>
      </c>
      <c r="R307" t="s">
        <v>1182</v>
      </c>
      <c r="S307" t="s">
        <v>1203</v>
      </c>
      <c r="T307">
        <v>1898</v>
      </c>
      <c r="U307">
        <v>1898</v>
      </c>
      <c r="V307" t="s">
        <v>1204</v>
      </c>
      <c r="W307" t="s">
        <v>1185</v>
      </c>
      <c r="X307" t="s">
        <v>599</v>
      </c>
      <c r="Y307" t="s">
        <v>599</v>
      </c>
      <c r="Z307" t="s">
        <v>1205</v>
      </c>
      <c r="AA307" t="s">
        <v>599</v>
      </c>
      <c r="AB307" t="s">
        <v>599</v>
      </c>
      <c r="AC307" t="s">
        <v>2395</v>
      </c>
      <c r="AD307" t="s">
        <v>1188</v>
      </c>
      <c r="AE307" t="s">
        <v>2396</v>
      </c>
      <c r="AF307" t="s">
        <v>1190</v>
      </c>
    </row>
    <row r="308" spans="1:32" s="13" customFormat="1" ht="45" x14ac:dyDescent="0.25">
      <c r="A308" s="10">
        <v>397821</v>
      </c>
      <c r="B308" s="10">
        <v>1</v>
      </c>
      <c r="C308" s="9">
        <v>349</v>
      </c>
      <c r="D308" s="56" t="s">
        <v>932</v>
      </c>
      <c r="E308" s="12" t="s">
        <v>277</v>
      </c>
      <c r="F308" s="45"/>
      <c r="G308" s="45"/>
      <c r="H308" s="45"/>
      <c r="I308">
        <v>397821</v>
      </c>
      <c r="J308" t="s">
        <v>276</v>
      </c>
      <c r="K308" t="s">
        <v>2394</v>
      </c>
      <c r="L308" t="s">
        <v>1178</v>
      </c>
      <c r="M308" t="s">
        <v>1192</v>
      </c>
      <c r="N308" t="s">
        <v>599</v>
      </c>
      <c r="O308" t="s">
        <v>1193</v>
      </c>
      <c r="P308" t="s">
        <v>1202</v>
      </c>
      <c r="Q308" t="s">
        <v>599</v>
      </c>
      <c r="R308" t="s">
        <v>1182</v>
      </c>
      <c r="S308" t="s">
        <v>1203</v>
      </c>
      <c r="T308">
        <v>1898</v>
      </c>
      <c r="U308">
        <v>1898</v>
      </c>
      <c r="V308" t="s">
        <v>1204</v>
      </c>
      <c r="W308" t="s">
        <v>1185</v>
      </c>
      <c r="X308" t="s">
        <v>599</v>
      </c>
      <c r="Y308" t="s">
        <v>599</v>
      </c>
      <c r="Z308" t="s">
        <v>1205</v>
      </c>
      <c r="AA308" t="s">
        <v>599</v>
      </c>
      <c r="AB308" t="s">
        <v>599</v>
      </c>
      <c r="AC308" t="s">
        <v>2395</v>
      </c>
      <c r="AD308" t="s">
        <v>1188</v>
      </c>
      <c r="AE308" t="s">
        <v>2396</v>
      </c>
      <c r="AF308" t="s">
        <v>1190</v>
      </c>
    </row>
    <row r="309" spans="1:32" s="13" customFormat="1" ht="45" x14ac:dyDescent="0.25">
      <c r="A309" s="10">
        <v>397821</v>
      </c>
      <c r="B309" s="10">
        <v>1</v>
      </c>
      <c r="C309" s="9">
        <v>399</v>
      </c>
      <c r="D309" s="56" t="s">
        <v>933</v>
      </c>
      <c r="E309" s="12" t="s">
        <v>277</v>
      </c>
      <c r="F309" s="45"/>
      <c r="G309" s="45"/>
      <c r="H309" s="45"/>
      <c r="I309">
        <v>397821</v>
      </c>
      <c r="J309" t="s">
        <v>276</v>
      </c>
      <c r="K309" t="s">
        <v>2394</v>
      </c>
      <c r="L309" t="s">
        <v>1178</v>
      </c>
      <c r="M309" t="s">
        <v>1192</v>
      </c>
      <c r="N309" t="s">
        <v>599</v>
      </c>
      <c r="O309" t="s">
        <v>1193</v>
      </c>
      <c r="P309" t="s">
        <v>1202</v>
      </c>
      <c r="Q309" t="s">
        <v>599</v>
      </c>
      <c r="R309" t="s">
        <v>1182</v>
      </c>
      <c r="S309" t="s">
        <v>1203</v>
      </c>
      <c r="T309">
        <v>1898</v>
      </c>
      <c r="U309">
        <v>1898</v>
      </c>
      <c r="V309" t="s">
        <v>1204</v>
      </c>
      <c r="W309" t="s">
        <v>1185</v>
      </c>
      <c r="X309" t="s">
        <v>599</v>
      </c>
      <c r="Y309" t="s">
        <v>599</v>
      </c>
      <c r="Z309" t="s">
        <v>1205</v>
      </c>
      <c r="AA309" t="s">
        <v>599</v>
      </c>
      <c r="AB309" t="s">
        <v>599</v>
      </c>
      <c r="AC309" t="s">
        <v>2395</v>
      </c>
      <c r="AD309" t="s">
        <v>1188</v>
      </c>
      <c r="AE309" t="s">
        <v>2396</v>
      </c>
      <c r="AF309" t="s">
        <v>1190</v>
      </c>
    </row>
    <row r="310" spans="1:32" s="13" customFormat="1" ht="45" x14ac:dyDescent="0.25">
      <c r="A310" s="10">
        <v>397821</v>
      </c>
      <c r="B310" s="10">
        <v>1</v>
      </c>
      <c r="C310" s="9">
        <v>401</v>
      </c>
      <c r="D310" s="56" t="s">
        <v>934</v>
      </c>
      <c r="E310" s="12" t="s">
        <v>277</v>
      </c>
      <c r="F310" s="45"/>
      <c r="G310" s="45"/>
      <c r="H310" s="45"/>
      <c r="I310">
        <v>397821</v>
      </c>
      <c r="J310" t="s">
        <v>276</v>
      </c>
      <c r="K310" t="s">
        <v>2394</v>
      </c>
      <c r="L310" t="s">
        <v>1178</v>
      </c>
      <c r="M310" t="s">
        <v>1192</v>
      </c>
      <c r="N310" t="s">
        <v>599</v>
      </c>
      <c r="O310" t="s">
        <v>1193</v>
      </c>
      <c r="P310" t="s">
        <v>1202</v>
      </c>
      <c r="Q310" t="s">
        <v>599</v>
      </c>
      <c r="R310" t="s">
        <v>1182</v>
      </c>
      <c r="S310" t="s">
        <v>1203</v>
      </c>
      <c r="T310">
        <v>1898</v>
      </c>
      <c r="U310">
        <v>1898</v>
      </c>
      <c r="V310" t="s">
        <v>1204</v>
      </c>
      <c r="W310" t="s">
        <v>1185</v>
      </c>
      <c r="X310" t="s">
        <v>599</v>
      </c>
      <c r="Y310" t="s">
        <v>599</v>
      </c>
      <c r="Z310" t="s">
        <v>1205</v>
      </c>
      <c r="AA310" t="s">
        <v>599</v>
      </c>
      <c r="AB310" t="s">
        <v>599</v>
      </c>
      <c r="AC310" t="s">
        <v>2395</v>
      </c>
      <c r="AD310" t="s">
        <v>1188</v>
      </c>
      <c r="AE310" t="s">
        <v>2396</v>
      </c>
      <c r="AF310" t="s">
        <v>1190</v>
      </c>
    </row>
    <row r="311" spans="1:32" s="13" customFormat="1" ht="45" x14ac:dyDescent="0.25">
      <c r="A311" s="10">
        <v>397821</v>
      </c>
      <c r="B311" s="10">
        <v>1</v>
      </c>
      <c r="C311" s="9">
        <v>445</v>
      </c>
      <c r="D311" s="56" t="s">
        <v>935</v>
      </c>
      <c r="E311" s="12" t="s">
        <v>277</v>
      </c>
      <c r="F311" s="45"/>
      <c r="G311" s="45"/>
      <c r="H311" s="45"/>
      <c r="I311">
        <v>397821</v>
      </c>
      <c r="J311" t="s">
        <v>276</v>
      </c>
      <c r="K311" t="s">
        <v>2394</v>
      </c>
      <c r="L311" t="s">
        <v>1178</v>
      </c>
      <c r="M311" t="s">
        <v>1192</v>
      </c>
      <c r="N311" t="s">
        <v>599</v>
      </c>
      <c r="O311" t="s">
        <v>1193</v>
      </c>
      <c r="P311" t="s">
        <v>1202</v>
      </c>
      <c r="Q311" t="s">
        <v>599</v>
      </c>
      <c r="R311" t="s">
        <v>1182</v>
      </c>
      <c r="S311" t="s">
        <v>1203</v>
      </c>
      <c r="T311">
        <v>1898</v>
      </c>
      <c r="U311">
        <v>1898</v>
      </c>
      <c r="V311" t="s">
        <v>1204</v>
      </c>
      <c r="W311" t="s">
        <v>1185</v>
      </c>
      <c r="X311" t="s">
        <v>599</v>
      </c>
      <c r="Y311" t="s">
        <v>599</v>
      </c>
      <c r="Z311" t="s">
        <v>1205</v>
      </c>
      <c r="AA311" t="s">
        <v>599</v>
      </c>
      <c r="AB311" t="s">
        <v>599</v>
      </c>
      <c r="AC311" t="s">
        <v>2395</v>
      </c>
      <c r="AD311" t="s">
        <v>1188</v>
      </c>
      <c r="AE311" t="s">
        <v>2396</v>
      </c>
      <c r="AF311" t="s">
        <v>1190</v>
      </c>
    </row>
    <row r="312" spans="1:32" s="13" customFormat="1" ht="45" x14ac:dyDescent="0.25">
      <c r="A312" s="10">
        <v>397821</v>
      </c>
      <c r="B312" s="10">
        <v>1</v>
      </c>
      <c r="C312" s="9">
        <v>447</v>
      </c>
      <c r="D312" s="56" t="s">
        <v>936</v>
      </c>
      <c r="E312" s="12" t="s">
        <v>277</v>
      </c>
      <c r="F312" s="45"/>
      <c r="G312" s="45"/>
      <c r="H312" s="45"/>
      <c r="I312">
        <v>397821</v>
      </c>
      <c r="J312" t="s">
        <v>276</v>
      </c>
      <c r="K312" t="s">
        <v>2394</v>
      </c>
      <c r="L312" t="s">
        <v>1178</v>
      </c>
      <c r="M312" t="s">
        <v>1192</v>
      </c>
      <c r="N312" t="s">
        <v>599</v>
      </c>
      <c r="O312" t="s">
        <v>1193</v>
      </c>
      <c r="P312" t="s">
        <v>1202</v>
      </c>
      <c r="Q312" t="s">
        <v>599</v>
      </c>
      <c r="R312" t="s">
        <v>1182</v>
      </c>
      <c r="S312" t="s">
        <v>1203</v>
      </c>
      <c r="T312">
        <v>1898</v>
      </c>
      <c r="U312">
        <v>1898</v>
      </c>
      <c r="V312" t="s">
        <v>1204</v>
      </c>
      <c r="W312" t="s">
        <v>1185</v>
      </c>
      <c r="X312" t="s">
        <v>599</v>
      </c>
      <c r="Y312" t="s">
        <v>599</v>
      </c>
      <c r="Z312" t="s">
        <v>1205</v>
      </c>
      <c r="AA312" t="s">
        <v>599</v>
      </c>
      <c r="AB312" t="s">
        <v>599</v>
      </c>
      <c r="AC312" t="s">
        <v>2395</v>
      </c>
      <c r="AD312" t="s">
        <v>1188</v>
      </c>
      <c r="AE312" t="s">
        <v>2396</v>
      </c>
      <c r="AF312" t="s">
        <v>1190</v>
      </c>
    </row>
    <row r="313" spans="1:32" s="13" customFormat="1" ht="45" x14ac:dyDescent="0.25">
      <c r="A313" s="10">
        <v>397821</v>
      </c>
      <c r="B313" s="10">
        <v>1</v>
      </c>
      <c r="C313" s="9">
        <v>497</v>
      </c>
      <c r="D313" s="56" t="s">
        <v>937</v>
      </c>
      <c r="E313" s="12" t="s">
        <v>277</v>
      </c>
      <c r="F313" s="45"/>
      <c r="G313" s="45"/>
      <c r="H313" s="45"/>
      <c r="I313">
        <v>397821</v>
      </c>
      <c r="J313" t="s">
        <v>276</v>
      </c>
      <c r="K313" t="s">
        <v>2394</v>
      </c>
      <c r="L313" t="s">
        <v>1178</v>
      </c>
      <c r="M313" t="s">
        <v>1192</v>
      </c>
      <c r="N313" t="s">
        <v>599</v>
      </c>
      <c r="O313" t="s">
        <v>1193</v>
      </c>
      <c r="P313" t="s">
        <v>1202</v>
      </c>
      <c r="Q313" t="s">
        <v>599</v>
      </c>
      <c r="R313" t="s">
        <v>1182</v>
      </c>
      <c r="S313" t="s">
        <v>1203</v>
      </c>
      <c r="T313">
        <v>1898</v>
      </c>
      <c r="U313">
        <v>1898</v>
      </c>
      <c r="V313" t="s">
        <v>1204</v>
      </c>
      <c r="W313" t="s">
        <v>1185</v>
      </c>
      <c r="X313" t="s">
        <v>599</v>
      </c>
      <c r="Y313" t="s">
        <v>599</v>
      </c>
      <c r="Z313" t="s">
        <v>1205</v>
      </c>
      <c r="AA313" t="s">
        <v>599</v>
      </c>
      <c r="AB313" t="s">
        <v>599</v>
      </c>
      <c r="AC313" t="s">
        <v>2395</v>
      </c>
      <c r="AD313" t="s">
        <v>1188</v>
      </c>
      <c r="AE313" t="s">
        <v>2396</v>
      </c>
      <c r="AF313" t="s">
        <v>1190</v>
      </c>
    </row>
    <row r="314" spans="1:32" s="13" customFormat="1" ht="45" x14ac:dyDescent="0.25">
      <c r="A314" s="10">
        <v>397821</v>
      </c>
      <c r="B314" s="10">
        <v>1</v>
      </c>
      <c r="C314" s="9">
        <v>499</v>
      </c>
      <c r="D314" s="56" t="s">
        <v>938</v>
      </c>
      <c r="E314" s="12" t="s">
        <v>277</v>
      </c>
      <c r="F314" s="45"/>
      <c r="G314" s="45"/>
      <c r="H314" s="45"/>
      <c r="I314">
        <v>397821</v>
      </c>
      <c r="J314" t="s">
        <v>276</v>
      </c>
      <c r="K314" t="s">
        <v>2394</v>
      </c>
      <c r="L314" t="s">
        <v>1178</v>
      </c>
      <c r="M314" t="s">
        <v>1192</v>
      </c>
      <c r="N314" t="s">
        <v>599</v>
      </c>
      <c r="O314" t="s">
        <v>1193</v>
      </c>
      <c r="P314" t="s">
        <v>1202</v>
      </c>
      <c r="Q314" t="s">
        <v>599</v>
      </c>
      <c r="R314" t="s">
        <v>1182</v>
      </c>
      <c r="S314" t="s">
        <v>1203</v>
      </c>
      <c r="T314">
        <v>1898</v>
      </c>
      <c r="U314">
        <v>1898</v>
      </c>
      <c r="V314" t="s">
        <v>1204</v>
      </c>
      <c r="W314" t="s">
        <v>1185</v>
      </c>
      <c r="X314" t="s">
        <v>599</v>
      </c>
      <c r="Y314" t="s">
        <v>599</v>
      </c>
      <c r="Z314" t="s">
        <v>1205</v>
      </c>
      <c r="AA314" t="s">
        <v>599</v>
      </c>
      <c r="AB314" t="s">
        <v>599</v>
      </c>
      <c r="AC314" t="s">
        <v>2395</v>
      </c>
      <c r="AD314" t="s">
        <v>1188</v>
      </c>
      <c r="AE314" t="s">
        <v>2396</v>
      </c>
      <c r="AF314" t="s">
        <v>1190</v>
      </c>
    </row>
    <row r="315" spans="1:32" s="13" customFormat="1" ht="45" x14ac:dyDescent="0.25">
      <c r="A315" s="10">
        <v>397821</v>
      </c>
      <c r="B315" s="10">
        <v>1</v>
      </c>
      <c r="C315" s="9">
        <v>547</v>
      </c>
      <c r="D315" s="56" t="s">
        <v>939</v>
      </c>
      <c r="E315" s="12" t="s">
        <v>277</v>
      </c>
      <c r="F315" s="45"/>
      <c r="G315" s="45"/>
      <c r="H315" s="45"/>
      <c r="I315">
        <v>397821</v>
      </c>
      <c r="J315" t="s">
        <v>276</v>
      </c>
      <c r="K315" t="s">
        <v>2394</v>
      </c>
      <c r="L315" t="s">
        <v>1178</v>
      </c>
      <c r="M315" t="s">
        <v>1192</v>
      </c>
      <c r="N315" t="s">
        <v>599</v>
      </c>
      <c r="O315" t="s">
        <v>1193</v>
      </c>
      <c r="P315" t="s">
        <v>1202</v>
      </c>
      <c r="Q315" t="s">
        <v>599</v>
      </c>
      <c r="R315" t="s">
        <v>1182</v>
      </c>
      <c r="S315" t="s">
        <v>1203</v>
      </c>
      <c r="T315">
        <v>1898</v>
      </c>
      <c r="U315">
        <v>1898</v>
      </c>
      <c r="V315" t="s">
        <v>1204</v>
      </c>
      <c r="W315" t="s">
        <v>1185</v>
      </c>
      <c r="X315" t="s">
        <v>599</v>
      </c>
      <c r="Y315" t="s">
        <v>599</v>
      </c>
      <c r="Z315" t="s">
        <v>1205</v>
      </c>
      <c r="AA315" t="s">
        <v>599</v>
      </c>
      <c r="AB315" t="s">
        <v>599</v>
      </c>
      <c r="AC315" t="s">
        <v>2395</v>
      </c>
      <c r="AD315" t="s">
        <v>1188</v>
      </c>
      <c r="AE315" t="s">
        <v>2396</v>
      </c>
      <c r="AF315" t="s">
        <v>1190</v>
      </c>
    </row>
    <row r="316" spans="1:32" s="13" customFormat="1" ht="45" x14ac:dyDescent="0.25">
      <c r="A316" s="10">
        <v>397821</v>
      </c>
      <c r="B316" s="10">
        <v>1</v>
      </c>
      <c r="C316" s="9">
        <v>549</v>
      </c>
      <c r="D316" s="56" t="s">
        <v>940</v>
      </c>
      <c r="E316" s="12" t="s">
        <v>277</v>
      </c>
      <c r="F316" s="45"/>
      <c r="G316" s="45"/>
      <c r="H316" s="45"/>
      <c r="I316">
        <v>397821</v>
      </c>
      <c r="J316" t="s">
        <v>276</v>
      </c>
      <c r="K316" t="s">
        <v>2394</v>
      </c>
      <c r="L316" t="s">
        <v>1178</v>
      </c>
      <c r="M316" t="s">
        <v>1192</v>
      </c>
      <c r="N316" t="s">
        <v>599</v>
      </c>
      <c r="O316" t="s">
        <v>1193</v>
      </c>
      <c r="P316" t="s">
        <v>1202</v>
      </c>
      <c r="Q316" t="s">
        <v>599</v>
      </c>
      <c r="R316" t="s">
        <v>1182</v>
      </c>
      <c r="S316" t="s">
        <v>1203</v>
      </c>
      <c r="T316">
        <v>1898</v>
      </c>
      <c r="U316">
        <v>1898</v>
      </c>
      <c r="V316" t="s">
        <v>1204</v>
      </c>
      <c r="W316" t="s">
        <v>1185</v>
      </c>
      <c r="X316" t="s">
        <v>599</v>
      </c>
      <c r="Y316" t="s">
        <v>599</v>
      </c>
      <c r="Z316" t="s">
        <v>1205</v>
      </c>
      <c r="AA316" t="s">
        <v>599</v>
      </c>
      <c r="AB316" t="s">
        <v>599</v>
      </c>
      <c r="AC316" t="s">
        <v>2395</v>
      </c>
      <c r="AD316" t="s">
        <v>1188</v>
      </c>
      <c r="AE316" t="s">
        <v>2396</v>
      </c>
      <c r="AF316" t="s">
        <v>1190</v>
      </c>
    </row>
    <row r="317" spans="1:32" s="13" customFormat="1" ht="75" x14ac:dyDescent="0.25">
      <c r="A317" s="10">
        <v>2284</v>
      </c>
      <c r="B317" s="10">
        <v>1</v>
      </c>
      <c r="C317" s="9">
        <v>67</v>
      </c>
      <c r="D317" s="56" t="s">
        <v>941</v>
      </c>
      <c r="E317" s="12" t="s">
        <v>280</v>
      </c>
      <c r="F317" s="45"/>
      <c r="G317" s="45"/>
      <c r="H317" s="45"/>
      <c r="I317">
        <v>2284</v>
      </c>
      <c r="J317" t="s">
        <v>279</v>
      </c>
      <c r="K317" t="s">
        <v>2397</v>
      </c>
      <c r="L317" t="s">
        <v>1178</v>
      </c>
      <c r="M317" t="s">
        <v>1192</v>
      </c>
      <c r="N317" t="s">
        <v>599</v>
      </c>
      <c r="O317" t="s">
        <v>1193</v>
      </c>
      <c r="P317" t="s">
        <v>2398</v>
      </c>
      <c r="Q317" t="s">
        <v>599</v>
      </c>
      <c r="R317" t="s">
        <v>2399</v>
      </c>
      <c r="S317" t="s">
        <v>2261</v>
      </c>
      <c r="T317">
        <v>1960</v>
      </c>
      <c r="U317">
        <v>1960</v>
      </c>
      <c r="V317" t="s">
        <v>2400</v>
      </c>
      <c r="W317" t="s">
        <v>1185</v>
      </c>
      <c r="X317" t="s">
        <v>599</v>
      </c>
      <c r="Y317" t="s">
        <v>599</v>
      </c>
      <c r="Z317" t="s">
        <v>2401</v>
      </c>
      <c r="AA317" t="s">
        <v>599</v>
      </c>
      <c r="AB317" t="s">
        <v>599</v>
      </c>
      <c r="AC317" t="s">
        <v>2402</v>
      </c>
      <c r="AD317" t="s">
        <v>1188</v>
      </c>
      <c r="AE317" t="s">
        <v>2403</v>
      </c>
      <c r="AF317" t="s">
        <v>1190</v>
      </c>
    </row>
    <row r="318" spans="1:32" s="13" customFormat="1" ht="75" x14ac:dyDescent="0.25">
      <c r="A318" s="10">
        <v>2284</v>
      </c>
      <c r="B318" s="10">
        <v>1</v>
      </c>
      <c r="C318" s="9">
        <v>71</v>
      </c>
      <c r="D318" s="56" t="s">
        <v>942</v>
      </c>
      <c r="E318" s="12" t="s">
        <v>280</v>
      </c>
      <c r="F318" s="45"/>
      <c r="G318" s="45"/>
      <c r="H318" s="45"/>
      <c r="I318">
        <v>2284</v>
      </c>
      <c r="J318" t="s">
        <v>279</v>
      </c>
      <c r="K318" t="s">
        <v>2397</v>
      </c>
      <c r="L318" t="s">
        <v>1178</v>
      </c>
      <c r="M318" t="s">
        <v>1192</v>
      </c>
      <c r="N318" t="s">
        <v>599</v>
      </c>
      <c r="O318" t="s">
        <v>1193</v>
      </c>
      <c r="P318" t="s">
        <v>2398</v>
      </c>
      <c r="Q318" t="s">
        <v>599</v>
      </c>
      <c r="R318" t="s">
        <v>2399</v>
      </c>
      <c r="S318" t="s">
        <v>2261</v>
      </c>
      <c r="T318">
        <v>1960</v>
      </c>
      <c r="U318">
        <v>1960</v>
      </c>
      <c r="V318" t="s">
        <v>2400</v>
      </c>
      <c r="W318" t="s">
        <v>1185</v>
      </c>
      <c r="X318" t="s">
        <v>599</v>
      </c>
      <c r="Y318" t="s">
        <v>599</v>
      </c>
      <c r="Z318" t="s">
        <v>2401</v>
      </c>
      <c r="AA318" t="s">
        <v>599</v>
      </c>
      <c r="AB318" t="s">
        <v>599</v>
      </c>
      <c r="AC318" t="s">
        <v>2402</v>
      </c>
      <c r="AD318" t="s">
        <v>1188</v>
      </c>
      <c r="AE318" t="s">
        <v>2403</v>
      </c>
      <c r="AF318" t="s">
        <v>1190</v>
      </c>
    </row>
    <row r="319" spans="1:32" s="13" customFormat="1" ht="75" x14ac:dyDescent="0.25">
      <c r="A319" s="10">
        <v>2284</v>
      </c>
      <c r="B319" s="10">
        <v>1</v>
      </c>
      <c r="C319" s="9">
        <v>101</v>
      </c>
      <c r="D319" s="56" t="s">
        <v>943</v>
      </c>
      <c r="E319" s="12" t="s">
        <v>280</v>
      </c>
      <c r="F319" s="45"/>
      <c r="G319" s="45"/>
      <c r="H319" s="45"/>
      <c r="I319">
        <v>2284</v>
      </c>
      <c r="J319" t="s">
        <v>279</v>
      </c>
      <c r="K319" t="s">
        <v>2397</v>
      </c>
      <c r="L319" t="s">
        <v>1178</v>
      </c>
      <c r="M319" t="s">
        <v>1192</v>
      </c>
      <c r="N319" t="s">
        <v>599</v>
      </c>
      <c r="O319" t="s">
        <v>1193</v>
      </c>
      <c r="P319" t="s">
        <v>2398</v>
      </c>
      <c r="Q319" t="s">
        <v>599</v>
      </c>
      <c r="R319" t="s">
        <v>2399</v>
      </c>
      <c r="S319" t="s">
        <v>2261</v>
      </c>
      <c r="T319">
        <v>1960</v>
      </c>
      <c r="U319">
        <v>1960</v>
      </c>
      <c r="V319" t="s">
        <v>2400</v>
      </c>
      <c r="W319" t="s">
        <v>1185</v>
      </c>
      <c r="X319" t="s">
        <v>599</v>
      </c>
      <c r="Y319" t="s">
        <v>599</v>
      </c>
      <c r="Z319" t="s">
        <v>2401</v>
      </c>
      <c r="AA319" t="s">
        <v>599</v>
      </c>
      <c r="AB319" t="s">
        <v>599</v>
      </c>
      <c r="AC319" t="s">
        <v>2402</v>
      </c>
      <c r="AD319" t="s">
        <v>1188</v>
      </c>
      <c r="AE319" t="s">
        <v>2403</v>
      </c>
      <c r="AF319" t="s">
        <v>1190</v>
      </c>
    </row>
    <row r="320" spans="1:32" s="13" customFormat="1" ht="75" x14ac:dyDescent="0.25">
      <c r="A320" s="10">
        <v>2284</v>
      </c>
      <c r="B320" s="10">
        <v>1</v>
      </c>
      <c r="C320" s="9">
        <v>133</v>
      </c>
      <c r="D320" s="56" t="s">
        <v>944</v>
      </c>
      <c r="E320" s="12" t="s">
        <v>280</v>
      </c>
      <c r="F320" s="45"/>
      <c r="G320" s="45"/>
      <c r="H320" s="45"/>
      <c r="I320">
        <v>2284</v>
      </c>
      <c r="J320" t="s">
        <v>279</v>
      </c>
      <c r="K320" t="s">
        <v>2397</v>
      </c>
      <c r="L320" t="s">
        <v>1178</v>
      </c>
      <c r="M320" t="s">
        <v>1192</v>
      </c>
      <c r="N320" t="s">
        <v>599</v>
      </c>
      <c r="O320" t="s">
        <v>1193</v>
      </c>
      <c r="P320" t="s">
        <v>2398</v>
      </c>
      <c r="Q320" t="s">
        <v>599</v>
      </c>
      <c r="R320" t="s">
        <v>2399</v>
      </c>
      <c r="S320" t="s">
        <v>2261</v>
      </c>
      <c r="T320">
        <v>1960</v>
      </c>
      <c r="U320">
        <v>1960</v>
      </c>
      <c r="V320" t="s">
        <v>2400</v>
      </c>
      <c r="W320" t="s">
        <v>1185</v>
      </c>
      <c r="X320" t="s">
        <v>599</v>
      </c>
      <c r="Y320" t="s">
        <v>599</v>
      </c>
      <c r="Z320" t="s">
        <v>2401</v>
      </c>
      <c r="AA320" t="s">
        <v>599</v>
      </c>
      <c r="AB320" t="s">
        <v>599</v>
      </c>
      <c r="AC320" t="s">
        <v>2402</v>
      </c>
      <c r="AD320" t="s">
        <v>1188</v>
      </c>
      <c r="AE320" t="s">
        <v>2403</v>
      </c>
      <c r="AF320" t="s">
        <v>1190</v>
      </c>
    </row>
    <row r="321" spans="1:32" s="13" customFormat="1" ht="75" x14ac:dyDescent="0.25">
      <c r="A321" s="10">
        <v>2284</v>
      </c>
      <c r="B321" s="10">
        <v>1</v>
      </c>
      <c r="C321" s="9">
        <v>173</v>
      </c>
      <c r="D321" s="56" t="s">
        <v>945</v>
      </c>
      <c r="E321" s="12" t="s">
        <v>280</v>
      </c>
      <c r="F321" s="45"/>
      <c r="G321" s="45"/>
      <c r="H321" s="45"/>
      <c r="I321">
        <v>2284</v>
      </c>
      <c r="J321" t="s">
        <v>279</v>
      </c>
      <c r="K321" t="s">
        <v>2397</v>
      </c>
      <c r="L321" t="s">
        <v>1178</v>
      </c>
      <c r="M321" t="s">
        <v>1192</v>
      </c>
      <c r="N321" t="s">
        <v>599</v>
      </c>
      <c r="O321" t="s">
        <v>1193</v>
      </c>
      <c r="P321" t="s">
        <v>2398</v>
      </c>
      <c r="Q321" t="s">
        <v>599</v>
      </c>
      <c r="R321" t="s">
        <v>2399</v>
      </c>
      <c r="S321" t="s">
        <v>2261</v>
      </c>
      <c r="T321">
        <v>1960</v>
      </c>
      <c r="U321">
        <v>1960</v>
      </c>
      <c r="V321" t="s">
        <v>2400</v>
      </c>
      <c r="W321" t="s">
        <v>1185</v>
      </c>
      <c r="X321" t="s">
        <v>599</v>
      </c>
      <c r="Y321" t="s">
        <v>599</v>
      </c>
      <c r="Z321" t="s">
        <v>2401</v>
      </c>
      <c r="AA321" t="s">
        <v>599</v>
      </c>
      <c r="AB321" t="s">
        <v>599</v>
      </c>
      <c r="AC321" t="s">
        <v>2402</v>
      </c>
      <c r="AD321" t="s">
        <v>1188</v>
      </c>
      <c r="AE321" t="s">
        <v>2403</v>
      </c>
      <c r="AF321" t="s">
        <v>1190</v>
      </c>
    </row>
    <row r="322" spans="1:32" s="13" customFormat="1" ht="75" x14ac:dyDescent="0.25">
      <c r="A322" s="10">
        <v>2284</v>
      </c>
      <c r="B322" s="10">
        <v>1</v>
      </c>
      <c r="C322" s="9">
        <v>203</v>
      </c>
      <c r="D322" s="56" t="s">
        <v>946</v>
      </c>
      <c r="E322" s="12" t="s">
        <v>280</v>
      </c>
      <c r="F322" s="45" t="s">
        <v>3902</v>
      </c>
      <c r="G322" s="45"/>
      <c r="H322" s="45"/>
      <c r="I322">
        <v>2284</v>
      </c>
      <c r="J322" t="s">
        <v>279</v>
      </c>
      <c r="K322" t="s">
        <v>2397</v>
      </c>
      <c r="L322" t="s">
        <v>1178</v>
      </c>
      <c r="M322" t="s">
        <v>1192</v>
      </c>
      <c r="N322" t="s">
        <v>599</v>
      </c>
      <c r="O322" t="s">
        <v>1193</v>
      </c>
      <c r="P322" t="s">
        <v>2398</v>
      </c>
      <c r="Q322" t="s">
        <v>599</v>
      </c>
      <c r="R322" t="s">
        <v>2399</v>
      </c>
      <c r="S322" t="s">
        <v>2261</v>
      </c>
      <c r="T322">
        <v>1960</v>
      </c>
      <c r="U322">
        <v>1960</v>
      </c>
      <c r="V322" t="s">
        <v>2400</v>
      </c>
      <c r="W322" t="s">
        <v>1185</v>
      </c>
      <c r="X322" t="s">
        <v>599</v>
      </c>
      <c r="Y322" t="s">
        <v>599</v>
      </c>
      <c r="Z322" t="s">
        <v>2401</v>
      </c>
      <c r="AA322" t="s">
        <v>599</v>
      </c>
      <c r="AB322" t="s">
        <v>599</v>
      </c>
      <c r="AC322" t="s">
        <v>2402</v>
      </c>
      <c r="AD322" t="s">
        <v>1188</v>
      </c>
      <c r="AE322" t="s">
        <v>2403</v>
      </c>
      <c r="AF322" t="s">
        <v>1190</v>
      </c>
    </row>
    <row r="323" spans="1:32" s="13" customFormat="1" ht="75" x14ac:dyDescent="0.25">
      <c r="A323" s="10">
        <v>2284</v>
      </c>
      <c r="B323" s="10">
        <v>1</v>
      </c>
      <c r="C323" s="9">
        <v>231</v>
      </c>
      <c r="D323" s="56" t="s">
        <v>947</v>
      </c>
      <c r="E323" s="12" t="s">
        <v>280</v>
      </c>
      <c r="F323" s="45"/>
      <c r="G323" s="45"/>
      <c r="H323" s="45"/>
      <c r="I323">
        <v>2284</v>
      </c>
      <c r="J323" t="s">
        <v>279</v>
      </c>
      <c r="K323" t="s">
        <v>2397</v>
      </c>
      <c r="L323" t="s">
        <v>1178</v>
      </c>
      <c r="M323" t="s">
        <v>1192</v>
      </c>
      <c r="N323" t="s">
        <v>599</v>
      </c>
      <c r="O323" t="s">
        <v>1193</v>
      </c>
      <c r="P323" t="s">
        <v>2398</v>
      </c>
      <c r="Q323" t="s">
        <v>599</v>
      </c>
      <c r="R323" t="s">
        <v>2399</v>
      </c>
      <c r="S323" t="s">
        <v>2261</v>
      </c>
      <c r="T323">
        <v>1960</v>
      </c>
      <c r="U323">
        <v>1960</v>
      </c>
      <c r="V323" t="s">
        <v>2400</v>
      </c>
      <c r="W323" t="s">
        <v>1185</v>
      </c>
      <c r="X323" t="s">
        <v>599</v>
      </c>
      <c r="Y323" t="s">
        <v>599</v>
      </c>
      <c r="Z323" t="s">
        <v>2401</v>
      </c>
      <c r="AA323" t="s">
        <v>599</v>
      </c>
      <c r="AB323" t="s">
        <v>599</v>
      </c>
      <c r="AC323" t="s">
        <v>2402</v>
      </c>
      <c r="AD323" t="s">
        <v>1188</v>
      </c>
      <c r="AE323" t="s">
        <v>2403</v>
      </c>
      <c r="AF323" t="s">
        <v>1190</v>
      </c>
    </row>
    <row r="324" spans="1:32" s="13" customFormat="1" ht="75" x14ac:dyDescent="0.25">
      <c r="A324" s="10">
        <v>2284</v>
      </c>
      <c r="B324" s="10">
        <v>1</v>
      </c>
      <c r="C324" s="9">
        <v>259</v>
      </c>
      <c r="D324" s="56" t="s">
        <v>948</v>
      </c>
      <c r="E324" s="12" t="s">
        <v>280</v>
      </c>
      <c r="F324" s="45"/>
      <c r="G324" s="45"/>
      <c r="H324" s="45"/>
      <c r="I324">
        <v>2284</v>
      </c>
      <c r="J324" t="s">
        <v>279</v>
      </c>
      <c r="K324" t="s">
        <v>2397</v>
      </c>
      <c r="L324" t="s">
        <v>1178</v>
      </c>
      <c r="M324" t="s">
        <v>1192</v>
      </c>
      <c r="N324" t="s">
        <v>599</v>
      </c>
      <c r="O324" t="s">
        <v>1193</v>
      </c>
      <c r="P324" t="s">
        <v>2398</v>
      </c>
      <c r="Q324" t="s">
        <v>599</v>
      </c>
      <c r="R324" t="s">
        <v>2399</v>
      </c>
      <c r="S324" t="s">
        <v>2261</v>
      </c>
      <c r="T324">
        <v>1960</v>
      </c>
      <c r="U324">
        <v>1960</v>
      </c>
      <c r="V324" t="s">
        <v>2400</v>
      </c>
      <c r="W324" t="s">
        <v>1185</v>
      </c>
      <c r="X324" t="s">
        <v>599</v>
      </c>
      <c r="Y324" t="s">
        <v>599</v>
      </c>
      <c r="Z324" t="s">
        <v>2401</v>
      </c>
      <c r="AA324" t="s">
        <v>599</v>
      </c>
      <c r="AB324" t="s">
        <v>599</v>
      </c>
      <c r="AC324" t="s">
        <v>2402</v>
      </c>
      <c r="AD324" t="s">
        <v>1188</v>
      </c>
      <c r="AE324" t="s">
        <v>2403</v>
      </c>
      <c r="AF324" t="s">
        <v>1190</v>
      </c>
    </row>
    <row r="325" spans="1:32" s="13" customFormat="1" ht="75" x14ac:dyDescent="0.25">
      <c r="A325" s="10">
        <v>2284</v>
      </c>
      <c r="B325" s="10">
        <v>1</v>
      </c>
      <c r="C325" s="9">
        <v>285</v>
      </c>
      <c r="D325" s="56" t="s">
        <v>949</v>
      </c>
      <c r="E325" s="12" t="s">
        <v>280</v>
      </c>
      <c r="F325" s="45"/>
      <c r="G325" s="45"/>
      <c r="H325" s="45"/>
      <c r="I325">
        <v>2284</v>
      </c>
      <c r="J325" t="s">
        <v>279</v>
      </c>
      <c r="K325" t="s">
        <v>2397</v>
      </c>
      <c r="L325" t="s">
        <v>1178</v>
      </c>
      <c r="M325" t="s">
        <v>1192</v>
      </c>
      <c r="N325" t="s">
        <v>599</v>
      </c>
      <c r="O325" t="s">
        <v>1193</v>
      </c>
      <c r="P325" t="s">
        <v>2398</v>
      </c>
      <c r="Q325" t="s">
        <v>599</v>
      </c>
      <c r="R325" t="s">
        <v>2399</v>
      </c>
      <c r="S325" t="s">
        <v>2261</v>
      </c>
      <c r="T325">
        <v>1960</v>
      </c>
      <c r="U325">
        <v>1960</v>
      </c>
      <c r="V325" t="s">
        <v>2400</v>
      </c>
      <c r="W325" t="s">
        <v>1185</v>
      </c>
      <c r="X325" t="s">
        <v>599</v>
      </c>
      <c r="Y325" t="s">
        <v>599</v>
      </c>
      <c r="Z325" t="s">
        <v>2401</v>
      </c>
      <c r="AA325" t="s">
        <v>599</v>
      </c>
      <c r="AB325" t="s">
        <v>599</v>
      </c>
      <c r="AC325" t="s">
        <v>2402</v>
      </c>
      <c r="AD325" t="s">
        <v>1188</v>
      </c>
      <c r="AE325" t="s">
        <v>2403</v>
      </c>
      <c r="AF325" t="s">
        <v>1190</v>
      </c>
    </row>
    <row r="326" spans="1:32" s="13" customFormat="1" ht="75" x14ac:dyDescent="0.25">
      <c r="A326" s="10">
        <v>2284</v>
      </c>
      <c r="B326" s="10">
        <v>1</v>
      </c>
      <c r="C326" s="9">
        <v>313</v>
      </c>
      <c r="D326" s="56" t="s">
        <v>950</v>
      </c>
      <c r="E326" s="12" t="s">
        <v>280</v>
      </c>
      <c r="F326" s="45"/>
      <c r="G326" s="45"/>
      <c r="H326" s="45"/>
      <c r="I326">
        <v>2284</v>
      </c>
      <c r="J326" t="s">
        <v>279</v>
      </c>
      <c r="K326" t="s">
        <v>2397</v>
      </c>
      <c r="L326" t="s">
        <v>1178</v>
      </c>
      <c r="M326" t="s">
        <v>1192</v>
      </c>
      <c r="N326" t="s">
        <v>599</v>
      </c>
      <c r="O326" t="s">
        <v>1193</v>
      </c>
      <c r="P326" t="s">
        <v>2398</v>
      </c>
      <c r="Q326" t="s">
        <v>599</v>
      </c>
      <c r="R326" t="s">
        <v>2399</v>
      </c>
      <c r="S326" t="s">
        <v>2261</v>
      </c>
      <c r="T326">
        <v>1960</v>
      </c>
      <c r="U326">
        <v>1960</v>
      </c>
      <c r="V326" t="s">
        <v>2400</v>
      </c>
      <c r="W326" t="s">
        <v>1185</v>
      </c>
      <c r="X326" t="s">
        <v>599</v>
      </c>
      <c r="Y326" t="s">
        <v>599</v>
      </c>
      <c r="Z326" t="s">
        <v>2401</v>
      </c>
      <c r="AA326" t="s">
        <v>599</v>
      </c>
      <c r="AB326" t="s">
        <v>599</v>
      </c>
      <c r="AC326" t="s">
        <v>2402</v>
      </c>
      <c r="AD326" t="s">
        <v>1188</v>
      </c>
      <c r="AE326" t="s">
        <v>2403</v>
      </c>
      <c r="AF326" t="s">
        <v>1190</v>
      </c>
    </row>
    <row r="327" spans="1:32" s="13" customFormat="1" ht="75" x14ac:dyDescent="0.25">
      <c r="A327" s="10">
        <v>2284</v>
      </c>
      <c r="B327" s="10">
        <v>1</v>
      </c>
      <c r="C327" s="9">
        <v>341</v>
      </c>
      <c r="D327" s="56" t="s">
        <v>951</v>
      </c>
      <c r="E327" s="12" t="s">
        <v>280</v>
      </c>
      <c r="F327" s="45"/>
      <c r="G327" s="45"/>
      <c r="H327" s="45"/>
      <c r="I327">
        <v>2284</v>
      </c>
      <c r="J327" t="s">
        <v>279</v>
      </c>
      <c r="K327" t="s">
        <v>2397</v>
      </c>
      <c r="L327" t="s">
        <v>1178</v>
      </c>
      <c r="M327" t="s">
        <v>1192</v>
      </c>
      <c r="N327" t="s">
        <v>599</v>
      </c>
      <c r="O327" t="s">
        <v>1193</v>
      </c>
      <c r="P327" t="s">
        <v>2398</v>
      </c>
      <c r="Q327" t="s">
        <v>599</v>
      </c>
      <c r="R327" t="s">
        <v>2399</v>
      </c>
      <c r="S327" t="s">
        <v>2261</v>
      </c>
      <c r="T327">
        <v>1960</v>
      </c>
      <c r="U327">
        <v>1960</v>
      </c>
      <c r="V327" t="s">
        <v>2400</v>
      </c>
      <c r="W327" t="s">
        <v>1185</v>
      </c>
      <c r="X327" t="s">
        <v>599</v>
      </c>
      <c r="Y327" t="s">
        <v>599</v>
      </c>
      <c r="Z327" t="s">
        <v>2401</v>
      </c>
      <c r="AA327" t="s">
        <v>599</v>
      </c>
      <c r="AB327" t="s">
        <v>599</v>
      </c>
      <c r="AC327" t="s">
        <v>2402</v>
      </c>
      <c r="AD327" t="s">
        <v>1188</v>
      </c>
      <c r="AE327" t="s">
        <v>2403</v>
      </c>
      <c r="AF327" t="s">
        <v>1190</v>
      </c>
    </row>
    <row r="328" spans="1:32" s="13" customFormat="1" ht="45" x14ac:dyDescent="0.25">
      <c r="A328" s="10">
        <v>256560</v>
      </c>
      <c r="B328" s="10">
        <v>1</v>
      </c>
      <c r="C328" s="9">
        <v>8</v>
      </c>
      <c r="D328" s="56" t="s">
        <v>952</v>
      </c>
      <c r="E328" s="12" t="s">
        <v>283</v>
      </c>
      <c r="F328" s="45"/>
      <c r="G328" s="45"/>
      <c r="H328" s="45"/>
      <c r="I328">
        <v>256560</v>
      </c>
      <c r="J328" t="s">
        <v>282</v>
      </c>
      <c r="K328" t="s">
        <v>2404</v>
      </c>
      <c r="L328" t="s">
        <v>1178</v>
      </c>
      <c r="M328" t="s">
        <v>1192</v>
      </c>
      <c r="N328" t="s">
        <v>599</v>
      </c>
      <c r="O328" t="s">
        <v>1551</v>
      </c>
      <c r="P328" t="s">
        <v>599</v>
      </c>
      <c r="Q328" t="s">
        <v>599</v>
      </c>
      <c r="R328" t="s">
        <v>2405</v>
      </c>
      <c r="S328" t="s">
        <v>2406</v>
      </c>
      <c r="T328">
        <v>1865</v>
      </c>
      <c r="U328">
        <v>1865</v>
      </c>
      <c r="V328" t="s">
        <v>2407</v>
      </c>
      <c r="W328" t="s">
        <v>1185</v>
      </c>
      <c r="X328" t="s">
        <v>599</v>
      </c>
      <c r="Y328" t="s">
        <v>599</v>
      </c>
      <c r="Z328" t="s">
        <v>2408</v>
      </c>
      <c r="AA328" t="s">
        <v>599</v>
      </c>
      <c r="AB328" t="s">
        <v>2409</v>
      </c>
      <c r="AC328" t="s">
        <v>2410</v>
      </c>
      <c r="AD328" t="s">
        <v>1188</v>
      </c>
      <c r="AE328" t="s">
        <v>2411</v>
      </c>
      <c r="AF328" t="s">
        <v>1190</v>
      </c>
    </row>
    <row r="329" spans="1:32" s="13" customFormat="1" ht="45" x14ac:dyDescent="0.25">
      <c r="A329" s="10">
        <v>256560</v>
      </c>
      <c r="B329" s="10">
        <v>1</v>
      </c>
      <c r="C329" s="9">
        <v>63</v>
      </c>
      <c r="D329" s="56" t="s">
        <v>953</v>
      </c>
      <c r="E329" s="12" t="s">
        <v>283</v>
      </c>
      <c r="F329" s="45"/>
      <c r="G329" s="45"/>
      <c r="H329" s="45"/>
      <c r="I329">
        <v>256560</v>
      </c>
      <c r="J329" t="s">
        <v>282</v>
      </c>
      <c r="K329" t="s">
        <v>2404</v>
      </c>
      <c r="L329" t="s">
        <v>1178</v>
      </c>
      <c r="M329" t="s">
        <v>1192</v>
      </c>
      <c r="N329" t="s">
        <v>599</v>
      </c>
      <c r="O329" t="s">
        <v>1551</v>
      </c>
      <c r="P329" t="s">
        <v>599</v>
      </c>
      <c r="Q329" t="s">
        <v>599</v>
      </c>
      <c r="R329" t="s">
        <v>2405</v>
      </c>
      <c r="S329" t="s">
        <v>2406</v>
      </c>
      <c r="T329">
        <v>1865</v>
      </c>
      <c r="U329">
        <v>1865</v>
      </c>
      <c r="V329" t="s">
        <v>2407</v>
      </c>
      <c r="W329" t="s">
        <v>1185</v>
      </c>
      <c r="X329" t="s">
        <v>599</v>
      </c>
      <c r="Y329" t="s">
        <v>599</v>
      </c>
      <c r="Z329" t="s">
        <v>2408</v>
      </c>
      <c r="AA329" t="s">
        <v>599</v>
      </c>
      <c r="AB329" t="s">
        <v>2409</v>
      </c>
      <c r="AC329" t="s">
        <v>2410</v>
      </c>
      <c r="AD329" t="s">
        <v>1188</v>
      </c>
      <c r="AE329" t="s">
        <v>2411</v>
      </c>
      <c r="AF329" t="s">
        <v>1190</v>
      </c>
    </row>
    <row r="330" spans="1:32" s="13" customFormat="1" ht="45" x14ac:dyDescent="0.25">
      <c r="A330" s="10">
        <v>256560</v>
      </c>
      <c r="B330" s="10">
        <v>1</v>
      </c>
      <c r="C330" s="9">
        <v>101</v>
      </c>
      <c r="D330" s="56" t="s">
        <v>954</v>
      </c>
      <c r="E330" s="12" t="s">
        <v>283</v>
      </c>
      <c r="F330" s="45"/>
      <c r="G330" s="45"/>
      <c r="H330" s="45"/>
      <c r="I330">
        <v>256560</v>
      </c>
      <c r="J330" t="s">
        <v>282</v>
      </c>
      <c r="K330" t="s">
        <v>2404</v>
      </c>
      <c r="L330" t="s">
        <v>1178</v>
      </c>
      <c r="M330" t="s">
        <v>1192</v>
      </c>
      <c r="N330" t="s">
        <v>599</v>
      </c>
      <c r="O330" t="s">
        <v>1551</v>
      </c>
      <c r="P330" t="s">
        <v>599</v>
      </c>
      <c r="Q330" t="s">
        <v>599</v>
      </c>
      <c r="R330" t="s">
        <v>2405</v>
      </c>
      <c r="S330" t="s">
        <v>2406</v>
      </c>
      <c r="T330">
        <v>1865</v>
      </c>
      <c r="U330">
        <v>1865</v>
      </c>
      <c r="V330" t="s">
        <v>2407</v>
      </c>
      <c r="W330" t="s">
        <v>1185</v>
      </c>
      <c r="X330" t="s">
        <v>599</v>
      </c>
      <c r="Y330" t="s">
        <v>599</v>
      </c>
      <c r="Z330" t="s">
        <v>2408</v>
      </c>
      <c r="AA330" t="s">
        <v>599</v>
      </c>
      <c r="AB330" t="s">
        <v>2409</v>
      </c>
      <c r="AC330" t="s">
        <v>2410</v>
      </c>
      <c r="AD330" t="s">
        <v>1188</v>
      </c>
      <c r="AE330" t="s">
        <v>2411</v>
      </c>
      <c r="AF330" t="s">
        <v>1190</v>
      </c>
    </row>
    <row r="331" spans="1:32" s="13" customFormat="1" ht="45" x14ac:dyDescent="0.25">
      <c r="A331" s="10">
        <v>256560</v>
      </c>
      <c r="B331" s="10">
        <v>1</v>
      </c>
      <c r="C331" s="9">
        <v>143</v>
      </c>
      <c r="D331" s="56" t="s">
        <v>955</v>
      </c>
      <c r="E331" s="12" t="s">
        <v>283</v>
      </c>
      <c r="F331" s="45"/>
      <c r="G331" s="45"/>
      <c r="H331" s="45"/>
      <c r="I331">
        <v>256560</v>
      </c>
      <c r="J331" t="s">
        <v>282</v>
      </c>
      <c r="K331" t="s">
        <v>2404</v>
      </c>
      <c r="L331" t="s">
        <v>1178</v>
      </c>
      <c r="M331" t="s">
        <v>1192</v>
      </c>
      <c r="N331" t="s">
        <v>599</v>
      </c>
      <c r="O331" t="s">
        <v>1551</v>
      </c>
      <c r="P331" t="s">
        <v>599</v>
      </c>
      <c r="Q331" t="s">
        <v>599</v>
      </c>
      <c r="R331" t="s">
        <v>2405</v>
      </c>
      <c r="S331" t="s">
        <v>2406</v>
      </c>
      <c r="T331">
        <v>1865</v>
      </c>
      <c r="U331">
        <v>1865</v>
      </c>
      <c r="V331" t="s">
        <v>2407</v>
      </c>
      <c r="W331" t="s">
        <v>1185</v>
      </c>
      <c r="X331" t="s">
        <v>599</v>
      </c>
      <c r="Y331" t="s">
        <v>599</v>
      </c>
      <c r="Z331" t="s">
        <v>2408</v>
      </c>
      <c r="AA331" t="s">
        <v>599</v>
      </c>
      <c r="AB331" t="s">
        <v>2409</v>
      </c>
      <c r="AC331" t="s">
        <v>2410</v>
      </c>
      <c r="AD331" t="s">
        <v>1188</v>
      </c>
      <c r="AE331" t="s">
        <v>2411</v>
      </c>
      <c r="AF331" t="s">
        <v>1190</v>
      </c>
    </row>
    <row r="332" spans="1:32" s="13" customFormat="1" ht="45" x14ac:dyDescent="0.25">
      <c r="A332" s="10">
        <v>256560</v>
      </c>
      <c r="B332" s="10">
        <v>1</v>
      </c>
      <c r="C332" s="9">
        <v>195</v>
      </c>
      <c r="D332" s="56" t="s">
        <v>956</v>
      </c>
      <c r="E332" s="12" t="s">
        <v>283</v>
      </c>
      <c r="F332" s="45"/>
      <c r="G332" s="45"/>
      <c r="H332" s="45"/>
      <c r="I332">
        <v>256560</v>
      </c>
      <c r="J332" t="s">
        <v>282</v>
      </c>
      <c r="K332" t="s">
        <v>2404</v>
      </c>
      <c r="L332" t="s">
        <v>1178</v>
      </c>
      <c r="M332" t="s">
        <v>1192</v>
      </c>
      <c r="N332" t="s">
        <v>599</v>
      </c>
      <c r="O332" t="s">
        <v>1551</v>
      </c>
      <c r="P332" t="s">
        <v>599</v>
      </c>
      <c r="Q332" t="s">
        <v>599</v>
      </c>
      <c r="R332" t="s">
        <v>2405</v>
      </c>
      <c r="S332" t="s">
        <v>2406</v>
      </c>
      <c r="T332">
        <v>1865</v>
      </c>
      <c r="U332">
        <v>1865</v>
      </c>
      <c r="V332" t="s">
        <v>2407</v>
      </c>
      <c r="W332" t="s">
        <v>1185</v>
      </c>
      <c r="X332" t="s">
        <v>599</v>
      </c>
      <c r="Y332" t="s">
        <v>599</v>
      </c>
      <c r="Z332" t="s">
        <v>2408</v>
      </c>
      <c r="AA332" t="s">
        <v>599</v>
      </c>
      <c r="AB332" t="s">
        <v>2409</v>
      </c>
      <c r="AC332" t="s">
        <v>2410</v>
      </c>
      <c r="AD332" t="s">
        <v>1188</v>
      </c>
      <c r="AE332" t="s">
        <v>2411</v>
      </c>
      <c r="AF332" t="s">
        <v>1190</v>
      </c>
    </row>
    <row r="333" spans="1:32" s="13" customFormat="1" ht="45" x14ac:dyDescent="0.25">
      <c r="A333" s="10">
        <v>256560</v>
      </c>
      <c r="B333" s="10">
        <v>1</v>
      </c>
      <c r="C333" s="9">
        <v>233</v>
      </c>
      <c r="D333" s="56" t="s">
        <v>957</v>
      </c>
      <c r="E333" s="12" t="s">
        <v>283</v>
      </c>
      <c r="F333" s="45"/>
      <c r="G333" s="45"/>
      <c r="H333" s="45"/>
      <c r="I333">
        <v>256560</v>
      </c>
      <c r="J333" t="s">
        <v>282</v>
      </c>
      <c r="K333" t="s">
        <v>2404</v>
      </c>
      <c r="L333" t="s">
        <v>1178</v>
      </c>
      <c r="M333" t="s">
        <v>1192</v>
      </c>
      <c r="N333" t="s">
        <v>599</v>
      </c>
      <c r="O333" t="s">
        <v>1551</v>
      </c>
      <c r="P333" t="s">
        <v>599</v>
      </c>
      <c r="Q333" t="s">
        <v>599</v>
      </c>
      <c r="R333" t="s">
        <v>2405</v>
      </c>
      <c r="S333" t="s">
        <v>2406</v>
      </c>
      <c r="T333">
        <v>1865</v>
      </c>
      <c r="U333">
        <v>1865</v>
      </c>
      <c r="V333" t="s">
        <v>2407</v>
      </c>
      <c r="W333" t="s">
        <v>1185</v>
      </c>
      <c r="X333" t="s">
        <v>599</v>
      </c>
      <c r="Y333" t="s">
        <v>599</v>
      </c>
      <c r="Z333" t="s">
        <v>2408</v>
      </c>
      <c r="AA333" t="s">
        <v>599</v>
      </c>
      <c r="AB333" t="s">
        <v>2409</v>
      </c>
      <c r="AC333" t="s">
        <v>2410</v>
      </c>
      <c r="AD333" t="s">
        <v>1188</v>
      </c>
      <c r="AE333" t="s">
        <v>2411</v>
      </c>
      <c r="AF333" t="s">
        <v>1190</v>
      </c>
    </row>
    <row r="334" spans="1:32" s="13" customFormat="1" ht="45" x14ac:dyDescent="0.25">
      <c r="A334" s="10">
        <v>256560</v>
      </c>
      <c r="B334" s="10">
        <v>1</v>
      </c>
      <c r="C334" s="9">
        <v>269</v>
      </c>
      <c r="D334" s="56" t="s">
        <v>958</v>
      </c>
      <c r="E334" s="12" t="s">
        <v>283</v>
      </c>
      <c r="F334" s="45"/>
      <c r="G334" s="45"/>
      <c r="H334" s="45"/>
      <c r="I334">
        <v>256560</v>
      </c>
      <c r="J334" t="s">
        <v>282</v>
      </c>
      <c r="K334" t="s">
        <v>2404</v>
      </c>
      <c r="L334" t="s">
        <v>1178</v>
      </c>
      <c r="M334" t="s">
        <v>1192</v>
      </c>
      <c r="N334" t="s">
        <v>599</v>
      </c>
      <c r="O334" t="s">
        <v>1551</v>
      </c>
      <c r="P334" t="s">
        <v>599</v>
      </c>
      <c r="Q334" t="s">
        <v>599</v>
      </c>
      <c r="R334" t="s">
        <v>2405</v>
      </c>
      <c r="S334" t="s">
        <v>2406</v>
      </c>
      <c r="T334">
        <v>1865</v>
      </c>
      <c r="U334">
        <v>1865</v>
      </c>
      <c r="V334" t="s">
        <v>2407</v>
      </c>
      <c r="W334" t="s">
        <v>1185</v>
      </c>
      <c r="X334" t="s">
        <v>599</v>
      </c>
      <c r="Y334" t="s">
        <v>599</v>
      </c>
      <c r="Z334" t="s">
        <v>2408</v>
      </c>
      <c r="AA334" t="s">
        <v>599</v>
      </c>
      <c r="AB334" t="s">
        <v>2409</v>
      </c>
      <c r="AC334" t="s">
        <v>2410</v>
      </c>
      <c r="AD334" t="s">
        <v>1188</v>
      </c>
      <c r="AE334" t="s">
        <v>2411</v>
      </c>
      <c r="AF334" t="s">
        <v>1190</v>
      </c>
    </row>
    <row r="335" spans="1:32" s="13" customFormat="1" ht="45" x14ac:dyDescent="0.25">
      <c r="A335" s="10">
        <v>256560</v>
      </c>
      <c r="B335" s="10">
        <v>1</v>
      </c>
      <c r="C335" s="9">
        <v>305</v>
      </c>
      <c r="D335" s="56" t="s">
        <v>959</v>
      </c>
      <c r="E335" s="12" t="s">
        <v>283</v>
      </c>
      <c r="F335" s="45"/>
      <c r="G335" s="45"/>
      <c r="H335" s="45"/>
      <c r="I335">
        <v>256560</v>
      </c>
      <c r="J335" t="s">
        <v>282</v>
      </c>
      <c r="K335" t="s">
        <v>2404</v>
      </c>
      <c r="L335" t="s">
        <v>1178</v>
      </c>
      <c r="M335" t="s">
        <v>1192</v>
      </c>
      <c r="N335" t="s">
        <v>599</v>
      </c>
      <c r="O335" t="s">
        <v>1551</v>
      </c>
      <c r="P335" t="s">
        <v>599</v>
      </c>
      <c r="Q335" t="s">
        <v>599</v>
      </c>
      <c r="R335" t="s">
        <v>2405</v>
      </c>
      <c r="S335" t="s">
        <v>2406</v>
      </c>
      <c r="T335">
        <v>1865</v>
      </c>
      <c r="U335">
        <v>1865</v>
      </c>
      <c r="V335" t="s">
        <v>2407</v>
      </c>
      <c r="W335" t="s">
        <v>1185</v>
      </c>
      <c r="X335" t="s">
        <v>599</v>
      </c>
      <c r="Y335" t="s">
        <v>599</v>
      </c>
      <c r="Z335" t="s">
        <v>2408</v>
      </c>
      <c r="AA335" t="s">
        <v>599</v>
      </c>
      <c r="AB335" t="s">
        <v>2409</v>
      </c>
      <c r="AC335" t="s">
        <v>2410</v>
      </c>
      <c r="AD335" t="s">
        <v>1188</v>
      </c>
      <c r="AE335" t="s">
        <v>2411</v>
      </c>
      <c r="AF335" t="s">
        <v>1190</v>
      </c>
    </row>
    <row r="336" spans="1:32" s="13" customFormat="1" ht="45" x14ac:dyDescent="0.25">
      <c r="A336" s="10">
        <v>256560</v>
      </c>
      <c r="B336" s="10">
        <v>1</v>
      </c>
      <c r="C336" s="9">
        <v>337</v>
      </c>
      <c r="D336" s="56" t="s">
        <v>960</v>
      </c>
      <c r="E336" s="12" t="s">
        <v>283</v>
      </c>
      <c r="F336" s="45"/>
      <c r="G336" s="45"/>
      <c r="H336" s="45"/>
      <c r="I336">
        <v>256560</v>
      </c>
      <c r="J336" t="s">
        <v>282</v>
      </c>
      <c r="K336" t="s">
        <v>2404</v>
      </c>
      <c r="L336" t="s">
        <v>1178</v>
      </c>
      <c r="M336" t="s">
        <v>1192</v>
      </c>
      <c r="N336" t="s">
        <v>599</v>
      </c>
      <c r="O336" t="s">
        <v>1551</v>
      </c>
      <c r="P336" t="s">
        <v>599</v>
      </c>
      <c r="Q336" t="s">
        <v>599</v>
      </c>
      <c r="R336" t="s">
        <v>2405</v>
      </c>
      <c r="S336" t="s">
        <v>2406</v>
      </c>
      <c r="T336">
        <v>1865</v>
      </c>
      <c r="U336">
        <v>1865</v>
      </c>
      <c r="V336" t="s">
        <v>2407</v>
      </c>
      <c r="W336" t="s">
        <v>1185</v>
      </c>
      <c r="X336" t="s">
        <v>599</v>
      </c>
      <c r="Y336" t="s">
        <v>599</v>
      </c>
      <c r="Z336" t="s">
        <v>2408</v>
      </c>
      <c r="AA336" t="s">
        <v>599</v>
      </c>
      <c r="AB336" t="s">
        <v>2409</v>
      </c>
      <c r="AC336" t="s">
        <v>2410</v>
      </c>
      <c r="AD336" t="s">
        <v>1188</v>
      </c>
      <c r="AE336" t="s">
        <v>2411</v>
      </c>
      <c r="AF336" t="s">
        <v>1190</v>
      </c>
    </row>
    <row r="337" spans="1:32" s="13" customFormat="1" ht="45" x14ac:dyDescent="0.25">
      <c r="A337" s="10">
        <v>256560</v>
      </c>
      <c r="B337" s="10">
        <v>1</v>
      </c>
      <c r="C337" s="9">
        <v>373</v>
      </c>
      <c r="D337" s="56" t="s">
        <v>961</v>
      </c>
      <c r="E337" s="12" t="s">
        <v>283</v>
      </c>
      <c r="F337" s="45"/>
      <c r="G337" s="45"/>
      <c r="H337" s="45"/>
      <c r="I337">
        <v>256560</v>
      </c>
      <c r="J337" t="s">
        <v>282</v>
      </c>
      <c r="K337" t="s">
        <v>2404</v>
      </c>
      <c r="L337" t="s">
        <v>1178</v>
      </c>
      <c r="M337" t="s">
        <v>1192</v>
      </c>
      <c r="N337" t="s">
        <v>599</v>
      </c>
      <c r="O337" t="s">
        <v>1551</v>
      </c>
      <c r="P337" t="s">
        <v>599</v>
      </c>
      <c r="Q337" t="s">
        <v>599</v>
      </c>
      <c r="R337" t="s">
        <v>2405</v>
      </c>
      <c r="S337" t="s">
        <v>2406</v>
      </c>
      <c r="T337">
        <v>1865</v>
      </c>
      <c r="U337">
        <v>1865</v>
      </c>
      <c r="V337" t="s">
        <v>2407</v>
      </c>
      <c r="W337" t="s">
        <v>1185</v>
      </c>
      <c r="X337" t="s">
        <v>599</v>
      </c>
      <c r="Y337" t="s">
        <v>599</v>
      </c>
      <c r="Z337" t="s">
        <v>2408</v>
      </c>
      <c r="AA337" t="s">
        <v>599</v>
      </c>
      <c r="AB337" t="s">
        <v>2409</v>
      </c>
      <c r="AC337" t="s">
        <v>2410</v>
      </c>
      <c r="AD337" t="s">
        <v>1188</v>
      </c>
      <c r="AE337" t="s">
        <v>2411</v>
      </c>
      <c r="AF337" t="s">
        <v>1190</v>
      </c>
    </row>
    <row r="338" spans="1:32" s="13" customFormat="1" ht="45" x14ac:dyDescent="0.25">
      <c r="A338" s="10">
        <v>256560</v>
      </c>
      <c r="B338" s="10">
        <v>1</v>
      </c>
      <c r="C338" s="9">
        <v>409</v>
      </c>
      <c r="D338" s="56" t="s">
        <v>962</v>
      </c>
      <c r="E338" s="12" t="s">
        <v>283</v>
      </c>
      <c r="F338" s="45"/>
      <c r="G338" s="45"/>
      <c r="H338" s="45"/>
      <c r="I338">
        <v>256560</v>
      </c>
      <c r="J338" t="s">
        <v>282</v>
      </c>
      <c r="K338" t="s">
        <v>2404</v>
      </c>
      <c r="L338" t="s">
        <v>1178</v>
      </c>
      <c r="M338" t="s">
        <v>1192</v>
      </c>
      <c r="N338" t="s">
        <v>599</v>
      </c>
      <c r="O338" t="s">
        <v>1551</v>
      </c>
      <c r="P338" t="s">
        <v>599</v>
      </c>
      <c r="Q338" t="s">
        <v>599</v>
      </c>
      <c r="R338" t="s">
        <v>2405</v>
      </c>
      <c r="S338" t="s">
        <v>2406</v>
      </c>
      <c r="T338">
        <v>1865</v>
      </c>
      <c r="U338">
        <v>1865</v>
      </c>
      <c r="V338" t="s">
        <v>2407</v>
      </c>
      <c r="W338" t="s">
        <v>1185</v>
      </c>
      <c r="X338" t="s">
        <v>599</v>
      </c>
      <c r="Y338" t="s">
        <v>599</v>
      </c>
      <c r="Z338" t="s">
        <v>2408</v>
      </c>
      <c r="AA338" t="s">
        <v>599</v>
      </c>
      <c r="AB338" t="s">
        <v>2409</v>
      </c>
      <c r="AC338" t="s">
        <v>2410</v>
      </c>
      <c r="AD338" t="s">
        <v>1188</v>
      </c>
      <c r="AE338" t="s">
        <v>2411</v>
      </c>
      <c r="AF338" t="s">
        <v>1190</v>
      </c>
    </row>
    <row r="339" spans="1:32" s="13" customFormat="1" ht="75" x14ac:dyDescent="0.25">
      <c r="A339" s="10">
        <v>852331</v>
      </c>
      <c r="B339" s="10">
        <v>1</v>
      </c>
      <c r="C339" s="9">
        <v>12</v>
      </c>
      <c r="D339" s="56" t="s">
        <v>963</v>
      </c>
      <c r="E339" s="12" t="s">
        <v>286</v>
      </c>
      <c r="F339" s="45"/>
      <c r="G339" s="45"/>
      <c r="H339" s="45"/>
      <c r="I339">
        <v>852331</v>
      </c>
      <c r="J339" t="s">
        <v>285</v>
      </c>
      <c r="K339" t="s">
        <v>2413</v>
      </c>
      <c r="L339" t="s">
        <v>1226</v>
      </c>
      <c r="M339" t="s">
        <v>1192</v>
      </c>
      <c r="N339" t="s">
        <v>599</v>
      </c>
      <c r="O339" t="s">
        <v>2414</v>
      </c>
      <c r="P339" t="s">
        <v>2415</v>
      </c>
      <c r="Q339" t="s">
        <v>599</v>
      </c>
      <c r="R339" t="s">
        <v>1182</v>
      </c>
      <c r="S339" t="s">
        <v>2416</v>
      </c>
      <c r="T339">
        <v>1889</v>
      </c>
      <c r="U339">
        <v>1889</v>
      </c>
      <c r="V339" t="s">
        <v>599</v>
      </c>
      <c r="W339" t="s">
        <v>599</v>
      </c>
      <c r="X339" t="s">
        <v>599</v>
      </c>
      <c r="Y339" t="s">
        <v>599</v>
      </c>
      <c r="Z339" t="s">
        <v>2417</v>
      </c>
      <c r="AA339" t="s">
        <v>599</v>
      </c>
      <c r="AB339" t="s">
        <v>599</v>
      </c>
      <c r="AC339" t="s">
        <v>2418</v>
      </c>
      <c r="AD339" t="s">
        <v>1188</v>
      </c>
      <c r="AE339" t="s">
        <v>2419</v>
      </c>
      <c r="AF339" t="s">
        <v>1190</v>
      </c>
    </row>
    <row r="340" spans="1:32" s="13" customFormat="1" ht="75" x14ac:dyDescent="0.25">
      <c r="A340" s="10">
        <v>852331</v>
      </c>
      <c r="B340" s="10">
        <v>1</v>
      </c>
      <c r="C340" s="9">
        <v>110</v>
      </c>
      <c r="D340" s="56" t="s">
        <v>964</v>
      </c>
      <c r="E340" s="12" t="s">
        <v>286</v>
      </c>
      <c r="F340" s="45"/>
      <c r="G340" s="45"/>
      <c r="H340" s="45"/>
      <c r="I340">
        <v>852331</v>
      </c>
      <c r="J340" t="s">
        <v>285</v>
      </c>
      <c r="K340" t="s">
        <v>2413</v>
      </c>
      <c r="L340" t="s">
        <v>1226</v>
      </c>
      <c r="M340" t="s">
        <v>1192</v>
      </c>
      <c r="N340" t="s">
        <v>599</v>
      </c>
      <c r="O340" t="s">
        <v>2414</v>
      </c>
      <c r="P340" t="s">
        <v>2415</v>
      </c>
      <c r="Q340" t="s">
        <v>599</v>
      </c>
      <c r="R340" t="s">
        <v>1182</v>
      </c>
      <c r="S340" t="s">
        <v>2416</v>
      </c>
      <c r="T340">
        <v>1889</v>
      </c>
      <c r="U340">
        <v>1889</v>
      </c>
      <c r="V340" t="s">
        <v>599</v>
      </c>
      <c r="W340" t="s">
        <v>599</v>
      </c>
      <c r="X340" t="s">
        <v>599</v>
      </c>
      <c r="Y340" t="s">
        <v>599</v>
      </c>
      <c r="Z340" t="s">
        <v>2417</v>
      </c>
      <c r="AA340" t="s">
        <v>599</v>
      </c>
      <c r="AB340" t="s">
        <v>599</v>
      </c>
      <c r="AC340" t="s">
        <v>2418</v>
      </c>
      <c r="AD340" t="s">
        <v>1188</v>
      </c>
      <c r="AE340" t="s">
        <v>2419</v>
      </c>
      <c r="AF340" t="s">
        <v>1190</v>
      </c>
    </row>
    <row r="341" spans="1:32" s="13" customFormat="1" ht="75" x14ac:dyDescent="0.25">
      <c r="A341" s="10">
        <v>852331</v>
      </c>
      <c r="B341" s="10">
        <v>1</v>
      </c>
      <c r="C341" s="9">
        <v>273</v>
      </c>
      <c r="D341" s="56" t="s">
        <v>965</v>
      </c>
      <c r="E341" s="12" t="s">
        <v>286</v>
      </c>
      <c r="F341" s="45"/>
      <c r="G341" s="45"/>
      <c r="H341" s="45"/>
      <c r="I341">
        <v>852331</v>
      </c>
      <c r="J341" t="s">
        <v>285</v>
      </c>
      <c r="K341" t="s">
        <v>2413</v>
      </c>
      <c r="L341" t="s">
        <v>1226</v>
      </c>
      <c r="M341" t="s">
        <v>1192</v>
      </c>
      <c r="N341" t="s">
        <v>599</v>
      </c>
      <c r="O341" t="s">
        <v>2414</v>
      </c>
      <c r="P341" t="s">
        <v>2415</v>
      </c>
      <c r="Q341" t="s">
        <v>599</v>
      </c>
      <c r="R341" t="s">
        <v>1182</v>
      </c>
      <c r="S341" t="s">
        <v>2416</v>
      </c>
      <c r="T341">
        <v>1889</v>
      </c>
      <c r="U341">
        <v>1889</v>
      </c>
      <c r="V341" t="s">
        <v>599</v>
      </c>
      <c r="W341" t="s">
        <v>599</v>
      </c>
      <c r="X341" t="s">
        <v>599</v>
      </c>
      <c r="Y341" t="s">
        <v>599</v>
      </c>
      <c r="Z341" t="s">
        <v>2417</v>
      </c>
      <c r="AA341" t="s">
        <v>599</v>
      </c>
      <c r="AB341" t="s">
        <v>599</v>
      </c>
      <c r="AC341" t="s">
        <v>2418</v>
      </c>
      <c r="AD341" t="s">
        <v>1188</v>
      </c>
      <c r="AE341" t="s">
        <v>2419</v>
      </c>
      <c r="AF341" t="s">
        <v>1190</v>
      </c>
    </row>
    <row r="342" spans="1:32" s="13" customFormat="1" ht="45" x14ac:dyDescent="0.25">
      <c r="A342" s="10">
        <v>852140</v>
      </c>
      <c r="B342" s="10">
        <v>1</v>
      </c>
      <c r="C342" s="9">
        <v>23</v>
      </c>
      <c r="D342" s="56" t="s">
        <v>966</v>
      </c>
      <c r="E342" s="12" t="s">
        <v>289</v>
      </c>
      <c r="F342" s="45"/>
      <c r="G342" s="45"/>
      <c r="H342" s="45"/>
      <c r="I342">
        <v>852140</v>
      </c>
      <c r="J342" t="s">
        <v>288</v>
      </c>
      <c r="K342" t="s">
        <v>2420</v>
      </c>
      <c r="L342" t="s">
        <v>1178</v>
      </c>
      <c r="M342" t="s">
        <v>1192</v>
      </c>
      <c r="N342" t="s">
        <v>599</v>
      </c>
      <c r="O342" t="s">
        <v>2421</v>
      </c>
      <c r="P342" t="s">
        <v>2422</v>
      </c>
      <c r="Q342" t="s">
        <v>599</v>
      </c>
      <c r="R342" t="s">
        <v>1182</v>
      </c>
      <c r="S342" t="s">
        <v>2423</v>
      </c>
      <c r="T342">
        <v>1898</v>
      </c>
      <c r="U342">
        <v>1898</v>
      </c>
      <c r="V342" t="s">
        <v>2424</v>
      </c>
      <c r="W342" t="s">
        <v>2425</v>
      </c>
      <c r="X342" t="s">
        <v>599</v>
      </c>
      <c r="Y342" t="s">
        <v>599</v>
      </c>
      <c r="Z342" t="s">
        <v>599</v>
      </c>
      <c r="AA342" t="s">
        <v>599</v>
      </c>
      <c r="AB342" t="s">
        <v>599</v>
      </c>
      <c r="AC342" t="s">
        <v>2426</v>
      </c>
      <c r="AD342" t="s">
        <v>1188</v>
      </c>
      <c r="AE342" t="s">
        <v>2427</v>
      </c>
      <c r="AF342" t="s">
        <v>1190</v>
      </c>
    </row>
    <row r="343" spans="1:32" s="13" customFormat="1" ht="45" x14ac:dyDescent="0.25">
      <c r="A343" s="10">
        <v>852140</v>
      </c>
      <c r="B343" s="10">
        <v>1</v>
      </c>
      <c r="C343" s="9">
        <v>102</v>
      </c>
      <c r="D343" s="56" t="s">
        <v>967</v>
      </c>
      <c r="E343" s="12" t="s">
        <v>289</v>
      </c>
      <c r="F343" s="45"/>
      <c r="G343" s="45"/>
      <c r="H343" s="45"/>
      <c r="I343">
        <v>852140</v>
      </c>
      <c r="J343" t="s">
        <v>288</v>
      </c>
      <c r="K343" t="s">
        <v>2420</v>
      </c>
      <c r="L343" t="s">
        <v>1178</v>
      </c>
      <c r="M343" t="s">
        <v>1192</v>
      </c>
      <c r="N343" t="s">
        <v>599</v>
      </c>
      <c r="O343" t="s">
        <v>2421</v>
      </c>
      <c r="P343" t="s">
        <v>2422</v>
      </c>
      <c r="Q343" t="s">
        <v>599</v>
      </c>
      <c r="R343" t="s">
        <v>1182</v>
      </c>
      <c r="S343" t="s">
        <v>2423</v>
      </c>
      <c r="T343">
        <v>1898</v>
      </c>
      <c r="U343">
        <v>1898</v>
      </c>
      <c r="V343" t="s">
        <v>2424</v>
      </c>
      <c r="W343" t="s">
        <v>2425</v>
      </c>
      <c r="X343" t="s">
        <v>599</v>
      </c>
      <c r="Y343" t="s">
        <v>599</v>
      </c>
      <c r="Z343" t="s">
        <v>599</v>
      </c>
      <c r="AA343" t="s">
        <v>599</v>
      </c>
      <c r="AB343" t="s">
        <v>599</v>
      </c>
      <c r="AC343" t="s">
        <v>2426</v>
      </c>
      <c r="AD343" t="s">
        <v>1188</v>
      </c>
      <c r="AE343" t="s">
        <v>2427</v>
      </c>
      <c r="AF343" t="s">
        <v>1190</v>
      </c>
    </row>
    <row r="344" spans="1:32" s="13" customFormat="1" ht="45" x14ac:dyDescent="0.25">
      <c r="A344" s="10">
        <v>852140</v>
      </c>
      <c r="B344" s="10">
        <v>1</v>
      </c>
      <c r="C344" s="9">
        <v>198</v>
      </c>
      <c r="D344" s="56" t="s">
        <v>968</v>
      </c>
      <c r="E344" s="12" t="s">
        <v>289</v>
      </c>
      <c r="F344" s="45"/>
      <c r="G344" s="45"/>
      <c r="H344" s="45"/>
      <c r="I344">
        <v>852140</v>
      </c>
      <c r="J344" t="s">
        <v>288</v>
      </c>
      <c r="K344" t="s">
        <v>2420</v>
      </c>
      <c r="L344" t="s">
        <v>1178</v>
      </c>
      <c r="M344" t="s">
        <v>1192</v>
      </c>
      <c r="N344" t="s">
        <v>599</v>
      </c>
      <c r="O344" t="s">
        <v>2421</v>
      </c>
      <c r="P344" t="s">
        <v>2422</v>
      </c>
      <c r="Q344" t="s">
        <v>599</v>
      </c>
      <c r="R344" t="s">
        <v>1182</v>
      </c>
      <c r="S344" t="s">
        <v>2423</v>
      </c>
      <c r="T344">
        <v>1898</v>
      </c>
      <c r="U344">
        <v>1898</v>
      </c>
      <c r="V344" t="s">
        <v>2424</v>
      </c>
      <c r="W344" t="s">
        <v>2425</v>
      </c>
      <c r="X344" t="s">
        <v>599</v>
      </c>
      <c r="Y344" t="s">
        <v>599</v>
      </c>
      <c r="Z344" t="s">
        <v>599</v>
      </c>
      <c r="AA344" t="s">
        <v>599</v>
      </c>
      <c r="AB344" t="s">
        <v>599</v>
      </c>
      <c r="AC344" t="s">
        <v>2426</v>
      </c>
      <c r="AD344" t="s">
        <v>1188</v>
      </c>
      <c r="AE344" t="s">
        <v>2427</v>
      </c>
      <c r="AF344" t="s">
        <v>1190</v>
      </c>
    </row>
    <row r="345" spans="1:32" s="13" customFormat="1" ht="45" x14ac:dyDescent="0.25">
      <c r="A345" s="10">
        <v>256620</v>
      </c>
      <c r="B345" s="10">
        <v>1</v>
      </c>
      <c r="C345" s="9">
        <v>8</v>
      </c>
      <c r="D345" s="56" t="s">
        <v>969</v>
      </c>
      <c r="E345" s="12" t="s">
        <v>292</v>
      </c>
      <c r="F345" s="45"/>
      <c r="G345" s="45"/>
      <c r="H345" s="45"/>
      <c r="I345">
        <v>256620</v>
      </c>
      <c r="J345" t="s">
        <v>291</v>
      </c>
      <c r="K345" t="s">
        <v>2428</v>
      </c>
      <c r="L345" t="s">
        <v>1178</v>
      </c>
      <c r="M345" t="s">
        <v>1192</v>
      </c>
      <c r="N345" t="s">
        <v>599</v>
      </c>
      <c r="O345" t="s">
        <v>1551</v>
      </c>
      <c r="P345" t="s">
        <v>599</v>
      </c>
      <c r="Q345" t="s">
        <v>599</v>
      </c>
      <c r="R345" t="s">
        <v>2429</v>
      </c>
      <c r="S345" t="s">
        <v>2430</v>
      </c>
      <c r="T345">
        <v>1873</v>
      </c>
      <c r="U345">
        <v>1873</v>
      </c>
      <c r="V345" t="s">
        <v>2431</v>
      </c>
      <c r="W345" t="s">
        <v>1185</v>
      </c>
      <c r="X345" t="s">
        <v>599</v>
      </c>
      <c r="Y345" t="s">
        <v>599</v>
      </c>
      <c r="Z345" t="s">
        <v>2432</v>
      </c>
      <c r="AA345" t="s">
        <v>599</v>
      </c>
      <c r="AB345" t="s">
        <v>2433</v>
      </c>
      <c r="AC345" t="s">
        <v>2434</v>
      </c>
      <c r="AD345" t="s">
        <v>1188</v>
      </c>
      <c r="AE345" t="s">
        <v>2435</v>
      </c>
      <c r="AF345" t="s">
        <v>1190</v>
      </c>
    </row>
    <row r="346" spans="1:32" s="13" customFormat="1" ht="45" x14ac:dyDescent="0.25">
      <c r="A346" s="10">
        <v>256620</v>
      </c>
      <c r="B346" s="10">
        <v>1</v>
      </c>
      <c r="C346" s="9">
        <v>59</v>
      </c>
      <c r="D346" s="56" t="s">
        <v>970</v>
      </c>
      <c r="E346" s="12" t="s">
        <v>292</v>
      </c>
      <c r="F346" s="45"/>
      <c r="G346" s="45"/>
      <c r="H346" s="45"/>
      <c r="I346">
        <v>256620</v>
      </c>
      <c r="J346" t="s">
        <v>291</v>
      </c>
      <c r="K346" t="s">
        <v>2428</v>
      </c>
      <c r="L346" t="s">
        <v>1178</v>
      </c>
      <c r="M346" t="s">
        <v>1192</v>
      </c>
      <c r="N346" t="s">
        <v>599</v>
      </c>
      <c r="O346" t="s">
        <v>1551</v>
      </c>
      <c r="P346" t="s">
        <v>599</v>
      </c>
      <c r="Q346" t="s">
        <v>599</v>
      </c>
      <c r="R346" t="s">
        <v>2429</v>
      </c>
      <c r="S346" t="s">
        <v>2430</v>
      </c>
      <c r="T346">
        <v>1873</v>
      </c>
      <c r="U346">
        <v>1873</v>
      </c>
      <c r="V346" t="s">
        <v>2431</v>
      </c>
      <c r="W346" t="s">
        <v>1185</v>
      </c>
      <c r="X346" t="s">
        <v>599</v>
      </c>
      <c r="Y346" t="s">
        <v>599</v>
      </c>
      <c r="Z346" t="s">
        <v>2432</v>
      </c>
      <c r="AA346" t="s">
        <v>599</v>
      </c>
      <c r="AB346" t="s">
        <v>2433</v>
      </c>
      <c r="AC346" t="s">
        <v>2434</v>
      </c>
      <c r="AD346" t="s">
        <v>1188</v>
      </c>
      <c r="AE346" t="s">
        <v>2435</v>
      </c>
      <c r="AF346" t="s">
        <v>1190</v>
      </c>
    </row>
    <row r="347" spans="1:32" s="13" customFormat="1" ht="45" x14ac:dyDescent="0.25">
      <c r="A347" s="10">
        <v>256620</v>
      </c>
      <c r="B347" s="10">
        <v>1</v>
      </c>
      <c r="C347" s="9">
        <v>97</v>
      </c>
      <c r="D347" s="56" t="s">
        <v>971</v>
      </c>
      <c r="E347" s="12" t="s">
        <v>292</v>
      </c>
      <c r="F347" s="45"/>
      <c r="G347" s="45"/>
      <c r="H347" s="45"/>
      <c r="I347">
        <v>256620</v>
      </c>
      <c r="J347" t="s">
        <v>291</v>
      </c>
      <c r="K347" t="s">
        <v>2428</v>
      </c>
      <c r="L347" t="s">
        <v>1178</v>
      </c>
      <c r="M347" t="s">
        <v>1192</v>
      </c>
      <c r="N347" t="s">
        <v>599</v>
      </c>
      <c r="O347" t="s">
        <v>1551</v>
      </c>
      <c r="P347" t="s">
        <v>599</v>
      </c>
      <c r="Q347" t="s">
        <v>599</v>
      </c>
      <c r="R347" t="s">
        <v>2429</v>
      </c>
      <c r="S347" t="s">
        <v>2430</v>
      </c>
      <c r="T347">
        <v>1873</v>
      </c>
      <c r="U347">
        <v>1873</v>
      </c>
      <c r="V347" t="s">
        <v>2431</v>
      </c>
      <c r="W347" t="s">
        <v>1185</v>
      </c>
      <c r="X347" t="s">
        <v>599</v>
      </c>
      <c r="Y347" t="s">
        <v>599</v>
      </c>
      <c r="Z347" t="s">
        <v>2432</v>
      </c>
      <c r="AA347" t="s">
        <v>599</v>
      </c>
      <c r="AB347" t="s">
        <v>2433</v>
      </c>
      <c r="AC347" t="s">
        <v>2434</v>
      </c>
      <c r="AD347" t="s">
        <v>1188</v>
      </c>
      <c r="AE347" t="s">
        <v>2435</v>
      </c>
      <c r="AF347" t="s">
        <v>1190</v>
      </c>
    </row>
    <row r="348" spans="1:32" s="13" customFormat="1" ht="45" x14ac:dyDescent="0.25">
      <c r="A348" s="10">
        <v>256620</v>
      </c>
      <c r="B348" s="10">
        <v>1</v>
      </c>
      <c r="C348" s="9">
        <v>139</v>
      </c>
      <c r="D348" s="56" t="s">
        <v>972</v>
      </c>
      <c r="E348" s="12" t="s">
        <v>292</v>
      </c>
      <c r="F348" s="45"/>
      <c r="G348" s="45"/>
      <c r="H348" s="45"/>
      <c r="I348">
        <v>256620</v>
      </c>
      <c r="J348" t="s">
        <v>291</v>
      </c>
      <c r="K348" t="s">
        <v>2428</v>
      </c>
      <c r="L348" t="s">
        <v>1178</v>
      </c>
      <c r="M348" t="s">
        <v>1192</v>
      </c>
      <c r="N348" t="s">
        <v>599</v>
      </c>
      <c r="O348" t="s">
        <v>1551</v>
      </c>
      <c r="P348" t="s">
        <v>599</v>
      </c>
      <c r="Q348" t="s">
        <v>599</v>
      </c>
      <c r="R348" t="s">
        <v>2429</v>
      </c>
      <c r="S348" t="s">
        <v>2430</v>
      </c>
      <c r="T348">
        <v>1873</v>
      </c>
      <c r="U348">
        <v>1873</v>
      </c>
      <c r="V348" t="s">
        <v>2431</v>
      </c>
      <c r="W348" t="s">
        <v>1185</v>
      </c>
      <c r="X348" t="s">
        <v>599</v>
      </c>
      <c r="Y348" t="s">
        <v>599</v>
      </c>
      <c r="Z348" t="s">
        <v>2432</v>
      </c>
      <c r="AA348" t="s">
        <v>599</v>
      </c>
      <c r="AB348" t="s">
        <v>2433</v>
      </c>
      <c r="AC348" t="s">
        <v>2434</v>
      </c>
      <c r="AD348" t="s">
        <v>1188</v>
      </c>
      <c r="AE348" t="s">
        <v>2435</v>
      </c>
      <c r="AF348" t="s">
        <v>1190</v>
      </c>
    </row>
    <row r="349" spans="1:32" s="13" customFormat="1" ht="45" x14ac:dyDescent="0.25">
      <c r="A349" s="10">
        <v>256620</v>
      </c>
      <c r="B349" s="10">
        <v>1</v>
      </c>
      <c r="C349" s="9">
        <v>191</v>
      </c>
      <c r="D349" s="56" t="s">
        <v>973</v>
      </c>
      <c r="E349" s="12" t="s">
        <v>292</v>
      </c>
      <c r="F349" s="45"/>
      <c r="G349" s="45"/>
      <c r="H349" s="45"/>
      <c r="I349">
        <v>256620</v>
      </c>
      <c r="J349" t="s">
        <v>291</v>
      </c>
      <c r="K349" t="s">
        <v>2428</v>
      </c>
      <c r="L349" t="s">
        <v>1178</v>
      </c>
      <c r="M349" t="s">
        <v>1192</v>
      </c>
      <c r="N349" t="s">
        <v>599</v>
      </c>
      <c r="O349" t="s">
        <v>1551</v>
      </c>
      <c r="P349" t="s">
        <v>599</v>
      </c>
      <c r="Q349" t="s">
        <v>599</v>
      </c>
      <c r="R349" t="s">
        <v>2429</v>
      </c>
      <c r="S349" t="s">
        <v>2430</v>
      </c>
      <c r="T349">
        <v>1873</v>
      </c>
      <c r="U349">
        <v>1873</v>
      </c>
      <c r="V349" t="s">
        <v>2431</v>
      </c>
      <c r="W349" t="s">
        <v>1185</v>
      </c>
      <c r="X349" t="s">
        <v>599</v>
      </c>
      <c r="Y349" t="s">
        <v>599</v>
      </c>
      <c r="Z349" t="s">
        <v>2432</v>
      </c>
      <c r="AA349" t="s">
        <v>599</v>
      </c>
      <c r="AB349" t="s">
        <v>2433</v>
      </c>
      <c r="AC349" t="s">
        <v>2434</v>
      </c>
      <c r="AD349" t="s">
        <v>1188</v>
      </c>
      <c r="AE349" t="s">
        <v>2435</v>
      </c>
      <c r="AF349" t="s">
        <v>1190</v>
      </c>
    </row>
    <row r="350" spans="1:32" s="13" customFormat="1" ht="45" x14ac:dyDescent="0.25">
      <c r="A350" s="10">
        <v>256620</v>
      </c>
      <c r="B350" s="10">
        <v>1</v>
      </c>
      <c r="C350" s="9">
        <v>229</v>
      </c>
      <c r="D350" s="56" t="s">
        <v>974</v>
      </c>
      <c r="E350" s="12" t="s">
        <v>292</v>
      </c>
      <c r="F350" s="45"/>
      <c r="G350" s="45"/>
      <c r="H350" s="45"/>
      <c r="I350">
        <v>256620</v>
      </c>
      <c r="J350" t="s">
        <v>291</v>
      </c>
      <c r="K350" t="s">
        <v>2428</v>
      </c>
      <c r="L350" t="s">
        <v>1178</v>
      </c>
      <c r="M350" t="s">
        <v>1192</v>
      </c>
      <c r="N350" t="s">
        <v>599</v>
      </c>
      <c r="O350" t="s">
        <v>1551</v>
      </c>
      <c r="P350" t="s">
        <v>599</v>
      </c>
      <c r="Q350" t="s">
        <v>599</v>
      </c>
      <c r="R350" t="s">
        <v>2429</v>
      </c>
      <c r="S350" t="s">
        <v>2430</v>
      </c>
      <c r="T350">
        <v>1873</v>
      </c>
      <c r="U350">
        <v>1873</v>
      </c>
      <c r="V350" t="s">
        <v>2431</v>
      </c>
      <c r="W350" t="s">
        <v>1185</v>
      </c>
      <c r="X350" t="s">
        <v>599</v>
      </c>
      <c r="Y350" t="s">
        <v>599</v>
      </c>
      <c r="Z350" t="s">
        <v>2432</v>
      </c>
      <c r="AA350" t="s">
        <v>599</v>
      </c>
      <c r="AB350" t="s">
        <v>2433</v>
      </c>
      <c r="AC350" t="s">
        <v>2434</v>
      </c>
      <c r="AD350" t="s">
        <v>1188</v>
      </c>
      <c r="AE350" t="s">
        <v>2435</v>
      </c>
      <c r="AF350" t="s">
        <v>1190</v>
      </c>
    </row>
    <row r="351" spans="1:32" s="13" customFormat="1" ht="45" x14ac:dyDescent="0.25">
      <c r="A351" s="10">
        <v>256620</v>
      </c>
      <c r="B351" s="10">
        <v>1</v>
      </c>
      <c r="C351" s="9">
        <v>265</v>
      </c>
      <c r="D351" s="56" t="s">
        <v>975</v>
      </c>
      <c r="E351" s="12" t="s">
        <v>292</v>
      </c>
      <c r="F351" s="45"/>
      <c r="G351" s="45"/>
      <c r="H351" s="45"/>
      <c r="I351">
        <v>256620</v>
      </c>
      <c r="J351" t="s">
        <v>291</v>
      </c>
      <c r="K351" t="s">
        <v>2428</v>
      </c>
      <c r="L351" t="s">
        <v>1178</v>
      </c>
      <c r="M351" t="s">
        <v>1192</v>
      </c>
      <c r="N351" t="s">
        <v>599</v>
      </c>
      <c r="O351" t="s">
        <v>1551</v>
      </c>
      <c r="P351" t="s">
        <v>599</v>
      </c>
      <c r="Q351" t="s">
        <v>599</v>
      </c>
      <c r="R351" t="s">
        <v>2429</v>
      </c>
      <c r="S351" t="s">
        <v>2430</v>
      </c>
      <c r="T351">
        <v>1873</v>
      </c>
      <c r="U351">
        <v>1873</v>
      </c>
      <c r="V351" t="s">
        <v>2431</v>
      </c>
      <c r="W351" t="s">
        <v>1185</v>
      </c>
      <c r="X351" t="s">
        <v>599</v>
      </c>
      <c r="Y351" t="s">
        <v>599</v>
      </c>
      <c r="Z351" t="s">
        <v>2432</v>
      </c>
      <c r="AA351" t="s">
        <v>599</v>
      </c>
      <c r="AB351" t="s">
        <v>2433</v>
      </c>
      <c r="AC351" t="s">
        <v>2434</v>
      </c>
      <c r="AD351" t="s">
        <v>1188</v>
      </c>
      <c r="AE351" t="s">
        <v>2435</v>
      </c>
      <c r="AF351" t="s">
        <v>1190</v>
      </c>
    </row>
    <row r="352" spans="1:32" s="13" customFormat="1" ht="45" x14ac:dyDescent="0.25">
      <c r="A352" s="10">
        <v>256620</v>
      </c>
      <c r="B352" s="10">
        <v>1</v>
      </c>
      <c r="C352" s="9">
        <v>301</v>
      </c>
      <c r="D352" s="56" t="s">
        <v>976</v>
      </c>
      <c r="E352" s="12" t="s">
        <v>292</v>
      </c>
      <c r="F352" s="45"/>
      <c r="G352" s="45"/>
      <c r="H352" s="45"/>
      <c r="I352">
        <v>256620</v>
      </c>
      <c r="J352" t="s">
        <v>291</v>
      </c>
      <c r="K352" t="s">
        <v>2428</v>
      </c>
      <c r="L352" t="s">
        <v>1178</v>
      </c>
      <c r="M352" t="s">
        <v>1192</v>
      </c>
      <c r="N352" t="s">
        <v>599</v>
      </c>
      <c r="O352" t="s">
        <v>1551</v>
      </c>
      <c r="P352" t="s">
        <v>599</v>
      </c>
      <c r="Q352" t="s">
        <v>599</v>
      </c>
      <c r="R352" t="s">
        <v>2429</v>
      </c>
      <c r="S352" t="s">
        <v>2430</v>
      </c>
      <c r="T352">
        <v>1873</v>
      </c>
      <c r="U352">
        <v>1873</v>
      </c>
      <c r="V352" t="s">
        <v>2431</v>
      </c>
      <c r="W352" t="s">
        <v>1185</v>
      </c>
      <c r="X352" t="s">
        <v>599</v>
      </c>
      <c r="Y352" t="s">
        <v>599</v>
      </c>
      <c r="Z352" t="s">
        <v>2432</v>
      </c>
      <c r="AA352" t="s">
        <v>599</v>
      </c>
      <c r="AB352" t="s">
        <v>2433</v>
      </c>
      <c r="AC352" t="s">
        <v>2434</v>
      </c>
      <c r="AD352" t="s">
        <v>1188</v>
      </c>
      <c r="AE352" t="s">
        <v>2435</v>
      </c>
      <c r="AF352" t="s">
        <v>1190</v>
      </c>
    </row>
    <row r="353" spans="1:32" s="13" customFormat="1" ht="45" x14ac:dyDescent="0.25">
      <c r="A353" s="10">
        <v>256620</v>
      </c>
      <c r="B353" s="10">
        <v>1</v>
      </c>
      <c r="C353" s="9">
        <v>333</v>
      </c>
      <c r="D353" s="56" t="s">
        <v>977</v>
      </c>
      <c r="E353" s="12" t="s">
        <v>292</v>
      </c>
      <c r="F353" s="45"/>
      <c r="G353" s="45"/>
      <c r="H353" s="45"/>
      <c r="I353">
        <v>256620</v>
      </c>
      <c r="J353" t="s">
        <v>291</v>
      </c>
      <c r="K353" t="s">
        <v>2428</v>
      </c>
      <c r="L353" t="s">
        <v>1178</v>
      </c>
      <c r="M353" t="s">
        <v>1192</v>
      </c>
      <c r="N353" t="s">
        <v>599</v>
      </c>
      <c r="O353" t="s">
        <v>1551</v>
      </c>
      <c r="P353" t="s">
        <v>599</v>
      </c>
      <c r="Q353" t="s">
        <v>599</v>
      </c>
      <c r="R353" t="s">
        <v>2429</v>
      </c>
      <c r="S353" t="s">
        <v>2430</v>
      </c>
      <c r="T353">
        <v>1873</v>
      </c>
      <c r="U353">
        <v>1873</v>
      </c>
      <c r="V353" t="s">
        <v>2431</v>
      </c>
      <c r="W353" t="s">
        <v>1185</v>
      </c>
      <c r="X353" t="s">
        <v>599</v>
      </c>
      <c r="Y353" t="s">
        <v>599</v>
      </c>
      <c r="Z353" t="s">
        <v>2432</v>
      </c>
      <c r="AA353" t="s">
        <v>599</v>
      </c>
      <c r="AB353" t="s">
        <v>2433</v>
      </c>
      <c r="AC353" t="s">
        <v>2434</v>
      </c>
      <c r="AD353" t="s">
        <v>1188</v>
      </c>
      <c r="AE353" t="s">
        <v>2435</v>
      </c>
      <c r="AF353" t="s">
        <v>1190</v>
      </c>
    </row>
    <row r="354" spans="1:32" s="13" customFormat="1" ht="45" x14ac:dyDescent="0.25">
      <c r="A354" s="10">
        <v>256620</v>
      </c>
      <c r="B354" s="10">
        <v>1</v>
      </c>
      <c r="C354" s="9">
        <v>369</v>
      </c>
      <c r="D354" s="56" t="s">
        <v>978</v>
      </c>
      <c r="E354" s="12" t="s">
        <v>292</v>
      </c>
      <c r="F354" s="45"/>
      <c r="G354" s="45"/>
      <c r="H354" s="45"/>
      <c r="I354">
        <v>256620</v>
      </c>
      <c r="J354" t="s">
        <v>291</v>
      </c>
      <c r="K354" t="s">
        <v>2428</v>
      </c>
      <c r="L354" t="s">
        <v>1178</v>
      </c>
      <c r="M354" t="s">
        <v>1192</v>
      </c>
      <c r="N354" t="s">
        <v>599</v>
      </c>
      <c r="O354" t="s">
        <v>1551</v>
      </c>
      <c r="P354" t="s">
        <v>599</v>
      </c>
      <c r="Q354" t="s">
        <v>599</v>
      </c>
      <c r="R354" t="s">
        <v>2429</v>
      </c>
      <c r="S354" t="s">
        <v>2430</v>
      </c>
      <c r="T354">
        <v>1873</v>
      </c>
      <c r="U354">
        <v>1873</v>
      </c>
      <c r="V354" t="s">
        <v>2431</v>
      </c>
      <c r="W354" t="s">
        <v>1185</v>
      </c>
      <c r="X354" t="s">
        <v>599</v>
      </c>
      <c r="Y354" t="s">
        <v>599</v>
      </c>
      <c r="Z354" t="s">
        <v>2432</v>
      </c>
      <c r="AA354" t="s">
        <v>599</v>
      </c>
      <c r="AB354" t="s">
        <v>2433</v>
      </c>
      <c r="AC354" t="s">
        <v>2434</v>
      </c>
      <c r="AD354" t="s">
        <v>1188</v>
      </c>
      <c r="AE354" t="s">
        <v>2435</v>
      </c>
      <c r="AF354" t="s">
        <v>1190</v>
      </c>
    </row>
    <row r="355" spans="1:32" s="13" customFormat="1" ht="45" x14ac:dyDescent="0.25">
      <c r="A355" s="10">
        <v>256620</v>
      </c>
      <c r="B355" s="10">
        <v>1</v>
      </c>
      <c r="C355" s="9">
        <v>405</v>
      </c>
      <c r="D355" s="56" t="s">
        <v>979</v>
      </c>
      <c r="E355" s="12" t="s">
        <v>292</v>
      </c>
      <c r="F355" s="45"/>
      <c r="G355" s="45"/>
      <c r="H355" s="45"/>
      <c r="I355">
        <v>256620</v>
      </c>
      <c r="J355" t="s">
        <v>291</v>
      </c>
      <c r="K355" t="s">
        <v>2428</v>
      </c>
      <c r="L355" t="s">
        <v>1178</v>
      </c>
      <c r="M355" t="s">
        <v>1192</v>
      </c>
      <c r="N355" t="s">
        <v>599</v>
      </c>
      <c r="O355" t="s">
        <v>1551</v>
      </c>
      <c r="P355" t="s">
        <v>599</v>
      </c>
      <c r="Q355" t="s">
        <v>599</v>
      </c>
      <c r="R355" t="s">
        <v>2429</v>
      </c>
      <c r="S355" t="s">
        <v>2430</v>
      </c>
      <c r="T355">
        <v>1873</v>
      </c>
      <c r="U355">
        <v>1873</v>
      </c>
      <c r="V355" t="s">
        <v>2431</v>
      </c>
      <c r="W355" t="s">
        <v>1185</v>
      </c>
      <c r="X355" t="s">
        <v>599</v>
      </c>
      <c r="Y355" t="s">
        <v>599</v>
      </c>
      <c r="Z355" t="s">
        <v>2432</v>
      </c>
      <c r="AA355" t="s">
        <v>599</v>
      </c>
      <c r="AB355" t="s">
        <v>2433</v>
      </c>
      <c r="AC355" t="s">
        <v>2434</v>
      </c>
      <c r="AD355" t="s">
        <v>1188</v>
      </c>
      <c r="AE355" t="s">
        <v>2435</v>
      </c>
      <c r="AF355" t="s">
        <v>1190</v>
      </c>
    </row>
    <row r="356" spans="1:32" s="13" customFormat="1" ht="45" x14ac:dyDescent="0.25">
      <c r="A356" s="10">
        <v>257364</v>
      </c>
      <c r="B356" s="10">
        <v>1</v>
      </c>
      <c r="C356" s="9">
        <v>6</v>
      </c>
      <c r="D356" s="56" t="s">
        <v>980</v>
      </c>
      <c r="E356" s="12" t="s">
        <v>295</v>
      </c>
      <c r="F356" s="45"/>
      <c r="G356" s="45"/>
      <c r="H356" s="45"/>
      <c r="I356">
        <v>257364</v>
      </c>
      <c r="J356" t="s">
        <v>294</v>
      </c>
      <c r="K356" t="s">
        <v>2436</v>
      </c>
      <c r="L356" t="s">
        <v>1178</v>
      </c>
      <c r="M356" t="s">
        <v>1192</v>
      </c>
      <c r="N356" t="s">
        <v>599</v>
      </c>
      <c r="O356" t="s">
        <v>1551</v>
      </c>
      <c r="P356" t="s">
        <v>599</v>
      </c>
      <c r="Q356" t="s">
        <v>599</v>
      </c>
      <c r="R356" t="s">
        <v>2437</v>
      </c>
      <c r="S356" t="s">
        <v>2438</v>
      </c>
      <c r="T356">
        <v>1875</v>
      </c>
      <c r="U356">
        <v>1875</v>
      </c>
      <c r="V356" t="s">
        <v>2439</v>
      </c>
      <c r="W356" t="s">
        <v>1185</v>
      </c>
      <c r="X356" t="s">
        <v>599</v>
      </c>
      <c r="Y356" t="s">
        <v>599</v>
      </c>
      <c r="Z356" t="s">
        <v>2440</v>
      </c>
      <c r="AA356" t="s">
        <v>599</v>
      </c>
      <c r="AB356" t="s">
        <v>2441</v>
      </c>
      <c r="AC356" t="s">
        <v>2442</v>
      </c>
      <c r="AD356" t="s">
        <v>1188</v>
      </c>
      <c r="AE356" t="s">
        <v>2443</v>
      </c>
      <c r="AF356" t="s">
        <v>1190</v>
      </c>
    </row>
    <row r="357" spans="1:32" s="13" customFormat="1" ht="45" x14ac:dyDescent="0.25">
      <c r="A357" s="10">
        <v>196562</v>
      </c>
      <c r="B357" s="10">
        <v>1</v>
      </c>
      <c r="C357" s="9">
        <v>11</v>
      </c>
      <c r="D357" s="56" t="s">
        <v>981</v>
      </c>
      <c r="E357" s="12">
        <v>11</v>
      </c>
      <c r="F357" s="45"/>
      <c r="G357" s="45"/>
      <c r="H357" s="45"/>
      <c r="I357">
        <v>196562</v>
      </c>
      <c r="J357" t="s">
        <v>296</v>
      </c>
      <c r="K357" t="s">
        <v>2444</v>
      </c>
      <c r="L357" t="s">
        <v>1178</v>
      </c>
      <c r="M357" t="s">
        <v>1192</v>
      </c>
      <c r="N357" t="s">
        <v>599</v>
      </c>
      <c r="O357" t="s">
        <v>2445</v>
      </c>
      <c r="P357" t="s">
        <v>2446</v>
      </c>
      <c r="Q357" t="s">
        <v>599</v>
      </c>
      <c r="R357" t="s">
        <v>1182</v>
      </c>
      <c r="S357" t="s">
        <v>2447</v>
      </c>
      <c r="T357">
        <v>1892</v>
      </c>
      <c r="U357">
        <v>1892</v>
      </c>
      <c r="V357" t="s">
        <v>2448</v>
      </c>
      <c r="W357" t="s">
        <v>599</v>
      </c>
      <c r="X357" t="s">
        <v>2449</v>
      </c>
      <c r="Y357" t="s">
        <v>599</v>
      </c>
      <c r="Z357" t="s">
        <v>599</v>
      </c>
      <c r="AA357" t="s">
        <v>599</v>
      </c>
      <c r="AB357" t="s">
        <v>599</v>
      </c>
      <c r="AC357" t="s">
        <v>2450</v>
      </c>
      <c r="AD357" t="s">
        <v>1188</v>
      </c>
      <c r="AE357" t="s">
        <v>2451</v>
      </c>
      <c r="AF357" t="s">
        <v>1190</v>
      </c>
    </row>
    <row r="358" spans="1:32" s="13" customFormat="1" ht="45" x14ac:dyDescent="0.25">
      <c r="A358" s="10">
        <v>257368</v>
      </c>
      <c r="B358" s="10">
        <v>1</v>
      </c>
      <c r="C358" s="9">
        <v>6</v>
      </c>
      <c r="D358" s="56" t="s">
        <v>982</v>
      </c>
      <c r="E358" s="12" t="s">
        <v>298</v>
      </c>
      <c r="F358" s="45"/>
      <c r="G358" s="45"/>
      <c r="H358" s="45"/>
      <c r="I358">
        <v>257368</v>
      </c>
      <c r="J358" t="s">
        <v>297</v>
      </c>
      <c r="K358" t="s">
        <v>2454</v>
      </c>
      <c r="L358" t="s">
        <v>1178</v>
      </c>
      <c r="M358" t="s">
        <v>1192</v>
      </c>
      <c r="N358" t="s">
        <v>599</v>
      </c>
      <c r="O358" t="s">
        <v>1551</v>
      </c>
      <c r="P358" t="s">
        <v>599</v>
      </c>
      <c r="Q358" t="s">
        <v>599</v>
      </c>
      <c r="R358" t="s">
        <v>2455</v>
      </c>
      <c r="S358" t="s">
        <v>2456</v>
      </c>
      <c r="T358">
        <v>1876</v>
      </c>
      <c r="U358">
        <v>1876</v>
      </c>
      <c r="V358" t="s">
        <v>2457</v>
      </c>
      <c r="W358" t="s">
        <v>1185</v>
      </c>
      <c r="X358" t="s">
        <v>599</v>
      </c>
      <c r="Y358" t="s">
        <v>599</v>
      </c>
      <c r="Z358" t="s">
        <v>2458</v>
      </c>
      <c r="AA358" t="s">
        <v>599</v>
      </c>
      <c r="AB358" t="s">
        <v>2459</v>
      </c>
      <c r="AC358" t="s">
        <v>2460</v>
      </c>
      <c r="AD358" t="s">
        <v>1188</v>
      </c>
      <c r="AE358" t="s">
        <v>2461</v>
      </c>
      <c r="AF358" t="s">
        <v>1190</v>
      </c>
    </row>
    <row r="359" spans="1:32" s="13" customFormat="1" ht="45" x14ac:dyDescent="0.25">
      <c r="A359" s="10">
        <v>257404</v>
      </c>
      <c r="B359" s="10">
        <v>1</v>
      </c>
      <c r="C359" s="9">
        <v>6</v>
      </c>
      <c r="D359" s="56" t="s">
        <v>983</v>
      </c>
      <c r="E359" s="12" t="s">
        <v>300</v>
      </c>
      <c r="F359" s="45"/>
      <c r="G359" s="45"/>
      <c r="H359" s="45"/>
      <c r="I359">
        <v>257404</v>
      </c>
      <c r="J359" t="s">
        <v>299</v>
      </c>
      <c r="K359" t="s">
        <v>2462</v>
      </c>
      <c r="L359" t="s">
        <v>1178</v>
      </c>
      <c r="M359" t="s">
        <v>1192</v>
      </c>
      <c r="N359" t="s">
        <v>599</v>
      </c>
      <c r="O359" t="s">
        <v>1551</v>
      </c>
      <c r="P359" t="s">
        <v>599</v>
      </c>
      <c r="Q359" t="s">
        <v>599</v>
      </c>
      <c r="R359" t="s">
        <v>2463</v>
      </c>
      <c r="S359" t="s">
        <v>2464</v>
      </c>
      <c r="T359">
        <v>1880</v>
      </c>
      <c r="U359">
        <v>1880</v>
      </c>
      <c r="V359" t="s">
        <v>2465</v>
      </c>
      <c r="W359" t="s">
        <v>1185</v>
      </c>
      <c r="X359" t="s">
        <v>599</v>
      </c>
      <c r="Y359" t="s">
        <v>599</v>
      </c>
      <c r="Z359" t="s">
        <v>2466</v>
      </c>
      <c r="AA359" t="s">
        <v>599</v>
      </c>
      <c r="AB359" t="s">
        <v>599</v>
      </c>
      <c r="AC359" t="s">
        <v>2467</v>
      </c>
      <c r="AD359" t="s">
        <v>1188</v>
      </c>
      <c r="AE359" t="s">
        <v>2468</v>
      </c>
      <c r="AF359" t="s">
        <v>1190</v>
      </c>
    </row>
    <row r="360" spans="1:32" s="13" customFormat="1" ht="45" x14ac:dyDescent="0.25">
      <c r="A360" s="10">
        <v>257404</v>
      </c>
      <c r="B360" s="10">
        <v>1</v>
      </c>
      <c r="C360" s="9">
        <v>282</v>
      </c>
      <c r="D360" s="56" t="s">
        <v>984</v>
      </c>
      <c r="E360" s="12" t="s">
        <v>300</v>
      </c>
      <c r="F360" s="45"/>
      <c r="G360" s="45"/>
      <c r="H360" s="45"/>
      <c r="I360">
        <v>257404</v>
      </c>
      <c r="J360" t="s">
        <v>299</v>
      </c>
      <c r="K360" t="s">
        <v>2462</v>
      </c>
      <c r="L360" t="s">
        <v>1178</v>
      </c>
      <c r="M360" t="s">
        <v>1192</v>
      </c>
      <c r="N360" t="s">
        <v>599</v>
      </c>
      <c r="O360" t="s">
        <v>1551</v>
      </c>
      <c r="P360" t="s">
        <v>599</v>
      </c>
      <c r="Q360" t="s">
        <v>599</v>
      </c>
      <c r="R360" t="s">
        <v>2463</v>
      </c>
      <c r="S360" t="s">
        <v>2464</v>
      </c>
      <c r="T360">
        <v>1880</v>
      </c>
      <c r="U360">
        <v>1880</v>
      </c>
      <c r="V360" t="s">
        <v>2465</v>
      </c>
      <c r="W360" t="s">
        <v>1185</v>
      </c>
      <c r="X360" t="s">
        <v>599</v>
      </c>
      <c r="Y360" t="s">
        <v>599</v>
      </c>
      <c r="Z360" t="s">
        <v>2466</v>
      </c>
      <c r="AA360" t="s">
        <v>599</v>
      </c>
      <c r="AB360" t="s">
        <v>599</v>
      </c>
      <c r="AC360" t="s">
        <v>2467</v>
      </c>
      <c r="AD360" t="s">
        <v>1188</v>
      </c>
      <c r="AE360" t="s">
        <v>2468</v>
      </c>
      <c r="AF360" t="s">
        <v>1190</v>
      </c>
    </row>
    <row r="361" spans="1:32" s="13" customFormat="1" ht="45" x14ac:dyDescent="0.25">
      <c r="A361" s="10">
        <v>257404</v>
      </c>
      <c r="B361" s="10">
        <v>1</v>
      </c>
      <c r="C361" s="9">
        <v>318</v>
      </c>
      <c r="D361" s="56" t="s">
        <v>985</v>
      </c>
      <c r="E361" s="12" t="s">
        <v>300</v>
      </c>
      <c r="F361" s="45"/>
      <c r="G361" s="45"/>
      <c r="H361" s="45"/>
      <c r="I361">
        <v>257404</v>
      </c>
      <c r="J361" t="s">
        <v>299</v>
      </c>
      <c r="K361" t="s">
        <v>2462</v>
      </c>
      <c r="L361" t="s">
        <v>1178</v>
      </c>
      <c r="M361" t="s">
        <v>1192</v>
      </c>
      <c r="N361" t="s">
        <v>599</v>
      </c>
      <c r="O361" t="s">
        <v>1551</v>
      </c>
      <c r="P361" t="s">
        <v>599</v>
      </c>
      <c r="Q361" t="s">
        <v>599</v>
      </c>
      <c r="R361" t="s">
        <v>2463</v>
      </c>
      <c r="S361" t="s">
        <v>2464</v>
      </c>
      <c r="T361">
        <v>1880</v>
      </c>
      <c r="U361">
        <v>1880</v>
      </c>
      <c r="V361" t="s">
        <v>2465</v>
      </c>
      <c r="W361" t="s">
        <v>1185</v>
      </c>
      <c r="X361" t="s">
        <v>599</v>
      </c>
      <c r="Y361" t="s">
        <v>599</v>
      </c>
      <c r="Z361" t="s">
        <v>2466</v>
      </c>
      <c r="AA361" t="s">
        <v>599</v>
      </c>
      <c r="AB361" t="s">
        <v>599</v>
      </c>
      <c r="AC361" t="s">
        <v>2467</v>
      </c>
      <c r="AD361" t="s">
        <v>1188</v>
      </c>
      <c r="AE361" t="s">
        <v>2468</v>
      </c>
      <c r="AF361" t="s">
        <v>1190</v>
      </c>
    </row>
    <row r="362" spans="1:32" s="13" customFormat="1" ht="45" x14ac:dyDescent="0.25">
      <c r="A362" s="10">
        <v>220128</v>
      </c>
      <c r="B362" s="10">
        <v>1</v>
      </c>
      <c r="C362" s="9">
        <v>101</v>
      </c>
      <c r="D362" s="56" t="s">
        <v>986</v>
      </c>
      <c r="E362" s="12" t="s">
        <v>303</v>
      </c>
      <c r="F362" s="45"/>
      <c r="G362" s="45"/>
      <c r="H362" s="45"/>
      <c r="I362">
        <v>220128</v>
      </c>
      <c r="J362" t="s">
        <v>302</v>
      </c>
      <c r="K362" t="s">
        <v>2470</v>
      </c>
      <c r="L362" t="s">
        <v>1178</v>
      </c>
      <c r="M362" t="s">
        <v>1192</v>
      </c>
      <c r="N362" t="s">
        <v>599</v>
      </c>
      <c r="O362" t="s">
        <v>1193</v>
      </c>
      <c r="P362" t="s">
        <v>599</v>
      </c>
      <c r="Q362" t="s">
        <v>599</v>
      </c>
      <c r="R362" t="s">
        <v>2471</v>
      </c>
      <c r="S362" t="s">
        <v>2472</v>
      </c>
      <c r="T362">
        <v>1989</v>
      </c>
      <c r="U362">
        <v>1989</v>
      </c>
      <c r="V362" t="s">
        <v>2473</v>
      </c>
      <c r="W362" t="s">
        <v>1185</v>
      </c>
      <c r="X362" t="s">
        <v>599</v>
      </c>
      <c r="Y362" t="s">
        <v>599</v>
      </c>
      <c r="Z362" t="s">
        <v>2474</v>
      </c>
      <c r="AA362" t="s">
        <v>599</v>
      </c>
      <c r="AB362" t="s">
        <v>599</v>
      </c>
      <c r="AC362" t="s">
        <v>2475</v>
      </c>
      <c r="AD362" t="s">
        <v>1188</v>
      </c>
      <c r="AE362" t="s">
        <v>2476</v>
      </c>
      <c r="AF362" t="s">
        <v>1190</v>
      </c>
    </row>
    <row r="363" spans="1:32" s="13" customFormat="1" ht="45" x14ac:dyDescent="0.25">
      <c r="A363" s="10">
        <v>220128</v>
      </c>
      <c r="B363" s="10">
        <v>1</v>
      </c>
      <c r="C363" s="9">
        <v>159</v>
      </c>
      <c r="D363" s="56" t="s">
        <v>987</v>
      </c>
      <c r="E363" s="12" t="s">
        <v>303</v>
      </c>
      <c r="F363" s="45"/>
      <c r="G363" s="45"/>
      <c r="H363" s="45"/>
      <c r="I363">
        <v>220128</v>
      </c>
      <c r="J363" t="s">
        <v>302</v>
      </c>
      <c r="K363" t="s">
        <v>2470</v>
      </c>
      <c r="L363" t="s">
        <v>1178</v>
      </c>
      <c r="M363" t="s">
        <v>1192</v>
      </c>
      <c r="N363" t="s">
        <v>599</v>
      </c>
      <c r="O363" t="s">
        <v>1193</v>
      </c>
      <c r="P363" t="s">
        <v>599</v>
      </c>
      <c r="Q363" t="s">
        <v>599</v>
      </c>
      <c r="R363" t="s">
        <v>2471</v>
      </c>
      <c r="S363" t="s">
        <v>2472</v>
      </c>
      <c r="T363">
        <v>1989</v>
      </c>
      <c r="U363">
        <v>1989</v>
      </c>
      <c r="V363" t="s">
        <v>2473</v>
      </c>
      <c r="W363" t="s">
        <v>1185</v>
      </c>
      <c r="X363" t="s">
        <v>599</v>
      </c>
      <c r="Y363" t="s">
        <v>599</v>
      </c>
      <c r="Z363" t="s">
        <v>2474</v>
      </c>
      <c r="AA363" t="s">
        <v>599</v>
      </c>
      <c r="AB363" t="s">
        <v>599</v>
      </c>
      <c r="AC363" t="s">
        <v>2475</v>
      </c>
      <c r="AD363" t="s">
        <v>1188</v>
      </c>
      <c r="AE363" t="s">
        <v>2476</v>
      </c>
      <c r="AF363" t="s">
        <v>1190</v>
      </c>
    </row>
    <row r="364" spans="1:32" s="13" customFormat="1" ht="45" x14ac:dyDescent="0.25">
      <c r="A364" s="10">
        <v>220128</v>
      </c>
      <c r="B364" s="10">
        <v>1</v>
      </c>
      <c r="C364" s="9">
        <v>201</v>
      </c>
      <c r="D364" s="56" t="s">
        <v>988</v>
      </c>
      <c r="E364" s="12" t="s">
        <v>303</v>
      </c>
      <c r="F364" s="45"/>
      <c r="G364" s="45"/>
      <c r="H364" s="45"/>
      <c r="I364">
        <v>220128</v>
      </c>
      <c r="J364" t="s">
        <v>302</v>
      </c>
      <c r="K364" t="s">
        <v>2470</v>
      </c>
      <c r="L364" t="s">
        <v>1178</v>
      </c>
      <c r="M364" t="s">
        <v>1192</v>
      </c>
      <c r="N364" t="s">
        <v>599</v>
      </c>
      <c r="O364" t="s">
        <v>1193</v>
      </c>
      <c r="P364" t="s">
        <v>599</v>
      </c>
      <c r="Q364" t="s">
        <v>599</v>
      </c>
      <c r="R364" t="s">
        <v>2471</v>
      </c>
      <c r="S364" t="s">
        <v>2472</v>
      </c>
      <c r="T364">
        <v>1989</v>
      </c>
      <c r="U364">
        <v>1989</v>
      </c>
      <c r="V364" t="s">
        <v>2473</v>
      </c>
      <c r="W364" t="s">
        <v>1185</v>
      </c>
      <c r="X364" t="s">
        <v>599</v>
      </c>
      <c r="Y364" t="s">
        <v>599</v>
      </c>
      <c r="Z364" t="s">
        <v>2474</v>
      </c>
      <c r="AA364" t="s">
        <v>599</v>
      </c>
      <c r="AB364" t="s">
        <v>599</v>
      </c>
      <c r="AC364" t="s">
        <v>2475</v>
      </c>
      <c r="AD364" t="s">
        <v>1188</v>
      </c>
      <c r="AE364" t="s">
        <v>2476</v>
      </c>
      <c r="AF364" t="s">
        <v>1190</v>
      </c>
    </row>
    <row r="365" spans="1:32" s="13" customFormat="1" ht="45" x14ac:dyDescent="0.25">
      <c r="A365" s="10">
        <v>220128</v>
      </c>
      <c r="B365" s="10">
        <v>1</v>
      </c>
      <c r="C365" s="9">
        <v>307</v>
      </c>
      <c r="D365" s="56" t="s">
        <v>989</v>
      </c>
      <c r="E365" s="12" t="s">
        <v>303</v>
      </c>
      <c r="F365" s="45"/>
      <c r="G365" s="45"/>
      <c r="H365" s="45"/>
      <c r="I365">
        <v>220128</v>
      </c>
      <c r="J365" t="s">
        <v>302</v>
      </c>
      <c r="K365" t="s">
        <v>2470</v>
      </c>
      <c r="L365" t="s">
        <v>1178</v>
      </c>
      <c r="M365" t="s">
        <v>1192</v>
      </c>
      <c r="N365" t="s">
        <v>599</v>
      </c>
      <c r="O365" t="s">
        <v>1193</v>
      </c>
      <c r="P365" t="s">
        <v>599</v>
      </c>
      <c r="Q365" t="s">
        <v>599</v>
      </c>
      <c r="R365" t="s">
        <v>2471</v>
      </c>
      <c r="S365" t="s">
        <v>2472</v>
      </c>
      <c r="T365">
        <v>1989</v>
      </c>
      <c r="U365">
        <v>1989</v>
      </c>
      <c r="V365" t="s">
        <v>2473</v>
      </c>
      <c r="W365" t="s">
        <v>1185</v>
      </c>
      <c r="X365" t="s">
        <v>599</v>
      </c>
      <c r="Y365" t="s">
        <v>599</v>
      </c>
      <c r="Z365" t="s">
        <v>2474</v>
      </c>
      <c r="AA365" t="s">
        <v>599</v>
      </c>
      <c r="AB365" t="s">
        <v>599</v>
      </c>
      <c r="AC365" t="s">
        <v>2475</v>
      </c>
      <c r="AD365" t="s">
        <v>1188</v>
      </c>
      <c r="AE365" t="s">
        <v>2476</v>
      </c>
      <c r="AF365" t="s">
        <v>1190</v>
      </c>
    </row>
    <row r="366" spans="1:32" s="13" customFormat="1" ht="45" x14ac:dyDescent="0.25">
      <c r="A366" s="10">
        <v>453095</v>
      </c>
      <c r="B366" s="10">
        <v>1</v>
      </c>
      <c r="C366" s="9">
        <v>5</v>
      </c>
      <c r="D366" s="56" t="s">
        <v>990</v>
      </c>
      <c r="E366" s="12" t="s">
        <v>306</v>
      </c>
      <c r="F366" s="45"/>
      <c r="G366" s="45"/>
      <c r="H366" s="45"/>
      <c r="I366">
        <v>453095</v>
      </c>
      <c r="J366" t="s">
        <v>305</v>
      </c>
      <c r="K366" t="s">
        <v>2477</v>
      </c>
      <c r="L366" t="s">
        <v>1178</v>
      </c>
      <c r="M366" t="s">
        <v>1192</v>
      </c>
      <c r="N366" t="s">
        <v>599</v>
      </c>
      <c r="O366" t="s">
        <v>2478</v>
      </c>
      <c r="P366" t="s">
        <v>599</v>
      </c>
      <c r="Q366" t="s">
        <v>599</v>
      </c>
      <c r="R366" t="s">
        <v>1182</v>
      </c>
      <c r="S366" t="s">
        <v>2479</v>
      </c>
      <c r="T366">
        <v>1994</v>
      </c>
      <c r="U366">
        <v>1994</v>
      </c>
      <c r="V366" t="s">
        <v>2480</v>
      </c>
      <c r="W366" t="s">
        <v>1185</v>
      </c>
      <c r="X366" t="s">
        <v>599</v>
      </c>
      <c r="Y366" t="s">
        <v>599</v>
      </c>
      <c r="Z366" t="s">
        <v>2481</v>
      </c>
      <c r="AA366" t="s">
        <v>599</v>
      </c>
      <c r="AB366" t="s">
        <v>599</v>
      </c>
      <c r="AC366" t="s">
        <v>2482</v>
      </c>
      <c r="AD366" t="s">
        <v>1188</v>
      </c>
      <c r="AE366" t="s">
        <v>2483</v>
      </c>
      <c r="AF366" t="s">
        <v>1190</v>
      </c>
    </row>
    <row r="367" spans="1:32" s="13" customFormat="1" ht="45" x14ac:dyDescent="0.25">
      <c r="A367" s="10">
        <v>453095</v>
      </c>
      <c r="B367" s="10">
        <v>1</v>
      </c>
      <c r="C367" s="9">
        <v>63</v>
      </c>
      <c r="D367" s="56" t="s">
        <v>991</v>
      </c>
      <c r="E367" s="12" t="s">
        <v>306</v>
      </c>
      <c r="F367" s="45"/>
      <c r="G367" s="45"/>
      <c r="H367" s="45"/>
      <c r="I367">
        <v>453095</v>
      </c>
      <c r="J367" t="s">
        <v>305</v>
      </c>
      <c r="K367" t="s">
        <v>2477</v>
      </c>
      <c r="L367" t="s">
        <v>1178</v>
      </c>
      <c r="M367" t="s">
        <v>1192</v>
      </c>
      <c r="N367" t="s">
        <v>599</v>
      </c>
      <c r="O367" t="s">
        <v>2478</v>
      </c>
      <c r="P367" t="s">
        <v>599</v>
      </c>
      <c r="Q367" t="s">
        <v>599</v>
      </c>
      <c r="R367" t="s">
        <v>1182</v>
      </c>
      <c r="S367" t="s">
        <v>2479</v>
      </c>
      <c r="T367">
        <v>1994</v>
      </c>
      <c r="U367">
        <v>1994</v>
      </c>
      <c r="V367" t="s">
        <v>2480</v>
      </c>
      <c r="W367" t="s">
        <v>1185</v>
      </c>
      <c r="X367" t="s">
        <v>599</v>
      </c>
      <c r="Y367" t="s">
        <v>599</v>
      </c>
      <c r="Z367" t="s">
        <v>2481</v>
      </c>
      <c r="AA367" t="s">
        <v>599</v>
      </c>
      <c r="AB367" t="s">
        <v>599</v>
      </c>
      <c r="AC367" t="s">
        <v>2482</v>
      </c>
      <c r="AD367" t="s">
        <v>1188</v>
      </c>
      <c r="AE367" t="s">
        <v>2483</v>
      </c>
      <c r="AF367" t="s">
        <v>1190</v>
      </c>
    </row>
    <row r="368" spans="1:32" s="13" customFormat="1" ht="45" x14ac:dyDescent="0.25">
      <c r="A368" s="10">
        <v>453095</v>
      </c>
      <c r="B368" s="10">
        <v>1</v>
      </c>
      <c r="C368" s="9">
        <v>65</v>
      </c>
      <c r="D368" s="56" t="s">
        <v>992</v>
      </c>
      <c r="E368" s="12" t="s">
        <v>306</v>
      </c>
      <c r="F368" s="45"/>
      <c r="G368" s="45"/>
      <c r="H368" s="45"/>
      <c r="I368">
        <v>453095</v>
      </c>
      <c r="J368" t="s">
        <v>305</v>
      </c>
      <c r="K368" t="s">
        <v>2477</v>
      </c>
      <c r="L368" t="s">
        <v>1178</v>
      </c>
      <c r="M368" t="s">
        <v>1192</v>
      </c>
      <c r="N368" t="s">
        <v>599</v>
      </c>
      <c r="O368" t="s">
        <v>2478</v>
      </c>
      <c r="P368" t="s">
        <v>599</v>
      </c>
      <c r="Q368" t="s">
        <v>599</v>
      </c>
      <c r="R368" t="s">
        <v>1182</v>
      </c>
      <c r="S368" t="s">
        <v>2479</v>
      </c>
      <c r="T368">
        <v>1994</v>
      </c>
      <c r="U368">
        <v>1994</v>
      </c>
      <c r="V368" t="s">
        <v>2480</v>
      </c>
      <c r="W368" t="s">
        <v>1185</v>
      </c>
      <c r="X368" t="s">
        <v>599</v>
      </c>
      <c r="Y368" t="s">
        <v>599</v>
      </c>
      <c r="Z368" t="s">
        <v>2481</v>
      </c>
      <c r="AA368" t="s">
        <v>599</v>
      </c>
      <c r="AB368" t="s">
        <v>599</v>
      </c>
      <c r="AC368" t="s">
        <v>2482</v>
      </c>
      <c r="AD368" t="s">
        <v>1188</v>
      </c>
      <c r="AE368" t="s">
        <v>2483</v>
      </c>
      <c r="AF368" t="s">
        <v>1190</v>
      </c>
    </row>
    <row r="369" spans="1:32" s="13" customFormat="1" ht="45" x14ac:dyDescent="0.25">
      <c r="A369" s="10">
        <v>453095</v>
      </c>
      <c r="B369" s="10">
        <v>1</v>
      </c>
      <c r="C369" s="9">
        <v>203</v>
      </c>
      <c r="D369" s="56" t="s">
        <v>993</v>
      </c>
      <c r="E369" s="12" t="s">
        <v>306</v>
      </c>
      <c r="F369" s="45"/>
      <c r="G369" s="45"/>
      <c r="H369" s="45"/>
      <c r="I369">
        <v>453095</v>
      </c>
      <c r="J369" t="s">
        <v>305</v>
      </c>
      <c r="K369" t="s">
        <v>2477</v>
      </c>
      <c r="L369" t="s">
        <v>1178</v>
      </c>
      <c r="M369" t="s">
        <v>1192</v>
      </c>
      <c r="N369" t="s">
        <v>599</v>
      </c>
      <c r="O369" t="s">
        <v>2478</v>
      </c>
      <c r="P369" t="s">
        <v>599</v>
      </c>
      <c r="Q369" t="s">
        <v>599</v>
      </c>
      <c r="R369" t="s">
        <v>1182</v>
      </c>
      <c r="S369" t="s">
        <v>2479</v>
      </c>
      <c r="T369">
        <v>1994</v>
      </c>
      <c r="U369">
        <v>1994</v>
      </c>
      <c r="V369" t="s">
        <v>2480</v>
      </c>
      <c r="W369" t="s">
        <v>1185</v>
      </c>
      <c r="X369" t="s">
        <v>599</v>
      </c>
      <c r="Y369" t="s">
        <v>599</v>
      </c>
      <c r="Z369" t="s">
        <v>2481</v>
      </c>
      <c r="AA369" t="s">
        <v>599</v>
      </c>
      <c r="AB369" t="s">
        <v>599</v>
      </c>
      <c r="AC369" t="s">
        <v>2482</v>
      </c>
      <c r="AD369" t="s">
        <v>1188</v>
      </c>
      <c r="AE369" t="s">
        <v>2483</v>
      </c>
      <c r="AF369" t="s">
        <v>1190</v>
      </c>
    </row>
    <row r="370" spans="1:32" s="13" customFormat="1" ht="45" x14ac:dyDescent="0.25">
      <c r="A370" s="10">
        <v>453095</v>
      </c>
      <c r="B370" s="10">
        <v>1</v>
      </c>
      <c r="C370" s="9">
        <v>291</v>
      </c>
      <c r="D370" s="56" t="s">
        <v>994</v>
      </c>
      <c r="E370" s="12" t="s">
        <v>306</v>
      </c>
      <c r="F370" s="45"/>
      <c r="G370" s="45"/>
      <c r="H370" s="45"/>
      <c r="I370">
        <v>453095</v>
      </c>
      <c r="J370" t="s">
        <v>305</v>
      </c>
      <c r="K370" t="s">
        <v>2477</v>
      </c>
      <c r="L370" t="s">
        <v>1178</v>
      </c>
      <c r="M370" t="s">
        <v>1192</v>
      </c>
      <c r="N370" t="s">
        <v>599</v>
      </c>
      <c r="O370" t="s">
        <v>2478</v>
      </c>
      <c r="P370" t="s">
        <v>599</v>
      </c>
      <c r="Q370" t="s">
        <v>599</v>
      </c>
      <c r="R370" t="s">
        <v>1182</v>
      </c>
      <c r="S370" t="s">
        <v>2479</v>
      </c>
      <c r="T370">
        <v>1994</v>
      </c>
      <c r="U370">
        <v>1994</v>
      </c>
      <c r="V370" t="s">
        <v>2480</v>
      </c>
      <c r="W370" t="s">
        <v>1185</v>
      </c>
      <c r="X370" t="s">
        <v>599</v>
      </c>
      <c r="Y370" t="s">
        <v>599</v>
      </c>
      <c r="Z370" t="s">
        <v>2481</v>
      </c>
      <c r="AA370" t="s">
        <v>599</v>
      </c>
      <c r="AB370" t="s">
        <v>599</v>
      </c>
      <c r="AC370" t="s">
        <v>2482</v>
      </c>
      <c r="AD370" t="s">
        <v>1188</v>
      </c>
      <c r="AE370" t="s">
        <v>2483</v>
      </c>
      <c r="AF370" t="s">
        <v>1190</v>
      </c>
    </row>
    <row r="371" spans="1:32" s="13" customFormat="1" ht="45" x14ac:dyDescent="0.25">
      <c r="A371" s="10">
        <v>453095</v>
      </c>
      <c r="B371" s="10">
        <v>1</v>
      </c>
      <c r="C371" s="9">
        <v>397</v>
      </c>
      <c r="D371" s="56" t="s">
        <v>995</v>
      </c>
      <c r="E371" s="12" t="s">
        <v>306</v>
      </c>
      <c r="F371" s="45"/>
      <c r="G371" s="45"/>
      <c r="H371" s="45"/>
      <c r="I371">
        <v>453095</v>
      </c>
      <c r="J371" t="s">
        <v>305</v>
      </c>
      <c r="K371" t="s">
        <v>2477</v>
      </c>
      <c r="L371" t="s">
        <v>1178</v>
      </c>
      <c r="M371" t="s">
        <v>1192</v>
      </c>
      <c r="N371" t="s">
        <v>599</v>
      </c>
      <c r="O371" t="s">
        <v>2478</v>
      </c>
      <c r="P371" t="s">
        <v>599</v>
      </c>
      <c r="Q371" t="s">
        <v>599</v>
      </c>
      <c r="R371" t="s">
        <v>1182</v>
      </c>
      <c r="S371" t="s">
        <v>2479</v>
      </c>
      <c r="T371">
        <v>1994</v>
      </c>
      <c r="U371">
        <v>1994</v>
      </c>
      <c r="V371" t="s">
        <v>2480</v>
      </c>
      <c r="W371" t="s">
        <v>1185</v>
      </c>
      <c r="X371" t="s">
        <v>599</v>
      </c>
      <c r="Y371" t="s">
        <v>599</v>
      </c>
      <c r="Z371" t="s">
        <v>2481</v>
      </c>
      <c r="AA371" t="s">
        <v>599</v>
      </c>
      <c r="AB371" t="s">
        <v>599</v>
      </c>
      <c r="AC371" t="s">
        <v>2482</v>
      </c>
      <c r="AD371" t="s">
        <v>1188</v>
      </c>
      <c r="AE371" t="s">
        <v>2483</v>
      </c>
      <c r="AF371" t="s">
        <v>1190</v>
      </c>
    </row>
    <row r="372" spans="1:32" s="13" customFormat="1" ht="45" x14ac:dyDescent="0.25">
      <c r="A372" s="10">
        <v>258477</v>
      </c>
      <c r="B372" s="10">
        <v>1</v>
      </c>
      <c r="C372" s="9">
        <v>10</v>
      </c>
      <c r="D372" s="56" t="s">
        <v>996</v>
      </c>
      <c r="E372" s="12" t="s">
        <v>309</v>
      </c>
      <c r="F372" s="45"/>
      <c r="G372" s="45"/>
      <c r="H372" s="45"/>
      <c r="I372">
        <v>258477</v>
      </c>
      <c r="J372" t="s">
        <v>308</v>
      </c>
      <c r="K372" t="s">
        <v>2484</v>
      </c>
      <c r="L372" t="s">
        <v>1178</v>
      </c>
      <c r="M372" t="s">
        <v>1192</v>
      </c>
      <c r="N372" t="s">
        <v>599</v>
      </c>
      <c r="O372" t="s">
        <v>1551</v>
      </c>
      <c r="P372" t="s">
        <v>599</v>
      </c>
      <c r="Q372" t="s">
        <v>599</v>
      </c>
      <c r="R372" t="s">
        <v>2485</v>
      </c>
      <c r="S372" t="s">
        <v>2464</v>
      </c>
      <c r="T372">
        <v>1881</v>
      </c>
      <c r="U372">
        <v>1881</v>
      </c>
      <c r="V372" t="s">
        <v>2486</v>
      </c>
      <c r="W372" t="s">
        <v>1185</v>
      </c>
      <c r="X372" t="s">
        <v>599</v>
      </c>
      <c r="Y372" t="s">
        <v>599</v>
      </c>
      <c r="Z372" t="s">
        <v>2487</v>
      </c>
      <c r="AA372" t="s">
        <v>599</v>
      </c>
      <c r="AB372" t="s">
        <v>2488</v>
      </c>
      <c r="AC372" t="s">
        <v>2489</v>
      </c>
      <c r="AD372" t="s">
        <v>1188</v>
      </c>
      <c r="AE372" t="s">
        <v>2490</v>
      </c>
      <c r="AF372" t="s">
        <v>1190</v>
      </c>
    </row>
    <row r="373" spans="1:32" s="13" customFormat="1" ht="45" x14ac:dyDescent="0.25">
      <c r="A373" s="10">
        <v>258485</v>
      </c>
      <c r="B373" s="10">
        <v>1</v>
      </c>
      <c r="C373" s="9">
        <v>11</v>
      </c>
      <c r="D373" s="56" t="s">
        <v>997</v>
      </c>
      <c r="E373" s="12" t="s">
        <v>311</v>
      </c>
      <c r="F373" s="45"/>
      <c r="G373" s="45"/>
      <c r="H373" s="45"/>
      <c r="I373">
        <v>258485</v>
      </c>
      <c r="J373" t="s">
        <v>310</v>
      </c>
      <c r="K373" t="s">
        <v>2492</v>
      </c>
      <c r="L373" t="s">
        <v>1178</v>
      </c>
      <c r="M373" t="s">
        <v>1192</v>
      </c>
      <c r="N373" t="s">
        <v>599</v>
      </c>
      <c r="O373" t="s">
        <v>1551</v>
      </c>
      <c r="P373" t="s">
        <v>599</v>
      </c>
      <c r="Q373" t="s">
        <v>599</v>
      </c>
      <c r="R373" t="s">
        <v>2493</v>
      </c>
      <c r="S373" t="s">
        <v>2494</v>
      </c>
      <c r="T373">
        <v>1882</v>
      </c>
      <c r="U373">
        <v>1882</v>
      </c>
      <c r="V373" t="s">
        <v>2495</v>
      </c>
      <c r="W373" t="s">
        <v>1185</v>
      </c>
      <c r="X373" t="s">
        <v>599</v>
      </c>
      <c r="Y373" t="s">
        <v>599</v>
      </c>
      <c r="Z373" t="s">
        <v>2496</v>
      </c>
      <c r="AA373" t="s">
        <v>599</v>
      </c>
      <c r="AB373" t="s">
        <v>2497</v>
      </c>
      <c r="AC373" t="s">
        <v>2498</v>
      </c>
      <c r="AD373" t="s">
        <v>1188</v>
      </c>
      <c r="AE373" t="s">
        <v>2499</v>
      </c>
      <c r="AF373" t="s">
        <v>1190</v>
      </c>
    </row>
    <row r="374" spans="1:32" s="13" customFormat="1" ht="45" x14ac:dyDescent="0.25">
      <c r="A374" s="10">
        <v>258485</v>
      </c>
      <c r="B374" s="10">
        <v>1</v>
      </c>
      <c r="C374" s="9">
        <v>180</v>
      </c>
      <c r="D374" s="56" t="s">
        <v>998</v>
      </c>
      <c r="E374" s="12" t="s">
        <v>311</v>
      </c>
      <c r="F374" s="45"/>
      <c r="G374" s="45"/>
      <c r="H374" s="45"/>
      <c r="I374">
        <v>258485</v>
      </c>
      <c r="J374" t="s">
        <v>310</v>
      </c>
      <c r="K374" t="s">
        <v>2492</v>
      </c>
      <c r="L374" t="s">
        <v>1178</v>
      </c>
      <c r="M374" t="s">
        <v>1192</v>
      </c>
      <c r="N374" t="s">
        <v>599</v>
      </c>
      <c r="O374" t="s">
        <v>1551</v>
      </c>
      <c r="P374" t="s">
        <v>599</v>
      </c>
      <c r="Q374" t="s">
        <v>599</v>
      </c>
      <c r="R374" t="s">
        <v>2493</v>
      </c>
      <c r="S374" t="s">
        <v>2494</v>
      </c>
      <c r="T374">
        <v>1882</v>
      </c>
      <c r="U374">
        <v>1882</v>
      </c>
      <c r="V374" t="s">
        <v>2495</v>
      </c>
      <c r="W374" t="s">
        <v>1185</v>
      </c>
      <c r="X374" t="s">
        <v>599</v>
      </c>
      <c r="Y374" t="s">
        <v>599</v>
      </c>
      <c r="Z374" t="s">
        <v>2496</v>
      </c>
      <c r="AA374" t="s">
        <v>599</v>
      </c>
      <c r="AB374" t="s">
        <v>2497</v>
      </c>
      <c r="AC374" t="s">
        <v>2498</v>
      </c>
      <c r="AD374" t="s">
        <v>1188</v>
      </c>
      <c r="AE374" t="s">
        <v>2499</v>
      </c>
      <c r="AF374" t="s">
        <v>1190</v>
      </c>
    </row>
    <row r="375" spans="1:32" s="13" customFormat="1" ht="45" x14ac:dyDescent="0.25">
      <c r="A375" s="10">
        <v>258492</v>
      </c>
      <c r="B375" s="10">
        <v>1</v>
      </c>
      <c r="C375" s="9">
        <v>5</v>
      </c>
      <c r="D375" s="56" t="s">
        <v>999</v>
      </c>
      <c r="E375" s="12" t="s">
        <v>314</v>
      </c>
      <c r="F375" s="45"/>
      <c r="G375" s="45"/>
      <c r="H375" s="45"/>
      <c r="I375">
        <v>258492</v>
      </c>
      <c r="J375" t="s">
        <v>313</v>
      </c>
      <c r="K375" t="s">
        <v>2500</v>
      </c>
      <c r="L375" t="s">
        <v>1178</v>
      </c>
      <c r="M375" t="s">
        <v>1192</v>
      </c>
      <c r="N375" t="s">
        <v>599</v>
      </c>
      <c r="O375" t="s">
        <v>2501</v>
      </c>
      <c r="P375" t="s">
        <v>2502</v>
      </c>
      <c r="Q375" t="s">
        <v>599</v>
      </c>
      <c r="R375" t="s">
        <v>2503</v>
      </c>
      <c r="S375" t="s">
        <v>2504</v>
      </c>
      <c r="T375">
        <v>1882</v>
      </c>
      <c r="U375">
        <v>1882</v>
      </c>
      <c r="V375" t="s">
        <v>2505</v>
      </c>
      <c r="W375" t="s">
        <v>1185</v>
      </c>
      <c r="X375" t="s">
        <v>599</v>
      </c>
      <c r="Y375" t="s">
        <v>599</v>
      </c>
      <c r="Z375" t="s">
        <v>2506</v>
      </c>
      <c r="AA375" t="s">
        <v>599</v>
      </c>
      <c r="AB375" t="s">
        <v>2507</v>
      </c>
      <c r="AC375" t="s">
        <v>2508</v>
      </c>
      <c r="AD375" t="s">
        <v>1188</v>
      </c>
      <c r="AE375" t="s">
        <v>2509</v>
      </c>
      <c r="AF375" t="s">
        <v>1190</v>
      </c>
    </row>
    <row r="376" spans="1:32" s="13" customFormat="1" ht="45" x14ac:dyDescent="0.25">
      <c r="A376" s="10">
        <v>258492</v>
      </c>
      <c r="B376" s="10">
        <v>1</v>
      </c>
      <c r="C376" s="9">
        <v>6</v>
      </c>
      <c r="D376" s="56" t="s">
        <v>1000</v>
      </c>
      <c r="E376" s="12" t="s">
        <v>314</v>
      </c>
      <c r="F376" s="45"/>
      <c r="G376" s="45"/>
      <c r="H376" s="45"/>
      <c r="I376">
        <v>258492</v>
      </c>
      <c r="J376" t="s">
        <v>313</v>
      </c>
      <c r="K376" t="s">
        <v>2500</v>
      </c>
      <c r="L376" t="s">
        <v>1178</v>
      </c>
      <c r="M376" t="s">
        <v>1192</v>
      </c>
      <c r="N376" t="s">
        <v>599</v>
      </c>
      <c r="O376" t="s">
        <v>2501</v>
      </c>
      <c r="P376" t="s">
        <v>2502</v>
      </c>
      <c r="Q376" t="s">
        <v>599</v>
      </c>
      <c r="R376" t="s">
        <v>2503</v>
      </c>
      <c r="S376" t="s">
        <v>2504</v>
      </c>
      <c r="T376">
        <v>1882</v>
      </c>
      <c r="U376">
        <v>1882</v>
      </c>
      <c r="V376" t="s">
        <v>2505</v>
      </c>
      <c r="W376" t="s">
        <v>1185</v>
      </c>
      <c r="X376" t="s">
        <v>599</v>
      </c>
      <c r="Y376" t="s">
        <v>599</v>
      </c>
      <c r="Z376" t="s">
        <v>2506</v>
      </c>
      <c r="AA376" t="s">
        <v>599</v>
      </c>
      <c r="AB376" t="s">
        <v>2507</v>
      </c>
      <c r="AC376" t="s">
        <v>2508</v>
      </c>
      <c r="AD376" t="s">
        <v>1188</v>
      </c>
      <c r="AE376" t="s">
        <v>2509</v>
      </c>
      <c r="AF376" t="s">
        <v>1190</v>
      </c>
    </row>
    <row r="377" spans="1:32" s="13" customFormat="1" ht="45" x14ac:dyDescent="0.25">
      <c r="A377" s="10">
        <v>252303</v>
      </c>
      <c r="B377" s="10">
        <v>1</v>
      </c>
      <c r="C377" s="9">
        <v>4</v>
      </c>
      <c r="D377" s="56" t="s">
        <v>1001</v>
      </c>
      <c r="E377" s="12" t="s">
        <v>317</v>
      </c>
      <c r="F377" s="45"/>
      <c r="G377" s="45"/>
      <c r="H377" s="45"/>
      <c r="I377">
        <v>252303</v>
      </c>
      <c r="J377" t="s">
        <v>316</v>
      </c>
      <c r="K377" t="s">
        <v>2511</v>
      </c>
      <c r="L377" t="s">
        <v>1178</v>
      </c>
      <c r="M377" t="s">
        <v>1192</v>
      </c>
      <c r="N377" t="s">
        <v>599</v>
      </c>
      <c r="O377" t="s">
        <v>1551</v>
      </c>
      <c r="P377" t="s">
        <v>599</v>
      </c>
      <c r="Q377" t="s">
        <v>599</v>
      </c>
      <c r="R377" t="s">
        <v>2512</v>
      </c>
      <c r="S377" t="s">
        <v>2513</v>
      </c>
      <c r="T377">
        <v>1881</v>
      </c>
      <c r="U377">
        <v>1881</v>
      </c>
      <c r="V377" t="s">
        <v>2514</v>
      </c>
      <c r="W377" t="s">
        <v>1185</v>
      </c>
      <c r="X377" t="s">
        <v>599</v>
      </c>
      <c r="Y377" t="s">
        <v>599</v>
      </c>
      <c r="Z377" t="s">
        <v>2515</v>
      </c>
      <c r="AA377" t="s">
        <v>599</v>
      </c>
      <c r="AB377" t="s">
        <v>2516</v>
      </c>
      <c r="AC377" t="s">
        <v>2517</v>
      </c>
      <c r="AD377" t="s">
        <v>1188</v>
      </c>
      <c r="AE377" t="s">
        <v>2518</v>
      </c>
      <c r="AF377" t="s">
        <v>1190</v>
      </c>
    </row>
    <row r="378" spans="1:32" s="13" customFormat="1" ht="45" x14ac:dyDescent="0.25">
      <c r="A378" s="10">
        <v>252303</v>
      </c>
      <c r="B378" s="10">
        <v>1</v>
      </c>
      <c r="C378" s="9">
        <v>162</v>
      </c>
      <c r="D378" s="56" t="s">
        <v>1002</v>
      </c>
      <c r="E378" s="12" t="s">
        <v>317</v>
      </c>
      <c r="F378" s="45"/>
      <c r="G378" s="45"/>
      <c r="H378" s="45"/>
      <c r="I378">
        <v>252303</v>
      </c>
      <c r="J378" t="s">
        <v>316</v>
      </c>
      <c r="K378" t="s">
        <v>2511</v>
      </c>
      <c r="L378" t="s">
        <v>1178</v>
      </c>
      <c r="M378" t="s">
        <v>1192</v>
      </c>
      <c r="N378" t="s">
        <v>599</v>
      </c>
      <c r="O378" t="s">
        <v>1551</v>
      </c>
      <c r="P378" t="s">
        <v>599</v>
      </c>
      <c r="Q378" t="s">
        <v>599</v>
      </c>
      <c r="R378" t="s">
        <v>2512</v>
      </c>
      <c r="S378" t="s">
        <v>2513</v>
      </c>
      <c r="T378">
        <v>1881</v>
      </c>
      <c r="U378">
        <v>1881</v>
      </c>
      <c r="V378" t="s">
        <v>2514</v>
      </c>
      <c r="W378" t="s">
        <v>1185</v>
      </c>
      <c r="X378" t="s">
        <v>599</v>
      </c>
      <c r="Y378" t="s">
        <v>599</v>
      </c>
      <c r="Z378" t="s">
        <v>2515</v>
      </c>
      <c r="AA378" t="s">
        <v>599</v>
      </c>
      <c r="AB378" t="s">
        <v>2516</v>
      </c>
      <c r="AC378" t="s">
        <v>2517</v>
      </c>
      <c r="AD378" t="s">
        <v>1188</v>
      </c>
      <c r="AE378" t="s">
        <v>2518</v>
      </c>
      <c r="AF378" t="s">
        <v>1190</v>
      </c>
    </row>
    <row r="379" spans="1:32" s="13" customFormat="1" ht="45" x14ac:dyDescent="0.25">
      <c r="A379" s="10">
        <v>258529</v>
      </c>
      <c r="B379" s="10">
        <v>1</v>
      </c>
      <c r="C379" s="9">
        <v>6</v>
      </c>
      <c r="D379" s="56" t="s">
        <v>1003</v>
      </c>
      <c r="E379" s="12" t="s">
        <v>320</v>
      </c>
      <c r="F379" s="45"/>
      <c r="G379" s="45"/>
      <c r="H379" s="45"/>
      <c r="I379">
        <v>258529</v>
      </c>
      <c r="J379" t="s">
        <v>319</v>
      </c>
      <c r="K379" t="s">
        <v>2520</v>
      </c>
      <c r="L379" t="s">
        <v>1178</v>
      </c>
      <c r="M379" t="s">
        <v>1192</v>
      </c>
      <c r="N379" t="s">
        <v>599</v>
      </c>
      <c r="O379" t="s">
        <v>1551</v>
      </c>
      <c r="P379" t="s">
        <v>599</v>
      </c>
      <c r="Q379" t="s">
        <v>599</v>
      </c>
      <c r="R379" t="s">
        <v>2521</v>
      </c>
      <c r="S379" t="s">
        <v>2456</v>
      </c>
      <c r="T379">
        <v>1882</v>
      </c>
      <c r="U379">
        <v>1882</v>
      </c>
      <c r="V379" t="s">
        <v>2522</v>
      </c>
      <c r="W379" t="s">
        <v>1185</v>
      </c>
      <c r="X379" t="s">
        <v>599</v>
      </c>
      <c r="Y379" t="s">
        <v>599</v>
      </c>
      <c r="Z379" t="s">
        <v>2523</v>
      </c>
      <c r="AA379" t="s">
        <v>599</v>
      </c>
      <c r="AB379" t="s">
        <v>599</v>
      </c>
      <c r="AC379" t="s">
        <v>2524</v>
      </c>
      <c r="AD379" t="s">
        <v>1188</v>
      </c>
      <c r="AE379" t="s">
        <v>2525</v>
      </c>
      <c r="AF379" t="s">
        <v>1190</v>
      </c>
    </row>
    <row r="380" spans="1:32" s="13" customFormat="1" ht="45" x14ac:dyDescent="0.25">
      <c r="A380" s="10">
        <v>397744</v>
      </c>
      <c r="B380" s="10">
        <v>1</v>
      </c>
      <c r="C380" s="9">
        <v>10</v>
      </c>
      <c r="D380" s="56" t="s">
        <v>1004</v>
      </c>
      <c r="E380" s="12" t="s">
        <v>322</v>
      </c>
      <c r="F380" s="45"/>
      <c r="G380" s="45"/>
      <c r="H380" s="45"/>
      <c r="I380">
        <v>397744</v>
      </c>
      <c r="J380" t="s">
        <v>321</v>
      </c>
      <c r="K380" t="s">
        <v>2527</v>
      </c>
      <c r="L380" t="s">
        <v>1178</v>
      </c>
      <c r="M380" t="s">
        <v>1192</v>
      </c>
      <c r="N380" t="s">
        <v>599</v>
      </c>
      <c r="O380" t="s">
        <v>2528</v>
      </c>
      <c r="P380" t="s">
        <v>2529</v>
      </c>
      <c r="Q380" t="s">
        <v>599</v>
      </c>
      <c r="R380" t="s">
        <v>1182</v>
      </c>
      <c r="S380" t="s">
        <v>2530</v>
      </c>
      <c r="T380">
        <v>1883</v>
      </c>
      <c r="U380">
        <v>1883</v>
      </c>
      <c r="V380" t="s">
        <v>1470</v>
      </c>
      <c r="W380" t="s">
        <v>1185</v>
      </c>
      <c r="X380" t="s">
        <v>599</v>
      </c>
      <c r="Y380" t="s">
        <v>599</v>
      </c>
      <c r="Z380" t="s">
        <v>2531</v>
      </c>
      <c r="AA380" t="s">
        <v>599</v>
      </c>
      <c r="AB380" t="s">
        <v>599</v>
      </c>
      <c r="AC380" t="s">
        <v>2532</v>
      </c>
      <c r="AD380" t="s">
        <v>1188</v>
      </c>
      <c r="AE380" t="s">
        <v>2533</v>
      </c>
      <c r="AF380" t="s">
        <v>1190</v>
      </c>
    </row>
    <row r="381" spans="1:32" s="13" customFormat="1" ht="45" x14ac:dyDescent="0.25">
      <c r="A381" s="10">
        <v>382847</v>
      </c>
      <c r="B381" s="10">
        <v>1</v>
      </c>
      <c r="C381" s="9">
        <v>10</v>
      </c>
      <c r="D381" s="56" t="s">
        <v>1005</v>
      </c>
      <c r="E381" s="12" t="s">
        <v>139</v>
      </c>
      <c r="F381" s="45"/>
      <c r="G381" s="45"/>
      <c r="H381" s="45"/>
      <c r="I381">
        <v>382847</v>
      </c>
      <c r="J381" t="s">
        <v>323</v>
      </c>
      <c r="K381" t="s">
        <v>2535</v>
      </c>
      <c r="L381" t="s">
        <v>1178</v>
      </c>
      <c r="M381" t="s">
        <v>1192</v>
      </c>
      <c r="N381" t="s">
        <v>599</v>
      </c>
      <c r="O381" t="s">
        <v>2536</v>
      </c>
      <c r="P381" t="s">
        <v>2537</v>
      </c>
      <c r="Q381" t="s">
        <v>599</v>
      </c>
      <c r="R381" t="s">
        <v>1182</v>
      </c>
      <c r="S381" t="s">
        <v>2538</v>
      </c>
      <c r="T381">
        <v>1880</v>
      </c>
      <c r="U381">
        <v>1880</v>
      </c>
      <c r="V381" t="s">
        <v>2539</v>
      </c>
      <c r="W381" t="s">
        <v>599</v>
      </c>
      <c r="X381" t="s">
        <v>599</v>
      </c>
      <c r="Y381" t="s">
        <v>599</v>
      </c>
      <c r="Z381" t="s">
        <v>599</v>
      </c>
      <c r="AA381" t="s">
        <v>599</v>
      </c>
      <c r="AB381" t="s">
        <v>599</v>
      </c>
      <c r="AC381" t="s">
        <v>2540</v>
      </c>
      <c r="AD381" t="s">
        <v>1188</v>
      </c>
      <c r="AE381" t="s">
        <v>2541</v>
      </c>
      <c r="AF381" t="s">
        <v>1190</v>
      </c>
    </row>
    <row r="382" spans="1:32" s="13" customFormat="1" ht="45" x14ac:dyDescent="0.25">
      <c r="A382" s="10">
        <v>1072941</v>
      </c>
      <c r="B382" s="10">
        <v>1</v>
      </c>
      <c r="C382" s="9">
        <v>11</v>
      </c>
      <c r="D382" s="56" t="s">
        <v>1006</v>
      </c>
      <c r="E382" s="12" t="s">
        <v>325</v>
      </c>
      <c r="F382" s="45"/>
      <c r="G382" s="45"/>
      <c r="H382" s="45"/>
      <c r="I382">
        <v>1072941</v>
      </c>
      <c r="J382" t="s">
        <v>324</v>
      </c>
      <c r="K382" t="s">
        <v>2542</v>
      </c>
      <c r="L382" t="s">
        <v>1178</v>
      </c>
      <c r="M382" t="s">
        <v>2543</v>
      </c>
      <c r="N382" t="s">
        <v>599</v>
      </c>
      <c r="O382" t="s">
        <v>2544</v>
      </c>
      <c r="P382" t="s">
        <v>2545</v>
      </c>
      <c r="Q382" t="s">
        <v>599</v>
      </c>
      <c r="R382" t="s">
        <v>1182</v>
      </c>
      <c r="S382" t="s">
        <v>2546</v>
      </c>
      <c r="T382">
        <v>1793</v>
      </c>
      <c r="U382">
        <v>1793</v>
      </c>
      <c r="V382" t="s">
        <v>2547</v>
      </c>
      <c r="W382" t="s">
        <v>2548</v>
      </c>
      <c r="X382" t="s">
        <v>599</v>
      </c>
      <c r="Y382" t="s">
        <v>599</v>
      </c>
      <c r="Z382" t="s">
        <v>2549</v>
      </c>
      <c r="AA382" t="s">
        <v>599</v>
      </c>
      <c r="AB382" t="s">
        <v>599</v>
      </c>
      <c r="AC382" t="s">
        <v>2550</v>
      </c>
      <c r="AD382" t="s">
        <v>1188</v>
      </c>
      <c r="AE382" t="s">
        <v>2551</v>
      </c>
      <c r="AF382" t="s">
        <v>1190</v>
      </c>
    </row>
    <row r="383" spans="1:32" s="13" customFormat="1" ht="45" x14ac:dyDescent="0.25">
      <c r="A383" s="10">
        <v>1072941</v>
      </c>
      <c r="B383" s="10">
        <v>1</v>
      </c>
      <c r="C383" s="9">
        <v>21</v>
      </c>
      <c r="D383" s="56" t="s">
        <v>1007</v>
      </c>
      <c r="E383" s="12" t="s">
        <v>325</v>
      </c>
      <c r="F383" s="45"/>
      <c r="G383" s="45"/>
      <c r="H383" s="45"/>
      <c r="I383">
        <v>1072941</v>
      </c>
      <c r="J383" t="s">
        <v>324</v>
      </c>
      <c r="K383" t="s">
        <v>2542</v>
      </c>
      <c r="L383" t="s">
        <v>1178</v>
      </c>
      <c r="M383" t="s">
        <v>2543</v>
      </c>
      <c r="N383" t="s">
        <v>599</v>
      </c>
      <c r="O383" t="s">
        <v>2544</v>
      </c>
      <c r="P383" t="s">
        <v>2545</v>
      </c>
      <c r="Q383" t="s">
        <v>599</v>
      </c>
      <c r="R383" t="s">
        <v>1182</v>
      </c>
      <c r="S383" t="s">
        <v>2546</v>
      </c>
      <c r="T383">
        <v>1793</v>
      </c>
      <c r="U383">
        <v>1793</v>
      </c>
      <c r="V383" t="s">
        <v>2547</v>
      </c>
      <c r="W383" t="s">
        <v>2548</v>
      </c>
      <c r="X383" t="s">
        <v>599</v>
      </c>
      <c r="Y383" t="s">
        <v>599</v>
      </c>
      <c r="Z383" t="s">
        <v>2549</v>
      </c>
      <c r="AA383" t="s">
        <v>599</v>
      </c>
      <c r="AB383" t="s">
        <v>599</v>
      </c>
      <c r="AC383" t="s">
        <v>2550</v>
      </c>
      <c r="AD383" t="s">
        <v>1188</v>
      </c>
      <c r="AE383" t="s">
        <v>2551</v>
      </c>
      <c r="AF383" t="s">
        <v>1190</v>
      </c>
    </row>
    <row r="384" spans="1:32" s="13" customFormat="1" ht="45" x14ac:dyDescent="0.25">
      <c r="A384" s="10">
        <v>1073970</v>
      </c>
      <c r="B384" s="10">
        <v>1</v>
      </c>
      <c r="C384" s="9">
        <v>7</v>
      </c>
      <c r="D384" s="56" t="s">
        <v>1008</v>
      </c>
      <c r="E384" s="12">
        <v>7</v>
      </c>
      <c r="F384" s="45"/>
      <c r="G384" s="45"/>
      <c r="H384" s="45"/>
      <c r="I384">
        <v>1073970</v>
      </c>
      <c r="J384" t="s">
        <v>326</v>
      </c>
      <c r="K384" t="s">
        <v>2552</v>
      </c>
      <c r="L384" t="s">
        <v>1178</v>
      </c>
      <c r="M384" t="s">
        <v>1179</v>
      </c>
      <c r="N384" t="s">
        <v>599</v>
      </c>
      <c r="O384" t="s">
        <v>2553</v>
      </c>
      <c r="P384" t="s">
        <v>2554</v>
      </c>
      <c r="Q384" t="s">
        <v>599</v>
      </c>
      <c r="R384" t="s">
        <v>1182</v>
      </c>
      <c r="S384" t="s">
        <v>2555</v>
      </c>
      <c r="T384">
        <v>1851</v>
      </c>
      <c r="U384">
        <v>1851</v>
      </c>
      <c r="V384" t="s">
        <v>2556</v>
      </c>
      <c r="W384" t="s">
        <v>2557</v>
      </c>
      <c r="X384" t="s">
        <v>599</v>
      </c>
      <c r="Y384" t="s">
        <v>599</v>
      </c>
      <c r="Z384" t="s">
        <v>599</v>
      </c>
      <c r="AA384" t="s">
        <v>599</v>
      </c>
      <c r="AB384" t="s">
        <v>599</v>
      </c>
      <c r="AC384" t="s">
        <v>2558</v>
      </c>
      <c r="AD384" t="s">
        <v>1188</v>
      </c>
      <c r="AE384" t="s">
        <v>2559</v>
      </c>
      <c r="AF384" t="s">
        <v>1190</v>
      </c>
    </row>
    <row r="385" spans="1:32" s="13" customFormat="1" ht="45" x14ac:dyDescent="0.25">
      <c r="A385" s="10">
        <v>258643</v>
      </c>
      <c r="B385" s="10">
        <v>1</v>
      </c>
      <c r="C385" s="9">
        <v>10</v>
      </c>
      <c r="D385" s="56" t="s">
        <v>1009</v>
      </c>
      <c r="E385" s="12" t="s">
        <v>328</v>
      </c>
      <c r="F385" s="45"/>
      <c r="G385" s="45"/>
      <c r="H385" s="45"/>
      <c r="I385">
        <v>258643</v>
      </c>
      <c r="J385" t="s">
        <v>327</v>
      </c>
      <c r="K385" t="s">
        <v>2560</v>
      </c>
      <c r="L385" t="s">
        <v>1178</v>
      </c>
      <c r="M385" t="s">
        <v>1192</v>
      </c>
      <c r="N385" t="s">
        <v>599</v>
      </c>
      <c r="O385" t="s">
        <v>1551</v>
      </c>
      <c r="P385" t="s">
        <v>1778</v>
      </c>
      <c r="Q385" t="s">
        <v>599</v>
      </c>
      <c r="R385" t="s">
        <v>1182</v>
      </c>
      <c r="S385" t="s">
        <v>2561</v>
      </c>
      <c r="T385">
        <v>1899</v>
      </c>
      <c r="U385">
        <v>1899</v>
      </c>
      <c r="V385" t="s">
        <v>2562</v>
      </c>
      <c r="W385" t="s">
        <v>1185</v>
      </c>
      <c r="X385" t="s">
        <v>599</v>
      </c>
      <c r="Y385" t="s">
        <v>599</v>
      </c>
      <c r="Z385" t="s">
        <v>2563</v>
      </c>
      <c r="AA385" t="s">
        <v>599</v>
      </c>
      <c r="AB385" t="s">
        <v>599</v>
      </c>
      <c r="AC385" t="s">
        <v>2564</v>
      </c>
      <c r="AD385" t="s">
        <v>1188</v>
      </c>
      <c r="AE385" t="s">
        <v>2565</v>
      </c>
      <c r="AF385" t="s">
        <v>1190</v>
      </c>
    </row>
    <row r="386" spans="1:32" s="13" customFormat="1" ht="45" x14ac:dyDescent="0.25">
      <c r="A386" s="10">
        <v>1725327</v>
      </c>
      <c r="B386" s="10">
        <v>1</v>
      </c>
      <c r="C386" s="9">
        <v>1</v>
      </c>
      <c r="D386" s="56" t="s">
        <v>1010</v>
      </c>
      <c r="E386" s="12" t="s">
        <v>330</v>
      </c>
      <c r="F386" s="45"/>
      <c r="G386" s="45"/>
      <c r="H386" s="45"/>
      <c r="I386">
        <v>1725327</v>
      </c>
      <c r="J386" t="s">
        <v>329</v>
      </c>
      <c r="K386" t="s">
        <v>2566</v>
      </c>
      <c r="L386" t="s">
        <v>1178</v>
      </c>
      <c r="M386" t="s">
        <v>1179</v>
      </c>
      <c r="N386" t="s">
        <v>599</v>
      </c>
      <c r="O386" t="s">
        <v>2567</v>
      </c>
      <c r="P386" t="s">
        <v>2568</v>
      </c>
      <c r="Q386" t="s">
        <v>599</v>
      </c>
      <c r="R386" t="s">
        <v>1182</v>
      </c>
      <c r="S386" t="s">
        <v>2569</v>
      </c>
      <c r="T386">
        <v>1842</v>
      </c>
      <c r="U386">
        <v>1842</v>
      </c>
      <c r="V386" t="s">
        <v>2234</v>
      </c>
      <c r="W386" t="s">
        <v>2570</v>
      </c>
      <c r="X386" t="s">
        <v>599</v>
      </c>
      <c r="Y386" t="s">
        <v>599</v>
      </c>
      <c r="Z386" t="s">
        <v>599</v>
      </c>
      <c r="AA386" t="s">
        <v>599</v>
      </c>
      <c r="AB386" t="s">
        <v>599</v>
      </c>
      <c r="AC386" t="s">
        <v>2571</v>
      </c>
      <c r="AD386" t="s">
        <v>1188</v>
      </c>
      <c r="AE386" t="s">
        <v>2572</v>
      </c>
      <c r="AF386" t="s">
        <v>1190</v>
      </c>
    </row>
    <row r="387" spans="1:32" s="13" customFormat="1" ht="60" x14ac:dyDescent="0.25">
      <c r="A387" s="10">
        <v>388329</v>
      </c>
      <c r="B387" s="10">
        <v>1</v>
      </c>
      <c r="C387" s="9">
        <v>14</v>
      </c>
      <c r="D387" s="56" t="s">
        <v>1011</v>
      </c>
      <c r="E387" s="12" t="s">
        <v>332</v>
      </c>
      <c r="F387" s="45"/>
      <c r="G387" s="45"/>
      <c r="H387" s="45"/>
      <c r="I387">
        <v>388329</v>
      </c>
      <c r="J387" t="s">
        <v>331</v>
      </c>
      <c r="K387" t="s">
        <v>2573</v>
      </c>
      <c r="L387" t="s">
        <v>1178</v>
      </c>
      <c r="M387" t="s">
        <v>1192</v>
      </c>
      <c r="N387" t="s">
        <v>599</v>
      </c>
      <c r="O387" t="s">
        <v>2574</v>
      </c>
      <c r="P387" t="s">
        <v>599</v>
      </c>
      <c r="Q387" t="s">
        <v>599</v>
      </c>
      <c r="R387" t="s">
        <v>1182</v>
      </c>
      <c r="S387" t="s">
        <v>1221</v>
      </c>
      <c r="T387">
        <v>1898</v>
      </c>
      <c r="U387">
        <v>1898</v>
      </c>
      <c r="V387" t="s">
        <v>2575</v>
      </c>
      <c r="W387" t="s">
        <v>2576</v>
      </c>
      <c r="X387" t="s">
        <v>599</v>
      </c>
      <c r="Y387" t="s">
        <v>599</v>
      </c>
      <c r="Z387" t="s">
        <v>1432</v>
      </c>
      <c r="AA387" t="s">
        <v>599</v>
      </c>
      <c r="AB387" t="s">
        <v>2577</v>
      </c>
      <c r="AC387" t="s">
        <v>2578</v>
      </c>
      <c r="AD387" t="s">
        <v>1188</v>
      </c>
      <c r="AE387" t="s">
        <v>2579</v>
      </c>
      <c r="AF387" t="s">
        <v>1190</v>
      </c>
    </row>
    <row r="388" spans="1:32" s="13" customFormat="1" ht="60" x14ac:dyDescent="0.25">
      <c r="A388" s="10">
        <v>388329</v>
      </c>
      <c r="B388" s="10">
        <v>1</v>
      </c>
      <c r="C388" s="9">
        <v>74</v>
      </c>
      <c r="D388" s="56" t="s">
        <v>1012</v>
      </c>
      <c r="E388" s="12" t="s">
        <v>332</v>
      </c>
      <c r="F388" s="45"/>
      <c r="G388" s="45"/>
      <c r="H388" s="45"/>
      <c r="I388">
        <v>388329</v>
      </c>
      <c r="J388" t="s">
        <v>331</v>
      </c>
      <c r="K388" t="s">
        <v>2573</v>
      </c>
      <c r="L388" t="s">
        <v>1178</v>
      </c>
      <c r="M388" t="s">
        <v>1192</v>
      </c>
      <c r="N388" t="s">
        <v>599</v>
      </c>
      <c r="O388" t="s">
        <v>2574</v>
      </c>
      <c r="P388" t="s">
        <v>599</v>
      </c>
      <c r="Q388" t="s">
        <v>599</v>
      </c>
      <c r="R388" t="s">
        <v>1182</v>
      </c>
      <c r="S388" t="s">
        <v>1221</v>
      </c>
      <c r="T388">
        <v>1898</v>
      </c>
      <c r="U388">
        <v>1898</v>
      </c>
      <c r="V388" t="s">
        <v>2575</v>
      </c>
      <c r="W388" t="s">
        <v>2576</v>
      </c>
      <c r="X388" t="s">
        <v>599</v>
      </c>
      <c r="Y388" t="s">
        <v>599</v>
      </c>
      <c r="Z388" t="s">
        <v>1432</v>
      </c>
      <c r="AA388" t="s">
        <v>599</v>
      </c>
      <c r="AB388" t="s">
        <v>2577</v>
      </c>
      <c r="AC388" t="s">
        <v>2578</v>
      </c>
      <c r="AD388" t="s">
        <v>1188</v>
      </c>
      <c r="AE388" t="s">
        <v>2579</v>
      </c>
      <c r="AF388" t="s">
        <v>1190</v>
      </c>
    </row>
    <row r="389" spans="1:32" s="13" customFormat="1" ht="60" x14ac:dyDescent="0.25">
      <c r="A389" s="10">
        <v>388329</v>
      </c>
      <c r="B389" s="10">
        <v>1</v>
      </c>
      <c r="C389" s="9">
        <v>89</v>
      </c>
      <c r="D389" s="56" t="s">
        <v>1013</v>
      </c>
      <c r="E389" s="12" t="s">
        <v>332</v>
      </c>
      <c r="F389" s="45"/>
      <c r="G389" s="45"/>
      <c r="H389" s="45"/>
      <c r="I389">
        <v>388329</v>
      </c>
      <c r="J389" t="s">
        <v>331</v>
      </c>
      <c r="K389" t="s">
        <v>2573</v>
      </c>
      <c r="L389" t="s">
        <v>1178</v>
      </c>
      <c r="M389" t="s">
        <v>1192</v>
      </c>
      <c r="N389" t="s">
        <v>599</v>
      </c>
      <c r="O389" t="s">
        <v>2574</v>
      </c>
      <c r="P389" t="s">
        <v>599</v>
      </c>
      <c r="Q389" t="s">
        <v>599</v>
      </c>
      <c r="R389" t="s">
        <v>1182</v>
      </c>
      <c r="S389" t="s">
        <v>1221</v>
      </c>
      <c r="T389">
        <v>1898</v>
      </c>
      <c r="U389">
        <v>1898</v>
      </c>
      <c r="V389" t="s">
        <v>2575</v>
      </c>
      <c r="W389" t="s">
        <v>2576</v>
      </c>
      <c r="X389" t="s">
        <v>599</v>
      </c>
      <c r="Y389" t="s">
        <v>599</v>
      </c>
      <c r="Z389" t="s">
        <v>1432</v>
      </c>
      <c r="AA389" t="s">
        <v>599</v>
      </c>
      <c r="AB389" t="s">
        <v>2577</v>
      </c>
      <c r="AC389" t="s">
        <v>2578</v>
      </c>
      <c r="AD389" t="s">
        <v>1188</v>
      </c>
      <c r="AE389" t="s">
        <v>2579</v>
      </c>
      <c r="AF389" t="s">
        <v>1190</v>
      </c>
    </row>
    <row r="390" spans="1:32" s="13" customFormat="1" ht="60" x14ac:dyDescent="0.25">
      <c r="A390" s="10">
        <v>388329</v>
      </c>
      <c r="B390" s="10">
        <v>1</v>
      </c>
      <c r="C390" s="9">
        <v>103</v>
      </c>
      <c r="D390" s="56" t="s">
        <v>1014</v>
      </c>
      <c r="E390" s="12" t="s">
        <v>332</v>
      </c>
      <c r="F390" s="45"/>
      <c r="G390" s="45"/>
      <c r="H390" s="45"/>
      <c r="I390">
        <v>388329</v>
      </c>
      <c r="J390" t="s">
        <v>331</v>
      </c>
      <c r="K390" t="s">
        <v>2573</v>
      </c>
      <c r="L390" t="s">
        <v>1178</v>
      </c>
      <c r="M390" t="s">
        <v>1192</v>
      </c>
      <c r="N390" t="s">
        <v>599</v>
      </c>
      <c r="O390" t="s">
        <v>2574</v>
      </c>
      <c r="P390" t="s">
        <v>599</v>
      </c>
      <c r="Q390" t="s">
        <v>599</v>
      </c>
      <c r="R390" t="s">
        <v>1182</v>
      </c>
      <c r="S390" t="s">
        <v>1221</v>
      </c>
      <c r="T390">
        <v>1898</v>
      </c>
      <c r="U390">
        <v>1898</v>
      </c>
      <c r="V390" t="s">
        <v>2575</v>
      </c>
      <c r="W390" t="s">
        <v>2576</v>
      </c>
      <c r="X390" t="s">
        <v>599</v>
      </c>
      <c r="Y390" t="s">
        <v>599</v>
      </c>
      <c r="Z390" t="s">
        <v>1432</v>
      </c>
      <c r="AA390" t="s">
        <v>599</v>
      </c>
      <c r="AB390" t="s">
        <v>2577</v>
      </c>
      <c r="AC390" t="s">
        <v>2578</v>
      </c>
      <c r="AD390" t="s">
        <v>1188</v>
      </c>
      <c r="AE390" t="s">
        <v>2579</v>
      </c>
      <c r="AF390" t="s">
        <v>1190</v>
      </c>
    </row>
    <row r="391" spans="1:32" s="13" customFormat="1" ht="45" x14ac:dyDescent="0.25">
      <c r="A391" s="10">
        <v>1951715</v>
      </c>
      <c r="B391" s="10">
        <v>1</v>
      </c>
      <c r="C391" s="9">
        <v>10</v>
      </c>
      <c r="D391" s="56" t="s">
        <v>1015</v>
      </c>
      <c r="E391" s="12" t="s">
        <v>335</v>
      </c>
      <c r="F391" s="45"/>
      <c r="G391" s="45"/>
      <c r="H391" s="45"/>
      <c r="I391">
        <v>1951715</v>
      </c>
      <c r="J391" t="s">
        <v>334</v>
      </c>
      <c r="K391" t="s">
        <v>2580</v>
      </c>
      <c r="L391" t="s">
        <v>1178</v>
      </c>
      <c r="M391" t="s">
        <v>1362</v>
      </c>
      <c r="N391" t="s">
        <v>599</v>
      </c>
      <c r="O391" t="s">
        <v>2581</v>
      </c>
      <c r="P391" t="s">
        <v>599</v>
      </c>
      <c r="Q391" t="s">
        <v>599</v>
      </c>
      <c r="R391" t="s">
        <v>1182</v>
      </c>
      <c r="S391" t="s">
        <v>2582</v>
      </c>
      <c r="T391">
        <v>1829</v>
      </c>
      <c r="U391">
        <v>1829</v>
      </c>
      <c r="V391" t="s">
        <v>2583</v>
      </c>
      <c r="W391" t="s">
        <v>2584</v>
      </c>
      <c r="X391" t="s">
        <v>599</v>
      </c>
      <c r="Y391" t="s">
        <v>599</v>
      </c>
      <c r="Z391" t="s">
        <v>2585</v>
      </c>
      <c r="AA391" t="s">
        <v>599</v>
      </c>
      <c r="AB391" t="s">
        <v>599</v>
      </c>
      <c r="AC391" t="s">
        <v>2586</v>
      </c>
      <c r="AD391" t="s">
        <v>1188</v>
      </c>
      <c r="AE391" t="s">
        <v>2587</v>
      </c>
      <c r="AF391" t="s">
        <v>1190</v>
      </c>
    </row>
    <row r="392" spans="1:32" s="13" customFormat="1" ht="45" x14ac:dyDescent="0.25">
      <c r="A392" s="10">
        <v>252438</v>
      </c>
      <c r="B392" s="10">
        <v>1</v>
      </c>
      <c r="C392" s="9">
        <v>5</v>
      </c>
      <c r="D392" s="56" t="s">
        <v>1016</v>
      </c>
      <c r="E392" s="12">
        <v>5</v>
      </c>
      <c r="F392" s="45"/>
      <c r="G392" s="45"/>
      <c r="H392" s="45"/>
      <c r="I392">
        <v>252438</v>
      </c>
      <c r="J392" t="s">
        <v>336</v>
      </c>
      <c r="K392" t="s">
        <v>2588</v>
      </c>
      <c r="L392" t="s">
        <v>1178</v>
      </c>
      <c r="M392" t="s">
        <v>1192</v>
      </c>
      <c r="N392" t="s">
        <v>599</v>
      </c>
      <c r="O392" t="s">
        <v>2589</v>
      </c>
      <c r="P392" t="s">
        <v>2590</v>
      </c>
      <c r="Q392" t="s">
        <v>599</v>
      </c>
      <c r="R392" t="s">
        <v>1182</v>
      </c>
      <c r="S392" t="s">
        <v>2591</v>
      </c>
      <c r="T392">
        <v>1880</v>
      </c>
      <c r="U392">
        <v>1880</v>
      </c>
      <c r="V392" t="s">
        <v>2592</v>
      </c>
      <c r="W392" t="s">
        <v>599</v>
      </c>
      <c r="X392" t="s">
        <v>599</v>
      </c>
      <c r="Y392" t="s">
        <v>599</v>
      </c>
      <c r="Z392" t="s">
        <v>599</v>
      </c>
      <c r="AA392" t="s">
        <v>599</v>
      </c>
      <c r="AB392" t="s">
        <v>599</v>
      </c>
      <c r="AC392" t="s">
        <v>2593</v>
      </c>
      <c r="AD392" t="s">
        <v>1188</v>
      </c>
      <c r="AE392" t="s">
        <v>2594</v>
      </c>
      <c r="AF392" t="s">
        <v>1190</v>
      </c>
    </row>
    <row r="393" spans="1:32" s="13" customFormat="1" ht="45" x14ac:dyDescent="0.25">
      <c r="A393" s="10">
        <v>259140</v>
      </c>
      <c r="B393" s="10">
        <v>1</v>
      </c>
      <c r="C393" s="9">
        <v>8</v>
      </c>
      <c r="D393" s="56" t="s">
        <v>1017</v>
      </c>
      <c r="E393" s="12" t="s">
        <v>338</v>
      </c>
      <c r="F393" s="45"/>
      <c r="G393" s="45"/>
      <c r="H393" s="45"/>
      <c r="I393">
        <v>259140</v>
      </c>
      <c r="J393" t="s">
        <v>337</v>
      </c>
      <c r="K393" t="s">
        <v>2595</v>
      </c>
      <c r="L393" t="s">
        <v>1178</v>
      </c>
      <c r="M393" t="s">
        <v>1362</v>
      </c>
      <c r="N393" t="s">
        <v>599</v>
      </c>
      <c r="O393" t="s">
        <v>2596</v>
      </c>
      <c r="P393" t="s">
        <v>599</v>
      </c>
      <c r="Q393" t="s">
        <v>599</v>
      </c>
      <c r="R393" t="s">
        <v>1182</v>
      </c>
      <c r="S393" t="s">
        <v>2597</v>
      </c>
      <c r="T393">
        <v>1820</v>
      </c>
      <c r="U393">
        <v>1820</v>
      </c>
      <c r="V393" t="s">
        <v>2598</v>
      </c>
      <c r="W393" t="s">
        <v>1185</v>
      </c>
      <c r="X393" t="s">
        <v>599</v>
      </c>
      <c r="Y393" t="s">
        <v>599</v>
      </c>
      <c r="Z393" t="s">
        <v>2599</v>
      </c>
      <c r="AA393" t="s">
        <v>599</v>
      </c>
      <c r="AB393" t="s">
        <v>599</v>
      </c>
      <c r="AC393" t="s">
        <v>2600</v>
      </c>
      <c r="AD393" t="s">
        <v>1188</v>
      </c>
      <c r="AE393" t="s">
        <v>2601</v>
      </c>
      <c r="AF393" t="s">
        <v>1190</v>
      </c>
    </row>
    <row r="394" spans="1:32" s="13" customFormat="1" ht="45" x14ac:dyDescent="0.25">
      <c r="A394" s="10">
        <v>855528</v>
      </c>
      <c r="B394" s="10">
        <v>1</v>
      </c>
      <c r="C394" s="9">
        <v>49</v>
      </c>
      <c r="D394" s="56" t="s">
        <v>1018</v>
      </c>
      <c r="E394" s="12" t="s">
        <v>340</v>
      </c>
      <c r="F394" s="45"/>
      <c r="G394" s="45"/>
      <c r="H394" s="45"/>
      <c r="I394">
        <v>855528</v>
      </c>
      <c r="J394" t="s">
        <v>339</v>
      </c>
      <c r="K394" t="s">
        <v>2602</v>
      </c>
      <c r="L394" t="s">
        <v>1178</v>
      </c>
      <c r="M394" t="s">
        <v>2603</v>
      </c>
      <c r="N394" t="s">
        <v>599</v>
      </c>
      <c r="O394" t="s">
        <v>2604</v>
      </c>
      <c r="P394" t="s">
        <v>2605</v>
      </c>
      <c r="Q394" t="s">
        <v>599</v>
      </c>
      <c r="R394" t="s">
        <v>1182</v>
      </c>
      <c r="S394" t="s">
        <v>2241</v>
      </c>
      <c r="T394">
        <v>1898</v>
      </c>
      <c r="U394">
        <v>1898</v>
      </c>
      <c r="V394" t="s">
        <v>2606</v>
      </c>
      <c r="W394" t="s">
        <v>1185</v>
      </c>
      <c r="X394" t="s">
        <v>599</v>
      </c>
      <c r="Y394" t="s">
        <v>599</v>
      </c>
      <c r="Z394" t="s">
        <v>2607</v>
      </c>
      <c r="AA394" t="s">
        <v>599</v>
      </c>
      <c r="AB394" t="s">
        <v>599</v>
      </c>
      <c r="AC394" t="s">
        <v>2608</v>
      </c>
      <c r="AD394" t="s">
        <v>1188</v>
      </c>
      <c r="AE394" t="s">
        <v>2609</v>
      </c>
      <c r="AF394" t="s">
        <v>1190</v>
      </c>
    </row>
    <row r="395" spans="1:32" s="13" customFormat="1" ht="45" x14ac:dyDescent="0.25">
      <c r="A395" s="10">
        <v>855528</v>
      </c>
      <c r="B395" s="10">
        <v>1</v>
      </c>
      <c r="C395" s="9">
        <v>51</v>
      </c>
      <c r="D395" s="56" t="s">
        <v>1019</v>
      </c>
      <c r="E395" s="12" t="s">
        <v>340</v>
      </c>
      <c r="F395" s="45"/>
      <c r="G395" s="45"/>
      <c r="H395" s="45"/>
      <c r="I395">
        <v>855528</v>
      </c>
      <c r="J395" t="s">
        <v>339</v>
      </c>
      <c r="K395" t="s">
        <v>2602</v>
      </c>
      <c r="L395" t="s">
        <v>1178</v>
      </c>
      <c r="M395" t="s">
        <v>2603</v>
      </c>
      <c r="N395" t="s">
        <v>599</v>
      </c>
      <c r="O395" t="s">
        <v>2604</v>
      </c>
      <c r="P395" t="s">
        <v>2605</v>
      </c>
      <c r="Q395" t="s">
        <v>599</v>
      </c>
      <c r="R395" t="s">
        <v>1182</v>
      </c>
      <c r="S395" t="s">
        <v>2241</v>
      </c>
      <c r="T395">
        <v>1898</v>
      </c>
      <c r="U395">
        <v>1898</v>
      </c>
      <c r="V395" t="s">
        <v>2606</v>
      </c>
      <c r="W395" t="s">
        <v>1185</v>
      </c>
      <c r="X395" t="s">
        <v>599</v>
      </c>
      <c r="Y395" t="s">
        <v>599</v>
      </c>
      <c r="Z395" t="s">
        <v>2607</v>
      </c>
      <c r="AA395" t="s">
        <v>599</v>
      </c>
      <c r="AB395" t="s">
        <v>599</v>
      </c>
      <c r="AC395" t="s">
        <v>2608</v>
      </c>
      <c r="AD395" t="s">
        <v>1188</v>
      </c>
      <c r="AE395" t="s">
        <v>2609</v>
      </c>
      <c r="AF395" t="s">
        <v>1190</v>
      </c>
    </row>
    <row r="396" spans="1:32" s="13" customFormat="1" ht="45" x14ac:dyDescent="0.25">
      <c r="A396" s="10">
        <v>381381</v>
      </c>
      <c r="B396" s="10">
        <v>1</v>
      </c>
      <c r="C396" s="9">
        <v>10</v>
      </c>
      <c r="D396" s="56" t="s">
        <v>1020</v>
      </c>
      <c r="E396" s="12" t="s">
        <v>343</v>
      </c>
      <c r="F396" s="45"/>
      <c r="G396" s="45"/>
      <c r="H396" s="45"/>
      <c r="I396">
        <v>381381</v>
      </c>
      <c r="J396" t="s">
        <v>342</v>
      </c>
      <c r="K396" t="s">
        <v>2610</v>
      </c>
      <c r="L396" t="s">
        <v>1178</v>
      </c>
      <c r="M396" t="s">
        <v>1192</v>
      </c>
      <c r="N396" t="s">
        <v>599</v>
      </c>
      <c r="O396" t="s">
        <v>1551</v>
      </c>
      <c r="P396" t="s">
        <v>599</v>
      </c>
      <c r="Q396" t="s">
        <v>599</v>
      </c>
      <c r="R396" t="s">
        <v>2611</v>
      </c>
      <c r="S396" t="s">
        <v>2612</v>
      </c>
      <c r="T396">
        <v>1880</v>
      </c>
      <c r="U396">
        <v>1880</v>
      </c>
      <c r="V396" t="s">
        <v>2613</v>
      </c>
      <c r="W396" t="s">
        <v>1185</v>
      </c>
      <c r="X396" t="s">
        <v>599</v>
      </c>
      <c r="Y396" t="s">
        <v>599</v>
      </c>
      <c r="Z396" t="s">
        <v>2614</v>
      </c>
      <c r="AA396" t="s">
        <v>599</v>
      </c>
      <c r="AB396" t="s">
        <v>599</v>
      </c>
      <c r="AC396" t="s">
        <v>2615</v>
      </c>
      <c r="AD396" t="s">
        <v>1188</v>
      </c>
      <c r="AE396" t="s">
        <v>2616</v>
      </c>
      <c r="AF396" t="s">
        <v>1190</v>
      </c>
    </row>
    <row r="397" spans="1:32" s="13" customFormat="1" ht="45" x14ac:dyDescent="0.25">
      <c r="A397" s="10">
        <v>259434</v>
      </c>
      <c r="B397" s="10">
        <v>1</v>
      </c>
      <c r="C397" s="9">
        <v>10</v>
      </c>
      <c r="D397" s="56" t="s">
        <v>1021</v>
      </c>
      <c r="E397" s="12" t="s">
        <v>345</v>
      </c>
      <c r="F397" s="45"/>
      <c r="G397" s="45"/>
      <c r="H397" s="45"/>
      <c r="I397">
        <v>259434</v>
      </c>
      <c r="J397" t="s">
        <v>344</v>
      </c>
      <c r="K397" t="s">
        <v>2617</v>
      </c>
      <c r="L397" t="s">
        <v>1178</v>
      </c>
      <c r="M397" t="s">
        <v>1179</v>
      </c>
      <c r="N397" t="s">
        <v>599</v>
      </c>
      <c r="O397" t="s">
        <v>2618</v>
      </c>
      <c r="P397" t="s">
        <v>599</v>
      </c>
      <c r="Q397" t="s">
        <v>599</v>
      </c>
      <c r="R397" t="s">
        <v>2619</v>
      </c>
      <c r="S397" t="s">
        <v>2620</v>
      </c>
      <c r="T397">
        <v>1772</v>
      </c>
      <c r="U397">
        <v>1772</v>
      </c>
      <c r="V397" t="s">
        <v>2621</v>
      </c>
      <c r="W397" t="s">
        <v>1185</v>
      </c>
      <c r="X397" t="s">
        <v>599</v>
      </c>
      <c r="Y397" t="s">
        <v>599</v>
      </c>
      <c r="Z397" t="s">
        <v>2622</v>
      </c>
      <c r="AA397" t="s">
        <v>599</v>
      </c>
      <c r="AB397" t="s">
        <v>599</v>
      </c>
      <c r="AC397" t="s">
        <v>2623</v>
      </c>
      <c r="AD397" t="s">
        <v>1188</v>
      </c>
      <c r="AE397" t="s">
        <v>2624</v>
      </c>
      <c r="AF397" t="s">
        <v>1190</v>
      </c>
    </row>
    <row r="398" spans="1:32" s="13" customFormat="1" ht="45" x14ac:dyDescent="0.25">
      <c r="A398" s="10">
        <v>913393</v>
      </c>
      <c r="B398" s="10">
        <v>1</v>
      </c>
      <c r="C398" s="9">
        <v>9</v>
      </c>
      <c r="D398" s="56" t="s">
        <v>1022</v>
      </c>
      <c r="E398" s="12" t="s">
        <v>347</v>
      </c>
      <c r="F398" s="45"/>
      <c r="G398" s="45"/>
      <c r="H398" s="45"/>
      <c r="I398">
        <v>913393</v>
      </c>
      <c r="J398" t="s">
        <v>346</v>
      </c>
      <c r="K398" t="s">
        <v>2626</v>
      </c>
      <c r="L398" t="s">
        <v>1312</v>
      </c>
      <c r="M398" t="s">
        <v>1192</v>
      </c>
      <c r="N398" t="s">
        <v>599</v>
      </c>
      <c r="O398" t="s">
        <v>2627</v>
      </c>
      <c r="P398" t="s">
        <v>599</v>
      </c>
      <c r="Q398" t="s">
        <v>599</v>
      </c>
      <c r="R398" t="s">
        <v>2628</v>
      </c>
      <c r="S398" t="s">
        <v>2629</v>
      </c>
      <c r="T398">
        <v>1883</v>
      </c>
      <c r="U398">
        <v>1883</v>
      </c>
      <c r="V398" t="s">
        <v>1454</v>
      </c>
      <c r="W398" t="s">
        <v>599</v>
      </c>
      <c r="X398" t="s">
        <v>599</v>
      </c>
      <c r="Y398" t="s">
        <v>599</v>
      </c>
      <c r="Z398" t="s">
        <v>599</v>
      </c>
      <c r="AA398" t="s">
        <v>599</v>
      </c>
      <c r="AB398" t="s">
        <v>599</v>
      </c>
      <c r="AC398" t="s">
        <v>2630</v>
      </c>
      <c r="AD398" t="s">
        <v>1188</v>
      </c>
      <c r="AE398" t="s">
        <v>2631</v>
      </c>
      <c r="AF398" t="s">
        <v>1190</v>
      </c>
    </row>
    <row r="399" spans="1:32" s="13" customFormat="1" ht="45" x14ac:dyDescent="0.25">
      <c r="A399" s="10">
        <v>857274</v>
      </c>
      <c r="B399" s="10">
        <v>1</v>
      </c>
      <c r="C399" s="9">
        <v>15</v>
      </c>
      <c r="D399" s="56" t="s">
        <v>1023</v>
      </c>
      <c r="E399" s="12" t="s">
        <v>349</v>
      </c>
      <c r="F399" s="45"/>
      <c r="G399" s="45"/>
      <c r="H399" s="45"/>
      <c r="I399">
        <v>857274</v>
      </c>
      <c r="J399" t="s">
        <v>348</v>
      </c>
      <c r="K399" t="s">
        <v>2632</v>
      </c>
      <c r="L399" t="s">
        <v>1178</v>
      </c>
      <c r="M399" t="s">
        <v>1192</v>
      </c>
      <c r="N399" t="s">
        <v>599</v>
      </c>
      <c r="O399" t="s">
        <v>1551</v>
      </c>
      <c r="P399" t="s">
        <v>599</v>
      </c>
      <c r="Q399" t="s">
        <v>599</v>
      </c>
      <c r="R399" t="s">
        <v>2633</v>
      </c>
      <c r="S399" t="s">
        <v>1371</v>
      </c>
      <c r="T399">
        <v>1887</v>
      </c>
      <c r="U399">
        <v>1887</v>
      </c>
      <c r="V399" t="s">
        <v>2634</v>
      </c>
      <c r="W399" t="s">
        <v>1185</v>
      </c>
      <c r="X399" t="s">
        <v>599</v>
      </c>
      <c r="Y399" t="s">
        <v>599</v>
      </c>
      <c r="Z399" t="s">
        <v>2515</v>
      </c>
      <c r="AA399" t="s">
        <v>599</v>
      </c>
      <c r="AB399" t="s">
        <v>599</v>
      </c>
      <c r="AC399" t="s">
        <v>2635</v>
      </c>
      <c r="AD399" t="s">
        <v>1188</v>
      </c>
      <c r="AE399" t="s">
        <v>2636</v>
      </c>
      <c r="AF399" t="s">
        <v>1190</v>
      </c>
    </row>
    <row r="400" spans="1:32" s="13" customFormat="1" ht="45" x14ac:dyDescent="0.25">
      <c r="A400" s="10">
        <v>259614</v>
      </c>
      <c r="B400" s="10">
        <v>1</v>
      </c>
      <c r="C400" s="9">
        <v>8</v>
      </c>
      <c r="D400" s="56" t="s">
        <v>1024</v>
      </c>
      <c r="E400" s="12" t="s">
        <v>351</v>
      </c>
      <c r="F400" s="45"/>
      <c r="G400" s="45"/>
      <c r="H400" s="45"/>
      <c r="I400">
        <v>259614</v>
      </c>
      <c r="J400" t="s">
        <v>350</v>
      </c>
      <c r="K400" t="s">
        <v>2637</v>
      </c>
      <c r="L400" t="s">
        <v>1178</v>
      </c>
      <c r="M400" t="s">
        <v>1403</v>
      </c>
      <c r="N400" t="s">
        <v>599</v>
      </c>
      <c r="O400" t="s">
        <v>2638</v>
      </c>
      <c r="P400" t="s">
        <v>2639</v>
      </c>
      <c r="Q400" t="s">
        <v>599</v>
      </c>
      <c r="R400" t="s">
        <v>1182</v>
      </c>
      <c r="S400" t="s">
        <v>2640</v>
      </c>
      <c r="T400">
        <v>1854</v>
      </c>
      <c r="U400">
        <v>1854</v>
      </c>
      <c r="V400" t="s">
        <v>2641</v>
      </c>
      <c r="W400" t="s">
        <v>1185</v>
      </c>
      <c r="X400" t="s">
        <v>599</v>
      </c>
      <c r="Y400" t="s">
        <v>599</v>
      </c>
      <c r="Z400" t="s">
        <v>2642</v>
      </c>
      <c r="AA400" t="s">
        <v>599</v>
      </c>
      <c r="AB400" t="s">
        <v>599</v>
      </c>
      <c r="AC400" t="s">
        <v>2643</v>
      </c>
      <c r="AD400" t="s">
        <v>1188</v>
      </c>
      <c r="AE400" t="s">
        <v>2644</v>
      </c>
      <c r="AF400" t="s">
        <v>1190</v>
      </c>
    </row>
    <row r="401" spans="1:32" s="13" customFormat="1" ht="45" x14ac:dyDescent="0.25">
      <c r="A401" s="10">
        <v>259614</v>
      </c>
      <c r="B401" s="10">
        <v>1</v>
      </c>
      <c r="C401" s="9">
        <v>77</v>
      </c>
      <c r="D401" s="56" t="s">
        <v>1025</v>
      </c>
      <c r="E401" s="12" t="s">
        <v>351</v>
      </c>
      <c r="F401" s="45"/>
      <c r="G401" s="45"/>
      <c r="H401" s="45"/>
      <c r="I401">
        <v>259614</v>
      </c>
      <c r="J401" t="s">
        <v>350</v>
      </c>
      <c r="K401" t="s">
        <v>2637</v>
      </c>
      <c r="L401" t="s">
        <v>1178</v>
      </c>
      <c r="M401" t="s">
        <v>1403</v>
      </c>
      <c r="N401" t="s">
        <v>599</v>
      </c>
      <c r="O401" t="s">
        <v>2638</v>
      </c>
      <c r="P401" t="s">
        <v>2639</v>
      </c>
      <c r="Q401" t="s">
        <v>599</v>
      </c>
      <c r="R401" t="s">
        <v>1182</v>
      </c>
      <c r="S401" t="s">
        <v>2640</v>
      </c>
      <c r="T401">
        <v>1854</v>
      </c>
      <c r="U401">
        <v>1854</v>
      </c>
      <c r="V401" t="s">
        <v>2641</v>
      </c>
      <c r="W401" t="s">
        <v>1185</v>
      </c>
      <c r="X401" t="s">
        <v>599</v>
      </c>
      <c r="Y401" t="s">
        <v>599</v>
      </c>
      <c r="Z401" t="s">
        <v>2642</v>
      </c>
      <c r="AA401" t="s">
        <v>599</v>
      </c>
      <c r="AB401" t="s">
        <v>599</v>
      </c>
      <c r="AC401" t="s">
        <v>2643</v>
      </c>
      <c r="AD401" t="s">
        <v>1188</v>
      </c>
      <c r="AE401" t="s">
        <v>2644</v>
      </c>
      <c r="AF401" t="s">
        <v>1190</v>
      </c>
    </row>
    <row r="402" spans="1:32" s="13" customFormat="1" ht="45" x14ac:dyDescent="0.25">
      <c r="A402" s="10">
        <v>381386</v>
      </c>
      <c r="B402" s="10">
        <v>1</v>
      </c>
      <c r="C402" s="9">
        <v>23</v>
      </c>
      <c r="D402" s="56" t="s">
        <v>1026</v>
      </c>
      <c r="E402" s="12" t="s">
        <v>353</v>
      </c>
      <c r="F402" s="45"/>
      <c r="G402" s="45"/>
      <c r="H402" s="45"/>
      <c r="I402">
        <v>381386</v>
      </c>
      <c r="J402" t="s">
        <v>352</v>
      </c>
      <c r="K402" t="s">
        <v>2647</v>
      </c>
      <c r="L402" t="s">
        <v>1178</v>
      </c>
      <c r="M402" t="s">
        <v>1192</v>
      </c>
      <c r="N402" t="s">
        <v>599</v>
      </c>
      <c r="O402" t="s">
        <v>1293</v>
      </c>
      <c r="P402" t="s">
        <v>2648</v>
      </c>
      <c r="Q402" t="s">
        <v>599</v>
      </c>
      <c r="R402" t="s">
        <v>1182</v>
      </c>
      <c r="S402" t="s">
        <v>2649</v>
      </c>
      <c r="T402">
        <v>1883</v>
      </c>
      <c r="U402">
        <v>1883</v>
      </c>
      <c r="V402" t="s">
        <v>2650</v>
      </c>
      <c r="W402" t="s">
        <v>1185</v>
      </c>
      <c r="X402" t="s">
        <v>599</v>
      </c>
      <c r="Y402" t="s">
        <v>599</v>
      </c>
      <c r="Z402" t="s">
        <v>2651</v>
      </c>
      <c r="AA402" t="s">
        <v>599</v>
      </c>
      <c r="AB402" t="s">
        <v>599</v>
      </c>
      <c r="AC402" t="s">
        <v>2652</v>
      </c>
      <c r="AD402" t="s">
        <v>1188</v>
      </c>
      <c r="AE402" t="s">
        <v>2653</v>
      </c>
      <c r="AF402" t="s">
        <v>1190</v>
      </c>
    </row>
    <row r="403" spans="1:32" s="13" customFormat="1" ht="45" x14ac:dyDescent="0.25">
      <c r="A403" s="10">
        <v>381386</v>
      </c>
      <c r="B403" s="10">
        <v>1</v>
      </c>
      <c r="C403" s="9">
        <v>79</v>
      </c>
      <c r="D403" s="56" t="s">
        <v>1027</v>
      </c>
      <c r="E403" s="12" t="s">
        <v>353</v>
      </c>
      <c r="F403" s="45"/>
      <c r="G403" s="45"/>
      <c r="H403" s="45"/>
      <c r="I403">
        <v>381386</v>
      </c>
      <c r="J403" t="s">
        <v>352</v>
      </c>
      <c r="K403" t="s">
        <v>2647</v>
      </c>
      <c r="L403" t="s">
        <v>1178</v>
      </c>
      <c r="M403" t="s">
        <v>1192</v>
      </c>
      <c r="N403" t="s">
        <v>599</v>
      </c>
      <c r="O403" t="s">
        <v>1293</v>
      </c>
      <c r="P403" t="s">
        <v>2648</v>
      </c>
      <c r="Q403" t="s">
        <v>599</v>
      </c>
      <c r="R403" t="s">
        <v>1182</v>
      </c>
      <c r="S403" t="s">
        <v>2649</v>
      </c>
      <c r="T403">
        <v>1883</v>
      </c>
      <c r="U403">
        <v>1883</v>
      </c>
      <c r="V403" t="s">
        <v>2650</v>
      </c>
      <c r="W403" t="s">
        <v>1185</v>
      </c>
      <c r="X403" t="s">
        <v>599</v>
      </c>
      <c r="Y403" t="s">
        <v>599</v>
      </c>
      <c r="Z403" t="s">
        <v>2651</v>
      </c>
      <c r="AA403" t="s">
        <v>599</v>
      </c>
      <c r="AB403" t="s">
        <v>599</v>
      </c>
      <c r="AC403" t="s">
        <v>2652</v>
      </c>
      <c r="AD403" t="s">
        <v>1188</v>
      </c>
      <c r="AE403" t="s">
        <v>2653</v>
      </c>
      <c r="AF403" t="s">
        <v>1190</v>
      </c>
    </row>
    <row r="404" spans="1:32" s="13" customFormat="1" ht="45" x14ac:dyDescent="0.25">
      <c r="A404" s="10">
        <v>381386</v>
      </c>
      <c r="B404" s="10">
        <v>1</v>
      </c>
      <c r="C404" s="9">
        <v>139</v>
      </c>
      <c r="D404" s="56" t="s">
        <v>1028</v>
      </c>
      <c r="E404" s="12" t="s">
        <v>353</v>
      </c>
      <c r="F404" s="45"/>
      <c r="G404" s="45"/>
      <c r="H404" s="45"/>
      <c r="I404">
        <v>381386</v>
      </c>
      <c r="J404" t="s">
        <v>352</v>
      </c>
      <c r="K404" t="s">
        <v>2647</v>
      </c>
      <c r="L404" t="s">
        <v>1178</v>
      </c>
      <c r="M404" t="s">
        <v>1192</v>
      </c>
      <c r="N404" t="s">
        <v>599</v>
      </c>
      <c r="O404" t="s">
        <v>1293</v>
      </c>
      <c r="P404" t="s">
        <v>2648</v>
      </c>
      <c r="Q404" t="s">
        <v>599</v>
      </c>
      <c r="R404" t="s">
        <v>1182</v>
      </c>
      <c r="S404" t="s">
        <v>2649</v>
      </c>
      <c r="T404">
        <v>1883</v>
      </c>
      <c r="U404">
        <v>1883</v>
      </c>
      <c r="V404" t="s">
        <v>2650</v>
      </c>
      <c r="W404" t="s">
        <v>1185</v>
      </c>
      <c r="X404" t="s">
        <v>599</v>
      </c>
      <c r="Y404" t="s">
        <v>599</v>
      </c>
      <c r="Z404" t="s">
        <v>2651</v>
      </c>
      <c r="AA404" t="s">
        <v>599</v>
      </c>
      <c r="AB404" t="s">
        <v>599</v>
      </c>
      <c r="AC404" t="s">
        <v>2652</v>
      </c>
      <c r="AD404" t="s">
        <v>1188</v>
      </c>
      <c r="AE404" t="s">
        <v>2653</v>
      </c>
      <c r="AF404" t="s">
        <v>1190</v>
      </c>
    </row>
    <row r="405" spans="1:32" s="13" customFormat="1" ht="45" x14ac:dyDescent="0.25">
      <c r="A405" s="10">
        <v>381386</v>
      </c>
      <c r="B405" s="10">
        <v>1</v>
      </c>
      <c r="C405" s="9">
        <v>141</v>
      </c>
      <c r="D405" s="56" t="s">
        <v>1029</v>
      </c>
      <c r="E405" s="12" t="s">
        <v>353</v>
      </c>
      <c r="F405" s="45"/>
      <c r="G405" s="45"/>
      <c r="H405" s="45"/>
      <c r="I405">
        <v>381386</v>
      </c>
      <c r="J405" t="s">
        <v>352</v>
      </c>
      <c r="K405" t="s">
        <v>2647</v>
      </c>
      <c r="L405" t="s">
        <v>1178</v>
      </c>
      <c r="M405" t="s">
        <v>1192</v>
      </c>
      <c r="N405" t="s">
        <v>599</v>
      </c>
      <c r="O405" t="s">
        <v>1293</v>
      </c>
      <c r="P405" t="s">
        <v>2648</v>
      </c>
      <c r="Q405" t="s">
        <v>599</v>
      </c>
      <c r="R405" t="s">
        <v>1182</v>
      </c>
      <c r="S405" t="s">
        <v>2649</v>
      </c>
      <c r="T405">
        <v>1883</v>
      </c>
      <c r="U405">
        <v>1883</v>
      </c>
      <c r="V405" t="s">
        <v>2650</v>
      </c>
      <c r="W405" t="s">
        <v>1185</v>
      </c>
      <c r="X405" t="s">
        <v>599</v>
      </c>
      <c r="Y405" t="s">
        <v>599</v>
      </c>
      <c r="Z405" t="s">
        <v>2651</v>
      </c>
      <c r="AA405" t="s">
        <v>599</v>
      </c>
      <c r="AB405" t="s">
        <v>599</v>
      </c>
      <c r="AC405" t="s">
        <v>2652</v>
      </c>
      <c r="AD405" t="s">
        <v>1188</v>
      </c>
      <c r="AE405" t="s">
        <v>2653</v>
      </c>
      <c r="AF405" t="s">
        <v>1190</v>
      </c>
    </row>
    <row r="406" spans="1:32" s="13" customFormat="1" ht="45" x14ac:dyDescent="0.25">
      <c r="A406" s="10">
        <v>381386</v>
      </c>
      <c r="B406" s="10">
        <v>1</v>
      </c>
      <c r="C406" s="9">
        <v>213</v>
      </c>
      <c r="D406" s="56" t="s">
        <v>1030</v>
      </c>
      <c r="E406" s="12" t="s">
        <v>353</v>
      </c>
      <c r="F406" s="45"/>
      <c r="G406" s="45"/>
      <c r="H406" s="45"/>
      <c r="I406">
        <v>381386</v>
      </c>
      <c r="J406" t="s">
        <v>352</v>
      </c>
      <c r="K406" t="s">
        <v>2647</v>
      </c>
      <c r="L406" t="s">
        <v>1178</v>
      </c>
      <c r="M406" t="s">
        <v>1192</v>
      </c>
      <c r="N406" t="s">
        <v>599</v>
      </c>
      <c r="O406" t="s">
        <v>1293</v>
      </c>
      <c r="P406" t="s">
        <v>2648</v>
      </c>
      <c r="Q406" t="s">
        <v>599</v>
      </c>
      <c r="R406" t="s">
        <v>1182</v>
      </c>
      <c r="S406" t="s">
        <v>2649</v>
      </c>
      <c r="T406">
        <v>1883</v>
      </c>
      <c r="U406">
        <v>1883</v>
      </c>
      <c r="V406" t="s">
        <v>2650</v>
      </c>
      <c r="W406" t="s">
        <v>1185</v>
      </c>
      <c r="X406" t="s">
        <v>599</v>
      </c>
      <c r="Y406" t="s">
        <v>599</v>
      </c>
      <c r="Z406" t="s">
        <v>2651</v>
      </c>
      <c r="AA406" t="s">
        <v>599</v>
      </c>
      <c r="AB406" t="s">
        <v>599</v>
      </c>
      <c r="AC406" t="s">
        <v>2652</v>
      </c>
      <c r="AD406" t="s">
        <v>1188</v>
      </c>
      <c r="AE406" t="s">
        <v>2653</v>
      </c>
      <c r="AF406" t="s">
        <v>1190</v>
      </c>
    </row>
    <row r="407" spans="1:32" s="13" customFormat="1" ht="45" x14ac:dyDescent="0.25">
      <c r="A407" s="10">
        <v>381386</v>
      </c>
      <c r="B407" s="10">
        <v>1</v>
      </c>
      <c r="C407" s="9">
        <v>215</v>
      </c>
      <c r="D407" s="56" t="s">
        <v>1031</v>
      </c>
      <c r="E407" s="12" t="s">
        <v>353</v>
      </c>
      <c r="F407" s="45"/>
      <c r="G407" s="45"/>
      <c r="H407" s="45"/>
      <c r="I407">
        <v>381386</v>
      </c>
      <c r="J407" t="s">
        <v>352</v>
      </c>
      <c r="K407" t="s">
        <v>2647</v>
      </c>
      <c r="L407" t="s">
        <v>1178</v>
      </c>
      <c r="M407" t="s">
        <v>1192</v>
      </c>
      <c r="N407" t="s">
        <v>599</v>
      </c>
      <c r="O407" t="s">
        <v>1293</v>
      </c>
      <c r="P407" t="s">
        <v>2648</v>
      </c>
      <c r="Q407" t="s">
        <v>599</v>
      </c>
      <c r="R407" t="s">
        <v>1182</v>
      </c>
      <c r="S407" t="s">
        <v>2649</v>
      </c>
      <c r="T407">
        <v>1883</v>
      </c>
      <c r="U407">
        <v>1883</v>
      </c>
      <c r="V407" t="s">
        <v>2650</v>
      </c>
      <c r="W407" t="s">
        <v>1185</v>
      </c>
      <c r="X407" t="s">
        <v>599</v>
      </c>
      <c r="Y407" t="s">
        <v>599</v>
      </c>
      <c r="Z407" t="s">
        <v>2651</v>
      </c>
      <c r="AA407" t="s">
        <v>599</v>
      </c>
      <c r="AB407" t="s">
        <v>599</v>
      </c>
      <c r="AC407" t="s">
        <v>2652</v>
      </c>
      <c r="AD407" t="s">
        <v>1188</v>
      </c>
      <c r="AE407" t="s">
        <v>2653</v>
      </c>
      <c r="AF407" t="s">
        <v>1190</v>
      </c>
    </row>
    <row r="408" spans="1:32" s="13" customFormat="1" ht="45" x14ac:dyDescent="0.25">
      <c r="A408" s="10">
        <v>381386</v>
      </c>
      <c r="B408" s="10">
        <v>1</v>
      </c>
      <c r="C408" s="9">
        <v>269</v>
      </c>
      <c r="D408" s="56" t="s">
        <v>1032</v>
      </c>
      <c r="E408" s="12" t="s">
        <v>353</v>
      </c>
      <c r="F408" s="45"/>
      <c r="G408" s="45"/>
      <c r="H408" s="45"/>
      <c r="I408">
        <v>381386</v>
      </c>
      <c r="J408" t="s">
        <v>352</v>
      </c>
      <c r="K408" t="s">
        <v>2647</v>
      </c>
      <c r="L408" t="s">
        <v>1178</v>
      </c>
      <c r="M408" t="s">
        <v>1192</v>
      </c>
      <c r="N408" t="s">
        <v>599</v>
      </c>
      <c r="O408" t="s">
        <v>1293</v>
      </c>
      <c r="P408" t="s">
        <v>2648</v>
      </c>
      <c r="Q408" t="s">
        <v>599</v>
      </c>
      <c r="R408" t="s">
        <v>1182</v>
      </c>
      <c r="S408" t="s">
        <v>2649</v>
      </c>
      <c r="T408">
        <v>1883</v>
      </c>
      <c r="U408">
        <v>1883</v>
      </c>
      <c r="V408" t="s">
        <v>2650</v>
      </c>
      <c r="W408" t="s">
        <v>1185</v>
      </c>
      <c r="X408" t="s">
        <v>599</v>
      </c>
      <c r="Y408" t="s">
        <v>599</v>
      </c>
      <c r="Z408" t="s">
        <v>2651</v>
      </c>
      <c r="AA408" t="s">
        <v>599</v>
      </c>
      <c r="AB408" t="s">
        <v>599</v>
      </c>
      <c r="AC408" t="s">
        <v>2652</v>
      </c>
      <c r="AD408" t="s">
        <v>1188</v>
      </c>
      <c r="AE408" t="s">
        <v>2653</v>
      </c>
      <c r="AF408" t="s">
        <v>1190</v>
      </c>
    </row>
    <row r="409" spans="1:32" s="13" customFormat="1" ht="45" x14ac:dyDescent="0.25">
      <c r="A409" s="10">
        <v>381386</v>
      </c>
      <c r="B409" s="10">
        <v>1</v>
      </c>
      <c r="C409" s="9">
        <v>271</v>
      </c>
      <c r="D409" s="56" t="s">
        <v>1033</v>
      </c>
      <c r="E409" s="12" t="s">
        <v>353</v>
      </c>
      <c r="F409" s="45"/>
      <c r="G409" s="45"/>
      <c r="H409" s="45"/>
      <c r="I409">
        <v>381386</v>
      </c>
      <c r="J409" t="s">
        <v>352</v>
      </c>
      <c r="K409" t="s">
        <v>2647</v>
      </c>
      <c r="L409" t="s">
        <v>1178</v>
      </c>
      <c r="M409" t="s">
        <v>1192</v>
      </c>
      <c r="N409" t="s">
        <v>599</v>
      </c>
      <c r="O409" t="s">
        <v>1293</v>
      </c>
      <c r="P409" t="s">
        <v>2648</v>
      </c>
      <c r="Q409" t="s">
        <v>599</v>
      </c>
      <c r="R409" t="s">
        <v>1182</v>
      </c>
      <c r="S409" t="s">
        <v>2649</v>
      </c>
      <c r="T409">
        <v>1883</v>
      </c>
      <c r="U409">
        <v>1883</v>
      </c>
      <c r="V409" t="s">
        <v>2650</v>
      </c>
      <c r="W409" t="s">
        <v>1185</v>
      </c>
      <c r="X409" t="s">
        <v>599</v>
      </c>
      <c r="Y409" t="s">
        <v>599</v>
      </c>
      <c r="Z409" t="s">
        <v>2651</v>
      </c>
      <c r="AA409" t="s">
        <v>599</v>
      </c>
      <c r="AB409" t="s">
        <v>599</v>
      </c>
      <c r="AC409" t="s">
        <v>2652</v>
      </c>
      <c r="AD409" t="s">
        <v>1188</v>
      </c>
      <c r="AE409" t="s">
        <v>2653</v>
      </c>
      <c r="AF409" t="s">
        <v>1190</v>
      </c>
    </row>
    <row r="410" spans="1:32" s="13" customFormat="1" ht="45" x14ac:dyDescent="0.25">
      <c r="A410" s="10">
        <v>804973</v>
      </c>
      <c r="B410" s="10">
        <v>1</v>
      </c>
      <c r="C410" s="9">
        <v>10</v>
      </c>
      <c r="D410" s="56" t="s">
        <v>1034</v>
      </c>
      <c r="E410" s="12" t="s">
        <v>356</v>
      </c>
      <c r="F410" s="45"/>
      <c r="G410" s="45"/>
      <c r="H410" s="45"/>
      <c r="I410">
        <v>804973</v>
      </c>
      <c r="J410" t="s">
        <v>355</v>
      </c>
      <c r="K410" t="s">
        <v>2654</v>
      </c>
      <c r="L410" t="s">
        <v>1178</v>
      </c>
      <c r="M410" t="s">
        <v>1192</v>
      </c>
      <c r="N410" t="s">
        <v>599</v>
      </c>
      <c r="O410" t="s">
        <v>2655</v>
      </c>
      <c r="P410" t="s">
        <v>599</v>
      </c>
      <c r="Q410" t="s">
        <v>599</v>
      </c>
      <c r="R410" t="s">
        <v>2656</v>
      </c>
      <c r="S410" t="s">
        <v>2657</v>
      </c>
      <c r="T410">
        <v>1880</v>
      </c>
      <c r="U410">
        <v>1880</v>
      </c>
      <c r="V410" t="s">
        <v>2658</v>
      </c>
      <c r="W410" t="s">
        <v>1185</v>
      </c>
      <c r="X410" t="s">
        <v>599</v>
      </c>
      <c r="Y410" t="s">
        <v>599</v>
      </c>
      <c r="Z410" t="s">
        <v>2659</v>
      </c>
      <c r="AA410" t="s">
        <v>599</v>
      </c>
      <c r="AB410" t="s">
        <v>1198</v>
      </c>
      <c r="AC410" t="s">
        <v>2660</v>
      </c>
      <c r="AD410" t="s">
        <v>1188</v>
      </c>
      <c r="AE410" t="s">
        <v>2661</v>
      </c>
      <c r="AF410" t="s">
        <v>1190</v>
      </c>
    </row>
    <row r="411" spans="1:32" s="13" customFormat="1" ht="45" x14ac:dyDescent="0.25">
      <c r="A411" s="10">
        <v>252299</v>
      </c>
      <c r="B411" s="10">
        <v>1</v>
      </c>
      <c r="C411" s="9">
        <v>7</v>
      </c>
      <c r="D411" s="56" t="s">
        <v>1035</v>
      </c>
      <c r="E411" s="12" t="s">
        <v>358</v>
      </c>
      <c r="F411" s="45"/>
      <c r="G411" s="45"/>
      <c r="H411" s="45"/>
      <c r="I411">
        <v>252299</v>
      </c>
      <c r="J411" t="s">
        <v>357</v>
      </c>
      <c r="K411" t="s">
        <v>2663</v>
      </c>
      <c r="L411" t="s">
        <v>1178</v>
      </c>
      <c r="M411" t="s">
        <v>1403</v>
      </c>
      <c r="N411" t="s">
        <v>599</v>
      </c>
      <c r="O411" t="s">
        <v>2638</v>
      </c>
      <c r="P411" t="s">
        <v>599</v>
      </c>
      <c r="Q411" t="s">
        <v>599</v>
      </c>
      <c r="R411" t="s">
        <v>1182</v>
      </c>
      <c r="S411" t="s">
        <v>2664</v>
      </c>
      <c r="T411">
        <v>1883</v>
      </c>
      <c r="U411">
        <v>1883</v>
      </c>
      <c r="V411" t="s">
        <v>2665</v>
      </c>
      <c r="W411" t="s">
        <v>1185</v>
      </c>
      <c r="X411" t="s">
        <v>599</v>
      </c>
      <c r="Y411" t="s">
        <v>599</v>
      </c>
      <c r="Z411" t="s">
        <v>599</v>
      </c>
      <c r="AA411" t="s">
        <v>599</v>
      </c>
      <c r="AB411" t="s">
        <v>599</v>
      </c>
      <c r="AC411" t="s">
        <v>2666</v>
      </c>
      <c r="AD411" t="s">
        <v>1188</v>
      </c>
      <c r="AE411" t="s">
        <v>2667</v>
      </c>
      <c r="AF411" t="s">
        <v>1190</v>
      </c>
    </row>
    <row r="412" spans="1:32" s="13" customFormat="1" ht="45" x14ac:dyDescent="0.25">
      <c r="A412" s="10">
        <v>860111</v>
      </c>
      <c r="B412" s="10">
        <v>1</v>
      </c>
      <c r="C412" s="9">
        <v>45</v>
      </c>
      <c r="D412" s="56" t="s">
        <v>1036</v>
      </c>
      <c r="E412" s="12" t="s">
        <v>360</v>
      </c>
      <c r="F412" s="45"/>
      <c r="G412" s="45"/>
      <c r="H412" s="45"/>
      <c r="I412">
        <v>860111</v>
      </c>
      <c r="J412" t="s">
        <v>359</v>
      </c>
      <c r="K412" t="s">
        <v>2669</v>
      </c>
      <c r="L412" t="s">
        <v>1178</v>
      </c>
      <c r="M412" t="s">
        <v>2603</v>
      </c>
      <c r="N412" t="s">
        <v>599</v>
      </c>
      <c r="O412" t="s">
        <v>2670</v>
      </c>
      <c r="P412" t="s">
        <v>2671</v>
      </c>
      <c r="Q412" t="s">
        <v>599</v>
      </c>
      <c r="R412" t="s">
        <v>1182</v>
      </c>
      <c r="S412" t="s">
        <v>2672</v>
      </c>
      <c r="T412">
        <v>1898</v>
      </c>
      <c r="U412">
        <v>1898</v>
      </c>
      <c r="V412" t="s">
        <v>2673</v>
      </c>
      <c r="W412" t="s">
        <v>599</v>
      </c>
      <c r="X412" t="s">
        <v>599</v>
      </c>
      <c r="Y412" t="s">
        <v>599</v>
      </c>
      <c r="Z412" t="s">
        <v>2674</v>
      </c>
      <c r="AA412" t="s">
        <v>599</v>
      </c>
      <c r="AB412" t="s">
        <v>599</v>
      </c>
      <c r="AC412" t="s">
        <v>2675</v>
      </c>
      <c r="AD412" t="s">
        <v>1188</v>
      </c>
      <c r="AE412" t="s">
        <v>2676</v>
      </c>
      <c r="AF412" t="s">
        <v>1190</v>
      </c>
    </row>
    <row r="413" spans="1:32" s="13" customFormat="1" ht="45" x14ac:dyDescent="0.25">
      <c r="A413" s="10">
        <v>860111</v>
      </c>
      <c r="B413" s="10">
        <v>1</v>
      </c>
      <c r="C413" s="9">
        <v>47</v>
      </c>
      <c r="D413" s="56" t="s">
        <v>1037</v>
      </c>
      <c r="E413" s="12" t="s">
        <v>360</v>
      </c>
      <c r="F413" s="45"/>
      <c r="G413" s="45"/>
      <c r="H413" s="45"/>
      <c r="I413">
        <v>860111</v>
      </c>
      <c r="J413" t="s">
        <v>359</v>
      </c>
      <c r="K413" t="s">
        <v>2669</v>
      </c>
      <c r="L413" t="s">
        <v>1178</v>
      </c>
      <c r="M413" t="s">
        <v>2603</v>
      </c>
      <c r="N413" t="s">
        <v>599</v>
      </c>
      <c r="O413" t="s">
        <v>2670</v>
      </c>
      <c r="P413" t="s">
        <v>2671</v>
      </c>
      <c r="Q413" t="s">
        <v>599</v>
      </c>
      <c r="R413" t="s">
        <v>1182</v>
      </c>
      <c r="S413" t="s">
        <v>2672</v>
      </c>
      <c r="T413">
        <v>1898</v>
      </c>
      <c r="U413">
        <v>1898</v>
      </c>
      <c r="V413" t="s">
        <v>2673</v>
      </c>
      <c r="W413" t="s">
        <v>599</v>
      </c>
      <c r="X413" t="s">
        <v>599</v>
      </c>
      <c r="Y413" t="s">
        <v>599</v>
      </c>
      <c r="Z413" t="s">
        <v>2674</v>
      </c>
      <c r="AA413" t="s">
        <v>599</v>
      </c>
      <c r="AB413" t="s">
        <v>599</v>
      </c>
      <c r="AC413" t="s">
        <v>2675</v>
      </c>
      <c r="AD413" t="s">
        <v>1188</v>
      </c>
      <c r="AE413" t="s">
        <v>2676</v>
      </c>
      <c r="AF413" t="s">
        <v>1190</v>
      </c>
    </row>
    <row r="414" spans="1:32" s="13" customFormat="1" ht="45" x14ac:dyDescent="0.25">
      <c r="A414" s="10">
        <v>860111</v>
      </c>
      <c r="B414" s="10">
        <v>1</v>
      </c>
      <c r="C414" s="9">
        <v>77</v>
      </c>
      <c r="D414" s="56" t="s">
        <v>1038</v>
      </c>
      <c r="E414" s="12" t="s">
        <v>360</v>
      </c>
      <c r="F414" s="45"/>
      <c r="G414" s="45"/>
      <c r="H414" s="45"/>
      <c r="I414">
        <v>860111</v>
      </c>
      <c r="J414" t="s">
        <v>359</v>
      </c>
      <c r="K414" t="s">
        <v>2669</v>
      </c>
      <c r="L414" t="s">
        <v>1178</v>
      </c>
      <c r="M414" t="s">
        <v>2603</v>
      </c>
      <c r="N414" t="s">
        <v>599</v>
      </c>
      <c r="O414" t="s">
        <v>2670</v>
      </c>
      <c r="P414" t="s">
        <v>2671</v>
      </c>
      <c r="Q414" t="s">
        <v>599</v>
      </c>
      <c r="R414" t="s">
        <v>1182</v>
      </c>
      <c r="S414" t="s">
        <v>2672</v>
      </c>
      <c r="T414">
        <v>1898</v>
      </c>
      <c r="U414">
        <v>1898</v>
      </c>
      <c r="V414" t="s">
        <v>2673</v>
      </c>
      <c r="W414" t="s">
        <v>599</v>
      </c>
      <c r="X414" t="s">
        <v>599</v>
      </c>
      <c r="Y414" t="s">
        <v>599</v>
      </c>
      <c r="Z414" t="s">
        <v>2674</v>
      </c>
      <c r="AA414" t="s">
        <v>599</v>
      </c>
      <c r="AB414" t="s">
        <v>599</v>
      </c>
      <c r="AC414" t="s">
        <v>2675</v>
      </c>
      <c r="AD414" t="s">
        <v>1188</v>
      </c>
      <c r="AE414" t="s">
        <v>2676</v>
      </c>
      <c r="AF414" t="s">
        <v>1190</v>
      </c>
    </row>
    <row r="415" spans="1:32" s="13" customFormat="1" ht="45" x14ac:dyDescent="0.25">
      <c r="A415" s="10">
        <v>860111</v>
      </c>
      <c r="B415" s="10">
        <v>1</v>
      </c>
      <c r="C415" s="9">
        <v>105</v>
      </c>
      <c r="D415" s="56" t="s">
        <v>1039</v>
      </c>
      <c r="E415" s="12" t="s">
        <v>360</v>
      </c>
      <c r="F415" s="45"/>
      <c r="G415" s="45"/>
      <c r="H415" s="45"/>
      <c r="I415">
        <v>860111</v>
      </c>
      <c r="J415" t="s">
        <v>359</v>
      </c>
      <c r="K415" t="s">
        <v>2669</v>
      </c>
      <c r="L415" t="s">
        <v>1178</v>
      </c>
      <c r="M415" t="s">
        <v>2603</v>
      </c>
      <c r="N415" t="s">
        <v>599</v>
      </c>
      <c r="O415" t="s">
        <v>2670</v>
      </c>
      <c r="P415" t="s">
        <v>2671</v>
      </c>
      <c r="Q415" t="s">
        <v>599</v>
      </c>
      <c r="R415" t="s">
        <v>1182</v>
      </c>
      <c r="S415" t="s">
        <v>2672</v>
      </c>
      <c r="T415">
        <v>1898</v>
      </c>
      <c r="U415">
        <v>1898</v>
      </c>
      <c r="V415" t="s">
        <v>2673</v>
      </c>
      <c r="W415" t="s">
        <v>599</v>
      </c>
      <c r="X415" t="s">
        <v>599</v>
      </c>
      <c r="Y415" t="s">
        <v>599</v>
      </c>
      <c r="Z415" t="s">
        <v>2674</v>
      </c>
      <c r="AA415" t="s">
        <v>599</v>
      </c>
      <c r="AB415" t="s">
        <v>599</v>
      </c>
      <c r="AC415" t="s">
        <v>2675</v>
      </c>
      <c r="AD415" t="s">
        <v>1188</v>
      </c>
      <c r="AE415" t="s">
        <v>2676</v>
      </c>
      <c r="AF415" t="s">
        <v>1190</v>
      </c>
    </row>
    <row r="416" spans="1:32" s="13" customFormat="1" ht="45" x14ac:dyDescent="0.25">
      <c r="A416" s="10">
        <v>860111</v>
      </c>
      <c r="B416" s="10">
        <v>1</v>
      </c>
      <c r="C416" s="9">
        <v>131</v>
      </c>
      <c r="D416" s="56" t="s">
        <v>1040</v>
      </c>
      <c r="E416" s="12" t="s">
        <v>360</v>
      </c>
      <c r="F416" s="45"/>
      <c r="G416" s="45"/>
      <c r="H416" s="45"/>
      <c r="I416">
        <v>860111</v>
      </c>
      <c r="J416" t="s">
        <v>359</v>
      </c>
      <c r="K416" t="s">
        <v>2669</v>
      </c>
      <c r="L416" t="s">
        <v>1178</v>
      </c>
      <c r="M416" t="s">
        <v>2603</v>
      </c>
      <c r="N416" t="s">
        <v>599</v>
      </c>
      <c r="O416" t="s">
        <v>2670</v>
      </c>
      <c r="P416" t="s">
        <v>2671</v>
      </c>
      <c r="Q416" t="s">
        <v>599</v>
      </c>
      <c r="R416" t="s">
        <v>1182</v>
      </c>
      <c r="S416" t="s">
        <v>2672</v>
      </c>
      <c r="T416">
        <v>1898</v>
      </c>
      <c r="U416">
        <v>1898</v>
      </c>
      <c r="V416" t="s">
        <v>2673</v>
      </c>
      <c r="W416" t="s">
        <v>599</v>
      </c>
      <c r="X416" t="s">
        <v>599</v>
      </c>
      <c r="Y416" t="s">
        <v>599</v>
      </c>
      <c r="Z416" t="s">
        <v>2674</v>
      </c>
      <c r="AA416" t="s">
        <v>599</v>
      </c>
      <c r="AB416" t="s">
        <v>599</v>
      </c>
      <c r="AC416" t="s">
        <v>2675</v>
      </c>
      <c r="AD416" t="s">
        <v>1188</v>
      </c>
      <c r="AE416" t="s">
        <v>2676</v>
      </c>
      <c r="AF416" t="s">
        <v>1190</v>
      </c>
    </row>
    <row r="417" spans="1:32" s="13" customFormat="1" ht="45" x14ac:dyDescent="0.25">
      <c r="A417" s="10">
        <v>860111</v>
      </c>
      <c r="B417" s="10">
        <v>1</v>
      </c>
      <c r="C417" s="9">
        <v>227</v>
      </c>
      <c r="D417" s="56" t="s">
        <v>1041</v>
      </c>
      <c r="E417" s="12" t="s">
        <v>360</v>
      </c>
      <c r="F417" s="45"/>
      <c r="G417" s="45"/>
      <c r="H417" s="45"/>
      <c r="I417">
        <v>860111</v>
      </c>
      <c r="J417" t="s">
        <v>359</v>
      </c>
      <c r="K417" t="s">
        <v>2669</v>
      </c>
      <c r="L417" t="s">
        <v>1178</v>
      </c>
      <c r="M417" t="s">
        <v>2603</v>
      </c>
      <c r="N417" t="s">
        <v>599</v>
      </c>
      <c r="O417" t="s">
        <v>2670</v>
      </c>
      <c r="P417" t="s">
        <v>2671</v>
      </c>
      <c r="Q417" t="s">
        <v>599</v>
      </c>
      <c r="R417" t="s">
        <v>1182</v>
      </c>
      <c r="S417" t="s">
        <v>2672</v>
      </c>
      <c r="T417">
        <v>1898</v>
      </c>
      <c r="U417">
        <v>1898</v>
      </c>
      <c r="V417" t="s">
        <v>2673</v>
      </c>
      <c r="W417" t="s">
        <v>599</v>
      </c>
      <c r="X417" t="s">
        <v>599</v>
      </c>
      <c r="Y417" t="s">
        <v>599</v>
      </c>
      <c r="Z417" t="s">
        <v>2674</v>
      </c>
      <c r="AA417" t="s">
        <v>599</v>
      </c>
      <c r="AB417" t="s">
        <v>599</v>
      </c>
      <c r="AC417" t="s">
        <v>2675</v>
      </c>
      <c r="AD417" t="s">
        <v>1188</v>
      </c>
      <c r="AE417" t="s">
        <v>2676</v>
      </c>
      <c r="AF417" t="s">
        <v>1190</v>
      </c>
    </row>
    <row r="418" spans="1:32" s="13" customFormat="1" ht="45" x14ac:dyDescent="0.25">
      <c r="A418" s="10">
        <v>860111</v>
      </c>
      <c r="B418" s="10">
        <v>1</v>
      </c>
      <c r="C418" s="9">
        <v>473</v>
      </c>
      <c r="D418" s="56" t="s">
        <v>1042</v>
      </c>
      <c r="E418" s="12" t="s">
        <v>360</v>
      </c>
      <c r="F418" s="45"/>
      <c r="G418" s="45"/>
      <c r="H418" s="45"/>
      <c r="I418">
        <v>860111</v>
      </c>
      <c r="J418" t="s">
        <v>359</v>
      </c>
      <c r="K418" t="s">
        <v>2669</v>
      </c>
      <c r="L418" t="s">
        <v>1178</v>
      </c>
      <c r="M418" t="s">
        <v>2603</v>
      </c>
      <c r="N418" t="s">
        <v>599</v>
      </c>
      <c r="O418" t="s">
        <v>2670</v>
      </c>
      <c r="P418" t="s">
        <v>2671</v>
      </c>
      <c r="Q418" t="s">
        <v>599</v>
      </c>
      <c r="R418" t="s">
        <v>1182</v>
      </c>
      <c r="S418" t="s">
        <v>2672</v>
      </c>
      <c r="T418">
        <v>1898</v>
      </c>
      <c r="U418">
        <v>1898</v>
      </c>
      <c r="V418" t="s">
        <v>2673</v>
      </c>
      <c r="W418" t="s">
        <v>599</v>
      </c>
      <c r="X418" t="s">
        <v>599</v>
      </c>
      <c r="Y418" t="s">
        <v>599</v>
      </c>
      <c r="Z418" t="s">
        <v>2674</v>
      </c>
      <c r="AA418" t="s">
        <v>599</v>
      </c>
      <c r="AB418" t="s">
        <v>599</v>
      </c>
      <c r="AC418" t="s">
        <v>2675</v>
      </c>
      <c r="AD418" t="s">
        <v>1188</v>
      </c>
      <c r="AE418" t="s">
        <v>2676</v>
      </c>
      <c r="AF418" t="s">
        <v>1190</v>
      </c>
    </row>
    <row r="419" spans="1:32" s="13" customFormat="1" ht="45" x14ac:dyDescent="0.25">
      <c r="A419" s="10">
        <v>860111</v>
      </c>
      <c r="B419" s="10">
        <v>1</v>
      </c>
      <c r="C419" s="9">
        <v>493</v>
      </c>
      <c r="D419" s="56" t="s">
        <v>1043</v>
      </c>
      <c r="E419" s="12" t="s">
        <v>360</v>
      </c>
      <c r="F419" s="45"/>
      <c r="G419" s="45"/>
      <c r="H419" s="45"/>
      <c r="I419">
        <v>860111</v>
      </c>
      <c r="J419" t="s">
        <v>359</v>
      </c>
      <c r="K419" t="s">
        <v>2669</v>
      </c>
      <c r="L419" t="s">
        <v>1178</v>
      </c>
      <c r="M419" t="s">
        <v>2603</v>
      </c>
      <c r="N419" t="s">
        <v>599</v>
      </c>
      <c r="O419" t="s">
        <v>2670</v>
      </c>
      <c r="P419" t="s">
        <v>2671</v>
      </c>
      <c r="Q419" t="s">
        <v>599</v>
      </c>
      <c r="R419" t="s">
        <v>1182</v>
      </c>
      <c r="S419" t="s">
        <v>2672</v>
      </c>
      <c r="T419">
        <v>1898</v>
      </c>
      <c r="U419">
        <v>1898</v>
      </c>
      <c r="V419" t="s">
        <v>2673</v>
      </c>
      <c r="W419" t="s">
        <v>599</v>
      </c>
      <c r="X419" t="s">
        <v>599</v>
      </c>
      <c r="Y419" t="s">
        <v>599</v>
      </c>
      <c r="Z419" t="s">
        <v>2674</v>
      </c>
      <c r="AA419" t="s">
        <v>599</v>
      </c>
      <c r="AB419" t="s">
        <v>599</v>
      </c>
      <c r="AC419" t="s">
        <v>2675</v>
      </c>
      <c r="AD419" t="s">
        <v>1188</v>
      </c>
      <c r="AE419" t="s">
        <v>2676</v>
      </c>
      <c r="AF419" t="s">
        <v>1190</v>
      </c>
    </row>
    <row r="420" spans="1:32" s="13" customFormat="1" ht="45" x14ac:dyDescent="0.25">
      <c r="A420" s="10">
        <v>259979</v>
      </c>
      <c r="B420" s="10">
        <v>1</v>
      </c>
      <c r="C420" s="9">
        <v>10</v>
      </c>
      <c r="D420" s="56" t="s">
        <v>1044</v>
      </c>
      <c r="E420" s="12">
        <v>10</v>
      </c>
      <c r="F420" s="45"/>
      <c r="G420" s="45"/>
      <c r="H420" s="45"/>
      <c r="I420">
        <v>259979</v>
      </c>
      <c r="J420" t="s">
        <v>362</v>
      </c>
      <c r="K420" t="s">
        <v>2678</v>
      </c>
      <c r="L420" t="s">
        <v>1178</v>
      </c>
      <c r="M420" t="s">
        <v>1502</v>
      </c>
      <c r="N420" t="s">
        <v>599</v>
      </c>
      <c r="O420" t="s">
        <v>2679</v>
      </c>
      <c r="P420" t="s">
        <v>599</v>
      </c>
      <c r="Q420" t="s">
        <v>599</v>
      </c>
      <c r="R420" t="s">
        <v>1182</v>
      </c>
      <c r="S420" t="s">
        <v>2680</v>
      </c>
      <c r="T420">
        <v>1810</v>
      </c>
      <c r="U420">
        <v>1810</v>
      </c>
      <c r="V420" t="s">
        <v>2681</v>
      </c>
      <c r="W420" t="s">
        <v>1185</v>
      </c>
      <c r="X420" t="s">
        <v>599</v>
      </c>
      <c r="Y420" t="s">
        <v>599</v>
      </c>
      <c r="Z420" t="s">
        <v>2682</v>
      </c>
      <c r="AA420" t="s">
        <v>599</v>
      </c>
      <c r="AB420" t="s">
        <v>599</v>
      </c>
      <c r="AC420" t="s">
        <v>2683</v>
      </c>
      <c r="AD420" t="s">
        <v>1188</v>
      </c>
      <c r="AE420" t="s">
        <v>2684</v>
      </c>
      <c r="AF420" t="s">
        <v>1190</v>
      </c>
    </row>
    <row r="421" spans="1:32" s="13" customFormat="1" ht="45" x14ac:dyDescent="0.25">
      <c r="A421" s="10">
        <v>865247</v>
      </c>
      <c r="B421" s="10">
        <v>1</v>
      </c>
      <c r="C421" s="9">
        <v>12</v>
      </c>
      <c r="D421" s="56" t="s">
        <v>1045</v>
      </c>
      <c r="E421" s="12">
        <v>12</v>
      </c>
      <c r="F421" s="45"/>
      <c r="G421" s="45"/>
      <c r="H421" s="45"/>
      <c r="I421">
        <v>865247</v>
      </c>
      <c r="J421" t="s">
        <v>363</v>
      </c>
      <c r="K421" t="s">
        <v>2686</v>
      </c>
      <c r="L421" t="s">
        <v>1178</v>
      </c>
      <c r="M421" t="s">
        <v>1179</v>
      </c>
      <c r="N421" t="s">
        <v>599</v>
      </c>
      <c r="O421" t="s">
        <v>2687</v>
      </c>
      <c r="P421" t="s">
        <v>2688</v>
      </c>
      <c r="Q421" t="s">
        <v>599</v>
      </c>
      <c r="R421" t="s">
        <v>1182</v>
      </c>
      <c r="S421" t="s">
        <v>2689</v>
      </c>
      <c r="T421">
        <v>1899</v>
      </c>
      <c r="U421">
        <v>1899</v>
      </c>
      <c r="V421" t="s">
        <v>2690</v>
      </c>
      <c r="W421" t="s">
        <v>2691</v>
      </c>
      <c r="X421" t="s">
        <v>599</v>
      </c>
      <c r="Y421" t="s">
        <v>599</v>
      </c>
      <c r="Z421" t="s">
        <v>599</v>
      </c>
      <c r="AA421" t="s">
        <v>599</v>
      </c>
      <c r="AB421" t="s">
        <v>599</v>
      </c>
      <c r="AC421" t="s">
        <v>2692</v>
      </c>
      <c r="AD421" t="s">
        <v>1188</v>
      </c>
      <c r="AE421" t="s">
        <v>2693</v>
      </c>
      <c r="AF421" t="s">
        <v>1190</v>
      </c>
    </row>
    <row r="422" spans="1:32" s="13" customFormat="1" ht="45" x14ac:dyDescent="0.25">
      <c r="A422" s="10">
        <v>397837</v>
      </c>
      <c r="B422" s="10">
        <v>1</v>
      </c>
      <c r="C422" s="9">
        <v>9</v>
      </c>
      <c r="D422" s="56" t="s">
        <v>1046</v>
      </c>
      <c r="E422" s="12" t="s">
        <v>365</v>
      </c>
      <c r="F422" s="45"/>
      <c r="G422" s="45"/>
      <c r="H422" s="45"/>
      <c r="I422">
        <v>397837</v>
      </c>
      <c r="J422" t="s">
        <v>364</v>
      </c>
      <c r="K422" t="s">
        <v>2694</v>
      </c>
      <c r="L422" t="s">
        <v>1178</v>
      </c>
      <c r="M422" t="s">
        <v>1192</v>
      </c>
      <c r="N422" t="s">
        <v>599</v>
      </c>
      <c r="O422" t="s">
        <v>1551</v>
      </c>
      <c r="P422" t="s">
        <v>2695</v>
      </c>
      <c r="Q422" t="s">
        <v>599</v>
      </c>
      <c r="R422" t="s">
        <v>1182</v>
      </c>
      <c r="S422" t="s">
        <v>2696</v>
      </c>
      <c r="T422">
        <v>1923</v>
      </c>
      <c r="U422">
        <v>1923</v>
      </c>
      <c r="V422" t="s">
        <v>2697</v>
      </c>
      <c r="W422" t="s">
        <v>1185</v>
      </c>
      <c r="X422" t="s">
        <v>599</v>
      </c>
      <c r="Y422" t="s">
        <v>599</v>
      </c>
      <c r="Z422" t="s">
        <v>2698</v>
      </c>
      <c r="AA422" t="s">
        <v>599</v>
      </c>
      <c r="AB422" t="s">
        <v>599</v>
      </c>
      <c r="AC422" t="s">
        <v>2699</v>
      </c>
      <c r="AD422" t="s">
        <v>1188</v>
      </c>
      <c r="AE422" t="s">
        <v>2700</v>
      </c>
      <c r="AF422" t="s">
        <v>1190</v>
      </c>
    </row>
    <row r="423" spans="1:32" s="13" customFormat="1" ht="45" x14ac:dyDescent="0.25">
      <c r="A423" s="10">
        <v>397837</v>
      </c>
      <c r="B423" s="10">
        <v>1</v>
      </c>
      <c r="C423" s="9">
        <v>27</v>
      </c>
      <c r="D423" s="56" t="s">
        <v>1047</v>
      </c>
      <c r="E423" s="12" t="s">
        <v>365</v>
      </c>
      <c r="F423" s="45"/>
      <c r="G423" s="45"/>
      <c r="H423" s="45"/>
      <c r="I423">
        <v>397837</v>
      </c>
      <c r="J423" t="s">
        <v>364</v>
      </c>
      <c r="K423" t="s">
        <v>2694</v>
      </c>
      <c r="L423" t="s">
        <v>1178</v>
      </c>
      <c r="M423" t="s">
        <v>1192</v>
      </c>
      <c r="N423" t="s">
        <v>599</v>
      </c>
      <c r="O423" t="s">
        <v>1551</v>
      </c>
      <c r="P423" t="s">
        <v>2695</v>
      </c>
      <c r="Q423" t="s">
        <v>599</v>
      </c>
      <c r="R423" t="s">
        <v>1182</v>
      </c>
      <c r="S423" t="s">
        <v>2696</v>
      </c>
      <c r="T423">
        <v>1923</v>
      </c>
      <c r="U423">
        <v>1923</v>
      </c>
      <c r="V423" t="s">
        <v>2697</v>
      </c>
      <c r="W423" t="s">
        <v>1185</v>
      </c>
      <c r="X423" t="s">
        <v>599</v>
      </c>
      <c r="Y423" t="s">
        <v>599</v>
      </c>
      <c r="Z423" t="s">
        <v>2698</v>
      </c>
      <c r="AA423" t="s">
        <v>599</v>
      </c>
      <c r="AB423" t="s">
        <v>599</v>
      </c>
      <c r="AC423" t="s">
        <v>2699</v>
      </c>
      <c r="AD423" t="s">
        <v>1188</v>
      </c>
      <c r="AE423" t="s">
        <v>2700</v>
      </c>
      <c r="AF423" t="s">
        <v>1190</v>
      </c>
    </row>
    <row r="424" spans="1:32" s="13" customFormat="1" ht="45" x14ac:dyDescent="0.25">
      <c r="A424" s="10">
        <v>397837</v>
      </c>
      <c r="B424" s="10">
        <v>1</v>
      </c>
      <c r="C424" s="9">
        <v>404</v>
      </c>
      <c r="D424" s="56" t="s">
        <v>1048</v>
      </c>
      <c r="E424" s="12" t="s">
        <v>365</v>
      </c>
      <c r="F424" s="45"/>
      <c r="G424" s="45"/>
      <c r="H424" s="45"/>
      <c r="I424">
        <v>397837</v>
      </c>
      <c r="J424" t="s">
        <v>364</v>
      </c>
      <c r="K424" t="s">
        <v>2694</v>
      </c>
      <c r="L424" t="s">
        <v>1178</v>
      </c>
      <c r="M424" t="s">
        <v>1192</v>
      </c>
      <c r="N424" t="s">
        <v>599</v>
      </c>
      <c r="O424" t="s">
        <v>1551</v>
      </c>
      <c r="P424" t="s">
        <v>2695</v>
      </c>
      <c r="Q424" t="s">
        <v>599</v>
      </c>
      <c r="R424" t="s">
        <v>1182</v>
      </c>
      <c r="S424" t="s">
        <v>2696</v>
      </c>
      <c r="T424">
        <v>1923</v>
      </c>
      <c r="U424">
        <v>1923</v>
      </c>
      <c r="V424" t="s">
        <v>2697</v>
      </c>
      <c r="W424" t="s">
        <v>1185</v>
      </c>
      <c r="X424" t="s">
        <v>599</v>
      </c>
      <c r="Y424" t="s">
        <v>599</v>
      </c>
      <c r="Z424" t="s">
        <v>2698</v>
      </c>
      <c r="AA424" t="s">
        <v>599</v>
      </c>
      <c r="AB424" t="s">
        <v>599</v>
      </c>
      <c r="AC424" t="s">
        <v>2699</v>
      </c>
      <c r="AD424" t="s">
        <v>1188</v>
      </c>
      <c r="AE424" t="s">
        <v>2700</v>
      </c>
      <c r="AF424" t="s">
        <v>1190</v>
      </c>
    </row>
    <row r="425" spans="1:32" s="13" customFormat="1" ht="45" x14ac:dyDescent="0.25">
      <c r="A425" s="10">
        <v>277515</v>
      </c>
      <c r="B425" s="10">
        <v>1</v>
      </c>
      <c r="C425" s="9">
        <v>1</v>
      </c>
      <c r="D425" s="56" t="s">
        <v>1049</v>
      </c>
      <c r="E425" s="12" t="s">
        <v>269</v>
      </c>
      <c r="F425" s="45"/>
      <c r="G425" s="45"/>
      <c r="H425" s="45"/>
      <c r="I425">
        <v>277515</v>
      </c>
      <c r="J425" t="s">
        <v>366</v>
      </c>
      <c r="K425" t="s">
        <v>2701</v>
      </c>
      <c r="L425" t="s">
        <v>1178</v>
      </c>
      <c r="M425" t="s">
        <v>1192</v>
      </c>
      <c r="N425" t="s">
        <v>599</v>
      </c>
      <c r="O425" t="s">
        <v>2702</v>
      </c>
      <c r="P425" t="s">
        <v>599</v>
      </c>
      <c r="Q425" t="s">
        <v>599</v>
      </c>
      <c r="R425" t="s">
        <v>2703</v>
      </c>
      <c r="S425" t="s">
        <v>2704</v>
      </c>
      <c r="T425">
        <v>1875</v>
      </c>
      <c r="U425">
        <v>1875</v>
      </c>
      <c r="V425" t="s">
        <v>2705</v>
      </c>
      <c r="W425" t="s">
        <v>1185</v>
      </c>
      <c r="X425" t="s">
        <v>599</v>
      </c>
      <c r="Y425" t="s">
        <v>599</v>
      </c>
      <c r="Z425" t="s">
        <v>2706</v>
      </c>
      <c r="AA425" t="s">
        <v>599</v>
      </c>
      <c r="AB425" t="s">
        <v>599</v>
      </c>
      <c r="AC425" t="s">
        <v>2707</v>
      </c>
      <c r="AD425" t="s">
        <v>1188</v>
      </c>
      <c r="AE425" t="s">
        <v>2708</v>
      </c>
      <c r="AF425" t="s">
        <v>1190</v>
      </c>
    </row>
    <row r="426" spans="1:32" s="13" customFormat="1" ht="45" x14ac:dyDescent="0.25">
      <c r="A426" s="10">
        <v>865420</v>
      </c>
      <c r="B426" s="10">
        <v>1</v>
      </c>
      <c r="C426" s="9">
        <v>8</v>
      </c>
      <c r="D426" s="56" t="s">
        <v>1050</v>
      </c>
      <c r="E426" s="12" t="s">
        <v>368</v>
      </c>
      <c r="F426" s="45"/>
      <c r="G426" s="45"/>
      <c r="H426" s="45"/>
      <c r="I426">
        <v>865420</v>
      </c>
      <c r="J426" t="s">
        <v>367</v>
      </c>
      <c r="K426" t="s">
        <v>2710</v>
      </c>
      <c r="L426" t="s">
        <v>1178</v>
      </c>
      <c r="M426" t="s">
        <v>1192</v>
      </c>
      <c r="N426" t="s">
        <v>599</v>
      </c>
      <c r="O426" t="s">
        <v>1551</v>
      </c>
      <c r="P426" t="s">
        <v>1778</v>
      </c>
      <c r="Q426" t="s">
        <v>599</v>
      </c>
      <c r="R426" t="s">
        <v>1182</v>
      </c>
      <c r="S426" t="s">
        <v>1836</v>
      </c>
      <c r="T426">
        <v>1846</v>
      </c>
      <c r="U426">
        <v>1846</v>
      </c>
      <c r="V426" t="s">
        <v>599</v>
      </c>
      <c r="W426" t="s">
        <v>1185</v>
      </c>
      <c r="X426" t="s">
        <v>599</v>
      </c>
      <c r="Y426" t="s">
        <v>599</v>
      </c>
      <c r="Z426" t="s">
        <v>2711</v>
      </c>
      <c r="AA426" t="s">
        <v>599</v>
      </c>
      <c r="AB426" t="s">
        <v>599</v>
      </c>
      <c r="AC426" t="s">
        <v>2712</v>
      </c>
      <c r="AD426" t="s">
        <v>1188</v>
      </c>
      <c r="AE426" t="s">
        <v>2713</v>
      </c>
      <c r="AF426" t="s">
        <v>1190</v>
      </c>
    </row>
    <row r="427" spans="1:32" s="13" customFormat="1" ht="45" x14ac:dyDescent="0.25">
      <c r="A427" s="10">
        <v>321756</v>
      </c>
      <c r="B427" s="10">
        <v>1</v>
      </c>
      <c r="C427" s="9">
        <v>12</v>
      </c>
      <c r="D427" s="56" t="s">
        <v>1051</v>
      </c>
      <c r="E427" s="12">
        <v>12</v>
      </c>
      <c r="F427" s="45"/>
      <c r="G427" s="45"/>
      <c r="H427" s="45"/>
      <c r="I427">
        <v>321756</v>
      </c>
      <c r="J427" t="s">
        <v>369</v>
      </c>
      <c r="K427" t="s">
        <v>2714</v>
      </c>
      <c r="L427" t="s">
        <v>1178</v>
      </c>
      <c r="M427" t="s">
        <v>1192</v>
      </c>
      <c r="N427" t="s">
        <v>599</v>
      </c>
      <c r="O427" t="s">
        <v>2715</v>
      </c>
      <c r="P427" t="s">
        <v>2716</v>
      </c>
      <c r="Q427" t="s">
        <v>599</v>
      </c>
      <c r="R427" t="s">
        <v>1182</v>
      </c>
      <c r="S427" t="s">
        <v>2717</v>
      </c>
      <c r="T427">
        <v>1892</v>
      </c>
      <c r="U427">
        <v>1892</v>
      </c>
      <c r="V427" t="s">
        <v>2718</v>
      </c>
      <c r="W427" t="s">
        <v>599</v>
      </c>
      <c r="X427" t="s">
        <v>599</v>
      </c>
      <c r="Y427" t="s">
        <v>599</v>
      </c>
      <c r="Z427" t="s">
        <v>2719</v>
      </c>
      <c r="AA427" t="s">
        <v>599</v>
      </c>
      <c r="AB427" t="s">
        <v>599</v>
      </c>
      <c r="AC427" t="s">
        <v>2720</v>
      </c>
      <c r="AD427" t="s">
        <v>1188</v>
      </c>
      <c r="AE427" t="s">
        <v>2721</v>
      </c>
      <c r="AF427" t="s">
        <v>1190</v>
      </c>
    </row>
    <row r="428" spans="1:32" s="13" customFormat="1" ht="45" x14ac:dyDescent="0.25">
      <c r="A428" s="10">
        <v>321919</v>
      </c>
      <c r="B428" s="10">
        <v>1</v>
      </c>
      <c r="C428" s="9">
        <v>31</v>
      </c>
      <c r="D428" s="56" t="s">
        <v>1052</v>
      </c>
      <c r="E428" s="12" t="s">
        <v>371</v>
      </c>
      <c r="F428" s="45"/>
      <c r="G428" s="45"/>
      <c r="H428" s="45"/>
      <c r="I428">
        <v>321919</v>
      </c>
      <c r="J428" t="s">
        <v>370</v>
      </c>
      <c r="K428" t="s">
        <v>2722</v>
      </c>
      <c r="L428" t="s">
        <v>1178</v>
      </c>
      <c r="M428" t="s">
        <v>1209</v>
      </c>
      <c r="N428" t="s">
        <v>599</v>
      </c>
      <c r="O428" t="s">
        <v>2723</v>
      </c>
      <c r="P428" t="s">
        <v>599</v>
      </c>
      <c r="Q428" t="s">
        <v>599</v>
      </c>
      <c r="R428" t="s">
        <v>1182</v>
      </c>
      <c r="S428" t="s">
        <v>2724</v>
      </c>
      <c r="T428">
        <v>1895</v>
      </c>
      <c r="U428">
        <v>1895</v>
      </c>
      <c r="V428" t="s">
        <v>2725</v>
      </c>
      <c r="W428" t="s">
        <v>2726</v>
      </c>
      <c r="X428" t="s">
        <v>599</v>
      </c>
      <c r="Y428" t="s">
        <v>599</v>
      </c>
      <c r="Z428" t="s">
        <v>2727</v>
      </c>
      <c r="AA428" t="s">
        <v>599</v>
      </c>
      <c r="AB428" t="s">
        <v>599</v>
      </c>
      <c r="AC428" t="s">
        <v>2728</v>
      </c>
      <c r="AD428" t="s">
        <v>1188</v>
      </c>
      <c r="AE428" t="s">
        <v>2729</v>
      </c>
      <c r="AF428" t="s">
        <v>1190</v>
      </c>
    </row>
    <row r="429" spans="1:32" s="13" customFormat="1" ht="45" x14ac:dyDescent="0.25">
      <c r="A429" s="10">
        <v>321919</v>
      </c>
      <c r="B429" s="10">
        <v>1</v>
      </c>
      <c r="C429" s="9">
        <v>35</v>
      </c>
      <c r="D429" s="56" t="s">
        <v>1053</v>
      </c>
      <c r="E429" s="12" t="s">
        <v>371</v>
      </c>
      <c r="F429" s="45"/>
      <c r="G429" s="45"/>
      <c r="H429" s="45"/>
      <c r="I429">
        <v>321919</v>
      </c>
      <c r="J429" t="s">
        <v>370</v>
      </c>
      <c r="K429" t="s">
        <v>2722</v>
      </c>
      <c r="L429" t="s">
        <v>1178</v>
      </c>
      <c r="M429" t="s">
        <v>1209</v>
      </c>
      <c r="N429" t="s">
        <v>599</v>
      </c>
      <c r="O429" t="s">
        <v>2723</v>
      </c>
      <c r="P429" t="s">
        <v>599</v>
      </c>
      <c r="Q429" t="s">
        <v>599</v>
      </c>
      <c r="R429" t="s">
        <v>1182</v>
      </c>
      <c r="S429" t="s">
        <v>2724</v>
      </c>
      <c r="T429">
        <v>1895</v>
      </c>
      <c r="U429">
        <v>1895</v>
      </c>
      <c r="V429" t="s">
        <v>2725</v>
      </c>
      <c r="W429" t="s">
        <v>2726</v>
      </c>
      <c r="X429" t="s">
        <v>599</v>
      </c>
      <c r="Y429" t="s">
        <v>599</v>
      </c>
      <c r="Z429" t="s">
        <v>2727</v>
      </c>
      <c r="AA429" t="s">
        <v>599</v>
      </c>
      <c r="AB429" t="s">
        <v>599</v>
      </c>
      <c r="AC429" t="s">
        <v>2728</v>
      </c>
      <c r="AD429" t="s">
        <v>1188</v>
      </c>
      <c r="AE429" t="s">
        <v>2729</v>
      </c>
      <c r="AF429" t="s">
        <v>1190</v>
      </c>
    </row>
    <row r="430" spans="1:32" s="13" customFormat="1" ht="45" x14ac:dyDescent="0.25">
      <c r="A430" s="10">
        <v>321919</v>
      </c>
      <c r="B430" s="10">
        <v>1</v>
      </c>
      <c r="C430" s="9">
        <v>39</v>
      </c>
      <c r="D430" s="56" t="s">
        <v>1054</v>
      </c>
      <c r="E430" s="12" t="s">
        <v>371</v>
      </c>
      <c r="F430" s="45"/>
      <c r="G430" s="45"/>
      <c r="H430" s="45"/>
      <c r="I430">
        <v>321919</v>
      </c>
      <c r="J430" t="s">
        <v>370</v>
      </c>
      <c r="K430" t="s">
        <v>2722</v>
      </c>
      <c r="L430" t="s">
        <v>1178</v>
      </c>
      <c r="M430" t="s">
        <v>1209</v>
      </c>
      <c r="N430" t="s">
        <v>599</v>
      </c>
      <c r="O430" t="s">
        <v>2723</v>
      </c>
      <c r="P430" t="s">
        <v>599</v>
      </c>
      <c r="Q430" t="s">
        <v>599</v>
      </c>
      <c r="R430" t="s">
        <v>1182</v>
      </c>
      <c r="S430" t="s">
        <v>2724</v>
      </c>
      <c r="T430">
        <v>1895</v>
      </c>
      <c r="U430">
        <v>1895</v>
      </c>
      <c r="V430" t="s">
        <v>2725</v>
      </c>
      <c r="W430" t="s">
        <v>2726</v>
      </c>
      <c r="X430" t="s">
        <v>599</v>
      </c>
      <c r="Y430" t="s">
        <v>599</v>
      </c>
      <c r="Z430" t="s">
        <v>2727</v>
      </c>
      <c r="AA430" t="s">
        <v>599</v>
      </c>
      <c r="AB430" t="s">
        <v>599</v>
      </c>
      <c r="AC430" t="s">
        <v>2728</v>
      </c>
      <c r="AD430" t="s">
        <v>1188</v>
      </c>
      <c r="AE430" t="s">
        <v>2729</v>
      </c>
      <c r="AF430" t="s">
        <v>1190</v>
      </c>
    </row>
    <row r="431" spans="1:32" s="13" customFormat="1" ht="45" x14ac:dyDescent="0.25">
      <c r="A431" s="10">
        <v>321919</v>
      </c>
      <c r="B431" s="10">
        <v>1</v>
      </c>
      <c r="C431" s="9">
        <v>40</v>
      </c>
      <c r="D431" s="56" t="s">
        <v>1055</v>
      </c>
      <c r="E431" s="12" t="s">
        <v>371</v>
      </c>
      <c r="F431" s="45"/>
      <c r="G431" s="45"/>
      <c r="H431" s="45"/>
      <c r="I431">
        <v>321919</v>
      </c>
      <c r="J431" t="s">
        <v>370</v>
      </c>
      <c r="K431" t="s">
        <v>2722</v>
      </c>
      <c r="L431" t="s">
        <v>1178</v>
      </c>
      <c r="M431" t="s">
        <v>1209</v>
      </c>
      <c r="N431" t="s">
        <v>599</v>
      </c>
      <c r="O431" t="s">
        <v>2723</v>
      </c>
      <c r="P431" t="s">
        <v>599</v>
      </c>
      <c r="Q431" t="s">
        <v>599</v>
      </c>
      <c r="R431" t="s">
        <v>1182</v>
      </c>
      <c r="S431" t="s">
        <v>2724</v>
      </c>
      <c r="T431">
        <v>1895</v>
      </c>
      <c r="U431">
        <v>1895</v>
      </c>
      <c r="V431" t="s">
        <v>2725</v>
      </c>
      <c r="W431" t="s">
        <v>2726</v>
      </c>
      <c r="X431" t="s">
        <v>599</v>
      </c>
      <c r="Y431" t="s">
        <v>599</v>
      </c>
      <c r="Z431" t="s">
        <v>2727</v>
      </c>
      <c r="AA431" t="s">
        <v>599</v>
      </c>
      <c r="AB431" t="s">
        <v>599</v>
      </c>
      <c r="AC431" t="s">
        <v>2728</v>
      </c>
      <c r="AD431" t="s">
        <v>1188</v>
      </c>
      <c r="AE431" t="s">
        <v>2729</v>
      </c>
      <c r="AF431" t="s">
        <v>1190</v>
      </c>
    </row>
    <row r="432" spans="1:32" s="13" customFormat="1" ht="45" x14ac:dyDescent="0.25">
      <c r="A432" s="10">
        <v>321919</v>
      </c>
      <c r="B432" s="10">
        <v>1</v>
      </c>
      <c r="C432" s="9">
        <v>41</v>
      </c>
      <c r="D432" s="56" t="s">
        <v>1056</v>
      </c>
      <c r="E432" s="12" t="s">
        <v>371</v>
      </c>
      <c r="F432" s="45"/>
      <c r="G432" s="45"/>
      <c r="H432" s="45"/>
      <c r="I432">
        <v>321919</v>
      </c>
      <c r="J432" t="s">
        <v>370</v>
      </c>
      <c r="K432" t="s">
        <v>2722</v>
      </c>
      <c r="L432" t="s">
        <v>1178</v>
      </c>
      <c r="M432" t="s">
        <v>1209</v>
      </c>
      <c r="N432" t="s">
        <v>599</v>
      </c>
      <c r="O432" t="s">
        <v>2723</v>
      </c>
      <c r="P432" t="s">
        <v>599</v>
      </c>
      <c r="Q432" t="s">
        <v>599</v>
      </c>
      <c r="R432" t="s">
        <v>1182</v>
      </c>
      <c r="S432" t="s">
        <v>2724</v>
      </c>
      <c r="T432">
        <v>1895</v>
      </c>
      <c r="U432">
        <v>1895</v>
      </c>
      <c r="V432" t="s">
        <v>2725</v>
      </c>
      <c r="W432" t="s">
        <v>2726</v>
      </c>
      <c r="X432" t="s">
        <v>599</v>
      </c>
      <c r="Y432" t="s">
        <v>599</v>
      </c>
      <c r="Z432" t="s">
        <v>2727</v>
      </c>
      <c r="AA432" t="s">
        <v>599</v>
      </c>
      <c r="AB432" t="s">
        <v>599</v>
      </c>
      <c r="AC432" t="s">
        <v>2728</v>
      </c>
      <c r="AD432" t="s">
        <v>1188</v>
      </c>
      <c r="AE432" t="s">
        <v>2729</v>
      </c>
      <c r="AF432" t="s">
        <v>1190</v>
      </c>
    </row>
    <row r="433" spans="1:32" s="13" customFormat="1" ht="45" x14ac:dyDescent="0.25">
      <c r="A433" s="10">
        <v>321919</v>
      </c>
      <c r="B433" s="10">
        <v>1</v>
      </c>
      <c r="C433" s="9">
        <v>52</v>
      </c>
      <c r="D433" s="56" t="s">
        <v>1057</v>
      </c>
      <c r="E433" s="12" t="s">
        <v>371</v>
      </c>
      <c r="F433" s="45"/>
      <c r="G433" s="45"/>
      <c r="H433" s="45"/>
      <c r="I433">
        <v>321919</v>
      </c>
      <c r="J433" t="s">
        <v>370</v>
      </c>
      <c r="K433" t="s">
        <v>2722</v>
      </c>
      <c r="L433" t="s">
        <v>1178</v>
      </c>
      <c r="M433" t="s">
        <v>1209</v>
      </c>
      <c r="N433" t="s">
        <v>599</v>
      </c>
      <c r="O433" t="s">
        <v>2723</v>
      </c>
      <c r="P433" t="s">
        <v>599</v>
      </c>
      <c r="Q433" t="s">
        <v>599</v>
      </c>
      <c r="R433" t="s">
        <v>1182</v>
      </c>
      <c r="S433" t="s">
        <v>2724</v>
      </c>
      <c r="T433">
        <v>1895</v>
      </c>
      <c r="U433">
        <v>1895</v>
      </c>
      <c r="V433" t="s">
        <v>2725</v>
      </c>
      <c r="W433" t="s">
        <v>2726</v>
      </c>
      <c r="X433" t="s">
        <v>599</v>
      </c>
      <c r="Y433" t="s">
        <v>599</v>
      </c>
      <c r="Z433" t="s">
        <v>2727</v>
      </c>
      <c r="AA433" t="s">
        <v>599</v>
      </c>
      <c r="AB433" t="s">
        <v>599</v>
      </c>
      <c r="AC433" t="s">
        <v>2728</v>
      </c>
      <c r="AD433" t="s">
        <v>1188</v>
      </c>
      <c r="AE433" t="s">
        <v>2729</v>
      </c>
      <c r="AF433" t="s">
        <v>1190</v>
      </c>
    </row>
    <row r="434" spans="1:32" s="13" customFormat="1" ht="45" x14ac:dyDescent="0.25">
      <c r="A434" s="10">
        <v>321919</v>
      </c>
      <c r="B434" s="10">
        <v>1</v>
      </c>
      <c r="C434" s="9">
        <v>58</v>
      </c>
      <c r="D434" s="56" t="s">
        <v>1058</v>
      </c>
      <c r="E434" s="12" t="s">
        <v>371</v>
      </c>
      <c r="F434" s="45"/>
      <c r="G434" s="45"/>
      <c r="H434" s="45"/>
      <c r="I434">
        <v>321919</v>
      </c>
      <c r="J434" t="s">
        <v>370</v>
      </c>
      <c r="K434" t="s">
        <v>2722</v>
      </c>
      <c r="L434" t="s">
        <v>1178</v>
      </c>
      <c r="M434" t="s">
        <v>1209</v>
      </c>
      <c r="N434" t="s">
        <v>599</v>
      </c>
      <c r="O434" t="s">
        <v>2723</v>
      </c>
      <c r="P434" t="s">
        <v>599</v>
      </c>
      <c r="Q434" t="s">
        <v>599</v>
      </c>
      <c r="R434" t="s">
        <v>1182</v>
      </c>
      <c r="S434" t="s">
        <v>2724</v>
      </c>
      <c r="T434">
        <v>1895</v>
      </c>
      <c r="U434">
        <v>1895</v>
      </c>
      <c r="V434" t="s">
        <v>2725</v>
      </c>
      <c r="W434" t="s">
        <v>2726</v>
      </c>
      <c r="X434" t="s">
        <v>599</v>
      </c>
      <c r="Y434" t="s">
        <v>599</v>
      </c>
      <c r="Z434" t="s">
        <v>2727</v>
      </c>
      <c r="AA434" t="s">
        <v>599</v>
      </c>
      <c r="AB434" t="s">
        <v>599</v>
      </c>
      <c r="AC434" t="s">
        <v>2728</v>
      </c>
      <c r="AD434" t="s">
        <v>1188</v>
      </c>
      <c r="AE434" t="s">
        <v>2729</v>
      </c>
      <c r="AF434" t="s">
        <v>1190</v>
      </c>
    </row>
    <row r="435" spans="1:32" s="13" customFormat="1" ht="45" x14ac:dyDescent="0.25">
      <c r="A435" s="10">
        <v>321919</v>
      </c>
      <c r="B435" s="10">
        <v>1</v>
      </c>
      <c r="C435" s="9">
        <v>92</v>
      </c>
      <c r="D435" s="56" t="s">
        <v>1059</v>
      </c>
      <c r="E435" s="12" t="s">
        <v>371</v>
      </c>
      <c r="F435" s="45"/>
      <c r="G435" s="45"/>
      <c r="H435" s="45"/>
      <c r="I435">
        <v>321919</v>
      </c>
      <c r="J435" t="s">
        <v>370</v>
      </c>
      <c r="K435" t="s">
        <v>2722</v>
      </c>
      <c r="L435" t="s">
        <v>1178</v>
      </c>
      <c r="M435" t="s">
        <v>1209</v>
      </c>
      <c r="N435" t="s">
        <v>599</v>
      </c>
      <c r="O435" t="s">
        <v>2723</v>
      </c>
      <c r="P435" t="s">
        <v>599</v>
      </c>
      <c r="Q435" t="s">
        <v>599</v>
      </c>
      <c r="R435" t="s">
        <v>1182</v>
      </c>
      <c r="S435" t="s">
        <v>2724</v>
      </c>
      <c r="T435">
        <v>1895</v>
      </c>
      <c r="U435">
        <v>1895</v>
      </c>
      <c r="V435" t="s">
        <v>2725</v>
      </c>
      <c r="W435" t="s">
        <v>2726</v>
      </c>
      <c r="X435" t="s">
        <v>599</v>
      </c>
      <c r="Y435" t="s">
        <v>599</v>
      </c>
      <c r="Z435" t="s">
        <v>2727</v>
      </c>
      <c r="AA435" t="s">
        <v>599</v>
      </c>
      <c r="AB435" t="s">
        <v>599</v>
      </c>
      <c r="AC435" t="s">
        <v>2728</v>
      </c>
      <c r="AD435" t="s">
        <v>1188</v>
      </c>
      <c r="AE435" t="s">
        <v>2729</v>
      </c>
      <c r="AF435" t="s">
        <v>1190</v>
      </c>
    </row>
    <row r="436" spans="1:32" s="13" customFormat="1" ht="45" x14ac:dyDescent="0.25">
      <c r="A436" s="10">
        <v>321919</v>
      </c>
      <c r="B436" s="10">
        <v>1</v>
      </c>
      <c r="C436" s="9">
        <v>115</v>
      </c>
      <c r="D436" s="56" t="s">
        <v>1060</v>
      </c>
      <c r="E436" s="12" t="s">
        <v>371</v>
      </c>
      <c r="F436" s="45"/>
      <c r="G436" s="45"/>
      <c r="H436" s="45"/>
      <c r="I436">
        <v>321919</v>
      </c>
      <c r="J436" t="s">
        <v>370</v>
      </c>
      <c r="K436" t="s">
        <v>2722</v>
      </c>
      <c r="L436" t="s">
        <v>1178</v>
      </c>
      <c r="M436" t="s">
        <v>1209</v>
      </c>
      <c r="N436" t="s">
        <v>599</v>
      </c>
      <c r="O436" t="s">
        <v>2723</v>
      </c>
      <c r="P436" t="s">
        <v>599</v>
      </c>
      <c r="Q436" t="s">
        <v>599</v>
      </c>
      <c r="R436" t="s">
        <v>1182</v>
      </c>
      <c r="S436" t="s">
        <v>2724</v>
      </c>
      <c r="T436">
        <v>1895</v>
      </c>
      <c r="U436">
        <v>1895</v>
      </c>
      <c r="V436" t="s">
        <v>2725</v>
      </c>
      <c r="W436" t="s">
        <v>2726</v>
      </c>
      <c r="X436" t="s">
        <v>599</v>
      </c>
      <c r="Y436" t="s">
        <v>599</v>
      </c>
      <c r="Z436" t="s">
        <v>2727</v>
      </c>
      <c r="AA436" t="s">
        <v>599</v>
      </c>
      <c r="AB436" t="s">
        <v>599</v>
      </c>
      <c r="AC436" t="s">
        <v>2728</v>
      </c>
      <c r="AD436" t="s">
        <v>1188</v>
      </c>
      <c r="AE436" t="s">
        <v>2729</v>
      </c>
      <c r="AF436" t="s">
        <v>1190</v>
      </c>
    </row>
    <row r="437" spans="1:32" s="13" customFormat="1" ht="45" x14ac:dyDescent="0.25">
      <c r="A437" s="10">
        <v>321919</v>
      </c>
      <c r="B437" s="10">
        <v>1</v>
      </c>
      <c r="C437" s="9">
        <v>139</v>
      </c>
      <c r="D437" s="56" t="s">
        <v>1061</v>
      </c>
      <c r="E437" s="12" t="s">
        <v>371</v>
      </c>
      <c r="F437" s="45"/>
      <c r="G437" s="45"/>
      <c r="H437" s="45"/>
      <c r="I437">
        <v>321919</v>
      </c>
      <c r="J437" t="s">
        <v>370</v>
      </c>
      <c r="K437" t="s">
        <v>2722</v>
      </c>
      <c r="L437" t="s">
        <v>1178</v>
      </c>
      <c r="M437" t="s">
        <v>1209</v>
      </c>
      <c r="N437" t="s">
        <v>599</v>
      </c>
      <c r="O437" t="s">
        <v>2723</v>
      </c>
      <c r="P437" t="s">
        <v>599</v>
      </c>
      <c r="Q437" t="s">
        <v>599</v>
      </c>
      <c r="R437" t="s">
        <v>1182</v>
      </c>
      <c r="S437" t="s">
        <v>2724</v>
      </c>
      <c r="T437">
        <v>1895</v>
      </c>
      <c r="U437">
        <v>1895</v>
      </c>
      <c r="V437" t="s">
        <v>2725</v>
      </c>
      <c r="W437" t="s">
        <v>2726</v>
      </c>
      <c r="X437" t="s">
        <v>599</v>
      </c>
      <c r="Y437" t="s">
        <v>599</v>
      </c>
      <c r="Z437" t="s">
        <v>2727</v>
      </c>
      <c r="AA437" t="s">
        <v>599</v>
      </c>
      <c r="AB437" t="s">
        <v>599</v>
      </c>
      <c r="AC437" t="s">
        <v>2728</v>
      </c>
      <c r="AD437" t="s">
        <v>1188</v>
      </c>
      <c r="AE437" t="s">
        <v>2729</v>
      </c>
      <c r="AF437" t="s">
        <v>1190</v>
      </c>
    </row>
    <row r="438" spans="1:32" s="13" customFormat="1" ht="45" x14ac:dyDescent="0.25">
      <c r="A438" s="10">
        <v>321919</v>
      </c>
      <c r="B438" s="10">
        <v>1</v>
      </c>
      <c r="C438" s="9">
        <v>155</v>
      </c>
      <c r="D438" s="56" t="s">
        <v>1062</v>
      </c>
      <c r="E438" s="12" t="s">
        <v>371</v>
      </c>
      <c r="F438" s="45"/>
      <c r="G438" s="45"/>
      <c r="H438" s="45"/>
      <c r="I438">
        <v>321919</v>
      </c>
      <c r="J438" t="s">
        <v>370</v>
      </c>
      <c r="K438" t="s">
        <v>2722</v>
      </c>
      <c r="L438" t="s">
        <v>1178</v>
      </c>
      <c r="M438" t="s">
        <v>1209</v>
      </c>
      <c r="N438" t="s">
        <v>599</v>
      </c>
      <c r="O438" t="s">
        <v>2723</v>
      </c>
      <c r="P438" t="s">
        <v>599</v>
      </c>
      <c r="Q438" t="s">
        <v>599</v>
      </c>
      <c r="R438" t="s">
        <v>1182</v>
      </c>
      <c r="S438" t="s">
        <v>2724</v>
      </c>
      <c r="T438">
        <v>1895</v>
      </c>
      <c r="U438">
        <v>1895</v>
      </c>
      <c r="V438" t="s">
        <v>2725</v>
      </c>
      <c r="W438" t="s">
        <v>2726</v>
      </c>
      <c r="X438" t="s">
        <v>599</v>
      </c>
      <c r="Y438" t="s">
        <v>599</v>
      </c>
      <c r="Z438" t="s">
        <v>2727</v>
      </c>
      <c r="AA438" t="s">
        <v>599</v>
      </c>
      <c r="AB438" t="s">
        <v>599</v>
      </c>
      <c r="AC438" t="s">
        <v>2728</v>
      </c>
      <c r="AD438" t="s">
        <v>1188</v>
      </c>
      <c r="AE438" t="s">
        <v>2729</v>
      </c>
      <c r="AF438" t="s">
        <v>1190</v>
      </c>
    </row>
    <row r="439" spans="1:32" s="13" customFormat="1" ht="45" x14ac:dyDescent="0.25">
      <c r="A439" s="10">
        <v>322212</v>
      </c>
      <c r="B439" s="10">
        <v>1</v>
      </c>
      <c r="C439" s="9">
        <v>7</v>
      </c>
      <c r="D439" s="56" t="s">
        <v>1063</v>
      </c>
      <c r="E439" s="12" t="s">
        <v>373</v>
      </c>
      <c r="F439" s="45"/>
      <c r="G439" s="45"/>
      <c r="H439" s="45"/>
      <c r="I439">
        <v>322212</v>
      </c>
      <c r="J439" t="s">
        <v>372</v>
      </c>
      <c r="K439" t="s">
        <v>2732</v>
      </c>
      <c r="L439" t="s">
        <v>1178</v>
      </c>
      <c r="M439" t="s">
        <v>1502</v>
      </c>
      <c r="N439" t="s">
        <v>599</v>
      </c>
      <c r="O439" t="s">
        <v>2733</v>
      </c>
      <c r="P439" t="s">
        <v>599</v>
      </c>
      <c r="Q439" t="s">
        <v>599</v>
      </c>
      <c r="R439" t="s">
        <v>1182</v>
      </c>
      <c r="S439" t="s">
        <v>2734</v>
      </c>
      <c r="T439">
        <v>1896</v>
      </c>
      <c r="U439">
        <v>1896</v>
      </c>
      <c r="V439" t="s">
        <v>2735</v>
      </c>
      <c r="W439" t="s">
        <v>599</v>
      </c>
      <c r="X439" t="s">
        <v>599</v>
      </c>
      <c r="Y439" t="s">
        <v>599</v>
      </c>
      <c r="Z439" t="s">
        <v>2736</v>
      </c>
      <c r="AA439" t="s">
        <v>599</v>
      </c>
      <c r="AB439" t="s">
        <v>599</v>
      </c>
      <c r="AC439" t="s">
        <v>2737</v>
      </c>
      <c r="AD439" t="s">
        <v>1188</v>
      </c>
      <c r="AE439" t="s">
        <v>2738</v>
      </c>
      <c r="AF439" t="s">
        <v>1190</v>
      </c>
    </row>
    <row r="440" spans="1:32" s="13" customFormat="1" ht="45" x14ac:dyDescent="0.25">
      <c r="A440" s="10">
        <v>322214</v>
      </c>
      <c r="B440" s="10">
        <v>1</v>
      </c>
      <c r="C440" s="9">
        <v>10</v>
      </c>
      <c r="D440" s="56" t="s">
        <v>1064</v>
      </c>
      <c r="E440" s="12" t="s">
        <v>375</v>
      </c>
      <c r="F440" s="45"/>
      <c r="G440" s="45"/>
      <c r="H440" s="45"/>
      <c r="I440">
        <v>322214</v>
      </c>
      <c r="J440" t="s">
        <v>374</v>
      </c>
      <c r="K440" t="s">
        <v>2739</v>
      </c>
      <c r="L440" t="s">
        <v>1178</v>
      </c>
      <c r="M440" t="s">
        <v>1403</v>
      </c>
      <c r="N440" t="s">
        <v>599</v>
      </c>
      <c r="O440" t="s">
        <v>2740</v>
      </c>
      <c r="P440" t="s">
        <v>599</v>
      </c>
      <c r="Q440" t="s">
        <v>599</v>
      </c>
      <c r="R440" t="s">
        <v>1182</v>
      </c>
      <c r="S440" t="s">
        <v>2741</v>
      </c>
      <c r="T440">
        <v>1780</v>
      </c>
      <c r="U440">
        <v>1780</v>
      </c>
      <c r="V440" t="s">
        <v>2742</v>
      </c>
      <c r="W440" t="s">
        <v>599</v>
      </c>
      <c r="X440" t="s">
        <v>599</v>
      </c>
      <c r="Y440" t="s">
        <v>599</v>
      </c>
      <c r="Z440" t="s">
        <v>2743</v>
      </c>
      <c r="AA440" t="s">
        <v>599</v>
      </c>
      <c r="AB440" t="s">
        <v>599</v>
      </c>
      <c r="AC440" t="s">
        <v>2744</v>
      </c>
      <c r="AD440" t="s">
        <v>1188</v>
      </c>
      <c r="AE440" t="s">
        <v>2745</v>
      </c>
      <c r="AF440" t="s">
        <v>1190</v>
      </c>
    </row>
    <row r="441" spans="1:32" s="13" customFormat="1" ht="45" x14ac:dyDescent="0.25">
      <c r="A441" s="10">
        <v>322214</v>
      </c>
      <c r="B441" s="10">
        <v>1</v>
      </c>
      <c r="C441" s="9">
        <v>271</v>
      </c>
      <c r="D441" s="56" t="s">
        <v>1065</v>
      </c>
      <c r="E441" s="12" t="s">
        <v>375</v>
      </c>
      <c r="F441" s="45"/>
      <c r="G441" s="45"/>
      <c r="H441" s="45"/>
      <c r="I441">
        <v>322214</v>
      </c>
      <c r="J441" t="s">
        <v>374</v>
      </c>
      <c r="K441" t="s">
        <v>2739</v>
      </c>
      <c r="L441" t="s">
        <v>1178</v>
      </c>
      <c r="M441" t="s">
        <v>1403</v>
      </c>
      <c r="N441" t="s">
        <v>599</v>
      </c>
      <c r="O441" t="s">
        <v>2740</v>
      </c>
      <c r="P441" t="s">
        <v>599</v>
      </c>
      <c r="Q441" t="s">
        <v>599</v>
      </c>
      <c r="R441" t="s">
        <v>1182</v>
      </c>
      <c r="S441" t="s">
        <v>2741</v>
      </c>
      <c r="T441">
        <v>1780</v>
      </c>
      <c r="U441">
        <v>1780</v>
      </c>
      <c r="V441" t="s">
        <v>2742</v>
      </c>
      <c r="W441" t="s">
        <v>599</v>
      </c>
      <c r="X441" t="s">
        <v>599</v>
      </c>
      <c r="Y441" t="s">
        <v>599</v>
      </c>
      <c r="Z441" t="s">
        <v>2743</v>
      </c>
      <c r="AA441" t="s">
        <v>599</v>
      </c>
      <c r="AB441" t="s">
        <v>599</v>
      </c>
      <c r="AC441" t="s">
        <v>2744</v>
      </c>
      <c r="AD441" t="s">
        <v>1188</v>
      </c>
      <c r="AE441" t="s">
        <v>2745</v>
      </c>
      <c r="AF441" t="s">
        <v>1190</v>
      </c>
    </row>
    <row r="442" spans="1:32" s="13" customFormat="1" ht="45" x14ac:dyDescent="0.25">
      <c r="A442" s="10">
        <v>866522</v>
      </c>
      <c r="B442" s="10">
        <v>1</v>
      </c>
      <c r="C442" s="9">
        <v>12</v>
      </c>
      <c r="D442" s="56" t="s">
        <v>1066</v>
      </c>
      <c r="E442" s="12" t="s">
        <v>378</v>
      </c>
      <c r="F442" s="45"/>
      <c r="G442" s="45"/>
      <c r="H442" s="45"/>
      <c r="I442">
        <v>866522</v>
      </c>
      <c r="J442" t="s">
        <v>377</v>
      </c>
      <c r="K442" t="s">
        <v>2747</v>
      </c>
      <c r="L442" t="s">
        <v>1178</v>
      </c>
      <c r="M442" t="s">
        <v>1192</v>
      </c>
      <c r="N442" t="s">
        <v>599</v>
      </c>
      <c r="O442" t="s">
        <v>2748</v>
      </c>
      <c r="P442" t="s">
        <v>599</v>
      </c>
      <c r="Q442" t="s">
        <v>599</v>
      </c>
      <c r="R442" t="s">
        <v>1182</v>
      </c>
      <c r="S442" t="s">
        <v>2696</v>
      </c>
      <c r="T442">
        <v>1932</v>
      </c>
      <c r="U442">
        <v>1932</v>
      </c>
      <c r="V442" t="s">
        <v>2749</v>
      </c>
      <c r="W442" t="s">
        <v>1185</v>
      </c>
      <c r="X442" t="s">
        <v>599</v>
      </c>
      <c r="Y442" t="s">
        <v>599</v>
      </c>
      <c r="Z442" t="s">
        <v>2750</v>
      </c>
      <c r="AA442" t="s">
        <v>599</v>
      </c>
      <c r="AB442" t="s">
        <v>599</v>
      </c>
      <c r="AC442" t="s">
        <v>2751</v>
      </c>
      <c r="AD442" t="s">
        <v>1188</v>
      </c>
      <c r="AE442" t="s">
        <v>2752</v>
      </c>
      <c r="AF442" t="s">
        <v>1190</v>
      </c>
    </row>
    <row r="443" spans="1:32" s="13" customFormat="1" ht="45" x14ac:dyDescent="0.25">
      <c r="A443" s="10">
        <v>866522</v>
      </c>
      <c r="B443" s="10">
        <v>1</v>
      </c>
      <c r="C443" s="9">
        <v>173</v>
      </c>
      <c r="D443" s="56" t="s">
        <v>1067</v>
      </c>
      <c r="E443" s="12" t="s">
        <v>378</v>
      </c>
      <c r="F443" s="45"/>
      <c r="G443" s="45"/>
      <c r="H443" s="45"/>
      <c r="I443">
        <v>866522</v>
      </c>
      <c r="J443" t="s">
        <v>377</v>
      </c>
      <c r="K443" t="s">
        <v>2747</v>
      </c>
      <c r="L443" t="s">
        <v>1178</v>
      </c>
      <c r="M443" t="s">
        <v>1192</v>
      </c>
      <c r="N443" t="s">
        <v>599</v>
      </c>
      <c r="O443" t="s">
        <v>2748</v>
      </c>
      <c r="P443" t="s">
        <v>599</v>
      </c>
      <c r="Q443" t="s">
        <v>599</v>
      </c>
      <c r="R443" t="s">
        <v>1182</v>
      </c>
      <c r="S443" t="s">
        <v>2696</v>
      </c>
      <c r="T443">
        <v>1932</v>
      </c>
      <c r="U443">
        <v>1932</v>
      </c>
      <c r="V443" t="s">
        <v>2749</v>
      </c>
      <c r="W443" t="s">
        <v>1185</v>
      </c>
      <c r="X443" t="s">
        <v>599</v>
      </c>
      <c r="Y443" t="s">
        <v>599</v>
      </c>
      <c r="Z443" t="s">
        <v>2750</v>
      </c>
      <c r="AA443" t="s">
        <v>599</v>
      </c>
      <c r="AB443" t="s">
        <v>599</v>
      </c>
      <c r="AC443" t="s">
        <v>2751</v>
      </c>
      <c r="AD443" t="s">
        <v>1188</v>
      </c>
      <c r="AE443" t="s">
        <v>2752</v>
      </c>
      <c r="AF443" t="s">
        <v>1190</v>
      </c>
    </row>
    <row r="444" spans="1:32" s="13" customFormat="1" ht="45" x14ac:dyDescent="0.25">
      <c r="A444" s="10">
        <v>866522</v>
      </c>
      <c r="B444" s="10">
        <v>1</v>
      </c>
      <c r="C444" s="9">
        <v>363</v>
      </c>
      <c r="D444" s="56" t="s">
        <v>1068</v>
      </c>
      <c r="E444" s="12" t="s">
        <v>378</v>
      </c>
      <c r="F444" s="45"/>
      <c r="G444" s="45"/>
      <c r="H444" s="45"/>
      <c r="I444">
        <v>866522</v>
      </c>
      <c r="J444" t="s">
        <v>377</v>
      </c>
      <c r="K444" t="s">
        <v>2747</v>
      </c>
      <c r="L444" t="s">
        <v>1178</v>
      </c>
      <c r="M444" t="s">
        <v>1192</v>
      </c>
      <c r="N444" t="s">
        <v>599</v>
      </c>
      <c r="O444" t="s">
        <v>2748</v>
      </c>
      <c r="P444" t="s">
        <v>599</v>
      </c>
      <c r="Q444" t="s">
        <v>599</v>
      </c>
      <c r="R444" t="s">
        <v>1182</v>
      </c>
      <c r="S444" t="s">
        <v>2696</v>
      </c>
      <c r="T444">
        <v>1932</v>
      </c>
      <c r="U444">
        <v>1932</v>
      </c>
      <c r="V444" t="s">
        <v>2749</v>
      </c>
      <c r="W444" t="s">
        <v>1185</v>
      </c>
      <c r="X444" t="s">
        <v>599</v>
      </c>
      <c r="Y444" t="s">
        <v>599</v>
      </c>
      <c r="Z444" t="s">
        <v>2750</v>
      </c>
      <c r="AA444" t="s">
        <v>599</v>
      </c>
      <c r="AB444" t="s">
        <v>599</v>
      </c>
      <c r="AC444" t="s">
        <v>2751</v>
      </c>
      <c r="AD444" t="s">
        <v>1188</v>
      </c>
      <c r="AE444" t="s">
        <v>2752</v>
      </c>
      <c r="AF444" t="s">
        <v>1190</v>
      </c>
    </row>
    <row r="445" spans="1:32" s="13" customFormat="1" ht="45" x14ac:dyDescent="0.25">
      <c r="A445" s="10">
        <v>866522</v>
      </c>
      <c r="B445" s="10">
        <v>1</v>
      </c>
      <c r="C445" s="9">
        <v>391</v>
      </c>
      <c r="D445" s="56" t="s">
        <v>1069</v>
      </c>
      <c r="E445" s="12" t="s">
        <v>378</v>
      </c>
      <c r="F445" s="45"/>
      <c r="G445" s="45"/>
      <c r="H445" s="45"/>
      <c r="I445">
        <v>866522</v>
      </c>
      <c r="J445" t="s">
        <v>377</v>
      </c>
      <c r="K445" t="s">
        <v>2747</v>
      </c>
      <c r="L445" t="s">
        <v>1178</v>
      </c>
      <c r="M445" t="s">
        <v>1192</v>
      </c>
      <c r="N445" t="s">
        <v>599</v>
      </c>
      <c r="O445" t="s">
        <v>2748</v>
      </c>
      <c r="P445" t="s">
        <v>599</v>
      </c>
      <c r="Q445" t="s">
        <v>599</v>
      </c>
      <c r="R445" t="s">
        <v>1182</v>
      </c>
      <c r="S445" t="s">
        <v>2696</v>
      </c>
      <c r="T445">
        <v>1932</v>
      </c>
      <c r="U445">
        <v>1932</v>
      </c>
      <c r="V445" t="s">
        <v>2749</v>
      </c>
      <c r="W445" t="s">
        <v>1185</v>
      </c>
      <c r="X445" t="s">
        <v>599</v>
      </c>
      <c r="Y445" t="s">
        <v>599</v>
      </c>
      <c r="Z445" t="s">
        <v>2750</v>
      </c>
      <c r="AA445" t="s">
        <v>599</v>
      </c>
      <c r="AB445" t="s">
        <v>599</v>
      </c>
      <c r="AC445" t="s">
        <v>2751</v>
      </c>
      <c r="AD445" t="s">
        <v>1188</v>
      </c>
      <c r="AE445" t="s">
        <v>2752</v>
      </c>
      <c r="AF445" t="s">
        <v>1190</v>
      </c>
    </row>
    <row r="446" spans="1:32" s="13" customFormat="1" ht="45" x14ac:dyDescent="0.25">
      <c r="A446" s="10">
        <v>328432</v>
      </c>
      <c r="B446" s="10">
        <v>1</v>
      </c>
      <c r="C446" s="9">
        <v>1</v>
      </c>
      <c r="D446" s="56" t="s">
        <v>1070</v>
      </c>
      <c r="E446" s="12">
        <v>1</v>
      </c>
      <c r="F446" s="45"/>
      <c r="G446" s="45"/>
      <c r="H446" s="45"/>
      <c r="I446">
        <v>328432</v>
      </c>
      <c r="J446" t="s">
        <v>380</v>
      </c>
      <c r="K446" t="s">
        <v>2753</v>
      </c>
      <c r="L446" t="s">
        <v>1178</v>
      </c>
      <c r="M446" t="s">
        <v>1192</v>
      </c>
      <c r="N446" t="s">
        <v>599</v>
      </c>
      <c r="O446" t="s">
        <v>2754</v>
      </c>
      <c r="P446" t="s">
        <v>2755</v>
      </c>
      <c r="Q446" t="s">
        <v>599</v>
      </c>
      <c r="R446" t="s">
        <v>1182</v>
      </c>
      <c r="S446" t="s">
        <v>2756</v>
      </c>
      <c r="T446">
        <v>1880</v>
      </c>
      <c r="U446">
        <v>1880</v>
      </c>
      <c r="V446" t="s">
        <v>1463</v>
      </c>
      <c r="W446" t="s">
        <v>599</v>
      </c>
      <c r="X446" t="s">
        <v>599</v>
      </c>
      <c r="Y446" t="s">
        <v>599</v>
      </c>
      <c r="Z446" t="s">
        <v>2757</v>
      </c>
      <c r="AA446" t="s">
        <v>599</v>
      </c>
      <c r="AB446" t="s">
        <v>599</v>
      </c>
      <c r="AC446" t="s">
        <v>2758</v>
      </c>
      <c r="AD446" t="s">
        <v>1188</v>
      </c>
      <c r="AE446" t="s">
        <v>2759</v>
      </c>
      <c r="AF446" t="s">
        <v>1190</v>
      </c>
    </row>
    <row r="447" spans="1:32" s="13" customFormat="1" ht="45" x14ac:dyDescent="0.25">
      <c r="A447" s="10">
        <v>328922</v>
      </c>
      <c r="B447" s="10">
        <v>1</v>
      </c>
      <c r="C447" s="9">
        <v>10</v>
      </c>
      <c r="D447" s="56" t="s">
        <v>1071</v>
      </c>
      <c r="E447" s="12">
        <v>10</v>
      </c>
      <c r="F447" s="45"/>
      <c r="G447" s="45"/>
      <c r="H447" s="45"/>
      <c r="I447">
        <v>328922</v>
      </c>
      <c r="J447" t="s">
        <v>381</v>
      </c>
      <c r="K447" t="s">
        <v>2761</v>
      </c>
      <c r="L447" t="s">
        <v>1178</v>
      </c>
      <c r="M447" t="s">
        <v>1192</v>
      </c>
      <c r="N447" t="s">
        <v>599</v>
      </c>
      <c r="O447" t="s">
        <v>2762</v>
      </c>
      <c r="P447" t="s">
        <v>2763</v>
      </c>
      <c r="Q447" t="s">
        <v>599</v>
      </c>
      <c r="R447" t="s">
        <v>1182</v>
      </c>
      <c r="S447" t="s">
        <v>2764</v>
      </c>
      <c r="T447">
        <v>1889</v>
      </c>
      <c r="U447">
        <v>1889</v>
      </c>
      <c r="V447" t="s">
        <v>2765</v>
      </c>
      <c r="W447" t="s">
        <v>2766</v>
      </c>
      <c r="X447" t="s">
        <v>599</v>
      </c>
      <c r="Y447" t="s">
        <v>599</v>
      </c>
      <c r="Z447" t="s">
        <v>599</v>
      </c>
      <c r="AA447" t="s">
        <v>599</v>
      </c>
      <c r="AB447" t="s">
        <v>599</v>
      </c>
      <c r="AC447" t="s">
        <v>2767</v>
      </c>
      <c r="AD447" t="s">
        <v>1188</v>
      </c>
      <c r="AE447" t="s">
        <v>2768</v>
      </c>
      <c r="AF447" t="s">
        <v>1190</v>
      </c>
    </row>
    <row r="448" spans="1:32" s="13" customFormat="1" ht="45" x14ac:dyDescent="0.25">
      <c r="A448" s="10">
        <v>329068</v>
      </c>
      <c r="B448" s="10">
        <v>1</v>
      </c>
      <c r="C448" s="9">
        <v>8</v>
      </c>
      <c r="D448" s="56" t="s">
        <v>1072</v>
      </c>
      <c r="E448" s="12" t="s">
        <v>383</v>
      </c>
      <c r="F448" s="45"/>
      <c r="G448" s="45"/>
      <c r="H448" s="45"/>
      <c r="I448">
        <v>329068</v>
      </c>
      <c r="J448" t="s">
        <v>382</v>
      </c>
      <c r="K448" t="s">
        <v>2769</v>
      </c>
      <c r="L448" t="s">
        <v>1178</v>
      </c>
      <c r="M448" t="s">
        <v>1192</v>
      </c>
      <c r="N448" t="s">
        <v>599</v>
      </c>
      <c r="O448" t="s">
        <v>2770</v>
      </c>
      <c r="P448" t="s">
        <v>599</v>
      </c>
      <c r="Q448" t="s">
        <v>599</v>
      </c>
      <c r="R448" t="s">
        <v>2771</v>
      </c>
      <c r="S448" t="s">
        <v>2704</v>
      </c>
      <c r="T448">
        <v>1870</v>
      </c>
      <c r="U448">
        <v>1870</v>
      </c>
      <c r="V448" t="s">
        <v>2772</v>
      </c>
      <c r="W448" t="s">
        <v>599</v>
      </c>
      <c r="X448" t="s">
        <v>599</v>
      </c>
      <c r="Y448" t="s">
        <v>599</v>
      </c>
      <c r="Z448" t="s">
        <v>2773</v>
      </c>
      <c r="AA448" t="s">
        <v>599</v>
      </c>
      <c r="AB448" t="s">
        <v>599</v>
      </c>
      <c r="AC448" t="s">
        <v>2774</v>
      </c>
      <c r="AD448" t="s">
        <v>1188</v>
      </c>
      <c r="AE448" t="s">
        <v>2775</v>
      </c>
      <c r="AF448" t="s">
        <v>1190</v>
      </c>
    </row>
    <row r="449" spans="1:32" s="13" customFormat="1" ht="45" x14ac:dyDescent="0.25">
      <c r="A449" s="10">
        <v>329068</v>
      </c>
      <c r="B449" s="10">
        <v>1</v>
      </c>
      <c r="C449" s="9">
        <v>118</v>
      </c>
      <c r="D449" s="56" t="s">
        <v>1073</v>
      </c>
      <c r="E449" s="12" t="s">
        <v>383</v>
      </c>
      <c r="F449" s="45"/>
      <c r="G449" s="45"/>
      <c r="H449" s="45"/>
      <c r="I449">
        <v>329068</v>
      </c>
      <c r="J449" t="s">
        <v>382</v>
      </c>
      <c r="K449" t="s">
        <v>2769</v>
      </c>
      <c r="L449" t="s">
        <v>1178</v>
      </c>
      <c r="M449" t="s">
        <v>1192</v>
      </c>
      <c r="N449" t="s">
        <v>599</v>
      </c>
      <c r="O449" t="s">
        <v>2770</v>
      </c>
      <c r="P449" t="s">
        <v>599</v>
      </c>
      <c r="Q449" t="s">
        <v>599</v>
      </c>
      <c r="R449" t="s">
        <v>2771</v>
      </c>
      <c r="S449" t="s">
        <v>2704</v>
      </c>
      <c r="T449">
        <v>1870</v>
      </c>
      <c r="U449">
        <v>1870</v>
      </c>
      <c r="V449" t="s">
        <v>2772</v>
      </c>
      <c r="W449" t="s">
        <v>599</v>
      </c>
      <c r="X449" t="s">
        <v>599</v>
      </c>
      <c r="Y449" t="s">
        <v>599</v>
      </c>
      <c r="Z449" t="s">
        <v>2773</v>
      </c>
      <c r="AA449" t="s">
        <v>599</v>
      </c>
      <c r="AB449" t="s">
        <v>599</v>
      </c>
      <c r="AC449" t="s">
        <v>2774</v>
      </c>
      <c r="AD449" t="s">
        <v>1188</v>
      </c>
      <c r="AE449" t="s">
        <v>2775</v>
      </c>
      <c r="AF449" t="s">
        <v>1190</v>
      </c>
    </row>
    <row r="450" spans="1:32" s="13" customFormat="1" ht="45" x14ac:dyDescent="0.25">
      <c r="A450" s="10">
        <v>330080</v>
      </c>
      <c r="B450" s="10">
        <v>1</v>
      </c>
      <c r="C450" s="9">
        <v>24</v>
      </c>
      <c r="D450" s="56" t="s">
        <v>1074</v>
      </c>
      <c r="E450" s="12" t="s">
        <v>386</v>
      </c>
      <c r="F450" s="45"/>
      <c r="G450" s="45"/>
      <c r="H450" s="45"/>
      <c r="I450">
        <v>330080</v>
      </c>
      <c r="J450" t="s">
        <v>385</v>
      </c>
      <c r="K450" t="s">
        <v>2777</v>
      </c>
      <c r="L450" t="s">
        <v>1178</v>
      </c>
      <c r="M450" t="s">
        <v>1192</v>
      </c>
      <c r="N450" t="s">
        <v>599</v>
      </c>
      <c r="O450" t="s">
        <v>2778</v>
      </c>
      <c r="P450" t="s">
        <v>599</v>
      </c>
      <c r="Q450" t="s">
        <v>599</v>
      </c>
      <c r="R450" t="s">
        <v>1182</v>
      </c>
      <c r="S450" t="s">
        <v>2779</v>
      </c>
      <c r="T450">
        <v>1880</v>
      </c>
      <c r="U450">
        <v>1880</v>
      </c>
      <c r="V450" t="s">
        <v>2780</v>
      </c>
      <c r="W450" t="s">
        <v>2781</v>
      </c>
      <c r="X450" t="s">
        <v>599</v>
      </c>
      <c r="Y450" t="s">
        <v>599</v>
      </c>
      <c r="Z450" t="s">
        <v>599</v>
      </c>
      <c r="AA450" t="s">
        <v>599</v>
      </c>
      <c r="AB450" t="s">
        <v>599</v>
      </c>
      <c r="AC450" t="s">
        <v>2782</v>
      </c>
      <c r="AD450" t="s">
        <v>1188</v>
      </c>
      <c r="AE450" t="s">
        <v>2783</v>
      </c>
      <c r="AF450" t="s">
        <v>1190</v>
      </c>
    </row>
    <row r="451" spans="1:32" s="13" customFormat="1" ht="45" x14ac:dyDescent="0.25">
      <c r="A451" s="10">
        <v>330133</v>
      </c>
      <c r="B451" s="10">
        <v>1</v>
      </c>
      <c r="C451" s="9">
        <v>8</v>
      </c>
      <c r="D451" s="56" t="s">
        <v>1075</v>
      </c>
      <c r="E451" s="12" t="s">
        <v>388</v>
      </c>
      <c r="F451" s="45"/>
      <c r="G451" s="45"/>
      <c r="H451" s="45"/>
      <c r="I451">
        <v>330133</v>
      </c>
      <c r="J451" t="s">
        <v>387</v>
      </c>
      <c r="K451" t="s">
        <v>2785</v>
      </c>
      <c r="L451" t="s">
        <v>1178</v>
      </c>
      <c r="M451" t="s">
        <v>1192</v>
      </c>
      <c r="N451" t="s">
        <v>599</v>
      </c>
      <c r="O451" t="s">
        <v>1105</v>
      </c>
      <c r="P451" t="s">
        <v>2786</v>
      </c>
      <c r="Q451" t="s">
        <v>599</v>
      </c>
      <c r="R451" t="s">
        <v>1182</v>
      </c>
      <c r="S451" t="s">
        <v>2787</v>
      </c>
      <c r="T451">
        <v>1849</v>
      </c>
      <c r="U451">
        <v>1849</v>
      </c>
      <c r="V451" t="s">
        <v>2788</v>
      </c>
      <c r="W451" t="s">
        <v>2789</v>
      </c>
      <c r="X451" t="s">
        <v>599</v>
      </c>
      <c r="Y451" t="s">
        <v>599</v>
      </c>
      <c r="Z451" t="s">
        <v>599</v>
      </c>
      <c r="AA451" t="s">
        <v>599</v>
      </c>
      <c r="AB451" t="s">
        <v>599</v>
      </c>
      <c r="AC451" t="s">
        <v>2790</v>
      </c>
      <c r="AD451" t="s">
        <v>1188</v>
      </c>
      <c r="AE451" t="s">
        <v>2791</v>
      </c>
      <c r="AF451" t="s">
        <v>1190</v>
      </c>
    </row>
    <row r="452" spans="1:32" s="13" customFormat="1" ht="45" x14ac:dyDescent="0.25">
      <c r="A452" s="10">
        <v>330133</v>
      </c>
      <c r="B452" s="10">
        <v>1</v>
      </c>
      <c r="C452" s="9">
        <v>303</v>
      </c>
      <c r="D452" s="56" t="s">
        <v>1076</v>
      </c>
      <c r="E452" s="12" t="s">
        <v>388</v>
      </c>
      <c r="F452" s="45"/>
      <c r="G452" s="45"/>
      <c r="H452" s="45"/>
      <c r="I452">
        <v>330133</v>
      </c>
      <c r="J452" t="s">
        <v>387</v>
      </c>
      <c r="K452" t="s">
        <v>2785</v>
      </c>
      <c r="L452" t="s">
        <v>1178</v>
      </c>
      <c r="M452" t="s">
        <v>1192</v>
      </c>
      <c r="N452" t="s">
        <v>599</v>
      </c>
      <c r="O452" t="s">
        <v>1105</v>
      </c>
      <c r="P452" t="s">
        <v>2786</v>
      </c>
      <c r="Q452" t="s">
        <v>599</v>
      </c>
      <c r="R452" t="s">
        <v>1182</v>
      </c>
      <c r="S452" t="s">
        <v>2787</v>
      </c>
      <c r="T452">
        <v>1849</v>
      </c>
      <c r="U452">
        <v>1849</v>
      </c>
      <c r="V452" t="s">
        <v>2788</v>
      </c>
      <c r="W452" t="s">
        <v>2789</v>
      </c>
      <c r="X452" t="s">
        <v>599</v>
      </c>
      <c r="Y452" t="s">
        <v>599</v>
      </c>
      <c r="Z452" t="s">
        <v>599</v>
      </c>
      <c r="AA452" t="s">
        <v>599</v>
      </c>
      <c r="AB452" t="s">
        <v>599</v>
      </c>
      <c r="AC452" t="s">
        <v>2790</v>
      </c>
      <c r="AD452" t="s">
        <v>1188</v>
      </c>
      <c r="AE452" t="s">
        <v>2791</v>
      </c>
      <c r="AF452" t="s">
        <v>1190</v>
      </c>
    </row>
    <row r="453" spans="1:32" s="13" customFormat="1" ht="45" x14ac:dyDescent="0.25">
      <c r="A453" s="10">
        <v>473486</v>
      </c>
      <c r="B453" s="10">
        <v>1</v>
      </c>
      <c r="C453" s="9">
        <v>68</v>
      </c>
      <c r="D453" s="56" t="s">
        <v>1077</v>
      </c>
      <c r="E453" s="12" t="s">
        <v>391</v>
      </c>
      <c r="F453" s="45"/>
      <c r="G453" s="45"/>
      <c r="H453" s="45"/>
      <c r="I453">
        <v>473486</v>
      </c>
      <c r="J453" t="s">
        <v>390</v>
      </c>
      <c r="K453" t="s">
        <v>2793</v>
      </c>
      <c r="L453" t="s">
        <v>1517</v>
      </c>
      <c r="M453" t="s">
        <v>1192</v>
      </c>
      <c r="N453" t="s">
        <v>599</v>
      </c>
      <c r="O453" t="s">
        <v>2794</v>
      </c>
      <c r="P453" t="s">
        <v>599</v>
      </c>
      <c r="Q453" t="s">
        <v>599</v>
      </c>
      <c r="R453" t="s">
        <v>1182</v>
      </c>
      <c r="S453" t="s">
        <v>599</v>
      </c>
      <c r="T453">
        <v>1847</v>
      </c>
      <c r="U453">
        <v>1847</v>
      </c>
      <c r="V453" t="s">
        <v>2795</v>
      </c>
      <c r="W453" t="s">
        <v>2796</v>
      </c>
      <c r="X453" t="s">
        <v>599</v>
      </c>
      <c r="Y453" t="s">
        <v>599</v>
      </c>
      <c r="Z453" t="s">
        <v>2306</v>
      </c>
      <c r="AA453" t="s">
        <v>599</v>
      </c>
      <c r="AB453" t="s">
        <v>599</v>
      </c>
      <c r="AC453" t="s">
        <v>2797</v>
      </c>
      <c r="AD453" t="s">
        <v>1188</v>
      </c>
      <c r="AE453" t="s">
        <v>2798</v>
      </c>
      <c r="AF453" t="s">
        <v>1190</v>
      </c>
    </row>
    <row r="454" spans="1:32" s="13" customFormat="1" ht="45" x14ac:dyDescent="0.25">
      <c r="A454" s="10">
        <v>473496</v>
      </c>
      <c r="B454" s="10">
        <v>1</v>
      </c>
      <c r="C454" s="9">
        <v>1</v>
      </c>
      <c r="D454" s="56" t="s">
        <v>1078</v>
      </c>
      <c r="E454" s="12" t="s">
        <v>393</v>
      </c>
      <c r="F454" s="45"/>
      <c r="G454" s="45"/>
      <c r="H454" s="45"/>
      <c r="I454">
        <v>473496</v>
      </c>
      <c r="J454" t="s">
        <v>392</v>
      </c>
      <c r="K454" t="s">
        <v>2800</v>
      </c>
      <c r="L454" t="s">
        <v>1178</v>
      </c>
      <c r="M454" t="s">
        <v>1192</v>
      </c>
      <c r="N454" t="s">
        <v>599</v>
      </c>
      <c r="O454" t="s">
        <v>2801</v>
      </c>
      <c r="P454" t="s">
        <v>599</v>
      </c>
      <c r="Q454" t="s">
        <v>599</v>
      </c>
      <c r="R454" t="s">
        <v>1182</v>
      </c>
      <c r="S454" t="s">
        <v>2802</v>
      </c>
      <c r="T454">
        <v>1845</v>
      </c>
      <c r="U454">
        <v>1845</v>
      </c>
      <c r="V454" t="s">
        <v>2803</v>
      </c>
      <c r="W454" t="s">
        <v>2804</v>
      </c>
      <c r="X454" t="s">
        <v>599</v>
      </c>
      <c r="Y454" t="s">
        <v>599</v>
      </c>
      <c r="Z454" t="s">
        <v>599</v>
      </c>
      <c r="AA454" t="s">
        <v>599</v>
      </c>
      <c r="AB454" t="s">
        <v>599</v>
      </c>
      <c r="AC454" t="s">
        <v>2805</v>
      </c>
      <c r="AD454" t="s">
        <v>1188</v>
      </c>
      <c r="AE454" t="s">
        <v>2806</v>
      </c>
      <c r="AF454" t="s">
        <v>1190</v>
      </c>
    </row>
    <row r="455" spans="1:32" s="13" customFormat="1" ht="45" x14ac:dyDescent="0.25">
      <c r="A455" s="10">
        <v>330264</v>
      </c>
      <c r="B455" s="10">
        <v>1</v>
      </c>
      <c r="C455" s="9">
        <v>136</v>
      </c>
      <c r="D455" s="56" t="s">
        <v>1079</v>
      </c>
      <c r="E455" s="12" t="s">
        <v>395</v>
      </c>
      <c r="F455" s="45"/>
      <c r="G455" s="45"/>
      <c r="H455" s="45"/>
      <c r="I455">
        <v>330264</v>
      </c>
      <c r="J455" t="s">
        <v>394</v>
      </c>
      <c r="K455" t="s">
        <v>2807</v>
      </c>
      <c r="L455" t="s">
        <v>1178</v>
      </c>
      <c r="M455" t="s">
        <v>1192</v>
      </c>
      <c r="N455" t="s">
        <v>599</v>
      </c>
      <c r="O455" t="s">
        <v>2808</v>
      </c>
      <c r="P455" t="s">
        <v>599</v>
      </c>
      <c r="Q455" t="s">
        <v>599</v>
      </c>
      <c r="R455" t="s">
        <v>1182</v>
      </c>
      <c r="S455" t="s">
        <v>2809</v>
      </c>
      <c r="T455">
        <v>1893</v>
      </c>
      <c r="U455">
        <v>1893</v>
      </c>
      <c r="V455" t="s">
        <v>2810</v>
      </c>
      <c r="W455" t="s">
        <v>2811</v>
      </c>
      <c r="X455" t="s">
        <v>599</v>
      </c>
      <c r="Y455" t="s">
        <v>599</v>
      </c>
      <c r="Z455" t="s">
        <v>599</v>
      </c>
      <c r="AA455" t="s">
        <v>599</v>
      </c>
      <c r="AB455" t="s">
        <v>599</v>
      </c>
      <c r="AC455" t="s">
        <v>2812</v>
      </c>
      <c r="AD455" t="s">
        <v>1188</v>
      </c>
      <c r="AE455" t="s">
        <v>2813</v>
      </c>
      <c r="AF455" t="s">
        <v>1190</v>
      </c>
    </row>
    <row r="456" spans="1:32" s="13" customFormat="1" ht="45" x14ac:dyDescent="0.25">
      <c r="A456" s="10">
        <v>330264</v>
      </c>
      <c r="B456" s="10">
        <v>1</v>
      </c>
      <c r="C456" s="9">
        <v>138</v>
      </c>
      <c r="D456" s="56" t="s">
        <v>1080</v>
      </c>
      <c r="E456" s="12" t="s">
        <v>395</v>
      </c>
      <c r="F456" s="45"/>
      <c r="G456" s="45"/>
      <c r="H456" s="45"/>
      <c r="I456">
        <v>330264</v>
      </c>
      <c r="J456" t="s">
        <v>394</v>
      </c>
      <c r="K456" t="s">
        <v>2807</v>
      </c>
      <c r="L456" t="s">
        <v>1178</v>
      </c>
      <c r="M456" t="s">
        <v>1192</v>
      </c>
      <c r="N456" t="s">
        <v>599</v>
      </c>
      <c r="O456" t="s">
        <v>2808</v>
      </c>
      <c r="P456" t="s">
        <v>599</v>
      </c>
      <c r="Q456" t="s">
        <v>599</v>
      </c>
      <c r="R456" t="s">
        <v>1182</v>
      </c>
      <c r="S456" t="s">
        <v>2809</v>
      </c>
      <c r="T456">
        <v>1893</v>
      </c>
      <c r="U456">
        <v>1893</v>
      </c>
      <c r="V456" t="s">
        <v>2810</v>
      </c>
      <c r="W456" t="s">
        <v>2811</v>
      </c>
      <c r="X456" t="s">
        <v>599</v>
      </c>
      <c r="Y456" t="s">
        <v>599</v>
      </c>
      <c r="Z456" t="s">
        <v>599</v>
      </c>
      <c r="AA456" t="s">
        <v>599</v>
      </c>
      <c r="AB456" t="s">
        <v>599</v>
      </c>
      <c r="AC456" t="s">
        <v>2812</v>
      </c>
      <c r="AD456" t="s">
        <v>1188</v>
      </c>
      <c r="AE456" t="s">
        <v>2813</v>
      </c>
      <c r="AF456" t="s">
        <v>1190</v>
      </c>
    </row>
    <row r="457" spans="1:32" s="13" customFormat="1" ht="45" x14ac:dyDescent="0.25">
      <c r="A457" s="10">
        <v>330264</v>
      </c>
      <c r="B457" s="10">
        <v>1</v>
      </c>
      <c r="C457" s="9">
        <v>140</v>
      </c>
      <c r="D457" s="56" t="s">
        <v>1081</v>
      </c>
      <c r="E457" s="12" t="s">
        <v>395</v>
      </c>
      <c r="F457" s="45"/>
      <c r="G457" s="45"/>
      <c r="H457" s="45"/>
      <c r="I457">
        <v>330264</v>
      </c>
      <c r="J457" t="s">
        <v>394</v>
      </c>
      <c r="K457" t="s">
        <v>2807</v>
      </c>
      <c r="L457" t="s">
        <v>1178</v>
      </c>
      <c r="M457" t="s">
        <v>1192</v>
      </c>
      <c r="N457" t="s">
        <v>599</v>
      </c>
      <c r="O457" t="s">
        <v>2808</v>
      </c>
      <c r="P457" t="s">
        <v>599</v>
      </c>
      <c r="Q457" t="s">
        <v>599</v>
      </c>
      <c r="R457" t="s">
        <v>1182</v>
      </c>
      <c r="S457" t="s">
        <v>2809</v>
      </c>
      <c r="T457">
        <v>1893</v>
      </c>
      <c r="U457">
        <v>1893</v>
      </c>
      <c r="V457" t="s">
        <v>2810</v>
      </c>
      <c r="W457" t="s">
        <v>2811</v>
      </c>
      <c r="X457" t="s">
        <v>599</v>
      </c>
      <c r="Y457" t="s">
        <v>599</v>
      </c>
      <c r="Z457" t="s">
        <v>599</v>
      </c>
      <c r="AA457" t="s">
        <v>599</v>
      </c>
      <c r="AB457" t="s">
        <v>599</v>
      </c>
      <c r="AC457" t="s">
        <v>2812</v>
      </c>
      <c r="AD457" t="s">
        <v>1188</v>
      </c>
      <c r="AE457" t="s">
        <v>2813</v>
      </c>
      <c r="AF457" t="s">
        <v>1190</v>
      </c>
    </row>
    <row r="458" spans="1:32" s="13" customFormat="1" ht="45" x14ac:dyDescent="0.25">
      <c r="A458" s="10">
        <v>330264</v>
      </c>
      <c r="B458" s="10">
        <v>1</v>
      </c>
      <c r="C458" s="9">
        <v>142</v>
      </c>
      <c r="D458" s="56" t="s">
        <v>1082</v>
      </c>
      <c r="E458" s="12" t="s">
        <v>395</v>
      </c>
      <c r="F458" s="45"/>
      <c r="G458" s="45"/>
      <c r="H458" s="45"/>
      <c r="I458">
        <v>330264</v>
      </c>
      <c r="J458" t="s">
        <v>394</v>
      </c>
      <c r="K458" t="s">
        <v>2807</v>
      </c>
      <c r="L458" t="s">
        <v>1178</v>
      </c>
      <c r="M458" t="s">
        <v>1192</v>
      </c>
      <c r="N458" t="s">
        <v>599</v>
      </c>
      <c r="O458" t="s">
        <v>2808</v>
      </c>
      <c r="P458" t="s">
        <v>599</v>
      </c>
      <c r="Q458" t="s">
        <v>599</v>
      </c>
      <c r="R458" t="s">
        <v>1182</v>
      </c>
      <c r="S458" t="s">
        <v>2809</v>
      </c>
      <c r="T458">
        <v>1893</v>
      </c>
      <c r="U458">
        <v>1893</v>
      </c>
      <c r="V458" t="s">
        <v>2810</v>
      </c>
      <c r="W458" t="s">
        <v>2811</v>
      </c>
      <c r="X458" t="s">
        <v>599</v>
      </c>
      <c r="Y458" t="s">
        <v>599</v>
      </c>
      <c r="Z458" t="s">
        <v>599</v>
      </c>
      <c r="AA458" t="s">
        <v>599</v>
      </c>
      <c r="AB458" t="s">
        <v>599</v>
      </c>
      <c r="AC458" t="s">
        <v>2812</v>
      </c>
      <c r="AD458" t="s">
        <v>1188</v>
      </c>
      <c r="AE458" t="s">
        <v>2813</v>
      </c>
      <c r="AF458" t="s">
        <v>1190</v>
      </c>
    </row>
    <row r="459" spans="1:32" s="13" customFormat="1" ht="45" x14ac:dyDescent="0.25">
      <c r="A459" s="10">
        <v>330264</v>
      </c>
      <c r="B459" s="10">
        <v>1</v>
      </c>
      <c r="C459" s="9">
        <v>144</v>
      </c>
      <c r="D459" s="56" t="s">
        <v>1083</v>
      </c>
      <c r="E459" s="12" t="s">
        <v>395</v>
      </c>
      <c r="F459" s="45"/>
      <c r="G459" s="45"/>
      <c r="H459" s="45"/>
      <c r="I459">
        <v>330264</v>
      </c>
      <c r="J459" t="s">
        <v>394</v>
      </c>
      <c r="K459" t="s">
        <v>2807</v>
      </c>
      <c r="L459" t="s">
        <v>1178</v>
      </c>
      <c r="M459" t="s">
        <v>1192</v>
      </c>
      <c r="N459" t="s">
        <v>599</v>
      </c>
      <c r="O459" t="s">
        <v>2808</v>
      </c>
      <c r="P459" t="s">
        <v>599</v>
      </c>
      <c r="Q459" t="s">
        <v>599</v>
      </c>
      <c r="R459" t="s">
        <v>1182</v>
      </c>
      <c r="S459" t="s">
        <v>2809</v>
      </c>
      <c r="T459">
        <v>1893</v>
      </c>
      <c r="U459">
        <v>1893</v>
      </c>
      <c r="V459" t="s">
        <v>2810</v>
      </c>
      <c r="W459" t="s">
        <v>2811</v>
      </c>
      <c r="X459" t="s">
        <v>599</v>
      </c>
      <c r="Y459" t="s">
        <v>599</v>
      </c>
      <c r="Z459" t="s">
        <v>599</v>
      </c>
      <c r="AA459" t="s">
        <v>599</v>
      </c>
      <c r="AB459" t="s">
        <v>599</v>
      </c>
      <c r="AC459" t="s">
        <v>2812</v>
      </c>
      <c r="AD459" t="s">
        <v>1188</v>
      </c>
      <c r="AE459" t="s">
        <v>2813</v>
      </c>
      <c r="AF459" t="s">
        <v>1190</v>
      </c>
    </row>
    <row r="460" spans="1:32" s="13" customFormat="1" ht="45" x14ac:dyDescent="0.25">
      <c r="A460" s="10">
        <v>455278</v>
      </c>
      <c r="B460" s="10">
        <v>1</v>
      </c>
      <c r="C460" s="9">
        <v>8</v>
      </c>
      <c r="D460" s="56" t="s">
        <v>1084</v>
      </c>
      <c r="E460" s="12" t="s">
        <v>398</v>
      </c>
      <c r="F460" s="45"/>
      <c r="G460" s="45"/>
      <c r="H460" s="45"/>
      <c r="I460">
        <v>455278</v>
      </c>
      <c r="J460" t="s">
        <v>397</v>
      </c>
      <c r="K460" t="s">
        <v>2814</v>
      </c>
      <c r="L460" t="s">
        <v>1178</v>
      </c>
      <c r="M460" t="s">
        <v>1362</v>
      </c>
      <c r="N460" t="s">
        <v>1192</v>
      </c>
      <c r="O460" t="s">
        <v>2815</v>
      </c>
      <c r="P460" t="s">
        <v>2816</v>
      </c>
      <c r="Q460" t="s">
        <v>599</v>
      </c>
      <c r="R460" t="s">
        <v>1182</v>
      </c>
      <c r="S460" t="s">
        <v>2817</v>
      </c>
      <c r="T460">
        <v>1800</v>
      </c>
      <c r="U460">
        <v>1800</v>
      </c>
      <c r="V460" t="s">
        <v>2818</v>
      </c>
      <c r="W460" t="s">
        <v>1185</v>
      </c>
      <c r="X460" t="s">
        <v>599</v>
      </c>
      <c r="Y460" t="s">
        <v>599</v>
      </c>
      <c r="Z460" t="s">
        <v>599</v>
      </c>
      <c r="AA460" t="s">
        <v>599</v>
      </c>
      <c r="AB460" t="s">
        <v>599</v>
      </c>
      <c r="AC460" t="s">
        <v>2819</v>
      </c>
      <c r="AD460" t="s">
        <v>1188</v>
      </c>
      <c r="AE460" t="s">
        <v>2820</v>
      </c>
      <c r="AF460" t="s">
        <v>1190</v>
      </c>
    </row>
    <row r="461" spans="1:32" s="13" customFormat="1" ht="45" x14ac:dyDescent="0.25">
      <c r="A461" s="10">
        <v>367321</v>
      </c>
      <c r="B461" s="10">
        <v>1</v>
      </c>
      <c r="C461" s="9">
        <v>5</v>
      </c>
      <c r="D461" s="56" t="s">
        <v>1085</v>
      </c>
      <c r="E461" s="12" t="s">
        <v>400</v>
      </c>
      <c r="F461" s="45"/>
      <c r="G461" s="45"/>
      <c r="H461" s="45"/>
      <c r="I461">
        <v>367321</v>
      </c>
      <c r="J461" t="s">
        <v>399</v>
      </c>
      <c r="K461" t="s">
        <v>2821</v>
      </c>
      <c r="L461" t="s">
        <v>1226</v>
      </c>
      <c r="M461" t="s">
        <v>1192</v>
      </c>
      <c r="N461" t="s">
        <v>599</v>
      </c>
      <c r="O461" t="s">
        <v>2822</v>
      </c>
      <c r="P461" t="s">
        <v>599</v>
      </c>
      <c r="Q461" t="s">
        <v>599</v>
      </c>
      <c r="R461" t="s">
        <v>1182</v>
      </c>
      <c r="S461" t="s">
        <v>2823</v>
      </c>
      <c r="T461">
        <v>1896</v>
      </c>
      <c r="U461">
        <v>1896</v>
      </c>
      <c r="V461" t="s">
        <v>2824</v>
      </c>
      <c r="W461" t="s">
        <v>599</v>
      </c>
      <c r="X461" t="s">
        <v>599</v>
      </c>
      <c r="Y461" t="s">
        <v>599</v>
      </c>
      <c r="Z461" t="s">
        <v>2825</v>
      </c>
      <c r="AA461" t="s">
        <v>599</v>
      </c>
      <c r="AB461" t="s">
        <v>599</v>
      </c>
      <c r="AC461" t="s">
        <v>2826</v>
      </c>
      <c r="AD461" t="s">
        <v>1188</v>
      </c>
      <c r="AE461" t="s">
        <v>2827</v>
      </c>
      <c r="AF461" t="s">
        <v>1190</v>
      </c>
    </row>
    <row r="462" spans="1:32" s="13" customFormat="1" ht="45" x14ac:dyDescent="0.25">
      <c r="A462" s="10">
        <v>367321</v>
      </c>
      <c r="B462" s="10">
        <v>1</v>
      </c>
      <c r="C462" s="9">
        <v>39</v>
      </c>
      <c r="D462" s="56" t="s">
        <v>1086</v>
      </c>
      <c r="E462" s="12" t="s">
        <v>400</v>
      </c>
      <c r="F462" s="45"/>
      <c r="G462" s="45"/>
      <c r="H462" s="45"/>
      <c r="I462">
        <v>367321</v>
      </c>
      <c r="J462" t="s">
        <v>399</v>
      </c>
      <c r="K462" t="s">
        <v>2821</v>
      </c>
      <c r="L462" t="s">
        <v>1226</v>
      </c>
      <c r="M462" t="s">
        <v>1192</v>
      </c>
      <c r="N462" t="s">
        <v>599</v>
      </c>
      <c r="O462" t="s">
        <v>2822</v>
      </c>
      <c r="P462" t="s">
        <v>599</v>
      </c>
      <c r="Q462" t="s">
        <v>599</v>
      </c>
      <c r="R462" t="s">
        <v>1182</v>
      </c>
      <c r="S462" t="s">
        <v>2823</v>
      </c>
      <c r="T462">
        <v>1896</v>
      </c>
      <c r="U462">
        <v>1896</v>
      </c>
      <c r="V462" t="s">
        <v>2824</v>
      </c>
      <c r="W462" t="s">
        <v>599</v>
      </c>
      <c r="X462" t="s">
        <v>599</v>
      </c>
      <c r="Y462" t="s">
        <v>599</v>
      </c>
      <c r="Z462" t="s">
        <v>2825</v>
      </c>
      <c r="AA462" t="s">
        <v>599</v>
      </c>
      <c r="AB462" t="s">
        <v>599</v>
      </c>
      <c r="AC462" t="s">
        <v>2826</v>
      </c>
      <c r="AD462" t="s">
        <v>1188</v>
      </c>
      <c r="AE462" t="s">
        <v>2827</v>
      </c>
      <c r="AF462" t="s">
        <v>1190</v>
      </c>
    </row>
    <row r="463" spans="1:32" s="13" customFormat="1" ht="45" x14ac:dyDescent="0.25">
      <c r="A463" s="10">
        <v>367321</v>
      </c>
      <c r="B463" s="10">
        <v>1</v>
      </c>
      <c r="C463" s="9">
        <v>71</v>
      </c>
      <c r="D463" s="56" t="s">
        <v>1087</v>
      </c>
      <c r="E463" s="12" t="s">
        <v>400</v>
      </c>
      <c r="F463" s="45"/>
      <c r="G463" s="45"/>
      <c r="H463" s="45"/>
      <c r="I463">
        <v>367321</v>
      </c>
      <c r="J463" t="s">
        <v>399</v>
      </c>
      <c r="K463" t="s">
        <v>2821</v>
      </c>
      <c r="L463" t="s">
        <v>1226</v>
      </c>
      <c r="M463" t="s">
        <v>1192</v>
      </c>
      <c r="N463" t="s">
        <v>599</v>
      </c>
      <c r="O463" t="s">
        <v>2822</v>
      </c>
      <c r="P463" t="s">
        <v>599</v>
      </c>
      <c r="Q463" t="s">
        <v>599</v>
      </c>
      <c r="R463" t="s">
        <v>1182</v>
      </c>
      <c r="S463" t="s">
        <v>2823</v>
      </c>
      <c r="T463">
        <v>1896</v>
      </c>
      <c r="U463">
        <v>1896</v>
      </c>
      <c r="V463" t="s">
        <v>2824</v>
      </c>
      <c r="W463" t="s">
        <v>599</v>
      </c>
      <c r="X463" t="s">
        <v>599</v>
      </c>
      <c r="Y463" t="s">
        <v>599</v>
      </c>
      <c r="Z463" t="s">
        <v>2825</v>
      </c>
      <c r="AA463" t="s">
        <v>599</v>
      </c>
      <c r="AB463" t="s">
        <v>599</v>
      </c>
      <c r="AC463" t="s">
        <v>2826</v>
      </c>
      <c r="AD463" t="s">
        <v>1188</v>
      </c>
      <c r="AE463" t="s">
        <v>2827</v>
      </c>
      <c r="AF463" t="s">
        <v>1190</v>
      </c>
    </row>
    <row r="464" spans="1:32" s="13" customFormat="1" ht="45" x14ac:dyDescent="0.25">
      <c r="A464" s="10">
        <v>367321</v>
      </c>
      <c r="B464" s="10">
        <v>1</v>
      </c>
      <c r="C464" s="9">
        <v>151</v>
      </c>
      <c r="D464" s="56" t="s">
        <v>1088</v>
      </c>
      <c r="E464" s="12" t="s">
        <v>400</v>
      </c>
      <c r="F464" s="45"/>
      <c r="G464" s="45"/>
      <c r="H464" s="45"/>
      <c r="I464">
        <v>367321</v>
      </c>
      <c r="J464" t="s">
        <v>399</v>
      </c>
      <c r="K464" t="s">
        <v>2821</v>
      </c>
      <c r="L464" t="s">
        <v>1226</v>
      </c>
      <c r="M464" t="s">
        <v>1192</v>
      </c>
      <c r="N464" t="s">
        <v>599</v>
      </c>
      <c r="O464" t="s">
        <v>2822</v>
      </c>
      <c r="P464" t="s">
        <v>599</v>
      </c>
      <c r="Q464" t="s">
        <v>599</v>
      </c>
      <c r="R464" t="s">
        <v>1182</v>
      </c>
      <c r="S464" t="s">
        <v>2823</v>
      </c>
      <c r="T464">
        <v>1896</v>
      </c>
      <c r="U464">
        <v>1896</v>
      </c>
      <c r="V464" t="s">
        <v>2824</v>
      </c>
      <c r="W464" t="s">
        <v>599</v>
      </c>
      <c r="X464" t="s">
        <v>599</v>
      </c>
      <c r="Y464" t="s">
        <v>599</v>
      </c>
      <c r="Z464" t="s">
        <v>2825</v>
      </c>
      <c r="AA464" t="s">
        <v>599</v>
      </c>
      <c r="AB464" t="s">
        <v>599</v>
      </c>
      <c r="AC464" t="s">
        <v>2826</v>
      </c>
      <c r="AD464" t="s">
        <v>1188</v>
      </c>
      <c r="AE464" t="s">
        <v>2827</v>
      </c>
      <c r="AF464" t="s">
        <v>1190</v>
      </c>
    </row>
    <row r="465" spans="1:32" s="13" customFormat="1" ht="90" x14ac:dyDescent="0.25">
      <c r="A465" s="10">
        <v>367315</v>
      </c>
      <c r="B465" s="10">
        <v>1</v>
      </c>
      <c r="C465" s="9">
        <v>9</v>
      </c>
      <c r="D465" s="56" t="s">
        <v>1089</v>
      </c>
      <c r="E465" s="12" t="s">
        <v>403</v>
      </c>
      <c r="F465" s="45"/>
      <c r="G465" s="45"/>
      <c r="H465" s="45"/>
      <c r="I465">
        <v>367315</v>
      </c>
      <c r="J465" t="s">
        <v>402</v>
      </c>
      <c r="K465" t="s">
        <v>2828</v>
      </c>
      <c r="L465" t="s">
        <v>1178</v>
      </c>
      <c r="M465" t="s">
        <v>1192</v>
      </c>
      <c r="N465" t="s">
        <v>599</v>
      </c>
      <c r="O465" t="s">
        <v>2829</v>
      </c>
      <c r="P465" t="s">
        <v>2830</v>
      </c>
      <c r="Q465" t="s">
        <v>599</v>
      </c>
      <c r="R465" t="s">
        <v>1182</v>
      </c>
      <c r="S465" t="s">
        <v>2831</v>
      </c>
      <c r="T465">
        <v>1897</v>
      </c>
      <c r="U465">
        <v>1897</v>
      </c>
      <c r="V465" t="s">
        <v>2832</v>
      </c>
      <c r="W465" t="s">
        <v>2833</v>
      </c>
      <c r="X465" t="s">
        <v>599</v>
      </c>
      <c r="Y465" t="s">
        <v>599</v>
      </c>
      <c r="Z465" t="s">
        <v>599</v>
      </c>
      <c r="AA465" t="s">
        <v>599</v>
      </c>
      <c r="AB465" t="s">
        <v>599</v>
      </c>
      <c r="AC465" t="s">
        <v>2834</v>
      </c>
      <c r="AD465" t="s">
        <v>1188</v>
      </c>
      <c r="AE465" t="s">
        <v>2835</v>
      </c>
      <c r="AF465" t="s">
        <v>1190</v>
      </c>
    </row>
    <row r="466" spans="1:32" s="13" customFormat="1" ht="90" x14ac:dyDescent="0.25">
      <c r="A466" s="10">
        <v>367315</v>
      </c>
      <c r="B466" s="10">
        <v>1</v>
      </c>
      <c r="C466" s="9">
        <v>11</v>
      </c>
      <c r="D466" s="56" t="s">
        <v>1090</v>
      </c>
      <c r="E466" s="12" t="s">
        <v>403</v>
      </c>
      <c r="F466" s="45"/>
      <c r="G466" s="45"/>
      <c r="H466" s="45"/>
      <c r="I466">
        <v>367315</v>
      </c>
      <c r="J466" t="s">
        <v>402</v>
      </c>
      <c r="K466" t="s">
        <v>2828</v>
      </c>
      <c r="L466" t="s">
        <v>1178</v>
      </c>
      <c r="M466" t="s">
        <v>1192</v>
      </c>
      <c r="N466" t="s">
        <v>599</v>
      </c>
      <c r="O466" t="s">
        <v>2829</v>
      </c>
      <c r="P466" t="s">
        <v>2830</v>
      </c>
      <c r="Q466" t="s">
        <v>599</v>
      </c>
      <c r="R466" t="s">
        <v>1182</v>
      </c>
      <c r="S466" t="s">
        <v>2831</v>
      </c>
      <c r="T466">
        <v>1897</v>
      </c>
      <c r="U466">
        <v>1897</v>
      </c>
      <c r="V466" t="s">
        <v>2832</v>
      </c>
      <c r="W466" t="s">
        <v>2833</v>
      </c>
      <c r="X466" t="s">
        <v>599</v>
      </c>
      <c r="Y466" t="s">
        <v>599</v>
      </c>
      <c r="Z466" t="s">
        <v>599</v>
      </c>
      <c r="AA466" t="s">
        <v>599</v>
      </c>
      <c r="AB466" t="s">
        <v>599</v>
      </c>
      <c r="AC466" t="s">
        <v>2834</v>
      </c>
      <c r="AD466" t="s">
        <v>1188</v>
      </c>
      <c r="AE466" t="s">
        <v>2835</v>
      </c>
      <c r="AF466" t="s">
        <v>1190</v>
      </c>
    </row>
    <row r="467" spans="1:32" s="13" customFormat="1" ht="45" x14ac:dyDescent="0.25">
      <c r="A467" s="10">
        <v>367315</v>
      </c>
      <c r="B467" s="10">
        <v>1</v>
      </c>
      <c r="C467" s="9">
        <v>37</v>
      </c>
      <c r="D467" s="56" t="s">
        <v>1091</v>
      </c>
      <c r="E467" s="16"/>
      <c r="F467" s="45"/>
      <c r="G467" s="45"/>
      <c r="H467" s="45"/>
      <c r="I467">
        <v>367315</v>
      </c>
      <c r="J467" t="s">
        <v>402</v>
      </c>
      <c r="K467" t="s">
        <v>2828</v>
      </c>
      <c r="L467" t="s">
        <v>1178</v>
      </c>
      <c r="M467" t="s">
        <v>1192</v>
      </c>
      <c r="N467" t="s">
        <v>599</v>
      </c>
      <c r="O467" t="s">
        <v>2829</v>
      </c>
      <c r="P467" t="s">
        <v>2830</v>
      </c>
      <c r="Q467" t="s">
        <v>599</v>
      </c>
      <c r="R467" t="s">
        <v>1182</v>
      </c>
      <c r="S467" t="s">
        <v>2831</v>
      </c>
      <c r="T467">
        <v>1897</v>
      </c>
      <c r="U467">
        <v>1897</v>
      </c>
      <c r="V467" t="s">
        <v>2832</v>
      </c>
      <c r="W467" t="s">
        <v>2833</v>
      </c>
      <c r="X467" t="s">
        <v>599</v>
      </c>
      <c r="Y467" t="s">
        <v>599</v>
      </c>
      <c r="Z467" t="s">
        <v>599</v>
      </c>
      <c r="AA467" t="s">
        <v>599</v>
      </c>
      <c r="AB467" t="s">
        <v>599</v>
      </c>
      <c r="AC467" t="s">
        <v>2834</v>
      </c>
      <c r="AD467" t="s">
        <v>1188</v>
      </c>
      <c r="AE467" t="s">
        <v>2835</v>
      </c>
      <c r="AF467" t="s">
        <v>1190</v>
      </c>
    </row>
    <row r="468" spans="1:32" s="13" customFormat="1" ht="45" x14ac:dyDescent="0.25">
      <c r="A468" s="10">
        <v>473530</v>
      </c>
      <c r="B468" s="10">
        <v>1</v>
      </c>
      <c r="C468" s="9">
        <v>13</v>
      </c>
      <c r="D468" s="56" t="s">
        <v>1092</v>
      </c>
      <c r="E468" s="12" t="s">
        <v>406</v>
      </c>
      <c r="F468" s="45"/>
      <c r="G468" s="45"/>
      <c r="H468" s="45"/>
      <c r="I468">
        <v>473530</v>
      </c>
      <c r="J468" t="s">
        <v>405</v>
      </c>
      <c r="K468" t="s">
        <v>2836</v>
      </c>
      <c r="L468" t="s">
        <v>1178</v>
      </c>
      <c r="M468" t="s">
        <v>1192</v>
      </c>
      <c r="N468" t="s">
        <v>599</v>
      </c>
      <c r="O468" t="s">
        <v>2837</v>
      </c>
      <c r="P468" t="s">
        <v>2838</v>
      </c>
      <c r="Q468" t="s">
        <v>599</v>
      </c>
      <c r="R468" t="s">
        <v>1182</v>
      </c>
      <c r="S468" t="s">
        <v>2839</v>
      </c>
      <c r="T468">
        <v>1898</v>
      </c>
      <c r="U468">
        <v>1898</v>
      </c>
      <c r="V468" t="s">
        <v>2840</v>
      </c>
      <c r="W468" t="s">
        <v>1918</v>
      </c>
      <c r="X468" t="s">
        <v>599</v>
      </c>
      <c r="Y468" t="s">
        <v>599</v>
      </c>
      <c r="Z468" t="s">
        <v>599</v>
      </c>
      <c r="AA468" t="s">
        <v>599</v>
      </c>
      <c r="AB468" t="s">
        <v>599</v>
      </c>
      <c r="AC468" t="s">
        <v>2841</v>
      </c>
      <c r="AD468" t="s">
        <v>1188</v>
      </c>
      <c r="AE468" t="s">
        <v>2842</v>
      </c>
      <c r="AF468" t="s">
        <v>1190</v>
      </c>
    </row>
    <row r="469" spans="1:32" s="13" customFormat="1" ht="45" x14ac:dyDescent="0.25">
      <c r="A469" s="10">
        <v>473530</v>
      </c>
      <c r="B469" s="10">
        <v>1</v>
      </c>
      <c r="C469" s="9">
        <v>15</v>
      </c>
      <c r="D469" s="56" t="s">
        <v>1093</v>
      </c>
      <c r="E469" s="12" t="s">
        <v>406</v>
      </c>
      <c r="F469" s="45"/>
      <c r="G469" s="45"/>
      <c r="H469" s="45"/>
      <c r="I469">
        <v>473530</v>
      </c>
      <c r="J469" t="s">
        <v>405</v>
      </c>
      <c r="K469" t="s">
        <v>2836</v>
      </c>
      <c r="L469" t="s">
        <v>1178</v>
      </c>
      <c r="M469" t="s">
        <v>1192</v>
      </c>
      <c r="N469" t="s">
        <v>599</v>
      </c>
      <c r="O469" t="s">
        <v>2837</v>
      </c>
      <c r="P469" t="s">
        <v>2838</v>
      </c>
      <c r="Q469" t="s">
        <v>599</v>
      </c>
      <c r="R469" t="s">
        <v>1182</v>
      </c>
      <c r="S469" t="s">
        <v>2839</v>
      </c>
      <c r="T469">
        <v>1898</v>
      </c>
      <c r="U469">
        <v>1898</v>
      </c>
      <c r="V469" t="s">
        <v>2840</v>
      </c>
      <c r="W469" t="s">
        <v>1918</v>
      </c>
      <c r="X469" t="s">
        <v>599</v>
      </c>
      <c r="Y469" t="s">
        <v>599</v>
      </c>
      <c r="Z469" t="s">
        <v>599</v>
      </c>
      <c r="AA469" t="s">
        <v>599</v>
      </c>
      <c r="AB469" t="s">
        <v>599</v>
      </c>
      <c r="AC469" t="s">
        <v>2841</v>
      </c>
      <c r="AD469" t="s">
        <v>1188</v>
      </c>
      <c r="AE469" t="s">
        <v>2842</v>
      </c>
      <c r="AF469" t="s">
        <v>1190</v>
      </c>
    </row>
    <row r="470" spans="1:32" s="13" customFormat="1" ht="45" x14ac:dyDescent="0.25">
      <c r="A470" s="10">
        <v>369142</v>
      </c>
      <c r="B470" s="10">
        <v>1</v>
      </c>
      <c r="C470" s="9">
        <v>6</v>
      </c>
      <c r="D470" s="56" t="s">
        <v>1094</v>
      </c>
      <c r="E470" s="12" t="s">
        <v>408</v>
      </c>
      <c r="F470" s="45"/>
      <c r="G470" s="45"/>
      <c r="H470" s="45"/>
      <c r="I470">
        <v>369142</v>
      </c>
      <c r="J470" t="s">
        <v>407</v>
      </c>
      <c r="K470" t="s">
        <v>2845</v>
      </c>
      <c r="L470" t="s">
        <v>1178</v>
      </c>
      <c r="M470" t="s">
        <v>1192</v>
      </c>
      <c r="N470" t="s">
        <v>599</v>
      </c>
      <c r="O470" t="s">
        <v>1551</v>
      </c>
      <c r="P470" t="s">
        <v>2846</v>
      </c>
      <c r="Q470" t="s">
        <v>599</v>
      </c>
      <c r="R470" t="s">
        <v>2847</v>
      </c>
      <c r="S470" t="s">
        <v>2848</v>
      </c>
      <c r="T470">
        <v>1868</v>
      </c>
      <c r="U470">
        <v>1868</v>
      </c>
      <c r="V470" t="s">
        <v>2849</v>
      </c>
      <c r="W470" t="s">
        <v>1185</v>
      </c>
      <c r="X470" t="s">
        <v>599</v>
      </c>
      <c r="Y470" t="s">
        <v>599</v>
      </c>
      <c r="Z470" t="s">
        <v>599</v>
      </c>
      <c r="AA470" t="s">
        <v>599</v>
      </c>
      <c r="AB470" t="s">
        <v>599</v>
      </c>
      <c r="AC470" t="s">
        <v>2850</v>
      </c>
      <c r="AD470" t="s">
        <v>1188</v>
      </c>
      <c r="AE470" t="s">
        <v>2851</v>
      </c>
      <c r="AF470" t="s">
        <v>1190</v>
      </c>
    </row>
    <row r="471" spans="1:32" s="13" customFormat="1" ht="45" x14ac:dyDescent="0.25">
      <c r="A471" s="10">
        <v>369151</v>
      </c>
      <c r="B471" s="10">
        <v>1</v>
      </c>
      <c r="C471" s="9">
        <v>7</v>
      </c>
      <c r="D471" s="56" t="s">
        <v>1095</v>
      </c>
      <c r="E471" s="12" t="s">
        <v>410</v>
      </c>
      <c r="F471" s="45"/>
      <c r="G471" s="45"/>
      <c r="H471" s="45"/>
      <c r="I471">
        <v>369151</v>
      </c>
      <c r="J471" t="s">
        <v>409</v>
      </c>
      <c r="K471" t="s">
        <v>2852</v>
      </c>
      <c r="L471" t="s">
        <v>1178</v>
      </c>
      <c r="M471" t="s">
        <v>1192</v>
      </c>
      <c r="N471" t="s">
        <v>599</v>
      </c>
      <c r="O471" t="s">
        <v>1551</v>
      </c>
      <c r="P471" t="s">
        <v>1778</v>
      </c>
      <c r="Q471" t="s">
        <v>599</v>
      </c>
      <c r="R471" t="s">
        <v>2853</v>
      </c>
      <c r="S471" t="s">
        <v>2854</v>
      </c>
      <c r="T471">
        <v>1884</v>
      </c>
      <c r="U471">
        <v>1884</v>
      </c>
      <c r="V471" t="s">
        <v>2855</v>
      </c>
      <c r="W471" t="s">
        <v>1185</v>
      </c>
      <c r="X471" t="s">
        <v>599</v>
      </c>
      <c r="Y471" t="s">
        <v>599</v>
      </c>
      <c r="Z471" t="s">
        <v>599</v>
      </c>
      <c r="AA471" t="s">
        <v>599</v>
      </c>
      <c r="AB471" t="s">
        <v>599</v>
      </c>
      <c r="AC471" t="s">
        <v>2856</v>
      </c>
      <c r="AD471" t="s">
        <v>1188</v>
      </c>
      <c r="AE471" t="s">
        <v>2857</v>
      </c>
      <c r="AF471" t="s">
        <v>1190</v>
      </c>
    </row>
    <row r="472" spans="1:32" s="13" customFormat="1" ht="45" x14ac:dyDescent="0.25">
      <c r="A472" s="10">
        <v>322260</v>
      </c>
      <c r="B472" s="10">
        <v>1</v>
      </c>
      <c r="C472" s="9">
        <v>12</v>
      </c>
      <c r="D472" s="56" t="s">
        <v>1096</v>
      </c>
      <c r="E472" s="12">
        <v>12</v>
      </c>
      <c r="F472" s="45"/>
      <c r="G472" s="45"/>
      <c r="H472" s="45"/>
      <c r="I472">
        <v>322260</v>
      </c>
      <c r="J472" t="s">
        <v>411</v>
      </c>
      <c r="K472" t="s">
        <v>2858</v>
      </c>
      <c r="L472" t="s">
        <v>1178</v>
      </c>
      <c r="M472" t="s">
        <v>1192</v>
      </c>
      <c r="N472" t="s">
        <v>599</v>
      </c>
      <c r="O472" t="s">
        <v>1105</v>
      </c>
      <c r="P472" t="s">
        <v>599</v>
      </c>
      <c r="Q472" t="s">
        <v>599</v>
      </c>
      <c r="R472" t="s">
        <v>1182</v>
      </c>
      <c r="S472" t="s">
        <v>2859</v>
      </c>
      <c r="T472">
        <v>1880</v>
      </c>
      <c r="U472">
        <v>1880</v>
      </c>
      <c r="V472" t="s">
        <v>2860</v>
      </c>
      <c r="W472" t="s">
        <v>2861</v>
      </c>
      <c r="X472" t="s">
        <v>599</v>
      </c>
      <c r="Y472" t="s">
        <v>599</v>
      </c>
      <c r="Z472" t="s">
        <v>599</v>
      </c>
      <c r="AA472" t="s">
        <v>599</v>
      </c>
      <c r="AB472" t="s">
        <v>599</v>
      </c>
      <c r="AC472" t="s">
        <v>2862</v>
      </c>
      <c r="AD472" t="s">
        <v>1188</v>
      </c>
      <c r="AE472" t="s">
        <v>2863</v>
      </c>
      <c r="AF472" t="s">
        <v>1190</v>
      </c>
    </row>
    <row r="473" spans="1:32" s="13" customFormat="1" ht="45" x14ac:dyDescent="0.25">
      <c r="A473" s="10">
        <v>189268</v>
      </c>
      <c r="B473" s="10">
        <v>1</v>
      </c>
      <c r="C473" s="9">
        <v>12</v>
      </c>
      <c r="D473" s="56" t="s">
        <v>1097</v>
      </c>
      <c r="E473" s="12">
        <v>12</v>
      </c>
      <c r="F473" s="45"/>
      <c r="G473" s="45"/>
      <c r="H473" s="45"/>
      <c r="I473">
        <v>189268</v>
      </c>
      <c r="J473" t="s">
        <v>606</v>
      </c>
      <c r="K473" t="s">
        <v>2865</v>
      </c>
      <c r="L473" t="s">
        <v>1178</v>
      </c>
      <c r="M473" t="s">
        <v>1321</v>
      </c>
      <c r="N473" t="s">
        <v>599</v>
      </c>
      <c r="O473" t="s">
        <v>2866</v>
      </c>
      <c r="P473" t="s">
        <v>2867</v>
      </c>
      <c r="Q473" t="s">
        <v>599</v>
      </c>
      <c r="R473" t="s">
        <v>1182</v>
      </c>
      <c r="S473" t="s">
        <v>1909</v>
      </c>
      <c r="T473">
        <v>1865</v>
      </c>
      <c r="U473">
        <v>1865</v>
      </c>
      <c r="V473" t="s">
        <v>2868</v>
      </c>
      <c r="W473" t="s">
        <v>1185</v>
      </c>
      <c r="X473" t="s">
        <v>599</v>
      </c>
      <c r="Y473" t="s">
        <v>599</v>
      </c>
      <c r="Z473" t="s">
        <v>2869</v>
      </c>
      <c r="AA473" t="s">
        <v>599</v>
      </c>
      <c r="AB473" t="s">
        <v>599</v>
      </c>
      <c r="AC473" t="s">
        <v>2870</v>
      </c>
      <c r="AD473" t="s">
        <v>1188</v>
      </c>
      <c r="AE473" t="s">
        <v>2871</v>
      </c>
      <c r="AF473" t="s">
        <v>1190</v>
      </c>
    </row>
    <row r="474" spans="1:32" s="13" customFormat="1" ht="45" x14ac:dyDescent="0.25">
      <c r="A474" s="10">
        <v>808486</v>
      </c>
      <c r="B474" s="10">
        <v>1</v>
      </c>
      <c r="C474" s="9">
        <v>7</v>
      </c>
      <c r="D474" s="56" t="s">
        <v>1098</v>
      </c>
      <c r="E474" s="12" t="s">
        <v>412</v>
      </c>
      <c r="F474" s="45"/>
      <c r="G474" s="45"/>
      <c r="H474" s="45"/>
      <c r="I474">
        <v>808486</v>
      </c>
      <c r="J474" t="s">
        <v>607</v>
      </c>
      <c r="K474" t="s">
        <v>2873</v>
      </c>
      <c r="L474" t="s">
        <v>1178</v>
      </c>
      <c r="M474" t="s">
        <v>1192</v>
      </c>
      <c r="N474" t="s">
        <v>1179</v>
      </c>
      <c r="O474" t="s">
        <v>2874</v>
      </c>
      <c r="P474" t="s">
        <v>599</v>
      </c>
      <c r="Q474" t="s">
        <v>599</v>
      </c>
      <c r="R474" t="s">
        <v>1182</v>
      </c>
      <c r="S474" t="s">
        <v>2875</v>
      </c>
      <c r="T474">
        <v>1885</v>
      </c>
      <c r="U474">
        <v>1885</v>
      </c>
      <c r="V474" t="s">
        <v>2876</v>
      </c>
      <c r="W474" t="s">
        <v>1185</v>
      </c>
      <c r="X474" t="s">
        <v>599</v>
      </c>
      <c r="Y474" t="s">
        <v>599</v>
      </c>
      <c r="Z474" t="s">
        <v>1873</v>
      </c>
      <c r="AA474" t="s">
        <v>599</v>
      </c>
      <c r="AB474" t="s">
        <v>599</v>
      </c>
      <c r="AC474" t="s">
        <v>2877</v>
      </c>
      <c r="AD474" t="s">
        <v>1188</v>
      </c>
      <c r="AE474" t="s">
        <v>2878</v>
      </c>
      <c r="AF474" t="s">
        <v>1190</v>
      </c>
    </row>
    <row r="475" spans="1:32" s="13" customFormat="1" ht="45" x14ac:dyDescent="0.25">
      <c r="A475" s="10">
        <v>808486</v>
      </c>
      <c r="B475" s="10">
        <v>1</v>
      </c>
      <c r="C475" s="9">
        <v>20</v>
      </c>
      <c r="D475" s="56" t="s">
        <v>1099</v>
      </c>
      <c r="E475" s="12" t="s">
        <v>601</v>
      </c>
      <c r="F475" s="45"/>
      <c r="G475" s="45"/>
      <c r="H475" s="45"/>
      <c r="I475">
        <v>808486</v>
      </c>
      <c r="J475" t="s">
        <v>607</v>
      </c>
      <c r="K475" t="s">
        <v>2873</v>
      </c>
      <c r="L475" t="s">
        <v>1178</v>
      </c>
      <c r="M475" t="s">
        <v>1192</v>
      </c>
      <c r="N475" t="s">
        <v>1179</v>
      </c>
      <c r="O475" t="s">
        <v>2874</v>
      </c>
      <c r="P475" t="s">
        <v>599</v>
      </c>
      <c r="Q475" t="s">
        <v>599</v>
      </c>
      <c r="R475" t="s">
        <v>1182</v>
      </c>
      <c r="S475" t="s">
        <v>2875</v>
      </c>
      <c r="T475">
        <v>1885</v>
      </c>
      <c r="U475">
        <v>1885</v>
      </c>
      <c r="V475" t="s">
        <v>2876</v>
      </c>
      <c r="W475" t="s">
        <v>1185</v>
      </c>
      <c r="X475" t="s">
        <v>599</v>
      </c>
      <c r="Y475" t="s">
        <v>599</v>
      </c>
      <c r="Z475" t="s">
        <v>1873</v>
      </c>
      <c r="AA475" t="s">
        <v>599</v>
      </c>
      <c r="AB475" t="s">
        <v>599</v>
      </c>
      <c r="AC475" t="s">
        <v>2877</v>
      </c>
      <c r="AD475" t="s">
        <v>1188</v>
      </c>
      <c r="AE475" t="s">
        <v>2878</v>
      </c>
      <c r="AF475" t="s">
        <v>1190</v>
      </c>
    </row>
    <row r="476" spans="1:32" s="13" customFormat="1" ht="45" x14ac:dyDescent="0.25">
      <c r="A476" s="10">
        <v>808486</v>
      </c>
      <c r="B476" s="10">
        <v>1</v>
      </c>
      <c r="C476" s="9">
        <v>34</v>
      </c>
      <c r="D476" s="56" t="s">
        <v>1100</v>
      </c>
      <c r="E476" s="12" t="s">
        <v>602</v>
      </c>
      <c r="F476" s="45"/>
      <c r="G476" s="45"/>
      <c r="H476" s="45"/>
      <c r="I476">
        <v>808486</v>
      </c>
      <c r="J476" t="s">
        <v>607</v>
      </c>
      <c r="K476" t="s">
        <v>2873</v>
      </c>
      <c r="L476" t="s">
        <v>1178</v>
      </c>
      <c r="M476" t="s">
        <v>1192</v>
      </c>
      <c r="N476" t="s">
        <v>1179</v>
      </c>
      <c r="O476" t="s">
        <v>2874</v>
      </c>
      <c r="P476" t="s">
        <v>599</v>
      </c>
      <c r="Q476" t="s">
        <v>599</v>
      </c>
      <c r="R476" t="s">
        <v>1182</v>
      </c>
      <c r="S476" t="s">
        <v>2875</v>
      </c>
      <c r="T476">
        <v>1885</v>
      </c>
      <c r="U476">
        <v>1885</v>
      </c>
      <c r="V476" t="s">
        <v>2876</v>
      </c>
      <c r="W476" t="s">
        <v>1185</v>
      </c>
      <c r="X476" t="s">
        <v>599</v>
      </c>
      <c r="Y476" t="s">
        <v>599</v>
      </c>
      <c r="Z476" t="s">
        <v>1873</v>
      </c>
      <c r="AA476" t="s">
        <v>599</v>
      </c>
      <c r="AB476" t="s">
        <v>599</v>
      </c>
      <c r="AC476" t="s">
        <v>2877</v>
      </c>
      <c r="AD476" t="s">
        <v>1188</v>
      </c>
      <c r="AE476" t="s">
        <v>2878</v>
      </c>
      <c r="AF476" t="s">
        <v>1190</v>
      </c>
    </row>
    <row r="477" spans="1:32" s="13" customFormat="1" ht="45" x14ac:dyDescent="0.25">
      <c r="A477" s="10">
        <v>808486</v>
      </c>
      <c r="B477" s="10">
        <v>1</v>
      </c>
      <c r="C477" s="9">
        <v>48</v>
      </c>
      <c r="D477" s="56" t="s">
        <v>1101</v>
      </c>
      <c r="E477" s="12" t="s">
        <v>603</v>
      </c>
      <c r="F477" s="45"/>
      <c r="G477" s="45"/>
      <c r="H477" s="45"/>
      <c r="I477">
        <v>808486</v>
      </c>
      <c r="J477" t="s">
        <v>607</v>
      </c>
      <c r="K477" t="s">
        <v>2873</v>
      </c>
      <c r="L477" t="s">
        <v>1178</v>
      </c>
      <c r="M477" t="s">
        <v>1192</v>
      </c>
      <c r="N477" t="s">
        <v>1179</v>
      </c>
      <c r="O477" t="s">
        <v>2874</v>
      </c>
      <c r="P477" t="s">
        <v>599</v>
      </c>
      <c r="Q477" t="s">
        <v>599</v>
      </c>
      <c r="R477" t="s">
        <v>1182</v>
      </c>
      <c r="S477" t="s">
        <v>2875</v>
      </c>
      <c r="T477">
        <v>1885</v>
      </c>
      <c r="U477">
        <v>1885</v>
      </c>
      <c r="V477" t="s">
        <v>2876</v>
      </c>
      <c r="W477" t="s">
        <v>1185</v>
      </c>
      <c r="X477" t="s">
        <v>599</v>
      </c>
      <c r="Y477" t="s">
        <v>599</v>
      </c>
      <c r="Z477" t="s">
        <v>1873</v>
      </c>
      <c r="AA477" t="s">
        <v>599</v>
      </c>
      <c r="AB477" t="s">
        <v>599</v>
      </c>
      <c r="AC477" t="s">
        <v>2877</v>
      </c>
      <c r="AD477" t="s">
        <v>1188</v>
      </c>
      <c r="AE477" t="s">
        <v>2878</v>
      </c>
      <c r="AF477" t="s">
        <v>1190</v>
      </c>
    </row>
    <row r="478" spans="1:32" s="13" customFormat="1" ht="45" x14ac:dyDescent="0.25">
      <c r="A478" s="10">
        <v>808486</v>
      </c>
      <c r="B478" s="10">
        <v>1</v>
      </c>
      <c r="C478" s="9">
        <v>85</v>
      </c>
      <c r="D478" s="56" t="s">
        <v>1102</v>
      </c>
      <c r="E478" s="12" t="s">
        <v>604</v>
      </c>
      <c r="F478" s="45"/>
      <c r="G478" s="45"/>
      <c r="H478" s="45"/>
      <c r="I478">
        <v>808486</v>
      </c>
      <c r="J478" t="s">
        <v>607</v>
      </c>
      <c r="K478" t="s">
        <v>2873</v>
      </c>
      <c r="L478" t="s">
        <v>1178</v>
      </c>
      <c r="M478" t="s">
        <v>1192</v>
      </c>
      <c r="N478" t="s">
        <v>1179</v>
      </c>
      <c r="O478" t="s">
        <v>2874</v>
      </c>
      <c r="P478" t="s">
        <v>599</v>
      </c>
      <c r="Q478" t="s">
        <v>599</v>
      </c>
      <c r="R478" t="s">
        <v>1182</v>
      </c>
      <c r="S478" t="s">
        <v>2875</v>
      </c>
      <c r="T478">
        <v>1885</v>
      </c>
      <c r="U478">
        <v>1885</v>
      </c>
      <c r="V478" t="s">
        <v>2876</v>
      </c>
      <c r="W478" t="s">
        <v>1185</v>
      </c>
      <c r="X478" t="s">
        <v>599</v>
      </c>
      <c r="Y478" t="s">
        <v>599</v>
      </c>
      <c r="Z478" t="s">
        <v>1873</v>
      </c>
      <c r="AA478" t="s">
        <v>599</v>
      </c>
      <c r="AB478" t="s">
        <v>599</v>
      </c>
      <c r="AC478" t="s">
        <v>2877</v>
      </c>
      <c r="AD478" t="s">
        <v>1188</v>
      </c>
      <c r="AE478" t="s">
        <v>2878</v>
      </c>
      <c r="AF478" t="s">
        <v>1190</v>
      </c>
    </row>
    <row r="479" spans="1:32" s="13" customFormat="1" ht="45" x14ac:dyDescent="0.25">
      <c r="A479" s="10">
        <v>808486</v>
      </c>
      <c r="B479" s="10">
        <v>1</v>
      </c>
      <c r="C479" s="9">
        <v>90</v>
      </c>
      <c r="D479" s="56" t="s">
        <v>1103</v>
      </c>
      <c r="E479" s="12" t="s">
        <v>605</v>
      </c>
      <c r="F479" s="45"/>
      <c r="G479" s="45"/>
      <c r="H479" s="45"/>
      <c r="I479">
        <v>808486</v>
      </c>
      <c r="J479" t="s">
        <v>607</v>
      </c>
      <c r="K479" t="s">
        <v>2873</v>
      </c>
      <c r="L479" t="s">
        <v>1178</v>
      </c>
      <c r="M479" t="s">
        <v>1192</v>
      </c>
      <c r="N479" t="s">
        <v>1179</v>
      </c>
      <c r="O479" t="s">
        <v>2874</v>
      </c>
      <c r="P479" t="s">
        <v>599</v>
      </c>
      <c r="Q479" t="s">
        <v>599</v>
      </c>
      <c r="R479" t="s">
        <v>1182</v>
      </c>
      <c r="S479" t="s">
        <v>2875</v>
      </c>
      <c r="T479">
        <v>1885</v>
      </c>
      <c r="U479">
        <v>1885</v>
      </c>
      <c r="V479" t="s">
        <v>2876</v>
      </c>
      <c r="W479" t="s">
        <v>1185</v>
      </c>
      <c r="X479" t="s">
        <v>599</v>
      </c>
      <c r="Y479" t="s">
        <v>599</v>
      </c>
      <c r="Z479" t="s">
        <v>1873</v>
      </c>
      <c r="AA479" t="s">
        <v>599</v>
      </c>
      <c r="AB479" t="s">
        <v>599</v>
      </c>
      <c r="AC479" t="s">
        <v>2877</v>
      </c>
      <c r="AD479" t="s">
        <v>1188</v>
      </c>
      <c r="AE479" t="s">
        <v>2878</v>
      </c>
      <c r="AF479" t="s">
        <v>1190</v>
      </c>
    </row>
    <row r="480" spans="1:32" s="13" customFormat="1" ht="45" x14ac:dyDescent="0.25">
      <c r="A480" s="10">
        <v>810044</v>
      </c>
      <c r="B480" s="10">
        <v>1</v>
      </c>
      <c r="C480" s="9">
        <v>1</v>
      </c>
      <c r="D480" s="56" t="s">
        <v>1104</v>
      </c>
      <c r="E480" s="12">
        <v>1</v>
      </c>
      <c r="F480" s="45"/>
      <c r="G480" s="45"/>
      <c r="H480" s="45"/>
      <c r="I480">
        <v>810044</v>
      </c>
      <c r="J480" t="s">
        <v>608</v>
      </c>
      <c r="K480" t="s">
        <v>2879</v>
      </c>
      <c r="L480" t="s">
        <v>1178</v>
      </c>
      <c r="M480" t="s">
        <v>2880</v>
      </c>
      <c r="N480" t="s">
        <v>1192</v>
      </c>
      <c r="O480" t="s">
        <v>2881</v>
      </c>
      <c r="P480" t="s">
        <v>599</v>
      </c>
      <c r="Q480" t="s">
        <v>599</v>
      </c>
      <c r="R480" t="s">
        <v>1182</v>
      </c>
      <c r="S480" t="s">
        <v>1446</v>
      </c>
      <c r="T480">
        <v>1898</v>
      </c>
      <c r="U480">
        <v>1898</v>
      </c>
      <c r="V480" t="s">
        <v>2882</v>
      </c>
      <c r="W480" t="s">
        <v>1185</v>
      </c>
      <c r="X480" t="s">
        <v>599</v>
      </c>
      <c r="Y480" t="s">
        <v>599</v>
      </c>
      <c r="Z480" t="s">
        <v>2883</v>
      </c>
      <c r="AA480" t="s">
        <v>599</v>
      </c>
      <c r="AB480" t="s">
        <v>599</v>
      </c>
      <c r="AC480" t="s">
        <v>2884</v>
      </c>
      <c r="AD480" t="s">
        <v>1188</v>
      </c>
      <c r="AE480" t="s">
        <v>2885</v>
      </c>
      <c r="AF480" t="s">
        <v>1190</v>
      </c>
    </row>
    <row r="481" spans="1:32" s="32" customFormat="1" ht="105" x14ac:dyDescent="0.25">
      <c r="A481" s="29">
        <v>412780</v>
      </c>
      <c r="B481" s="29">
        <v>1</v>
      </c>
      <c r="C481" s="28">
        <v>35</v>
      </c>
      <c r="D481" s="57" t="s">
        <v>3514</v>
      </c>
      <c r="E481" s="31" t="s">
        <v>413</v>
      </c>
      <c r="F481" s="45"/>
      <c r="G481" s="45"/>
      <c r="H481" s="45"/>
      <c r="I481">
        <v>412780</v>
      </c>
      <c r="J481" t="s">
        <v>1142</v>
      </c>
      <c r="K481" t="s">
        <v>2887</v>
      </c>
      <c r="L481" t="s">
        <v>1226</v>
      </c>
      <c r="M481" t="s">
        <v>2888</v>
      </c>
      <c r="N481" t="s">
        <v>599</v>
      </c>
      <c r="O481" t="s">
        <v>2889</v>
      </c>
      <c r="P481" t="s">
        <v>2890</v>
      </c>
      <c r="Q481" t="s">
        <v>599</v>
      </c>
      <c r="R481" t="s">
        <v>1182</v>
      </c>
      <c r="S481" t="s">
        <v>2891</v>
      </c>
      <c r="T481">
        <v>1898</v>
      </c>
      <c r="U481">
        <v>1898</v>
      </c>
      <c r="V481" t="s">
        <v>2892</v>
      </c>
      <c r="W481" t="s">
        <v>599</v>
      </c>
      <c r="X481" t="s">
        <v>599</v>
      </c>
      <c r="Y481" t="s">
        <v>599</v>
      </c>
      <c r="Z481" t="s">
        <v>599</v>
      </c>
      <c r="AA481" t="s">
        <v>599</v>
      </c>
      <c r="AB481" t="s">
        <v>599</v>
      </c>
      <c r="AC481" t="s">
        <v>2893</v>
      </c>
      <c r="AD481" t="s">
        <v>1188</v>
      </c>
      <c r="AE481" t="s">
        <v>2894</v>
      </c>
      <c r="AF481" t="s">
        <v>1190</v>
      </c>
    </row>
    <row r="482" spans="1:32" s="13" customFormat="1" ht="75" x14ac:dyDescent="0.25">
      <c r="A482" s="10">
        <v>98840</v>
      </c>
      <c r="B482" s="10">
        <v>1</v>
      </c>
      <c r="C482" s="9">
        <v>10</v>
      </c>
      <c r="D482" s="56" t="s">
        <v>3515</v>
      </c>
      <c r="E482" s="12" t="s">
        <v>415</v>
      </c>
      <c r="F482" s="45"/>
      <c r="G482" s="45"/>
      <c r="H482" s="45"/>
      <c r="I482">
        <v>98840</v>
      </c>
      <c r="J482" t="s">
        <v>414</v>
      </c>
      <c r="K482" t="s">
        <v>2895</v>
      </c>
      <c r="L482" t="s">
        <v>1178</v>
      </c>
      <c r="M482" t="s">
        <v>1192</v>
      </c>
      <c r="N482" t="s">
        <v>599</v>
      </c>
      <c r="O482" t="s">
        <v>1551</v>
      </c>
      <c r="P482" t="s">
        <v>599</v>
      </c>
      <c r="Q482" t="s">
        <v>599</v>
      </c>
      <c r="R482" t="s">
        <v>2896</v>
      </c>
      <c r="S482" t="s">
        <v>2897</v>
      </c>
      <c r="T482">
        <v>1880</v>
      </c>
      <c r="U482">
        <v>1880</v>
      </c>
      <c r="V482" t="s">
        <v>2898</v>
      </c>
      <c r="W482" t="s">
        <v>1185</v>
      </c>
      <c r="X482" t="s">
        <v>599</v>
      </c>
      <c r="Y482" t="s">
        <v>599</v>
      </c>
      <c r="Z482" t="s">
        <v>2899</v>
      </c>
      <c r="AA482" t="s">
        <v>599</v>
      </c>
      <c r="AB482" t="s">
        <v>2900</v>
      </c>
      <c r="AC482" t="s">
        <v>2901</v>
      </c>
      <c r="AD482" t="s">
        <v>1188</v>
      </c>
      <c r="AE482" t="s">
        <v>2902</v>
      </c>
      <c r="AF482" t="s">
        <v>1190</v>
      </c>
    </row>
    <row r="483" spans="1:32" s="13" customFormat="1" ht="75" x14ac:dyDescent="0.25">
      <c r="A483" s="10">
        <v>98840</v>
      </c>
      <c r="B483" s="10">
        <v>1</v>
      </c>
      <c r="C483" s="9">
        <v>103</v>
      </c>
      <c r="D483" s="56" t="s">
        <v>3516</v>
      </c>
      <c r="E483" s="12" t="s">
        <v>415</v>
      </c>
      <c r="F483" s="45"/>
      <c r="G483" s="45"/>
      <c r="H483" s="45"/>
      <c r="I483">
        <v>98840</v>
      </c>
      <c r="J483" t="s">
        <v>414</v>
      </c>
      <c r="K483" t="s">
        <v>2895</v>
      </c>
      <c r="L483" t="s">
        <v>1178</v>
      </c>
      <c r="M483" t="s">
        <v>1192</v>
      </c>
      <c r="N483" t="s">
        <v>599</v>
      </c>
      <c r="O483" t="s">
        <v>1551</v>
      </c>
      <c r="P483" t="s">
        <v>599</v>
      </c>
      <c r="Q483" t="s">
        <v>599</v>
      </c>
      <c r="R483" t="s">
        <v>2896</v>
      </c>
      <c r="S483" t="s">
        <v>2897</v>
      </c>
      <c r="T483">
        <v>1880</v>
      </c>
      <c r="U483">
        <v>1880</v>
      </c>
      <c r="V483" t="s">
        <v>2898</v>
      </c>
      <c r="W483" t="s">
        <v>1185</v>
      </c>
      <c r="X483" t="s">
        <v>599</v>
      </c>
      <c r="Y483" t="s">
        <v>599</v>
      </c>
      <c r="Z483" t="s">
        <v>2899</v>
      </c>
      <c r="AA483" t="s">
        <v>599</v>
      </c>
      <c r="AB483" t="s">
        <v>2900</v>
      </c>
      <c r="AC483" t="s">
        <v>2901</v>
      </c>
      <c r="AD483" t="s">
        <v>1188</v>
      </c>
      <c r="AE483" t="s">
        <v>2902</v>
      </c>
      <c r="AF483" t="s">
        <v>1190</v>
      </c>
    </row>
    <row r="484" spans="1:32" s="13" customFormat="1" ht="75" x14ac:dyDescent="0.25">
      <c r="A484" s="10">
        <v>98840</v>
      </c>
      <c r="B484" s="10">
        <v>1</v>
      </c>
      <c r="C484" s="9">
        <v>107</v>
      </c>
      <c r="D484" s="56" t="s">
        <v>3517</v>
      </c>
      <c r="E484" s="12" t="s">
        <v>415</v>
      </c>
      <c r="F484" s="45"/>
      <c r="G484" s="45"/>
      <c r="H484" s="45"/>
      <c r="I484">
        <v>98840</v>
      </c>
      <c r="J484" t="s">
        <v>414</v>
      </c>
      <c r="K484" t="s">
        <v>2895</v>
      </c>
      <c r="L484" t="s">
        <v>1178</v>
      </c>
      <c r="M484" t="s">
        <v>1192</v>
      </c>
      <c r="N484" t="s">
        <v>599</v>
      </c>
      <c r="O484" t="s">
        <v>1551</v>
      </c>
      <c r="P484" t="s">
        <v>599</v>
      </c>
      <c r="Q484" t="s">
        <v>599</v>
      </c>
      <c r="R484" t="s">
        <v>2896</v>
      </c>
      <c r="S484" t="s">
        <v>2897</v>
      </c>
      <c r="T484">
        <v>1880</v>
      </c>
      <c r="U484">
        <v>1880</v>
      </c>
      <c r="V484" t="s">
        <v>2898</v>
      </c>
      <c r="W484" t="s">
        <v>1185</v>
      </c>
      <c r="X484" t="s">
        <v>599</v>
      </c>
      <c r="Y484" t="s">
        <v>599</v>
      </c>
      <c r="Z484" t="s">
        <v>2899</v>
      </c>
      <c r="AA484" t="s">
        <v>599</v>
      </c>
      <c r="AB484" t="s">
        <v>2900</v>
      </c>
      <c r="AC484" t="s">
        <v>2901</v>
      </c>
      <c r="AD484" t="s">
        <v>1188</v>
      </c>
      <c r="AE484" t="s">
        <v>2902</v>
      </c>
      <c r="AF484" t="s">
        <v>1190</v>
      </c>
    </row>
    <row r="485" spans="1:32" s="13" customFormat="1" ht="75" x14ac:dyDescent="0.25">
      <c r="A485" s="10">
        <v>98840</v>
      </c>
      <c r="B485" s="10">
        <v>1</v>
      </c>
      <c r="C485" s="9">
        <v>145</v>
      </c>
      <c r="D485" s="56" t="s">
        <v>3518</v>
      </c>
      <c r="E485" s="12" t="s">
        <v>415</v>
      </c>
      <c r="F485" s="45"/>
      <c r="G485" s="45"/>
      <c r="H485" s="45"/>
      <c r="I485">
        <v>98840</v>
      </c>
      <c r="J485" t="s">
        <v>414</v>
      </c>
      <c r="K485" t="s">
        <v>2895</v>
      </c>
      <c r="L485" t="s">
        <v>1178</v>
      </c>
      <c r="M485" t="s">
        <v>1192</v>
      </c>
      <c r="N485" t="s">
        <v>599</v>
      </c>
      <c r="O485" t="s">
        <v>1551</v>
      </c>
      <c r="P485" t="s">
        <v>599</v>
      </c>
      <c r="Q485" t="s">
        <v>599</v>
      </c>
      <c r="R485" t="s">
        <v>2896</v>
      </c>
      <c r="S485" t="s">
        <v>2897</v>
      </c>
      <c r="T485">
        <v>1880</v>
      </c>
      <c r="U485">
        <v>1880</v>
      </c>
      <c r="V485" t="s">
        <v>2898</v>
      </c>
      <c r="W485" t="s">
        <v>1185</v>
      </c>
      <c r="X485" t="s">
        <v>599</v>
      </c>
      <c r="Y485" t="s">
        <v>599</v>
      </c>
      <c r="Z485" t="s">
        <v>2899</v>
      </c>
      <c r="AA485" t="s">
        <v>599</v>
      </c>
      <c r="AB485" t="s">
        <v>2900</v>
      </c>
      <c r="AC485" t="s">
        <v>2901</v>
      </c>
      <c r="AD485" t="s">
        <v>1188</v>
      </c>
      <c r="AE485" t="s">
        <v>2902</v>
      </c>
      <c r="AF485" t="s">
        <v>1190</v>
      </c>
    </row>
    <row r="486" spans="1:32" s="13" customFormat="1" ht="75" x14ac:dyDescent="0.25">
      <c r="A486" s="10">
        <v>98840</v>
      </c>
      <c r="B486" s="10">
        <v>1</v>
      </c>
      <c r="C486" s="9">
        <v>185</v>
      </c>
      <c r="D486" s="56" t="s">
        <v>3519</v>
      </c>
      <c r="E486" s="12" t="s">
        <v>415</v>
      </c>
      <c r="F486" s="45"/>
      <c r="G486" s="45"/>
      <c r="H486" s="45"/>
      <c r="I486">
        <v>98840</v>
      </c>
      <c r="J486" t="s">
        <v>414</v>
      </c>
      <c r="K486" t="s">
        <v>2895</v>
      </c>
      <c r="L486" t="s">
        <v>1178</v>
      </c>
      <c r="M486" t="s">
        <v>1192</v>
      </c>
      <c r="N486" t="s">
        <v>599</v>
      </c>
      <c r="O486" t="s">
        <v>1551</v>
      </c>
      <c r="P486" t="s">
        <v>599</v>
      </c>
      <c r="Q486" t="s">
        <v>599</v>
      </c>
      <c r="R486" t="s">
        <v>2896</v>
      </c>
      <c r="S486" t="s">
        <v>2897</v>
      </c>
      <c r="T486">
        <v>1880</v>
      </c>
      <c r="U486">
        <v>1880</v>
      </c>
      <c r="V486" t="s">
        <v>2898</v>
      </c>
      <c r="W486" t="s">
        <v>1185</v>
      </c>
      <c r="X486" t="s">
        <v>599</v>
      </c>
      <c r="Y486" t="s">
        <v>599</v>
      </c>
      <c r="Z486" t="s">
        <v>2899</v>
      </c>
      <c r="AA486" t="s">
        <v>599</v>
      </c>
      <c r="AB486" t="s">
        <v>2900</v>
      </c>
      <c r="AC486" t="s">
        <v>2901</v>
      </c>
      <c r="AD486" t="s">
        <v>1188</v>
      </c>
      <c r="AE486" t="s">
        <v>2902</v>
      </c>
      <c r="AF486" t="s">
        <v>1190</v>
      </c>
    </row>
    <row r="487" spans="1:32" s="13" customFormat="1" ht="75" x14ac:dyDescent="0.25">
      <c r="A487" s="10">
        <v>98840</v>
      </c>
      <c r="B487" s="10">
        <v>1</v>
      </c>
      <c r="C487" s="9">
        <v>235</v>
      </c>
      <c r="D487" s="56" t="s">
        <v>3520</v>
      </c>
      <c r="E487" s="12" t="s">
        <v>415</v>
      </c>
      <c r="F487" s="45"/>
      <c r="G487" s="45"/>
      <c r="H487" s="45"/>
      <c r="I487">
        <v>98840</v>
      </c>
      <c r="J487" t="s">
        <v>414</v>
      </c>
      <c r="K487" t="s">
        <v>2895</v>
      </c>
      <c r="L487" t="s">
        <v>1178</v>
      </c>
      <c r="M487" t="s">
        <v>1192</v>
      </c>
      <c r="N487" t="s">
        <v>599</v>
      </c>
      <c r="O487" t="s">
        <v>1551</v>
      </c>
      <c r="P487" t="s">
        <v>599</v>
      </c>
      <c r="Q487" t="s">
        <v>599</v>
      </c>
      <c r="R487" t="s">
        <v>2896</v>
      </c>
      <c r="S487" t="s">
        <v>2897</v>
      </c>
      <c r="T487">
        <v>1880</v>
      </c>
      <c r="U487">
        <v>1880</v>
      </c>
      <c r="V487" t="s">
        <v>2898</v>
      </c>
      <c r="W487" t="s">
        <v>1185</v>
      </c>
      <c r="X487" t="s">
        <v>599</v>
      </c>
      <c r="Y487" t="s">
        <v>599</v>
      </c>
      <c r="Z487" t="s">
        <v>2899</v>
      </c>
      <c r="AA487" t="s">
        <v>599</v>
      </c>
      <c r="AB487" t="s">
        <v>2900</v>
      </c>
      <c r="AC487" t="s">
        <v>2901</v>
      </c>
      <c r="AD487" t="s">
        <v>1188</v>
      </c>
      <c r="AE487" t="s">
        <v>2902</v>
      </c>
      <c r="AF487" t="s">
        <v>1190</v>
      </c>
    </row>
    <row r="488" spans="1:32" s="13" customFormat="1" ht="75" x14ac:dyDescent="0.25">
      <c r="A488" s="10">
        <v>98840</v>
      </c>
      <c r="B488" s="10">
        <v>1</v>
      </c>
      <c r="C488" s="9">
        <v>270</v>
      </c>
      <c r="D488" s="56" t="s">
        <v>3521</v>
      </c>
      <c r="E488" s="12" t="s">
        <v>415</v>
      </c>
      <c r="F488" s="45"/>
      <c r="G488" s="45"/>
      <c r="H488" s="45"/>
      <c r="I488">
        <v>98840</v>
      </c>
      <c r="J488" t="s">
        <v>414</v>
      </c>
      <c r="K488" t="s">
        <v>2895</v>
      </c>
      <c r="L488" t="s">
        <v>1178</v>
      </c>
      <c r="M488" t="s">
        <v>1192</v>
      </c>
      <c r="N488" t="s">
        <v>599</v>
      </c>
      <c r="O488" t="s">
        <v>1551</v>
      </c>
      <c r="P488" t="s">
        <v>599</v>
      </c>
      <c r="Q488" t="s">
        <v>599</v>
      </c>
      <c r="R488" t="s">
        <v>2896</v>
      </c>
      <c r="S488" t="s">
        <v>2897</v>
      </c>
      <c r="T488">
        <v>1880</v>
      </c>
      <c r="U488">
        <v>1880</v>
      </c>
      <c r="V488" t="s">
        <v>2898</v>
      </c>
      <c r="W488" t="s">
        <v>1185</v>
      </c>
      <c r="X488" t="s">
        <v>599</v>
      </c>
      <c r="Y488" t="s">
        <v>599</v>
      </c>
      <c r="Z488" t="s">
        <v>2899</v>
      </c>
      <c r="AA488" t="s">
        <v>599</v>
      </c>
      <c r="AB488" t="s">
        <v>2900</v>
      </c>
      <c r="AC488" t="s">
        <v>2901</v>
      </c>
      <c r="AD488" t="s">
        <v>1188</v>
      </c>
      <c r="AE488" t="s">
        <v>2902</v>
      </c>
      <c r="AF488" t="s">
        <v>1190</v>
      </c>
    </row>
    <row r="489" spans="1:32" s="13" customFormat="1" ht="75" x14ac:dyDescent="0.25">
      <c r="A489" s="10">
        <v>98840</v>
      </c>
      <c r="B489" s="10">
        <v>1</v>
      </c>
      <c r="C489" s="9">
        <v>273</v>
      </c>
      <c r="D489" s="56" t="s">
        <v>3522</v>
      </c>
      <c r="E489" s="12" t="s">
        <v>415</v>
      </c>
      <c r="F489" s="45"/>
      <c r="G489" s="45"/>
      <c r="H489" s="45"/>
      <c r="I489">
        <v>98840</v>
      </c>
      <c r="J489" t="s">
        <v>414</v>
      </c>
      <c r="K489" t="s">
        <v>2895</v>
      </c>
      <c r="L489" t="s">
        <v>1178</v>
      </c>
      <c r="M489" t="s">
        <v>1192</v>
      </c>
      <c r="N489" t="s">
        <v>599</v>
      </c>
      <c r="O489" t="s">
        <v>1551</v>
      </c>
      <c r="P489" t="s">
        <v>599</v>
      </c>
      <c r="Q489" t="s">
        <v>599</v>
      </c>
      <c r="R489" t="s">
        <v>2896</v>
      </c>
      <c r="S489" t="s">
        <v>2897</v>
      </c>
      <c r="T489">
        <v>1880</v>
      </c>
      <c r="U489">
        <v>1880</v>
      </c>
      <c r="V489" t="s">
        <v>2898</v>
      </c>
      <c r="W489" t="s">
        <v>1185</v>
      </c>
      <c r="X489" t="s">
        <v>599</v>
      </c>
      <c r="Y489" t="s">
        <v>599</v>
      </c>
      <c r="Z489" t="s">
        <v>2899</v>
      </c>
      <c r="AA489" t="s">
        <v>599</v>
      </c>
      <c r="AB489" t="s">
        <v>2900</v>
      </c>
      <c r="AC489" t="s">
        <v>2901</v>
      </c>
      <c r="AD489" t="s">
        <v>1188</v>
      </c>
      <c r="AE489" t="s">
        <v>2902</v>
      </c>
      <c r="AF489" t="s">
        <v>1190</v>
      </c>
    </row>
    <row r="490" spans="1:32" s="13" customFormat="1" ht="75" x14ac:dyDescent="0.25">
      <c r="A490" s="10">
        <v>98840</v>
      </c>
      <c r="B490" s="10">
        <v>1</v>
      </c>
      <c r="C490" s="9">
        <v>306</v>
      </c>
      <c r="D490" s="56" t="s">
        <v>3523</v>
      </c>
      <c r="E490" s="12" t="s">
        <v>415</v>
      </c>
      <c r="F490" s="45"/>
      <c r="G490" s="45"/>
      <c r="H490" s="45"/>
      <c r="I490">
        <v>98840</v>
      </c>
      <c r="J490" t="s">
        <v>414</v>
      </c>
      <c r="K490" t="s">
        <v>2895</v>
      </c>
      <c r="L490" t="s">
        <v>1178</v>
      </c>
      <c r="M490" t="s">
        <v>1192</v>
      </c>
      <c r="N490" t="s">
        <v>599</v>
      </c>
      <c r="O490" t="s">
        <v>1551</v>
      </c>
      <c r="P490" t="s">
        <v>599</v>
      </c>
      <c r="Q490" t="s">
        <v>599</v>
      </c>
      <c r="R490" t="s">
        <v>2896</v>
      </c>
      <c r="S490" t="s">
        <v>2897</v>
      </c>
      <c r="T490">
        <v>1880</v>
      </c>
      <c r="U490">
        <v>1880</v>
      </c>
      <c r="V490" t="s">
        <v>2898</v>
      </c>
      <c r="W490" t="s">
        <v>1185</v>
      </c>
      <c r="X490" t="s">
        <v>599</v>
      </c>
      <c r="Y490" t="s">
        <v>599</v>
      </c>
      <c r="Z490" t="s">
        <v>2899</v>
      </c>
      <c r="AA490" t="s">
        <v>599</v>
      </c>
      <c r="AB490" t="s">
        <v>2900</v>
      </c>
      <c r="AC490" t="s">
        <v>2901</v>
      </c>
      <c r="AD490" t="s">
        <v>1188</v>
      </c>
      <c r="AE490" t="s">
        <v>2902</v>
      </c>
      <c r="AF490" t="s">
        <v>1190</v>
      </c>
    </row>
    <row r="491" spans="1:32" s="13" customFormat="1" ht="75" x14ac:dyDescent="0.25">
      <c r="A491" s="10">
        <v>98840</v>
      </c>
      <c r="B491" s="10">
        <v>1</v>
      </c>
      <c r="C491" s="9">
        <v>309</v>
      </c>
      <c r="D491" s="56" t="s">
        <v>3524</v>
      </c>
      <c r="E491" s="12" t="s">
        <v>415</v>
      </c>
      <c r="F491" s="45"/>
      <c r="G491" s="45"/>
      <c r="H491" s="45"/>
      <c r="I491">
        <v>98840</v>
      </c>
      <c r="J491" t="s">
        <v>414</v>
      </c>
      <c r="K491" t="s">
        <v>2895</v>
      </c>
      <c r="L491" t="s">
        <v>1178</v>
      </c>
      <c r="M491" t="s">
        <v>1192</v>
      </c>
      <c r="N491" t="s">
        <v>599</v>
      </c>
      <c r="O491" t="s">
        <v>1551</v>
      </c>
      <c r="P491" t="s">
        <v>599</v>
      </c>
      <c r="Q491" t="s">
        <v>599</v>
      </c>
      <c r="R491" t="s">
        <v>2896</v>
      </c>
      <c r="S491" t="s">
        <v>2897</v>
      </c>
      <c r="T491">
        <v>1880</v>
      </c>
      <c r="U491">
        <v>1880</v>
      </c>
      <c r="V491" t="s">
        <v>2898</v>
      </c>
      <c r="W491" t="s">
        <v>1185</v>
      </c>
      <c r="X491" t="s">
        <v>599</v>
      </c>
      <c r="Y491" t="s">
        <v>599</v>
      </c>
      <c r="Z491" t="s">
        <v>2899</v>
      </c>
      <c r="AA491" t="s">
        <v>599</v>
      </c>
      <c r="AB491" t="s">
        <v>2900</v>
      </c>
      <c r="AC491" t="s">
        <v>2901</v>
      </c>
      <c r="AD491" t="s">
        <v>1188</v>
      </c>
      <c r="AE491" t="s">
        <v>2902</v>
      </c>
      <c r="AF491" t="s">
        <v>1190</v>
      </c>
    </row>
    <row r="492" spans="1:32" s="13" customFormat="1" ht="75" x14ac:dyDescent="0.25">
      <c r="A492" s="10">
        <v>98840</v>
      </c>
      <c r="B492" s="10">
        <v>1</v>
      </c>
      <c r="C492" s="9">
        <v>342</v>
      </c>
      <c r="D492" s="56" t="s">
        <v>3525</v>
      </c>
      <c r="E492" s="12" t="s">
        <v>415</v>
      </c>
      <c r="F492" s="45"/>
      <c r="G492" s="45"/>
      <c r="H492" s="45"/>
      <c r="I492">
        <v>98840</v>
      </c>
      <c r="J492" t="s">
        <v>414</v>
      </c>
      <c r="K492" t="s">
        <v>2895</v>
      </c>
      <c r="L492" t="s">
        <v>1178</v>
      </c>
      <c r="M492" t="s">
        <v>1192</v>
      </c>
      <c r="N492" t="s">
        <v>599</v>
      </c>
      <c r="O492" t="s">
        <v>1551</v>
      </c>
      <c r="P492" t="s">
        <v>599</v>
      </c>
      <c r="Q492" t="s">
        <v>599</v>
      </c>
      <c r="R492" t="s">
        <v>2896</v>
      </c>
      <c r="S492" t="s">
        <v>2897</v>
      </c>
      <c r="T492">
        <v>1880</v>
      </c>
      <c r="U492">
        <v>1880</v>
      </c>
      <c r="V492" t="s">
        <v>2898</v>
      </c>
      <c r="W492" t="s">
        <v>1185</v>
      </c>
      <c r="X492" t="s">
        <v>599</v>
      </c>
      <c r="Y492" t="s">
        <v>599</v>
      </c>
      <c r="Z492" t="s">
        <v>2899</v>
      </c>
      <c r="AA492" t="s">
        <v>599</v>
      </c>
      <c r="AB492" t="s">
        <v>2900</v>
      </c>
      <c r="AC492" t="s">
        <v>2901</v>
      </c>
      <c r="AD492" t="s">
        <v>1188</v>
      </c>
      <c r="AE492" t="s">
        <v>2902</v>
      </c>
      <c r="AF492" t="s">
        <v>1190</v>
      </c>
    </row>
    <row r="493" spans="1:32" s="13" customFormat="1" ht="75" x14ac:dyDescent="0.25">
      <c r="A493" s="10">
        <v>98840</v>
      </c>
      <c r="B493" s="10">
        <v>1</v>
      </c>
      <c r="C493" s="9">
        <v>345</v>
      </c>
      <c r="D493" s="56" t="s">
        <v>3526</v>
      </c>
      <c r="E493" s="12" t="s">
        <v>415</v>
      </c>
      <c r="F493" s="45"/>
      <c r="G493" s="45"/>
      <c r="H493" s="45"/>
      <c r="I493">
        <v>98840</v>
      </c>
      <c r="J493" t="s">
        <v>414</v>
      </c>
      <c r="K493" t="s">
        <v>2895</v>
      </c>
      <c r="L493" t="s">
        <v>1178</v>
      </c>
      <c r="M493" t="s">
        <v>1192</v>
      </c>
      <c r="N493" t="s">
        <v>599</v>
      </c>
      <c r="O493" t="s">
        <v>1551</v>
      </c>
      <c r="P493" t="s">
        <v>599</v>
      </c>
      <c r="Q493" t="s">
        <v>599</v>
      </c>
      <c r="R493" t="s">
        <v>2896</v>
      </c>
      <c r="S493" t="s">
        <v>2897</v>
      </c>
      <c r="T493">
        <v>1880</v>
      </c>
      <c r="U493">
        <v>1880</v>
      </c>
      <c r="V493" t="s">
        <v>2898</v>
      </c>
      <c r="W493" t="s">
        <v>1185</v>
      </c>
      <c r="X493" t="s">
        <v>599</v>
      </c>
      <c r="Y493" t="s">
        <v>599</v>
      </c>
      <c r="Z493" t="s">
        <v>2899</v>
      </c>
      <c r="AA493" t="s">
        <v>599</v>
      </c>
      <c r="AB493" t="s">
        <v>2900</v>
      </c>
      <c r="AC493" t="s">
        <v>2901</v>
      </c>
      <c r="AD493" t="s">
        <v>1188</v>
      </c>
      <c r="AE493" t="s">
        <v>2902</v>
      </c>
      <c r="AF493" t="s">
        <v>1190</v>
      </c>
    </row>
    <row r="494" spans="1:32" s="13" customFormat="1" ht="75" x14ac:dyDescent="0.25">
      <c r="A494" s="10">
        <v>98840</v>
      </c>
      <c r="B494" s="10">
        <v>1</v>
      </c>
      <c r="C494" s="9">
        <v>374</v>
      </c>
      <c r="D494" s="56" t="s">
        <v>3527</v>
      </c>
      <c r="E494" s="12" t="s">
        <v>415</v>
      </c>
      <c r="F494" s="45"/>
      <c r="G494" s="45"/>
      <c r="H494" s="45"/>
      <c r="I494">
        <v>98840</v>
      </c>
      <c r="J494" t="s">
        <v>414</v>
      </c>
      <c r="K494" t="s">
        <v>2895</v>
      </c>
      <c r="L494" t="s">
        <v>1178</v>
      </c>
      <c r="M494" t="s">
        <v>1192</v>
      </c>
      <c r="N494" t="s">
        <v>599</v>
      </c>
      <c r="O494" t="s">
        <v>1551</v>
      </c>
      <c r="P494" t="s">
        <v>599</v>
      </c>
      <c r="Q494" t="s">
        <v>599</v>
      </c>
      <c r="R494" t="s">
        <v>2896</v>
      </c>
      <c r="S494" t="s">
        <v>2897</v>
      </c>
      <c r="T494">
        <v>1880</v>
      </c>
      <c r="U494">
        <v>1880</v>
      </c>
      <c r="V494" t="s">
        <v>2898</v>
      </c>
      <c r="W494" t="s">
        <v>1185</v>
      </c>
      <c r="X494" t="s">
        <v>599</v>
      </c>
      <c r="Y494" t="s">
        <v>599</v>
      </c>
      <c r="Z494" t="s">
        <v>2899</v>
      </c>
      <c r="AA494" t="s">
        <v>599</v>
      </c>
      <c r="AB494" t="s">
        <v>2900</v>
      </c>
      <c r="AC494" t="s">
        <v>2901</v>
      </c>
      <c r="AD494" t="s">
        <v>1188</v>
      </c>
      <c r="AE494" t="s">
        <v>2902</v>
      </c>
      <c r="AF494" t="s">
        <v>1190</v>
      </c>
    </row>
    <row r="495" spans="1:32" s="13" customFormat="1" ht="75" x14ac:dyDescent="0.25">
      <c r="A495" s="10">
        <v>98840</v>
      </c>
      <c r="B495" s="10">
        <v>1</v>
      </c>
      <c r="C495" s="9">
        <v>377</v>
      </c>
      <c r="D495" s="56" t="s">
        <v>3528</v>
      </c>
      <c r="E495" s="12" t="s">
        <v>415</v>
      </c>
      <c r="F495" s="45"/>
      <c r="G495" s="45"/>
      <c r="H495" s="45"/>
      <c r="I495">
        <v>98840</v>
      </c>
      <c r="J495" t="s">
        <v>414</v>
      </c>
      <c r="K495" t="s">
        <v>2895</v>
      </c>
      <c r="L495" t="s">
        <v>1178</v>
      </c>
      <c r="M495" t="s">
        <v>1192</v>
      </c>
      <c r="N495" t="s">
        <v>599</v>
      </c>
      <c r="O495" t="s">
        <v>1551</v>
      </c>
      <c r="P495" t="s">
        <v>599</v>
      </c>
      <c r="Q495" t="s">
        <v>599</v>
      </c>
      <c r="R495" t="s">
        <v>2896</v>
      </c>
      <c r="S495" t="s">
        <v>2897</v>
      </c>
      <c r="T495">
        <v>1880</v>
      </c>
      <c r="U495">
        <v>1880</v>
      </c>
      <c r="V495" t="s">
        <v>2898</v>
      </c>
      <c r="W495" t="s">
        <v>1185</v>
      </c>
      <c r="X495" t="s">
        <v>599</v>
      </c>
      <c r="Y495" t="s">
        <v>599</v>
      </c>
      <c r="Z495" t="s">
        <v>2899</v>
      </c>
      <c r="AA495" t="s">
        <v>599</v>
      </c>
      <c r="AB495" t="s">
        <v>2900</v>
      </c>
      <c r="AC495" t="s">
        <v>2901</v>
      </c>
      <c r="AD495" t="s">
        <v>1188</v>
      </c>
      <c r="AE495" t="s">
        <v>2902</v>
      </c>
      <c r="AF495" t="s">
        <v>1190</v>
      </c>
    </row>
    <row r="496" spans="1:32" s="13" customFormat="1" ht="75" x14ac:dyDescent="0.25">
      <c r="A496" s="10">
        <v>98840</v>
      </c>
      <c r="B496" s="10">
        <v>1</v>
      </c>
      <c r="C496" s="9">
        <v>410</v>
      </c>
      <c r="D496" s="56" t="s">
        <v>3529</v>
      </c>
      <c r="E496" s="12" t="s">
        <v>415</v>
      </c>
      <c r="F496" s="45"/>
      <c r="G496" s="45"/>
      <c r="H496" s="45"/>
      <c r="I496">
        <v>98840</v>
      </c>
      <c r="J496" t="s">
        <v>414</v>
      </c>
      <c r="K496" t="s">
        <v>2895</v>
      </c>
      <c r="L496" t="s">
        <v>1178</v>
      </c>
      <c r="M496" t="s">
        <v>1192</v>
      </c>
      <c r="N496" t="s">
        <v>599</v>
      </c>
      <c r="O496" t="s">
        <v>1551</v>
      </c>
      <c r="P496" t="s">
        <v>599</v>
      </c>
      <c r="Q496" t="s">
        <v>599</v>
      </c>
      <c r="R496" t="s">
        <v>2896</v>
      </c>
      <c r="S496" t="s">
        <v>2897</v>
      </c>
      <c r="T496">
        <v>1880</v>
      </c>
      <c r="U496">
        <v>1880</v>
      </c>
      <c r="V496" t="s">
        <v>2898</v>
      </c>
      <c r="W496" t="s">
        <v>1185</v>
      </c>
      <c r="X496" t="s">
        <v>599</v>
      </c>
      <c r="Y496" t="s">
        <v>599</v>
      </c>
      <c r="Z496" t="s">
        <v>2899</v>
      </c>
      <c r="AA496" t="s">
        <v>599</v>
      </c>
      <c r="AB496" t="s">
        <v>2900</v>
      </c>
      <c r="AC496" t="s">
        <v>2901</v>
      </c>
      <c r="AD496" t="s">
        <v>1188</v>
      </c>
      <c r="AE496" t="s">
        <v>2902</v>
      </c>
      <c r="AF496" t="s">
        <v>1190</v>
      </c>
    </row>
    <row r="497" spans="1:32" s="13" customFormat="1" ht="75" x14ac:dyDescent="0.25">
      <c r="A497" s="10">
        <v>98840</v>
      </c>
      <c r="B497" s="10">
        <v>1</v>
      </c>
      <c r="C497" s="9">
        <v>413</v>
      </c>
      <c r="D497" s="56" t="s">
        <v>3530</v>
      </c>
      <c r="E497" s="12" t="s">
        <v>415</v>
      </c>
      <c r="F497" s="45"/>
      <c r="G497" s="45"/>
      <c r="H497" s="45"/>
      <c r="I497">
        <v>98840</v>
      </c>
      <c r="J497" t="s">
        <v>414</v>
      </c>
      <c r="K497" t="s">
        <v>2895</v>
      </c>
      <c r="L497" t="s">
        <v>1178</v>
      </c>
      <c r="M497" t="s">
        <v>1192</v>
      </c>
      <c r="N497" t="s">
        <v>599</v>
      </c>
      <c r="O497" t="s">
        <v>1551</v>
      </c>
      <c r="P497" t="s">
        <v>599</v>
      </c>
      <c r="Q497" t="s">
        <v>599</v>
      </c>
      <c r="R497" t="s">
        <v>2896</v>
      </c>
      <c r="S497" t="s">
        <v>2897</v>
      </c>
      <c r="T497">
        <v>1880</v>
      </c>
      <c r="U497">
        <v>1880</v>
      </c>
      <c r="V497" t="s">
        <v>2898</v>
      </c>
      <c r="W497" t="s">
        <v>1185</v>
      </c>
      <c r="X497" t="s">
        <v>599</v>
      </c>
      <c r="Y497" t="s">
        <v>599</v>
      </c>
      <c r="Z497" t="s">
        <v>2899</v>
      </c>
      <c r="AA497" t="s">
        <v>599</v>
      </c>
      <c r="AB497" t="s">
        <v>2900</v>
      </c>
      <c r="AC497" t="s">
        <v>2901</v>
      </c>
      <c r="AD497" t="s">
        <v>1188</v>
      </c>
      <c r="AE497" t="s">
        <v>2902</v>
      </c>
      <c r="AF497" t="s">
        <v>1190</v>
      </c>
    </row>
    <row r="498" spans="1:32" s="13" customFormat="1" ht="75" x14ac:dyDescent="0.25">
      <c r="A498" s="10">
        <v>98840</v>
      </c>
      <c r="B498" s="10">
        <v>1</v>
      </c>
      <c r="C498" s="9">
        <v>447</v>
      </c>
      <c r="D498" s="56" t="s">
        <v>3531</v>
      </c>
      <c r="E498" s="12" t="s">
        <v>415</v>
      </c>
      <c r="F498" s="45"/>
      <c r="G498" s="45"/>
      <c r="H498" s="45"/>
      <c r="I498">
        <v>98840</v>
      </c>
      <c r="J498" t="s">
        <v>414</v>
      </c>
      <c r="K498" t="s">
        <v>2895</v>
      </c>
      <c r="L498" t="s">
        <v>1178</v>
      </c>
      <c r="M498" t="s">
        <v>1192</v>
      </c>
      <c r="N498" t="s">
        <v>599</v>
      </c>
      <c r="O498" t="s">
        <v>1551</v>
      </c>
      <c r="P498" t="s">
        <v>599</v>
      </c>
      <c r="Q498" t="s">
        <v>599</v>
      </c>
      <c r="R498" t="s">
        <v>2896</v>
      </c>
      <c r="S498" t="s">
        <v>2897</v>
      </c>
      <c r="T498">
        <v>1880</v>
      </c>
      <c r="U498">
        <v>1880</v>
      </c>
      <c r="V498" t="s">
        <v>2898</v>
      </c>
      <c r="W498" t="s">
        <v>1185</v>
      </c>
      <c r="X498" t="s">
        <v>599</v>
      </c>
      <c r="Y498" t="s">
        <v>599</v>
      </c>
      <c r="Z498" t="s">
        <v>2899</v>
      </c>
      <c r="AA498" t="s">
        <v>599</v>
      </c>
      <c r="AB498" t="s">
        <v>2900</v>
      </c>
      <c r="AC498" t="s">
        <v>2901</v>
      </c>
      <c r="AD498" t="s">
        <v>1188</v>
      </c>
      <c r="AE498" t="s">
        <v>2902</v>
      </c>
      <c r="AF498" t="s">
        <v>1190</v>
      </c>
    </row>
    <row r="499" spans="1:32" s="13" customFormat="1" ht="75" x14ac:dyDescent="0.25">
      <c r="A499" s="10">
        <v>98840</v>
      </c>
      <c r="B499" s="10">
        <v>1</v>
      </c>
      <c r="C499" s="9">
        <v>499</v>
      </c>
      <c r="D499" s="56" t="s">
        <v>3532</v>
      </c>
      <c r="E499" s="12" t="s">
        <v>415</v>
      </c>
      <c r="F499" s="45"/>
      <c r="G499" s="45"/>
      <c r="H499" s="45"/>
      <c r="I499">
        <v>98840</v>
      </c>
      <c r="J499" t="s">
        <v>414</v>
      </c>
      <c r="K499" t="s">
        <v>2895</v>
      </c>
      <c r="L499" t="s">
        <v>1178</v>
      </c>
      <c r="M499" t="s">
        <v>1192</v>
      </c>
      <c r="N499" t="s">
        <v>599</v>
      </c>
      <c r="O499" t="s">
        <v>1551</v>
      </c>
      <c r="P499" t="s">
        <v>599</v>
      </c>
      <c r="Q499" t="s">
        <v>599</v>
      </c>
      <c r="R499" t="s">
        <v>2896</v>
      </c>
      <c r="S499" t="s">
        <v>2897</v>
      </c>
      <c r="T499">
        <v>1880</v>
      </c>
      <c r="U499">
        <v>1880</v>
      </c>
      <c r="V499" t="s">
        <v>2898</v>
      </c>
      <c r="W499" t="s">
        <v>1185</v>
      </c>
      <c r="X499" t="s">
        <v>599</v>
      </c>
      <c r="Y499" t="s">
        <v>599</v>
      </c>
      <c r="Z499" t="s">
        <v>2899</v>
      </c>
      <c r="AA499" t="s">
        <v>599</v>
      </c>
      <c r="AB499" t="s">
        <v>2900</v>
      </c>
      <c r="AC499" t="s">
        <v>2901</v>
      </c>
      <c r="AD499" t="s">
        <v>1188</v>
      </c>
      <c r="AE499" t="s">
        <v>2902</v>
      </c>
      <c r="AF499" t="s">
        <v>1190</v>
      </c>
    </row>
    <row r="500" spans="1:32" s="13" customFormat="1" ht="45" x14ac:dyDescent="0.25">
      <c r="A500" s="10">
        <v>224027</v>
      </c>
      <c r="B500" s="10">
        <v>1</v>
      </c>
      <c r="C500" s="9">
        <v>7</v>
      </c>
      <c r="D500" s="56" t="s">
        <v>3533</v>
      </c>
      <c r="E500" s="12" t="s">
        <v>172</v>
      </c>
      <c r="F500" s="45"/>
      <c r="G500" s="45"/>
      <c r="H500" s="45"/>
      <c r="I500">
        <v>224027</v>
      </c>
      <c r="J500" t="s">
        <v>417</v>
      </c>
      <c r="K500" t="s">
        <v>2903</v>
      </c>
      <c r="L500" t="s">
        <v>1178</v>
      </c>
      <c r="M500" t="s">
        <v>1209</v>
      </c>
      <c r="N500" t="s">
        <v>1192</v>
      </c>
      <c r="O500" t="s">
        <v>2904</v>
      </c>
      <c r="P500" t="s">
        <v>599</v>
      </c>
      <c r="Q500" t="s">
        <v>599</v>
      </c>
      <c r="R500" t="s">
        <v>1182</v>
      </c>
      <c r="S500" t="s">
        <v>2905</v>
      </c>
      <c r="T500">
        <v>1580</v>
      </c>
      <c r="U500">
        <v>1580</v>
      </c>
      <c r="V500" t="s">
        <v>2906</v>
      </c>
      <c r="W500" t="s">
        <v>1185</v>
      </c>
      <c r="X500" t="s">
        <v>599</v>
      </c>
      <c r="Y500" t="s">
        <v>599</v>
      </c>
      <c r="Z500" t="s">
        <v>2907</v>
      </c>
      <c r="AA500" t="s">
        <v>599</v>
      </c>
      <c r="AB500" t="s">
        <v>599</v>
      </c>
      <c r="AC500" t="s">
        <v>2908</v>
      </c>
      <c r="AD500" t="s">
        <v>599</v>
      </c>
      <c r="AE500" t="s">
        <v>2909</v>
      </c>
      <c r="AF500" t="s">
        <v>1190</v>
      </c>
    </row>
    <row r="501" spans="1:32" s="13" customFormat="1" ht="45" x14ac:dyDescent="0.25">
      <c r="A501" s="10">
        <v>251973</v>
      </c>
      <c r="B501" s="10">
        <v>1</v>
      </c>
      <c r="C501" s="9">
        <v>5</v>
      </c>
      <c r="D501" s="56" t="s">
        <v>3534</v>
      </c>
      <c r="E501" s="12" t="s">
        <v>419</v>
      </c>
      <c r="F501" s="45"/>
      <c r="G501" s="45"/>
      <c r="H501" s="45"/>
      <c r="I501">
        <v>251973</v>
      </c>
      <c r="J501" t="s">
        <v>418</v>
      </c>
      <c r="K501" t="s">
        <v>2910</v>
      </c>
      <c r="L501" t="s">
        <v>1178</v>
      </c>
      <c r="M501" t="s">
        <v>1192</v>
      </c>
      <c r="N501" t="s">
        <v>599</v>
      </c>
      <c r="O501" t="s">
        <v>2911</v>
      </c>
      <c r="P501" t="s">
        <v>599</v>
      </c>
      <c r="Q501" t="s">
        <v>599</v>
      </c>
      <c r="R501" t="s">
        <v>1182</v>
      </c>
      <c r="S501" t="s">
        <v>2912</v>
      </c>
      <c r="T501">
        <v>1981</v>
      </c>
      <c r="U501">
        <v>1981</v>
      </c>
      <c r="V501" t="s">
        <v>2913</v>
      </c>
      <c r="W501" t="s">
        <v>2914</v>
      </c>
      <c r="X501" t="s">
        <v>599</v>
      </c>
      <c r="Y501" t="s">
        <v>599</v>
      </c>
      <c r="Z501" t="s">
        <v>2915</v>
      </c>
      <c r="AA501" t="s">
        <v>599</v>
      </c>
      <c r="AB501" t="s">
        <v>599</v>
      </c>
      <c r="AC501" t="s">
        <v>2916</v>
      </c>
      <c r="AD501" t="s">
        <v>599</v>
      </c>
      <c r="AE501" t="s">
        <v>2917</v>
      </c>
      <c r="AF501" t="s">
        <v>1319</v>
      </c>
    </row>
    <row r="502" spans="1:32" s="13" customFormat="1" ht="45" x14ac:dyDescent="0.25">
      <c r="A502" s="10">
        <v>251973</v>
      </c>
      <c r="B502" s="10">
        <v>1</v>
      </c>
      <c r="C502" s="9">
        <v>11</v>
      </c>
      <c r="D502" s="56" t="s">
        <v>3535</v>
      </c>
      <c r="E502" s="12" t="s">
        <v>419</v>
      </c>
      <c r="F502" s="45"/>
      <c r="G502" s="45"/>
      <c r="H502" s="45"/>
      <c r="I502">
        <v>251973</v>
      </c>
      <c r="J502" t="s">
        <v>418</v>
      </c>
      <c r="K502" t="s">
        <v>2910</v>
      </c>
      <c r="L502" t="s">
        <v>1178</v>
      </c>
      <c r="M502" t="s">
        <v>1192</v>
      </c>
      <c r="N502" t="s">
        <v>599</v>
      </c>
      <c r="O502" t="s">
        <v>2911</v>
      </c>
      <c r="P502" t="s">
        <v>599</v>
      </c>
      <c r="Q502" t="s">
        <v>599</v>
      </c>
      <c r="R502" t="s">
        <v>1182</v>
      </c>
      <c r="S502" t="s">
        <v>2912</v>
      </c>
      <c r="T502">
        <v>1981</v>
      </c>
      <c r="U502">
        <v>1981</v>
      </c>
      <c r="V502" t="s">
        <v>2913</v>
      </c>
      <c r="W502" t="s">
        <v>2914</v>
      </c>
      <c r="X502" t="s">
        <v>599</v>
      </c>
      <c r="Y502" t="s">
        <v>599</v>
      </c>
      <c r="Z502" t="s">
        <v>2915</v>
      </c>
      <c r="AA502" t="s">
        <v>599</v>
      </c>
      <c r="AB502" t="s">
        <v>599</v>
      </c>
      <c r="AC502" t="s">
        <v>2916</v>
      </c>
      <c r="AD502" t="s">
        <v>599</v>
      </c>
      <c r="AE502" t="s">
        <v>2917</v>
      </c>
      <c r="AF502" t="s">
        <v>1319</v>
      </c>
    </row>
    <row r="503" spans="1:32" s="13" customFormat="1" ht="45" x14ac:dyDescent="0.25">
      <c r="A503" s="10">
        <v>251973</v>
      </c>
      <c r="B503" s="10">
        <v>1</v>
      </c>
      <c r="C503" s="9">
        <v>13</v>
      </c>
      <c r="D503" s="56" t="s">
        <v>3536</v>
      </c>
      <c r="E503" s="12" t="s">
        <v>419</v>
      </c>
      <c r="F503" s="45"/>
      <c r="G503" s="45"/>
      <c r="H503" s="45"/>
      <c r="I503">
        <v>251973</v>
      </c>
      <c r="J503" t="s">
        <v>418</v>
      </c>
      <c r="K503" t="s">
        <v>2910</v>
      </c>
      <c r="L503" t="s">
        <v>1178</v>
      </c>
      <c r="M503" t="s">
        <v>1192</v>
      </c>
      <c r="N503" t="s">
        <v>599</v>
      </c>
      <c r="O503" t="s">
        <v>2911</v>
      </c>
      <c r="P503" t="s">
        <v>599</v>
      </c>
      <c r="Q503" t="s">
        <v>599</v>
      </c>
      <c r="R503" t="s">
        <v>1182</v>
      </c>
      <c r="S503" t="s">
        <v>2912</v>
      </c>
      <c r="T503">
        <v>1981</v>
      </c>
      <c r="U503">
        <v>1981</v>
      </c>
      <c r="V503" t="s">
        <v>2913</v>
      </c>
      <c r="W503" t="s">
        <v>2914</v>
      </c>
      <c r="X503" t="s">
        <v>599</v>
      </c>
      <c r="Y503" t="s">
        <v>599</v>
      </c>
      <c r="Z503" t="s">
        <v>2915</v>
      </c>
      <c r="AA503" t="s">
        <v>599</v>
      </c>
      <c r="AB503" t="s">
        <v>599</v>
      </c>
      <c r="AC503" t="s">
        <v>2916</v>
      </c>
      <c r="AD503" t="s">
        <v>599</v>
      </c>
      <c r="AE503" t="s">
        <v>2917</v>
      </c>
      <c r="AF503" t="s">
        <v>1319</v>
      </c>
    </row>
    <row r="504" spans="1:32" s="13" customFormat="1" ht="45" x14ac:dyDescent="0.25">
      <c r="A504" s="10">
        <v>251973</v>
      </c>
      <c r="B504" s="10">
        <v>1</v>
      </c>
      <c r="C504" s="9">
        <v>15</v>
      </c>
      <c r="D504" s="56" t="s">
        <v>3537</v>
      </c>
      <c r="E504" s="12" t="s">
        <v>419</v>
      </c>
      <c r="F504" s="45"/>
      <c r="G504" s="45"/>
      <c r="H504" s="45"/>
      <c r="I504">
        <v>251973</v>
      </c>
      <c r="J504" t="s">
        <v>418</v>
      </c>
      <c r="K504" t="s">
        <v>2910</v>
      </c>
      <c r="L504" t="s">
        <v>1178</v>
      </c>
      <c r="M504" t="s">
        <v>1192</v>
      </c>
      <c r="N504" t="s">
        <v>599</v>
      </c>
      <c r="O504" t="s">
        <v>2911</v>
      </c>
      <c r="P504" t="s">
        <v>599</v>
      </c>
      <c r="Q504" t="s">
        <v>599</v>
      </c>
      <c r="R504" t="s">
        <v>1182</v>
      </c>
      <c r="S504" t="s">
        <v>2912</v>
      </c>
      <c r="T504">
        <v>1981</v>
      </c>
      <c r="U504">
        <v>1981</v>
      </c>
      <c r="V504" t="s">
        <v>2913</v>
      </c>
      <c r="W504" t="s">
        <v>2914</v>
      </c>
      <c r="X504" t="s">
        <v>599</v>
      </c>
      <c r="Y504" t="s">
        <v>599</v>
      </c>
      <c r="Z504" t="s">
        <v>2915</v>
      </c>
      <c r="AA504" t="s">
        <v>599</v>
      </c>
      <c r="AB504" t="s">
        <v>599</v>
      </c>
      <c r="AC504" t="s">
        <v>2916</v>
      </c>
      <c r="AD504" t="s">
        <v>599</v>
      </c>
      <c r="AE504" t="s">
        <v>2917</v>
      </c>
      <c r="AF504" t="s">
        <v>1319</v>
      </c>
    </row>
    <row r="505" spans="1:32" s="13" customFormat="1" ht="45" x14ac:dyDescent="0.25">
      <c r="A505" s="10">
        <v>251973</v>
      </c>
      <c r="B505" s="10">
        <v>1</v>
      </c>
      <c r="C505" s="9">
        <v>17</v>
      </c>
      <c r="D505" s="56" t="s">
        <v>3538</v>
      </c>
      <c r="E505" s="12" t="s">
        <v>419</v>
      </c>
      <c r="F505" s="45"/>
      <c r="G505" s="45"/>
      <c r="H505" s="45"/>
      <c r="I505">
        <v>251973</v>
      </c>
      <c r="J505" t="s">
        <v>418</v>
      </c>
      <c r="K505" t="s">
        <v>2910</v>
      </c>
      <c r="L505" t="s">
        <v>1178</v>
      </c>
      <c r="M505" t="s">
        <v>1192</v>
      </c>
      <c r="N505" t="s">
        <v>599</v>
      </c>
      <c r="O505" t="s">
        <v>2911</v>
      </c>
      <c r="P505" t="s">
        <v>599</v>
      </c>
      <c r="Q505" t="s">
        <v>599</v>
      </c>
      <c r="R505" t="s">
        <v>1182</v>
      </c>
      <c r="S505" t="s">
        <v>2912</v>
      </c>
      <c r="T505">
        <v>1981</v>
      </c>
      <c r="U505">
        <v>1981</v>
      </c>
      <c r="V505" t="s">
        <v>2913</v>
      </c>
      <c r="W505" t="s">
        <v>2914</v>
      </c>
      <c r="X505" t="s">
        <v>599</v>
      </c>
      <c r="Y505" t="s">
        <v>599</v>
      </c>
      <c r="Z505" t="s">
        <v>2915</v>
      </c>
      <c r="AA505" t="s">
        <v>599</v>
      </c>
      <c r="AB505" t="s">
        <v>599</v>
      </c>
      <c r="AC505" t="s">
        <v>2916</v>
      </c>
      <c r="AD505" t="s">
        <v>599</v>
      </c>
      <c r="AE505" t="s">
        <v>2917</v>
      </c>
      <c r="AF505" t="s">
        <v>1319</v>
      </c>
    </row>
    <row r="506" spans="1:32" s="13" customFormat="1" ht="45" x14ac:dyDescent="0.25">
      <c r="A506" s="10">
        <v>251973</v>
      </c>
      <c r="B506" s="10">
        <v>1</v>
      </c>
      <c r="C506" s="9">
        <v>19</v>
      </c>
      <c r="D506" s="56" t="s">
        <v>3539</v>
      </c>
      <c r="E506" s="12" t="s">
        <v>419</v>
      </c>
      <c r="F506" s="45"/>
      <c r="G506" s="45"/>
      <c r="H506" s="45"/>
      <c r="I506">
        <v>251973</v>
      </c>
      <c r="J506" t="s">
        <v>418</v>
      </c>
      <c r="K506" t="s">
        <v>2910</v>
      </c>
      <c r="L506" t="s">
        <v>1178</v>
      </c>
      <c r="M506" t="s">
        <v>1192</v>
      </c>
      <c r="N506" t="s">
        <v>599</v>
      </c>
      <c r="O506" t="s">
        <v>2911</v>
      </c>
      <c r="P506" t="s">
        <v>599</v>
      </c>
      <c r="Q506" t="s">
        <v>599</v>
      </c>
      <c r="R506" t="s">
        <v>1182</v>
      </c>
      <c r="S506" t="s">
        <v>2912</v>
      </c>
      <c r="T506">
        <v>1981</v>
      </c>
      <c r="U506">
        <v>1981</v>
      </c>
      <c r="V506" t="s">
        <v>2913</v>
      </c>
      <c r="W506" t="s">
        <v>2914</v>
      </c>
      <c r="X506" t="s">
        <v>599</v>
      </c>
      <c r="Y506" t="s">
        <v>599</v>
      </c>
      <c r="Z506" t="s">
        <v>2915</v>
      </c>
      <c r="AA506" t="s">
        <v>599</v>
      </c>
      <c r="AB506" t="s">
        <v>599</v>
      </c>
      <c r="AC506" t="s">
        <v>2916</v>
      </c>
      <c r="AD506" t="s">
        <v>599</v>
      </c>
      <c r="AE506" t="s">
        <v>2917</v>
      </c>
      <c r="AF506" t="s">
        <v>1319</v>
      </c>
    </row>
    <row r="507" spans="1:32" s="13" customFormat="1" ht="45" x14ac:dyDescent="0.25">
      <c r="A507" s="10">
        <v>251973</v>
      </c>
      <c r="B507" s="10">
        <v>1</v>
      </c>
      <c r="C507" s="9">
        <v>21</v>
      </c>
      <c r="D507" s="56" t="s">
        <v>3540</v>
      </c>
      <c r="E507" s="12" t="s">
        <v>419</v>
      </c>
      <c r="F507" s="45"/>
      <c r="G507" s="45"/>
      <c r="H507" s="45"/>
      <c r="I507">
        <v>251973</v>
      </c>
      <c r="J507" t="s">
        <v>418</v>
      </c>
      <c r="K507" t="s">
        <v>2910</v>
      </c>
      <c r="L507" t="s">
        <v>1178</v>
      </c>
      <c r="M507" t="s">
        <v>1192</v>
      </c>
      <c r="N507" t="s">
        <v>599</v>
      </c>
      <c r="O507" t="s">
        <v>2911</v>
      </c>
      <c r="P507" t="s">
        <v>599</v>
      </c>
      <c r="Q507" t="s">
        <v>599</v>
      </c>
      <c r="R507" t="s">
        <v>1182</v>
      </c>
      <c r="S507" t="s">
        <v>2912</v>
      </c>
      <c r="T507">
        <v>1981</v>
      </c>
      <c r="U507">
        <v>1981</v>
      </c>
      <c r="V507" t="s">
        <v>2913</v>
      </c>
      <c r="W507" t="s">
        <v>2914</v>
      </c>
      <c r="X507" t="s">
        <v>599</v>
      </c>
      <c r="Y507" t="s">
        <v>599</v>
      </c>
      <c r="Z507" t="s">
        <v>2915</v>
      </c>
      <c r="AA507" t="s">
        <v>599</v>
      </c>
      <c r="AB507" t="s">
        <v>599</v>
      </c>
      <c r="AC507" t="s">
        <v>2916</v>
      </c>
      <c r="AD507" t="s">
        <v>599</v>
      </c>
      <c r="AE507" t="s">
        <v>2917</v>
      </c>
      <c r="AF507" t="s">
        <v>1319</v>
      </c>
    </row>
    <row r="508" spans="1:32" s="13" customFormat="1" ht="45" x14ac:dyDescent="0.25">
      <c r="A508" s="10">
        <v>251973</v>
      </c>
      <c r="B508" s="10">
        <v>1</v>
      </c>
      <c r="C508" s="9">
        <v>23</v>
      </c>
      <c r="D508" s="56" t="s">
        <v>3541</v>
      </c>
      <c r="E508" s="12" t="s">
        <v>419</v>
      </c>
      <c r="F508" s="45"/>
      <c r="G508" s="45"/>
      <c r="H508" s="45"/>
      <c r="I508">
        <v>251973</v>
      </c>
      <c r="J508" t="s">
        <v>418</v>
      </c>
      <c r="K508" t="s">
        <v>2910</v>
      </c>
      <c r="L508" t="s">
        <v>1178</v>
      </c>
      <c r="M508" t="s">
        <v>1192</v>
      </c>
      <c r="N508" t="s">
        <v>599</v>
      </c>
      <c r="O508" t="s">
        <v>2911</v>
      </c>
      <c r="P508" t="s">
        <v>599</v>
      </c>
      <c r="Q508" t="s">
        <v>599</v>
      </c>
      <c r="R508" t="s">
        <v>1182</v>
      </c>
      <c r="S508" t="s">
        <v>2912</v>
      </c>
      <c r="T508">
        <v>1981</v>
      </c>
      <c r="U508">
        <v>1981</v>
      </c>
      <c r="V508" t="s">
        <v>2913</v>
      </c>
      <c r="W508" t="s">
        <v>2914</v>
      </c>
      <c r="X508" t="s">
        <v>599</v>
      </c>
      <c r="Y508" t="s">
        <v>599</v>
      </c>
      <c r="Z508" t="s">
        <v>2915</v>
      </c>
      <c r="AA508" t="s">
        <v>599</v>
      </c>
      <c r="AB508" t="s">
        <v>599</v>
      </c>
      <c r="AC508" t="s">
        <v>2916</v>
      </c>
      <c r="AD508" t="s">
        <v>599</v>
      </c>
      <c r="AE508" t="s">
        <v>2917</v>
      </c>
      <c r="AF508" t="s">
        <v>1319</v>
      </c>
    </row>
    <row r="509" spans="1:32" s="13" customFormat="1" ht="45" x14ac:dyDescent="0.25">
      <c r="A509" s="10">
        <v>251973</v>
      </c>
      <c r="B509" s="10">
        <v>1</v>
      </c>
      <c r="C509" s="9">
        <v>25</v>
      </c>
      <c r="D509" s="56" t="s">
        <v>3542</v>
      </c>
      <c r="E509" s="12" t="s">
        <v>419</v>
      </c>
      <c r="F509" s="45"/>
      <c r="G509" s="45"/>
      <c r="H509" s="45"/>
      <c r="I509">
        <v>251973</v>
      </c>
      <c r="J509" t="s">
        <v>418</v>
      </c>
      <c r="K509" t="s">
        <v>2910</v>
      </c>
      <c r="L509" t="s">
        <v>1178</v>
      </c>
      <c r="M509" t="s">
        <v>1192</v>
      </c>
      <c r="N509" t="s">
        <v>599</v>
      </c>
      <c r="O509" t="s">
        <v>2911</v>
      </c>
      <c r="P509" t="s">
        <v>599</v>
      </c>
      <c r="Q509" t="s">
        <v>599</v>
      </c>
      <c r="R509" t="s">
        <v>1182</v>
      </c>
      <c r="S509" t="s">
        <v>2912</v>
      </c>
      <c r="T509">
        <v>1981</v>
      </c>
      <c r="U509">
        <v>1981</v>
      </c>
      <c r="V509" t="s">
        <v>2913</v>
      </c>
      <c r="W509" t="s">
        <v>2914</v>
      </c>
      <c r="X509" t="s">
        <v>599</v>
      </c>
      <c r="Y509" t="s">
        <v>599</v>
      </c>
      <c r="Z509" t="s">
        <v>2915</v>
      </c>
      <c r="AA509" t="s">
        <v>599</v>
      </c>
      <c r="AB509" t="s">
        <v>599</v>
      </c>
      <c r="AC509" t="s">
        <v>2916</v>
      </c>
      <c r="AD509" t="s">
        <v>599</v>
      </c>
      <c r="AE509" t="s">
        <v>2917</v>
      </c>
      <c r="AF509" t="s">
        <v>1319</v>
      </c>
    </row>
    <row r="510" spans="1:32" s="13" customFormat="1" ht="45" x14ac:dyDescent="0.25">
      <c r="A510" s="10">
        <v>251973</v>
      </c>
      <c r="B510" s="10">
        <v>1</v>
      </c>
      <c r="C510" s="9">
        <v>27</v>
      </c>
      <c r="D510" s="56" t="s">
        <v>3543</v>
      </c>
      <c r="E510" s="12" t="s">
        <v>419</v>
      </c>
      <c r="F510" s="45"/>
      <c r="G510" s="45"/>
      <c r="H510" s="45"/>
      <c r="I510">
        <v>251973</v>
      </c>
      <c r="J510" t="s">
        <v>418</v>
      </c>
      <c r="K510" t="s">
        <v>2910</v>
      </c>
      <c r="L510" t="s">
        <v>1178</v>
      </c>
      <c r="M510" t="s">
        <v>1192</v>
      </c>
      <c r="N510" t="s">
        <v>599</v>
      </c>
      <c r="O510" t="s">
        <v>2911</v>
      </c>
      <c r="P510" t="s">
        <v>599</v>
      </c>
      <c r="Q510" t="s">
        <v>599</v>
      </c>
      <c r="R510" t="s">
        <v>1182</v>
      </c>
      <c r="S510" t="s">
        <v>2912</v>
      </c>
      <c r="T510">
        <v>1981</v>
      </c>
      <c r="U510">
        <v>1981</v>
      </c>
      <c r="V510" t="s">
        <v>2913</v>
      </c>
      <c r="W510" t="s">
        <v>2914</v>
      </c>
      <c r="X510" t="s">
        <v>599</v>
      </c>
      <c r="Y510" t="s">
        <v>599</v>
      </c>
      <c r="Z510" t="s">
        <v>2915</v>
      </c>
      <c r="AA510" t="s">
        <v>599</v>
      </c>
      <c r="AB510" t="s">
        <v>599</v>
      </c>
      <c r="AC510" t="s">
        <v>2916</v>
      </c>
      <c r="AD510" t="s">
        <v>599</v>
      </c>
      <c r="AE510" t="s">
        <v>2917</v>
      </c>
      <c r="AF510" t="s">
        <v>1319</v>
      </c>
    </row>
    <row r="511" spans="1:32" s="13" customFormat="1" ht="45" x14ac:dyDescent="0.25">
      <c r="A511" s="10">
        <v>251973</v>
      </c>
      <c r="B511" s="10">
        <v>1</v>
      </c>
      <c r="C511" s="9">
        <v>29</v>
      </c>
      <c r="D511" s="56" t="s">
        <v>3544</v>
      </c>
      <c r="E511" s="12" t="s">
        <v>419</v>
      </c>
      <c r="F511" s="45"/>
      <c r="G511" s="45"/>
      <c r="H511" s="45"/>
      <c r="I511">
        <v>251973</v>
      </c>
      <c r="J511" t="s">
        <v>418</v>
      </c>
      <c r="K511" t="s">
        <v>2910</v>
      </c>
      <c r="L511" t="s">
        <v>1178</v>
      </c>
      <c r="M511" t="s">
        <v>1192</v>
      </c>
      <c r="N511" t="s">
        <v>599</v>
      </c>
      <c r="O511" t="s">
        <v>2911</v>
      </c>
      <c r="P511" t="s">
        <v>599</v>
      </c>
      <c r="Q511" t="s">
        <v>599</v>
      </c>
      <c r="R511" t="s">
        <v>1182</v>
      </c>
      <c r="S511" t="s">
        <v>2912</v>
      </c>
      <c r="T511">
        <v>1981</v>
      </c>
      <c r="U511">
        <v>1981</v>
      </c>
      <c r="V511" t="s">
        <v>2913</v>
      </c>
      <c r="W511" t="s">
        <v>2914</v>
      </c>
      <c r="X511" t="s">
        <v>599</v>
      </c>
      <c r="Y511" t="s">
        <v>599</v>
      </c>
      <c r="Z511" t="s">
        <v>2915</v>
      </c>
      <c r="AA511" t="s">
        <v>599</v>
      </c>
      <c r="AB511" t="s">
        <v>599</v>
      </c>
      <c r="AC511" t="s">
        <v>2916</v>
      </c>
      <c r="AD511" t="s">
        <v>599</v>
      </c>
      <c r="AE511" t="s">
        <v>2917</v>
      </c>
      <c r="AF511" t="s">
        <v>1319</v>
      </c>
    </row>
    <row r="512" spans="1:32" s="13" customFormat="1" ht="45" x14ac:dyDescent="0.25">
      <c r="A512" s="10">
        <v>251973</v>
      </c>
      <c r="B512" s="10">
        <v>1</v>
      </c>
      <c r="C512" s="9">
        <v>31</v>
      </c>
      <c r="D512" s="56" t="s">
        <v>3545</v>
      </c>
      <c r="E512" s="12" t="s">
        <v>419</v>
      </c>
      <c r="F512" s="45"/>
      <c r="G512" s="45"/>
      <c r="H512" s="45"/>
      <c r="I512">
        <v>251973</v>
      </c>
      <c r="J512" t="s">
        <v>418</v>
      </c>
      <c r="K512" t="s">
        <v>2910</v>
      </c>
      <c r="L512" t="s">
        <v>1178</v>
      </c>
      <c r="M512" t="s">
        <v>1192</v>
      </c>
      <c r="N512" t="s">
        <v>599</v>
      </c>
      <c r="O512" t="s">
        <v>2911</v>
      </c>
      <c r="P512" t="s">
        <v>599</v>
      </c>
      <c r="Q512" t="s">
        <v>599</v>
      </c>
      <c r="R512" t="s">
        <v>1182</v>
      </c>
      <c r="S512" t="s">
        <v>2912</v>
      </c>
      <c r="T512">
        <v>1981</v>
      </c>
      <c r="U512">
        <v>1981</v>
      </c>
      <c r="V512" t="s">
        <v>2913</v>
      </c>
      <c r="W512" t="s">
        <v>2914</v>
      </c>
      <c r="X512" t="s">
        <v>599</v>
      </c>
      <c r="Y512" t="s">
        <v>599</v>
      </c>
      <c r="Z512" t="s">
        <v>2915</v>
      </c>
      <c r="AA512" t="s">
        <v>599</v>
      </c>
      <c r="AB512" t="s">
        <v>599</v>
      </c>
      <c r="AC512" t="s">
        <v>2916</v>
      </c>
      <c r="AD512" t="s">
        <v>599</v>
      </c>
      <c r="AE512" t="s">
        <v>2917</v>
      </c>
      <c r="AF512" t="s">
        <v>1319</v>
      </c>
    </row>
    <row r="513" spans="1:32" s="13" customFormat="1" ht="45" x14ac:dyDescent="0.25">
      <c r="A513" s="10">
        <v>251973</v>
      </c>
      <c r="B513" s="10">
        <v>1</v>
      </c>
      <c r="C513" s="9">
        <v>33</v>
      </c>
      <c r="D513" s="56" t="s">
        <v>3546</v>
      </c>
      <c r="E513" s="12" t="s">
        <v>419</v>
      </c>
      <c r="F513" s="45"/>
      <c r="G513" s="45"/>
      <c r="H513" s="45"/>
      <c r="I513">
        <v>251973</v>
      </c>
      <c r="J513" t="s">
        <v>418</v>
      </c>
      <c r="K513" t="s">
        <v>2910</v>
      </c>
      <c r="L513" t="s">
        <v>1178</v>
      </c>
      <c r="M513" t="s">
        <v>1192</v>
      </c>
      <c r="N513" t="s">
        <v>599</v>
      </c>
      <c r="O513" t="s">
        <v>2911</v>
      </c>
      <c r="P513" t="s">
        <v>599</v>
      </c>
      <c r="Q513" t="s">
        <v>599</v>
      </c>
      <c r="R513" t="s">
        <v>1182</v>
      </c>
      <c r="S513" t="s">
        <v>2912</v>
      </c>
      <c r="T513">
        <v>1981</v>
      </c>
      <c r="U513">
        <v>1981</v>
      </c>
      <c r="V513" t="s">
        <v>2913</v>
      </c>
      <c r="W513" t="s">
        <v>2914</v>
      </c>
      <c r="X513" t="s">
        <v>599</v>
      </c>
      <c r="Y513" t="s">
        <v>599</v>
      </c>
      <c r="Z513" t="s">
        <v>2915</v>
      </c>
      <c r="AA513" t="s">
        <v>599</v>
      </c>
      <c r="AB513" t="s">
        <v>599</v>
      </c>
      <c r="AC513" t="s">
        <v>2916</v>
      </c>
      <c r="AD513" t="s">
        <v>599</v>
      </c>
      <c r="AE513" t="s">
        <v>2917</v>
      </c>
      <c r="AF513" t="s">
        <v>1319</v>
      </c>
    </row>
    <row r="514" spans="1:32" s="13" customFormat="1" ht="45" x14ac:dyDescent="0.25">
      <c r="A514" s="10">
        <v>251973</v>
      </c>
      <c r="B514" s="10">
        <v>1</v>
      </c>
      <c r="C514" s="9">
        <v>35</v>
      </c>
      <c r="D514" s="56" t="s">
        <v>3547</v>
      </c>
      <c r="E514" s="12" t="s">
        <v>419</v>
      </c>
      <c r="F514" s="45"/>
      <c r="G514" s="45"/>
      <c r="H514" s="45"/>
      <c r="I514">
        <v>251973</v>
      </c>
      <c r="J514" t="s">
        <v>418</v>
      </c>
      <c r="K514" t="s">
        <v>2910</v>
      </c>
      <c r="L514" t="s">
        <v>1178</v>
      </c>
      <c r="M514" t="s">
        <v>1192</v>
      </c>
      <c r="N514" t="s">
        <v>599</v>
      </c>
      <c r="O514" t="s">
        <v>2911</v>
      </c>
      <c r="P514" t="s">
        <v>599</v>
      </c>
      <c r="Q514" t="s">
        <v>599</v>
      </c>
      <c r="R514" t="s">
        <v>1182</v>
      </c>
      <c r="S514" t="s">
        <v>2912</v>
      </c>
      <c r="T514">
        <v>1981</v>
      </c>
      <c r="U514">
        <v>1981</v>
      </c>
      <c r="V514" t="s">
        <v>2913</v>
      </c>
      <c r="W514" t="s">
        <v>2914</v>
      </c>
      <c r="X514" t="s">
        <v>599</v>
      </c>
      <c r="Y514" t="s">
        <v>599</v>
      </c>
      <c r="Z514" t="s">
        <v>2915</v>
      </c>
      <c r="AA514" t="s">
        <v>599</v>
      </c>
      <c r="AB514" t="s">
        <v>599</v>
      </c>
      <c r="AC514" t="s">
        <v>2916</v>
      </c>
      <c r="AD514" t="s">
        <v>599</v>
      </c>
      <c r="AE514" t="s">
        <v>2917</v>
      </c>
      <c r="AF514" t="s">
        <v>1319</v>
      </c>
    </row>
    <row r="515" spans="1:32" s="13" customFormat="1" ht="45" x14ac:dyDescent="0.25">
      <c r="A515" s="10">
        <v>251973</v>
      </c>
      <c r="B515" s="10">
        <v>1</v>
      </c>
      <c r="C515" s="9">
        <v>37</v>
      </c>
      <c r="D515" s="56" t="s">
        <v>3548</v>
      </c>
      <c r="E515" s="12" t="s">
        <v>419</v>
      </c>
      <c r="F515" s="45"/>
      <c r="G515" s="45"/>
      <c r="H515" s="45"/>
      <c r="I515">
        <v>251973</v>
      </c>
      <c r="J515" t="s">
        <v>418</v>
      </c>
      <c r="K515" t="s">
        <v>2910</v>
      </c>
      <c r="L515" t="s">
        <v>1178</v>
      </c>
      <c r="M515" t="s">
        <v>1192</v>
      </c>
      <c r="N515" t="s">
        <v>599</v>
      </c>
      <c r="O515" t="s">
        <v>2911</v>
      </c>
      <c r="P515" t="s">
        <v>599</v>
      </c>
      <c r="Q515" t="s">
        <v>599</v>
      </c>
      <c r="R515" t="s">
        <v>1182</v>
      </c>
      <c r="S515" t="s">
        <v>2912</v>
      </c>
      <c r="T515">
        <v>1981</v>
      </c>
      <c r="U515">
        <v>1981</v>
      </c>
      <c r="V515" t="s">
        <v>2913</v>
      </c>
      <c r="W515" t="s">
        <v>2914</v>
      </c>
      <c r="X515" t="s">
        <v>599</v>
      </c>
      <c r="Y515" t="s">
        <v>599</v>
      </c>
      <c r="Z515" t="s">
        <v>2915</v>
      </c>
      <c r="AA515" t="s">
        <v>599</v>
      </c>
      <c r="AB515" t="s">
        <v>599</v>
      </c>
      <c r="AC515" t="s">
        <v>2916</v>
      </c>
      <c r="AD515" t="s">
        <v>599</v>
      </c>
      <c r="AE515" t="s">
        <v>2917</v>
      </c>
      <c r="AF515" t="s">
        <v>1319</v>
      </c>
    </row>
    <row r="516" spans="1:32" s="13" customFormat="1" ht="45" x14ac:dyDescent="0.25">
      <c r="A516" s="10">
        <v>251973</v>
      </c>
      <c r="B516" s="10">
        <v>1</v>
      </c>
      <c r="C516" s="9">
        <v>39</v>
      </c>
      <c r="D516" s="56" t="s">
        <v>3549</v>
      </c>
      <c r="E516" s="12" t="s">
        <v>419</v>
      </c>
      <c r="F516" s="45"/>
      <c r="G516" s="45"/>
      <c r="H516" s="45"/>
      <c r="I516">
        <v>251973</v>
      </c>
      <c r="J516" t="s">
        <v>418</v>
      </c>
      <c r="K516" t="s">
        <v>2910</v>
      </c>
      <c r="L516" t="s">
        <v>1178</v>
      </c>
      <c r="M516" t="s">
        <v>1192</v>
      </c>
      <c r="N516" t="s">
        <v>599</v>
      </c>
      <c r="O516" t="s">
        <v>2911</v>
      </c>
      <c r="P516" t="s">
        <v>599</v>
      </c>
      <c r="Q516" t="s">
        <v>599</v>
      </c>
      <c r="R516" t="s">
        <v>1182</v>
      </c>
      <c r="S516" t="s">
        <v>2912</v>
      </c>
      <c r="T516">
        <v>1981</v>
      </c>
      <c r="U516">
        <v>1981</v>
      </c>
      <c r="V516" t="s">
        <v>2913</v>
      </c>
      <c r="W516" t="s">
        <v>2914</v>
      </c>
      <c r="X516" t="s">
        <v>599</v>
      </c>
      <c r="Y516" t="s">
        <v>599</v>
      </c>
      <c r="Z516" t="s">
        <v>2915</v>
      </c>
      <c r="AA516" t="s">
        <v>599</v>
      </c>
      <c r="AB516" t="s">
        <v>599</v>
      </c>
      <c r="AC516" t="s">
        <v>2916</v>
      </c>
      <c r="AD516" t="s">
        <v>599</v>
      </c>
      <c r="AE516" t="s">
        <v>2917</v>
      </c>
      <c r="AF516" t="s">
        <v>1319</v>
      </c>
    </row>
    <row r="517" spans="1:32" s="13" customFormat="1" ht="45" x14ac:dyDescent="0.25">
      <c r="A517" s="10">
        <v>251973</v>
      </c>
      <c r="B517" s="10">
        <v>1</v>
      </c>
      <c r="C517" s="9">
        <v>41</v>
      </c>
      <c r="D517" s="56" t="s">
        <v>3550</v>
      </c>
      <c r="E517" s="12" t="s">
        <v>419</v>
      </c>
      <c r="F517" s="45"/>
      <c r="G517" s="45"/>
      <c r="H517" s="45"/>
      <c r="I517">
        <v>251973</v>
      </c>
      <c r="J517" t="s">
        <v>418</v>
      </c>
      <c r="K517" t="s">
        <v>2910</v>
      </c>
      <c r="L517" t="s">
        <v>1178</v>
      </c>
      <c r="M517" t="s">
        <v>1192</v>
      </c>
      <c r="N517" t="s">
        <v>599</v>
      </c>
      <c r="O517" t="s">
        <v>2911</v>
      </c>
      <c r="P517" t="s">
        <v>599</v>
      </c>
      <c r="Q517" t="s">
        <v>599</v>
      </c>
      <c r="R517" t="s">
        <v>1182</v>
      </c>
      <c r="S517" t="s">
        <v>2912</v>
      </c>
      <c r="T517">
        <v>1981</v>
      </c>
      <c r="U517">
        <v>1981</v>
      </c>
      <c r="V517" t="s">
        <v>2913</v>
      </c>
      <c r="W517" t="s">
        <v>2914</v>
      </c>
      <c r="X517" t="s">
        <v>599</v>
      </c>
      <c r="Y517" t="s">
        <v>599</v>
      </c>
      <c r="Z517" t="s">
        <v>2915</v>
      </c>
      <c r="AA517" t="s">
        <v>599</v>
      </c>
      <c r="AB517" t="s">
        <v>599</v>
      </c>
      <c r="AC517" t="s">
        <v>2916</v>
      </c>
      <c r="AD517" t="s">
        <v>599</v>
      </c>
      <c r="AE517" t="s">
        <v>2917</v>
      </c>
      <c r="AF517" t="s">
        <v>1319</v>
      </c>
    </row>
    <row r="518" spans="1:32" s="13" customFormat="1" ht="45" x14ac:dyDescent="0.25">
      <c r="A518" s="10">
        <v>251973</v>
      </c>
      <c r="B518" s="10">
        <v>1</v>
      </c>
      <c r="C518" s="9">
        <v>43</v>
      </c>
      <c r="D518" s="56" t="s">
        <v>3551</v>
      </c>
      <c r="E518" s="12" t="s">
        <v>419</v>
      </c>
      <c r="F518" s="45"/>
      <c r="G518" s="45"/>
      <c r="H518" s="45"/>
      <c r="I518">
        <v>251973</v>
      </c>
      <c r="J518" t="s">
        <v>418</v>
      </c>
      <c r="K518" t="s">
        <v>2910</v>
      </c>
      <c r="L518" t="s">
        <v>1178</v>
      </c>
      <c r="M518" t="s">
        <v>1192</v>
      </c>
      <c r="N518" t="s">
        <v>599</v>
      </c>
      <c r="O518" t="s">
        <v>2911</v>
      </c>
      <c r="P518" t="s">
        <v>599</v>
      </c>
      <c r="Q518" t="s">
        <v>599</v>
      </c>
      <c r="R518" t="s">
        <v>1182</v>
      </c>
      <c r="S518" t="s">
        <v>2912</v>
      </c>
      <c r="T518">
        <v>1981</v>
      </c>
      <c r="U518">
        <v>1981</v>
      </c>
      <c r="V518" t="s">
        <v>2913</v>
      </c>
      <c r="W518" t="s">
        <v>2914</v>
      </c>
      <c r="X518" t="s">
        <v>599</v>
      </c>
      <c r="Y518" t="s">
        <v>599</v>
      </c>
      <c r="Z518" t="s">
        <v>2915</v>
      </c>
      <c r="AA518" t="s">
        <v>599</v>
      </c>
      <c r="AB518" t="s">
        <v>599</v>
      </c>
      <c r="AC518" t="s">
        <v>2916</v>
      </c>
      <c r="AD518" t="s">
        <v>599</v>
      </c>
      <c r="AE518" t="s">
        <v>2917</v>
      </c>
      <c r="AF518" t="s">
        <v>1319</v>
      </c>
    </row>
    <row r="519" spans="1:32" s="13" customFormat="1" ht="45" x14ac:dyDescent="0.25">
      <c r="A519" s="10">
        <v>251973</v>
      </c>
      <c r="B519" s="10">
        <v>1</v>
      </c>
      <c r="C519" s="9">
        <v>45</v>
      </c>
      <c r="D519" s="56" t="s">
        <v>3552</v>
      </c>
      <c r="E519" s="12" t="s">
        <v>419</v>
      </c>
      <c r="F519" s="45"/>
      <c r="G519" s="45"/>
      <c r="H519" s="45"/>
      <c r="I519">
        <v>251973</v>
      </c>
      <c r="J519" t="s">
        <v>418</v>
      </c>
      <c r="K519" t="s">
        <v>2910</v>
      </c>
      <c r="L519" t="s">
        <v>1178</v>
      </c>
      <c r="M519" t="s">
        <v>1192</v>
      </c>
      <c r="N519" t="s">
        <v>599</v>
      </c>
      <c r="O519" t="s">
        <v>2911</v>
      </c>
      <c r="P519" t="s">
        <v>599</v>
      </c>
      <c r="Q519" t="s">
        <v>599</v>
      </c>
      <c r="R519" t="s">
        <v>1182</v>
      </c>
      <c r="S519" t="s">
        <v>2912</v>
      </c>
      <c r="T519">
        <v>1981</v>
      </c>
      <c r="U519">
        <v>1981</v>
      </c>
      <c r="V519" t="s">
        <v>2913</v>
      </c>
      <c r="W519" t="s">
        <v>2914</v>
      </c>
      <c r="X519" t="s">
        <v>599</v>
      </c>
      <c r="Y519" t="s">
        <v>599</v>
      </c>
      <c r="Z519" t="s">
        <v>2915</v>
      </c>
      <c r="AA519" t="s">
        <v>599</v>
      </c>
      <c r="AB519" t="s">
        <v>599</v>
      </c>
      <c r="AC519" t="s">
        <v>2916</v>
      </c>
      <c r="AD519" t="s">
        <v>599</v>
      </c>
      <c r="AE519" t="s">
        <v>2917</v>
      </c>
      <c r="AF519" t="s">
        <v>1319</v>
      </c>
    </row>
    <row r="520" spans="1:32" s="13" customFormat="1" ht="45" x14ac:dyDescent="0.25">
      <c r="A520" s="10">
        <v>251973</v>
      </c>
      <c r="B520" s="10">
        <v>1</v>
      </c>
      <c r="C520" s="9">
        <v>47</v>
      </c>
      <c r="D520" s="56" t="s">
        <v>3553</v>
      </c>
      <c r="E520" s="12" t="s">
        <v>419</v>
      </c>
      <c r="F520" s="45"/>
      <c r="G520" s="45"/>
      <c r="H520" s="45"/>
      <c r="I520">
        <v>251973</v>
      </c>
      <c r="J520" t="s">
        <v>418</v>
      </c>
      <c r="K520" t="s">
        <v>2910</v>
      </c>
      <c r="L520" t="s">
        <v>1178</v>
      </c>
      <c r="M520" t="s">
        <v>1192</v>
      </c>
      <c r="N520" t="s">
        <v>599</v>
      </c>
      <c r="O520" t="s">
        <v>2911</v>
      </c>
      <c r="P520" t="s">
        <v>599</v>
      </c>
      <c r="Q520" t="s">
        <v>599</v>
      </c>
      <c r="R520" t="s">
        <v>1182</v>
      </c>
      <c r="S520" t="s">
        <v>2912</v>
      </c>
      <c r="T520">
        <v>1981</v>
      </c>
      <c r="U520">
        <v>1981</v>
      </c>
      <c r="V520" t="s">
        <v>2913</v>
      </c>
      <c r="W520" t="s">
        <v>2914</v>
      </c>
      <c r="X520" t="s">
        <v>599</v>
      </c>
      <c r="Y520" t="s">
        <v>599</v>
      </c>
      <c r="Z520" t="s">
        <v>2915</v>
      </c>
      <c r="AA520" t="s">
        <v>599</v>
      </c>
      <c r="AB520" t="s">
        <v>599</v>
      </c>
      <c r="AC520" t="s">
        <v>2916</v>
      </c>
      <c r="AD520" t="s">
        <v>599</v>
      </c>
      <c r="AE520" t="s">
        <v>2917</v>
      </c>
      <c r="AF520" t="s">
        <v>1319</v>
      </c>
    </row>
    <row r="521" spans="1:32" s="13" customFormat="1" ht="45" x14ac:dyDescent="0.25">
      <c r="A521" s="10">
        <v>251973</v>
      </c>
      <c r="B521" s="10">
        <v>1</v>
      </c>
      <c r="C521" s="9">
        <v>49</v>
      </c>
      <c r="D521" s="56" t="s">
        <v>3554</v>
      </c>
      <c r="E521" s="12" t="s">
        <v>419</v>
      </c>
      <c r="F521" s="45"/>
      <c r="G521" s="45"/>
      <c r="H521" s="45"/>
      <c r="I521">
        <v>251973</v>
      </c>
      <c r="J521" t="s">
        <v>418</v>
      </c>
      <c r="K521" t="s">
        <v>2910</v>
      </c>
      <c r="L521" t="s">
        <v>1178</v>
      </c>
      <c r="M521" t="s">
        <v>1192</v>
      </c>
      <c r="N521" t="s">
        <v>599</v>
      </c>
      <c r="O521" t="s">
        <v>2911</v>
      </c>
      <c r="P521" t="s">
        <v>599</v>
      </c>
      <c r="Q521" t="s">
        <v>599</v>
      </c>
      <c r="R521" t="s">
        <v>1182</v>
      </c>
      <c r="S521" t="s">
        <v>2912</v>
      </c>
      <c r="T521">
        <v>1981</v>
      </c>
      <c r="U521">
        <v>1981</v>
      </c>
      <c r="V521" t="s">
        <v>2913</v>
      </c>
      <c r="W521" t="s">
        <v>2914</v>
      </c>
      <c r="X521" t="s">
        <v>599</v>
      </c>
      <c r="Y521" t="s">
        <v>599</v>
      </c>
      <c r="Z521" t="s">
        <v>2915</v>
      </c>
      <c r="AA521" t="s">
        <v>599</v>
      </c>
      <c r="AB521" t="s">
        <v>599</v>
      </c>
      <c r="AC521" t="s">
        <v>2916</v>
      </c>
      <c r="AD521" t="s">
        <v>599</v>
      </c>
      <c r="AE521" t="s">
        <v>2917</v>
      </c>
      <c r="AF521" t="s">
        <v>1319</v>
      </c>
    </row>
    <row r="522" spans="1:32" s="13" customFormat="1" ht="45" x14ac:dyDescent="0.25">
      <c r="A522" s="10">
        <v>251973</v>
      </c>
      <c r="B522" s="10">
        <v>1</v>
      </c>
      <c r="C522" s="9">
        <v>51</v>
      </c>
      <c r="D522" s="56" t="s">
        <v>3555</v>
      </c>
      <c r="E522" s="12" t="s">
        <v>419</v>
      </c>
      <c r="F522" s="45"/>
      <c r="G522" s="45"/>
      <c r="H522" s="45"/>
      <c r="I522">
        <v>251973</v>
      </c>
      <c r="J522" t="s">
        <v>418</v>
      </c>
      <c r="K522" t="s">
        <v>2910</v>
      </c>
      <c r="L522" t="s">
        <v>1178</v>
      </c>
      <c r="M522" t="s">
        <v>1192</v>
      </c>
      <c r="N522" t="s">
        <v>599</v>
      </c>
      <c r="O522" t="s">
        <v>2911</v>
      </c>
      <c r="P522" t="s">
        <v>599</v>
      </c>
      <c r="Q522" t="s">
        <v>599</v>
      </c>
      <c r="R522" t="s">
        <v>1182</v>
      </c>
      <c r="S522" t="s">
        <v>2912</v>
      </c>
      <c r="T522">
        <v>1981</v>
      </c>
      <c r="U522">
        <v>1981</v>
      </c>
      <c r="V522" t="s">
        <v>2913</v>
      </c>
      <c r="W522" t="s">
        <v>2914</v>
      </c>
      <c r="X522" t="s">
        <v>599</v>
      </c>
      <c r="Y522" t="s">
        <v>599</v>
      </c>
      <c r="Z522" t="s">
        <v>2915</v>
      </c>
      <c r="AA522" t="s">
        <v>599</v>
      </c>
      <c r="AB522" t="s">
        <v>599</v>
      </c>
      <c r="AC522" t="s">
        <v>2916</v>
      </c>
      <c r="AD522" t="s">
        <v>599</v>
      </c>
      <c r="AE522" t="s">
        <v>2917</v>
      </c>
      <c r="AF522" t="s">
        <v>1319</v>
      </c>
    </row>
    <row r="523" spans="1:32" s="13" customFormat="1" ht="45" x14ac:dyDescent="0.25">
      <c r="A523" s="10">
        <v>253094</v>
      </c>
      <c r="B523" s="10">
        <v>1</v>
      </c>
      <c r="C523" s="9">
        <v>54</v>
      </c>
      <c r="D523" s="56" t="s">
        <v>3556</v>
      </c>
      <c r="E523" s="12" t="s">
        <v>422</v>
      </c>
      <c r="F523" s="45"/>
      <c r="G523" s="45"/>
      <c r="H523" s="45"/>
      <c r="I523">
        <v>253094</v>
      </c>
      <c r="J523" t="s">
        <v>421</v>
      </c>
      <c r="K523" t="s">
        <v>2918</v>
      </c>
      <c r="L523" t="s">
        <v>1178</v>
      </c>
      <c r="M523" t="s">
        <v>1179</v>
      </c>
      <c r="N523" t="s">
        <v>599</v>
      </c>
      <c r="O523" t="s">
        <v>1180</v>
      </c>
      <c r="P523" t="s">
        <v>599</v>
      </c>
      <c r="Q523" t="s">
        <v>599</v>
      </c>
      <c r="R523" t="s">
        <v>2919</v>
      </c>
      <c r="S523" t="s">
        <v>2920</v>
      </c>
      <c r="T523">
        <v>1821</v>
      </c>
      <c r="U523">
        <v>1821</v>
      </c>
      <c r="V523" t="s">
        <v>2921</v>
      </c>
      <c r="W523" t="s">
        <v>1185</v>
      </c>
      <c r="X523" t="s">
        <v>599</v>
      </c>
      <c r="Y523" t="s">
        <v>2922</v>
      </c>
      <c r="Z523" t="s">
        <v>2923</v>
      </c>
      <c r="AA523" t="s">
        <v>599</v>
      </c>
      <c r="AB523" t="s">
        <v>2924</v>
      </c>
      <c r="AC523" t="s">
        <v>2925</v>
      </c>
      <c r="AD523" t="s">
        <v>1188</v>
      </c>
      <c r="AE523" t="s">
        <v>2926</v>
      </c>
      <c r="AF523" t="s">
        <v>1190</v>
      </c>
    </row>
    <row r="524" spans="1:32" s="13" customFormat="1" ht="45" x14ac:dyDescent="0.25">
      <c r="A524" s="10">
        <v>253094</v>
      </c>
      <c r="B524" s="10">
        <v>1</v>
      </c>
      <c r="C524" s="9">
        <v>366</v>
      </c>
      <c r="D524" s="56" t="s">
        <v>3557</v>
      </c>
      <c r="E524" s="12" t="s">
        <v>422</v>
      </c>
      <c r="F524" s="45"/>
      <c r="G524" s="45"/>
      <c r="H524" s="45"/>
      <c r="I524">
        <v>253094</v>
      </c>
      <c r="J524" t="s">
        <v>421</v>
      </c>
      <c r="K524" t="s">
        <v>2918</v>
      </c>
      <c r="L524" t="s">
        <v>1178</v>
      </c>
      <c r="M524" t="s">
        <v>1179</v>
      </c>
      <c r="N524" t="s">
        <v>599</v>
      </c>
      <c r="O524" t="s">
        <v>1180</v>
      </c>
      <c r="P524" t="s">
        <v>599</v>
      </c>
      <c r="Q524" t="s">
        <v>599</v>
      </c>
      <c r="R524" t="s">
        <v>2919</v>
      </c>
      <c r="S524" t="s">
        <v>2920</v>
      </c>
      <c r="T524">
        <v>1821</v>
      </c>
      <c r="U524">
        <v>1821</v>
      </c>
      <c r="V524" t="s">
        <v>2921</v>
      </c>
      <c r="W524" t="s">
        <v>1185</v>
      </c>
      <c r="X524" t="s">
        <v>599</v>
      </c>
      <c r="Y524" t="s">
        <v>2922</v>
      </c>
      <c r="Z524" t="s">
        <v>2923</v>
      </c>
      <c r="AA524" t="s">
        <v>599</v>
      </c>
      <c r="AB524" t="s">
        <v>2924</v>
      </c>
      <c r="AC524" t="s">
        <v>2925</v>
      </c>
      <c r="AD524" t="s">
        <v>1188</v>
      </c>
      <c r="AE524" t="s">
        <v>2926</v>
      </c>
      <c r="AF524" t="s">
        <v>1190</v>
      </c>
    </row>
    <row r="525" spans="1:32" s="13" customFormat="1" ht="45" x14ac:dyDescent="0.25">
      <c r="A525" s="10">
        <v>258798</v>
      </c>
      <c r="B525" s="10">
        <v>1</v>
      </c>
      <c r="C525" s="9">
        <v>7</v>
      </c>
      <c r="D525" s="56" t="s">
        <v>3558</v>
      </c>
      <c r="E525" s="12" t="s">
        <v>425</v>
      </c>
      <c r="F525" s="45"/>
      <c r="G525" s="45"/>
      <c r="H525" s="45"/>
      <c r="I525">
        <v>258798</v>
      </c>
      <c r="J525" t="s">
        <v>424</v>
      </c>
      <c r="K525" t="s">
        <v>2929</v>
      </c>
      <c r="L525" t="s">
        <v>1178</v>
      </c>
      <c r="M525" t="s">
        <v>1209</v>
      </c>
      <c r="N525" t="s">
        <v>599</v>
      </c>
      <c r="O525" t="s">
        <v>2904</v>
      </c>
      <c r="P525" t="s">
        <v>599</v>
      </c>
      <c r="Q525" t="s">
        <v>599</v>
      </c>
      <c r="R525" t="s">
        <v>1182</v>
      </c>
      <c r="S525" t="s">
        <v>2930</v>
      </c>
      <c r="T525">
        <v>1874</v>
      </c>
      <c r="U525">
        <v>1874</v>
      </c>
      <c r="V525" t="s">
        <v>2931</v>
      </c>
      <c r="W525" t="s">
        <v>1185</v>
      </c>
      <c r="X525" t="s">
        <v>599</v>
      </c>
      <c r="Y525" t="s">
        <v>599</v>
      </c>
      <c r="Z525" t="s">
        <v>2932</v>
      </c>
      <c r="AA525" t="s">
        <v>599</v>
      </c>
      <c r="AB525" t="s">
        <v>599</v>
      </c>
      <c r="AC525" t="s">
        <v>2933</v>
      </c>
      <c r="AD525" t="s">
        <v>599</v>
      </c>
      <c r="AE525" t="s">
        <v>2934</v>
      </c>
      <c r="AF525" t="s">
        <v>1190</v>
      </c>
    </row>
    <row r="526" spans="1:32" s="13" customFormat="1" ht="45" x14ac:dyDescent="0.25">
      <c r="A526" s="10">
        <v>258798</v>
      </c>
      <c r="B526" s="10">
        <v>1</v>
      </c>
      <c r="C526" s="9">
        <v>21</v>
      </c>
      <c r="D526" s="56" t="s">
        <v>3559</v>
      </c>
      <c r="E526" s="12" t="s">
        <v>425</v>
      </c>
      <c r="F526" s="45"/>
      <c r="G526" s="45"/>
      <c r="H526" s="45"/>
      <c r="I526">
        <v>258798</v>
      </c>
      <c r="J526" t="s">
        <v>424</v>
      </c>
      <c r="K526" t="s">
        <v>2929</v>
      </c>
      <c r="L526" t="s">
        <v>1178</v>
      </c>
      <c r="M526" t="s">
        <v>1209</v>
      </c>
      <c r="N526" t="s">
        <v>599</v>
      </c>
      <c r="O526" t="s">
        <v>2904</v>
      </c>
      <c r="P526" t="s">
        <v>599</v>
      </c>
      <c r="Q526" t="s">
        <v>599</v>
      </c>
      <c r="R526" t="s">
        <v>1182</v>
      </c>
      <c r="S526" t="s">
        <v>2930</v>
      </c>
      <c r="T526">
        <v>1874</v>
      </c>
      <c r="U526">
        <v>1874</v>
      </c>
      <c r="V526" t="s">
        <v>2931</v>
      </c>
      <c r="W526" t="s">
        <v>1185</v>
      </c>
      <c r="X526" t="s">
        <v>599</v>
      </c>
      <c r="Y526" t="s">
        <v>599</v>
      </c>
      <c r="Z526" t="s">
        <v>2932</v>
      </c>
      <c r="AA526" t="s">
        <v>599</v>
      </c>
      <c r="AB526" t="s">
        <v>599</v>
      </c>
      <c r="AC526" t="s">
        <v>2933</v>
      </c>
      <c r="AD526" t="s">
        <v>599</v>
      </c>
      <c r="AE526" t="s">
        <v>2934</v>
      </c>
      <c r="AF526" t="s">
        <v>1190</v>
      </c>
    </row>
    <row r="527" spans="1:32" s="13" customFormat="1" ht="45" x14ac:dyDescent="0.25">
      <c r="A527" s="10">
        <v>258798</v>
      </c>
      <c r="B527" s="10">
        <v>1</v>
      </c>
      <c r="C527" s="9">
        <v>48</v>
      </c>
      <c r="D527" s="56" t="s">
        <v>3560</v>
      </c>
      <c r="E527" s="12" t="s">
        <v>425</v>
      </c>
      <c r="F527" s="45"/>
      <c r="G527" s="45"/>
      <c r="H527" s="45"/>
      <c r="I527">
        <v>258798</v>
      </c>
      <c r="J527" t="s">
        <v>424</v>
      </c>
      <c r="K527" t="s">
        <v>2929</v>
      </c>
      <c r="L527" t="s">
        <v>1178</v>
      </c>
      <c r="M527" t="s">
        <v>1209</v>
      </c>
      <c r="N527" t="s">
        <v>599</v>
      </c>
      <c r="O527" t="s">
        <v>2904</v>
      </c>
      <c r="P527" t="s">
        <v>599</v>
      </c>
      <c r="Q527" t="s">
        <v>599</v>
      </c>
      <c r="R527" t="s">
        <v>1182</v>
      </c>
      <c r="S527" t="s">
        <v>2930</v>
      </c>
      <c r="T527">
        <v>1874</v>
      </c>
      <c r="U527">
        <v>1874</v>
      </c>
      <c r="V527" t="s">
        <v>2931</v>
      </c>
      <c r="W527" t="s">
        <v>1185</v>
      </c>
      <c r="X527" t="s">
        <v>599</v>
      </c>
      <c r="Y527" t="s">
        <v>599</v>
      </c>
      <c r="Z527" t="s">
        <v>2932</v>
      </c>
      <c r="AA527" t="s">
        <v>599</v>
      </c>
      <c r="AB527" t="s">
        <v>599</v>
      </c>
      <c r="AC527" t="s">
        <v>2933</v>
      </c>
      <c r="AD527" t="s">
        <v>599</v>
      </c>
      <c r="AE527" t="s">
        <v>2934</v>
      </c>
      <c r="AF527" t="s">
        <v>1190</v>
      </c>
    </row>
    <row r="528" spans="1:32" s="13" customFormat="1" ht="45" x14ac:dyDescent="0.25">
      <c r="A528" s="10">
        <v>258798</v>
      </c>
      <c r="B528" s="10">
        <v>1</v>
      </c>
      <c r="C528" s="9">
        <v>100</v>
      </c>
      <c r="D528" s="56" t="s">
        <v>3561</v>
      </c>
      <c r="E528" s="12" t="s">
        <v>425</v>
      </c>
      <c r="F528" s="45"/>
      <c r="G528" s="45"/>
      <c r="H528" s="45"/>
      <c r="I528">
        <v>258798</v>
      </c>
      <c r="J528" t="s">
        <v>424</v>
      </c>
      <c r="K528" t="s">
        <v>2929</v>
      </c>
      <c r="L528" t="s">
        <v>1178</v>
      </c>
      <c r="M528" t="s">
        <v>1209</v>
      </c>
      <c r="N528" t="s">
        <v>599</v>
      </c>
      <c r="O528" t="s">
        <v>2904</v>
      </c>
      <c r="P528" t="s">
        <v>599</v>
      </c>
      <c r="Q528" t="s">
        <v>599</v>
      </c>
      <c r="R528" t="s">
        <v>1182</v>
      </c>
      <c r="S528" t="s">
        <v>2930</v>
      </c>
      <c r="T528">
        <v>1874</v>
      </c>
      <c r="U528">
        <v>1874</v>
      </c>
      <c r="V528" t="s">
        <v>2931</v>
      </c>
      <c r="W528" t="s">
        <v>1185</v>
      </c>
      <c r="X528" t="s">
        <v>599</v>
      </c>
      <c r="Y528" t="s">
        <v>599</v>
      </c>
      <c r="Z528" t="s">
        <v>2932</v>
      </c>
      <c r="AA528" t="s">
        <v>599</v>
      </c>
      <c r="AB528" t="s">
        <v>599</v>
      </c>
      <c r="AC528" t="s">
        <v>2933</v>
      </c>
      <c r="AD528" t="s">
        <v>599</v>
      </c>
      <c r="AE528" t="s">
        <v>2934</v>
      </c>
      <c r="AF528" t="s">
        <v>1190</v>
      </c>
    </row>
    <row r="529" spans="1:32" s="13" customFormat="1" ht="45" x14ac:dyDescent="0.25">
      <c r="A529" s="10">
        <v>258798</v>
      </c>
      <c r="B529" s="10">
        <v>1</v>
      </c>
      <c r="C529" s="9">
        <v>129</v>
      </c>
      <c r="D529" s="56" t="s">
        <v>3562</v>
      </c>
      <c r="E529" s="12" t="s">
        <v>425</v>
      </c>
      <c r="F529" s="45"/>
      <c r="G529" s="45"/>
      <c r="H529" s="45"/>
      <c r="I529">
        <v>258798</v>
      </c>
      <c r="J529" t="s">
        <v>424</v>
      </c>
      <c r="K529" t="s">
        <v>2929</v>
      </c>
      <c r="L529" t="s">
        <v>1178</v>
      </c>
      <c r="M529" t="s">
        <v>1209</v>
      </c>
      <c r="N529" t="s">
        <v>599</v>
      </c>
      <c r="O529" t="s">
        <v>2904</v>
      </c>
      <c r="P529" t="s">
        <v>599</v>
      </c>
      <c r="Q529" t="s">
        <v>599</v>
      </c>
      <c r="R529" t="s">
        <v>1182</v>
      </c>
      <c r="S529" t="s">
        <v>2930</v>
      </c>
      <c r="T529">
        <v>1874</v>
      </c>
      <c r="U529">
        <v>1874</v>
      </c>
      <c r="V529" t="s">
        <v>2931</v>
      </c>
      <c r="W529" t="s">
        <v>1185</v>
      </c>
      <c r="X529" t="s">
        <v>599</v>
      </c>
      <c r="Y529" t="s">
        <v>599</v>
      </c>
      <c r="Z529" t="s">
        <v>2932</v>
      </c>
      <c r="AA529" t="s">
        <v>599</v>
      </c>
      <c r="AB529" t="s">
        <v>599</v>
      </c>
      <c r="AC529" t="s">
        <v>2933</v>
      </c>
      <c r="AD529" t="s">
        <v>599</v>
      </c>
      <c r="AE529" t="s">
        <v>2934</v>
      </c>
      <c r="AF529" t="s">
        <v>1190</v>
      </c>
    </row>
    <row r="530" spans="1:32" s="13" customFormat="1" ht="45" x14ac:dyDescent="0.25">
      <c r="A530" s="10">
        <v>258798</v>
      </c>
      <c r="B530" s="10">
        <v>1</v>
      </c>
      <c r="C530" s="9">
        <v>152</v>
      </c>
      <c r="D530" s="56" t="s">
        <v>3563</v>
      </c>
      <c r="E530" s="12" t="s">
        <v>425</v>
      </c>
      <c r="F530" s="45"/>
      <c r="G530" s="45"/>
      <c r="H530" s="45"/>
      <c r="I530">
        <v>258798</v>
      </c>
      <c r="J530" t="s">
        <v>424</v>
      </c>
      <c r="K530" t="s">
        <v>2929</v>
      </c>
      <c r="L530" t="s">
        <v>1178</v>
      </c>
      <c r="M530" t="s">
        <v>1209</v>
      </c>
      <c r="N530" t="s">
        <v>599</v>
      </c>
      <c r="O530" t="s">
        <v>2904</v>
      </c>
      <c r="P530" t="s">
        <v>599</v>
      </c>
      <c r="Q530" t="s">
        <v>599</v>
      </c>
      <c r="R530" t="s">
        <v>1182</v>
      </c>
      <c r="S530" t="s">
        <v>2930</v>
      </c>
      <c r="T530">
        <v>1874</v>
      </c>
      <c r="U530">
        <v>1874</v>
      </c>
      <c r="V530" t="s">
        <v>2931</v>
      </c>
      <c r="W530" t="s">
        <v>1185</v>
      </c>
      <c r="X530" t="s">
        <v>599</v>
      </c>
      <c r="Y530" t="s">
        <v>599</v>
      </c>
      <c r="Z530" t="s">
        <v>2932</v>
      </c>
      <c r="AA530" t="s">
        <v>599</v>
      </c>
      <c r="AB530" t="s">
        <v>599</v>
      </c>
      <c r="AC530" t="s">
        <v>2933</v>
      </c>
      <c r="AD530" t="s">
        <v>599</v>
      </c>
      <c r="AE530" t="s">
        <v>2934</v>
      </c>
      <c r="AF530" t="s">
        <v>1190</v>
      </c>
    </row>
    <row r="531" spans="1:32" s="13" customFormat="1" ht="45" x14ac:dyDescent="0.25">
      <c r="A531" s="10">
        <v>258798</v>
      </c>
      <c r="B531" s="10">
        <v>1</v>
      </c>
      <c r="C531" s="9">
        <v>191</v>
      </c>
      <c r="D531" s="56" t="s">
        <v>3564</v>
      </c>
      <c r="E531" s="12" t="s">
        <v>425</v>
      </c>
      <c r="F531" s="45"/>
      <c r="G531" s="45"/>
      <c r="H531" s="45"/>
      <c r="I531">
        <v>258798</v>
      </c>
      <c r="J531" t="s">
        <v>424</v>
      </c>
      <c r="K531" t="s">
        <v>2929</v>
      </c>
      <c r="L531" t="s">
        <v>1178</v>
      </c>
      <c r="M531" t="s">
        <v>1209</v>
      </c>
      <c r="N531" t="s">
        <v>599</v>
      </c>
      <c r="O531" t="s">
        <v>2904</v>
      </c>
      <c r="P531" t="s">
        <v>599</v>
      </c>
      <c r="Q531" t="s">
        <v>599</v>
      </c>
      <c r="R531" t="s">
        <v>1182</v>
      </c>
      <c r="S531" t="s">
        <v>2930</v>
      </c>
      <c r="T531">
        <v>1874</v>
      </c>
      <c r="U531">
        <v>1874</v>
      </c>
      <c r="V531" t="s">
        <v>2931</v>
      </c>
      <c r="W531" t="s">
        <v>1185</v>
      </c>
      <c r="X531" t="s">
        <v>599</v>
      </c>
      <c r="Y531" t="s">
        <v>599</v>
      </c>
      <c r="Z531" t="s">
        <v>2932</v>
      </c>
      <c r="AA531" t="s">
        <v>599</v>
      </c>
      <c r="AB531" t="s">
        <v>599</v>
      </c>
      <c r="AC531" t="s">
        <v>2933</v>
      </c>
      <c r="AD531" t="s">
        <v>599</v>
      </c>
      <c r="AE531" t="s">
        <v>2934</v>
      </c>
      <c r="AF531" t="s">
        <v>1190</v>
      </c>
    </row>
    <row r="532" spans="1:32" s="13" customFormat="1" ht="45" x14ac:dyDescent="0.25">
      <c r="A532" s="10">
        <v>258798</v>
      </c>
      <c r="B532" s="10">
        <v>1</v>
      </c>
      <c r="C532" s="9">
        <v>209</v>
      </c>
      <c r="D532" s="56" t="s">
        <v>3565</v>
      </c>
      <c r="E532" s="12" t="s">
        <v>425</v>
      </c>
      <c r="F532" s="45"/>
      <c r="G532" s="45"/>
      <c r="H532" s="45"/>
      <c r="I532">
        <v>258798</v>
      </c>
      <c r="J532" t="s">
        <v>424</v>
      </c>
      <c r="K532" t="s">
        <v>2929</v>
      </c>
      <c r="L532" t="s">
        <v>1178</v>
      </c>
      <c r="M532" t="s">
        <v>1209</v>
      </c>
      <c r="N532" t="s">
        <v>599</v>
      </c>
      <c r="O532" t="s">
        <v>2904</v>
      </c>
      <c r="P532" t="s">
        <v>599</v>
      </c>
      <c r="Q532" t="s">
        <v>599</v>
      </c>
      <c r="R532" t="s">
        <v>1182</v>
      </c>
      <c r="S532" t="s">
        <v>2930</v>
      </c>
      <c r="T532">
        <v>1874</v>
      </c>
      <c r="U532">
        <v>1874</v>
      </c>
      <c r="V532" t="s">
        <v>2931</v>
      </c>
      <c r="W532" t="s">
        <v>1185</v>
      </c>
      <c r="X532" t="s">
        <v>599</v>
      </c>
      <c r="Y532" t="s">
        <v>599</v>
      </c>
      <c r="Z532" t="s">
        <v>2932</v>
      </c>
      <c r="AA532" t="s">
        <v>599</v>
      </c>
      <c r="AB532" t="s">
        <v>599</v>
      </c>
      <c r="AC532" t="s">
        <v>2933</v>
      </c>
      <c r="AD532" t="s">
        <v>599</v>
      </c>
      <c r="AE532" t="s">
        <v>2934</v>
      </c>
      <c r="AF532" t="s">
        <v>1190</v>
      </c>
    </row>
    <row r="533" spans="1:32" s="13" customFormat="1" ht="45" x14ac:dyDescent="0.25">
      <c r="A533" s="10">
        <v>258798</v>
      </c>
      <c r="B533" s="10">
        <v>1</v>
      </c>
      <c r="C533" s="9">
        <v>264</v>
      </c>
      <c r="D533" s="56" t="s">
        <v>3566</v>
      </c>
      <c r="E533" s="12" t="s">
        <v>425</v>
      </c>
      <c r="F533" s="45"/>
      <c r="G533" s="45"/>
      <c r="H533" s="45"/>
      <c r="I533">
        <v>258798</v>
      </c>
      <c r="J533" t="s">
        <v>424</v>
      </c>
      <c r="K533" t="s">
        <v>2929</v>
      </c>
      <c r="L533" t="s">
        <v>1178</v>
      </c>
      <c r="M533" t="s">
        <v>1209</v>
      </c>
      <c r="N533" t="s">
        <v>599</v>
      </c>
      <c r="O533" t="s">
        <v>2904</v>
      </c>
      <c r="P533" t="s">
        <v>599</v>
      </c>
      <c r="Q533" t="s">
        <v>599</v>
      </c>
      <c r="R533" t="s">
        <v>1182</v>
      </c>
      <c r="S533" t="s">
        <v>2930</v>
      </c>
      <c r="T533">
        <v>1874</v>
      </c>
      <c r="U533">
        <v>1874</v>
      </c>
      <c r="V533" t="s">
        <v>2931</v>
      </c>
      <c r="W533" t="s">
        <v>1185</v>
      </c>
      <c r="X533" t="s">
        <v>599</v>
      </c>
      <c r="Y533" t="s">
        <v>599</v>
      </c>
      <c r="Z533" t="s">
        <v>2932</v>
      </c>
      <c r="AA533" t="s">
        <v>599</v>
      </c>
      <c r="AB533" t="s">
        <v>599</v>
      </c>
      <c r="AC533" t="s">
        <v>2933</v>
      </c>
      <c r="AD533" t="s">
        <v>599</v>
      </c>
      <c r="AE533" t="s">
        <v>2934</v>
      </c>
      <c r="AF533" t="s">
        <v>1190</v>
      </c>
    </row>
    <row r="534" spans="1:32" s="13" customFormat="1" ht="45" x14ac:dyDescent="0.25">
      <c r="A534" s="10">
        <v>258798</v>
      </c>
      <c r="B534" s="10">
        <v>1</v>
      </c>
      <c r="C534" s="9">
        <v>297</v>
      </c>
      <c r="D534" s="56" t="s">
        <v>3567</v>
      </c>
      <c r="E534" s="12" t="s">
        <v>425</v>
      </c>
      <c r="F534" s="45"/>
      <c r="G534" s="45"/>
      <c r="H534" s="45"/>
      <c r="I534">
        <v>258798</v>
      </c>
      <c r="J534" t="s">
        <v>424</v>
      </c>
      <c r="K534" t="s">
        <v>2929</v>
      </c>
      <c r="L534" t="s">
        <v>1178</v>
      </c>
      <c r="M534" t="s">
        <v>1209</v>
      </c>
      <c r="N534" t="s">
        <v>599</v>
      </c>
      <c r="O534" t="s">
        <v>2904</v>
      </c>
      <c r="P534" t="s">
        <v>599</v>
      </c>
      <c r="Q534" t="s">
        <v>599</v>
      </c>
      <c r="R534" t="s">
        <v>1182</v>
      </c>
      <c r="S534" t="s">
        <v>2930</v>
      </c>
      <c r="T534">
        <v>1874</v>
      </c>
      <c r="U534">
        <v>1874</v>
      </c>
      <c r="V534" t="s">
        <v>2931</v>
      </c>
      <c r="W534" t="s">
        <v>1185</v>
      </c>
      <c r="X534" t="s">
        <v>599</v>
      </c>
      <c r="Y534" t="s">
        <v>599</v>
      </c>
      <c r="Z534" t="s">
        <v>2932</v>
      </c>
      <c r="AA534" t="s">
        <v>599</v>
      </c>
      <c r="AB534" t="s">
        <v>599</v>
      </c>
      <c r="AC534" t="s">
        <v>2933</v>
      </c>
      <c r="AD534" t="s">
        <v>599</v>
      </c>
      <c r="AE534" t="s">
        <v>2934</v>
      </c>
      <c r="AF534" t="s">
        <v>1190</v>
      </c>
    </row>
    <row r="535" spans="1:32" s="13" customFormat="1" ht="45" x14ac:dyDescent="0.25">
      <c r="A535" s="10">
        <v>259033</v>
      </c>
      <c r="B535" s="10">
        <v>1</v>
      </c>
      <c r="C535" s="9">
        <v>10</v>
      </c>
      <c r="D535" s="56" t="s">
        <v>3568</v>
      </c>
      <c r="E535" s="12" t="s">
        <v>428</v>
      </c>
      <c r="F535" s="45"/>
      <c r="G535" s="45"/>
      <c r="H535" s="45"/>
      <c r="I535">
        <v>259033</v>
      </c>
      <c r="J535" t="s">
        <v>427</v>
      </c>
      <c r="K535" t="s">
        <v>2936</v>
      </c>
      <c r="L535" t="s">
        <v>1178</v>
      </c>
      <c r="M535" t="s">
        <v>1362</v>
      </c>
      <c r="N535" t="s">
        <v>1192</v>
      </c>
      <c r="O535" t="s">
        <v>2937</v>
      </c>
      <c r="P535" t="s">
        <v>2938</v>
      </c>
      <c r="Q535" t="s">
        <v>599</v>
      </c>
      <c r="R535" t="s">
        <v>1182</v>
      </c>
      <c r="S535" t="s">
        <v>2939</v>
      </c>
      <c r="T535">
        <v>1735</v>
      </c>
      <c r="U535">
        <v>1735</v>
      </c>
      <c r="V535" t="s">
        <v>2940</v>
      </c>
      <c r="W535" t="s">
        <v>1185</v>
      </c>
      <c r="X535" t="s">
        <v>599</v>
      </c>
      <c r="Y535" t="s">
        <v>599</v>
      </c>
      <c r="Z535" t="s">
        <v>2941</v>
      </c>
      <c r="AA535" t="s">
        <v>599</v>
      </c>
      <c r="AB535" t="s">
        <v>599</v>
      </c>
      <c r="AC535" t="s">
        <v>2942</v>
      </c>
      <c r="AD535" t="s">
        <v>599</v>
      </c>
      <c r="AE535" t="s">
        <v>2943</v>
      </c>
      <c r="AF535" t="s">
        <v>1190</v>
      </c>
    </row>
    <row r="536" spans="1:32" s="13" customFormat="1" ht="45" x14ac:dyDescent="0.25">
      <c r="A536" s="10">
        <v>259033</v>
      </c>
      <c r="B536" s="10">
        <v>1</v>
      </c>
      <c r="C536" s="9">
        <v>86</v>
      </c>
      <c r="D536" s="56" t="s">
        <v>3569</v>
      </c>
      <c r="E536" s="12" t="s">
        <v>428</v>
      </c>
      <c r="F536" s="45"/>
      <c r="G536" s="45"/>
      <c r="H536" s="45"/>
      <c r="I536">
        <v>259033</v>
      </c>
      <c r="J536" t="s">
        <v>427</v>
      </c>
      <c r="K536" t="s">
        <v>2936</v>
      </c>
      <c r="L536" t="s">
        <v>1178</v>
      </c>
      <c r="M536" t="s">
        <v>1362</v>
      </c>
      <c r="N536" t="s">
        <v>1192</v>
      </c>
      <c r="O536" t="s">
        <v>2937</v>
      </c>
      <c r="P536" t="s">
        <v>2938</v>
      </c>
      <c r="Q536" t="s">
        <v>599</v>
      </c>
      <c r="R536" t="s">
        <v>1182</v>
      </c>
      <c r="S536" t="s">
        <v>2939</v>
      </c>
      <c r="T536">
        <v>1735</v>
      </c>
      <c r="U536">
        <v>1735</v>
      </c>
      <c r="V536" t="s">
        <v>2940</v>
      </c>
      <c r="W536" t="s">
        <v>1185</v>
      </c>
      <c r="X536" t="s">
        <v>599</v>
      </c>
      <c r="Y536" t="s">
        <v>599</v>
      </c>
      <c r="Z536" t="s">
        <v>2941</v>
      </c>
      <c r="AA536" t="s">
        <v>599</v>
      </c>
      <c r="AB536" t="s">
        <v>599</v>
      </c>
      <c r="AC536" t="s">
        <v>2942</v>
      </c>
      <c r="AD536" t="s">
        <v>599</v>
      </c>
      <c r="AE536" t="s">
        <v>2943</v>
      </c>
      <c r="AF536" t="s">
        <v>1190</v>
      </c>
    </row>
    <row r="537" spans="1:32" s="13" customFormat="1" ht="45" x14ac:dyDescent="0.25">
      <c r="A537" s="10">
        <v>259033</v>
      </c>
      <c r="B537" s="10">
        <v>1</v>
      </c>
      <c r="C537" s="9">
        <v>168</v>
      </c>
      <c r="D537" s="56" t="s">
        <v>3570</v>
      </c>
      <c r="E537" s="12" t="s">
        <v>428</v>
      </c>
      <c r="F537" s="45"/>
      <c r="G537" s="45"/>
      <c r="H537" s="45"/>
      <c r="I537">
        <v>259033</v>
      </c>
      <c r="J537" t="s">
        <v>427</v>
      </c>
      <c r="K537" t="s">
        <v>2936</v>
      </c>
      <c r="L537" t="s">
        <v>1178</v>
      </c>
      <c r="M537" t="s">
        <v>1362</v>
      </c>
      <c r="N537" t="s">
        <v>1192</v>
      </c>
      <c r="O537" t="s">
        <v>2937</v>
      </c>
      <c r="P537" t="s">
        <v>2938</v>
      </c>
      <c r="Q537" t="s">
        <v>599</v>
      </c>
      <c r="R537" t="s">
        <v>1182</v>
      </c>
      <c r="S537" t="s">
        <v>2939</v>
      </c>
      <c r="T537">
        <v>1735</v>
      </c>
      <c r="U537">
        <v>1735</v>
      </c>
      <c r="V537" t="s">
        <v>2940</v>
      </c>
      <c r="W537" t="s">
        <v>1185</v>
      </c>
      <c r="X537" t="s">
        <v>599</v>
      </c>
      <c r="Y537" t="s">
        <v>599</v>
      </c>
      <c r="Z537" t="s">
        <v>2941</v>
      </c>
      <c r="AA537" t="s">
        <v>599</v>
      </c>
      <c r="AB537" t="s">
        <v>599</v>
      </c>
      <c r="AC537" t="s">
        <v>2942</v>
      </c>
      <c r="AD537" t="s">
        <v>599</v>
      </c>
      <c r="AE537" t="s">
        <v>2943</v>
      </c>
      <c r="AF537" t="s">
        <v>1190</v>
      </c>
    </row>
    <row r="538" spans="1:32" s="13" customFormat="1" ht="45" x14ac:dyDescent="0.25">
      <c r="A538" s="10">
        <v>259033</v>
      </c>
      <c r="B538" s="10">
        <v>1</v>
      </c>
      <c r="C538" s="9">
        <v>266</v>
      </c>
      <c r="D538" s="56" t="s">
        <v>3571</v>
      </c>
      <c r="E538" s="12" t="s">
        <v>428</v>
      </c>
      <c r="F538" s="45"/>
      <c r="G538" s="45"/>
      <c r="H538" s="45"/>
      <c r="I538">
        <v>259033</v>
      </c>
      <c r="J538" t="s">
        <v>427</v>
      </c>
      <c r="K538" t="s">
        <v>2936</v>
      </c>
      <c r="L538" t="s">
        <v>1178</v>
      </c>
      <c r="M538" t="s">
        <v>1362</v>
      </c>
      <c r="N538" t="s">
        <v>1192</v>
      </c>
      <c r="O538" t="s">
        <v>2937</v>
      </c>
      <c r="P538" t="s">
        <v>2938</v>
      </c>
      <c r="Q538" t="s">
        <v>599</v>
      </c>
      <c r="R538" t="s">
        <v>1182</v>
      </c>
      <c r="S538" t="s">
        <v>2939</v>
      </c>
      <c r="T538">
        <v>1735</v>
      </c>
      <c r="U538">
        <v>1735</v>
      </c>
      <c r="V538" t="s">
        <v>2940</v>
      </c>
      <c r="W538" t="s">
        <v>1185</v>
      </c>
      <c r="X538" t="s">
        <v>599</v>
      </c>
      <c r="Y538" t="s">
        <v>599</v>
      </c>
      <c r="Z538" t="s">
        <v>2941</v>
      </c>
      <c r="AA538" t="s">
        <v>599</v>
      </c>
      <c r="AB538" t="s">
        <v>599</v>
      </c>
      <c r="AC538" t="s">
        <v>2942</v>
      </c>
      <c r="AD538" t="s">
        <v>599</v>
      </c>
      <c r="AE538" t="s">
        <v>2943</v>
      </c>
      <c r="AF538" t="s">
        <v>1190</v>
      </c>
    </row>
    <row r="539" spans="1:32" s="13" customFormat="1" ht="45" x14ac:dyDescent="0.25">
      <c r="A539" s="10">
        <v>259033</v>
      </c>
      <c r="B539" s="10">
        <v>2</v>
      </c>
      <c r="C539" s="9">
        <v>12</v>
      </c>
      <c r="D539" s="56" t="s">
        <v>3572</v>
      </c>
      <c r="E539" s="12" t="s">
        <v>428</v>
      </c>
      <c r="F539" s="45"/>
      <c r="G539" s="45"/>
      <c r="H539" s="45"/>
      <c r="I539">
        <v>259033</v>
      </c>
      <c r="J539" t="s">
        <v>427</v>
      </c>
      <c r="K539" t="s">
        <v>2936</v>
      </c>
      <c r="L539" t="s">
        <v>1178</v>
      </c>
      <c r="M539" t="s">
        <v>1362</v>
      </c>
      <c r="N539" t="s">
        <v>1192</v>
      </c>
      <c r="O539" t="s">
        <v>2937</v>
      </c>
      <c r="P539" t="s">
        <v>2938</v>
      </c>
      <c r="Q539" t="s">
        <v>599</v>
      </c>
      <c r="R539" t="s">
        <v>1182</v>
      </c>
      <c r="S539" t="s">
        <v>2939</v>
      </c>
      <c r="T539">
        <v>1735</v>
      </c>
      <c r="U539">
        <v>1735</v>
      </c>
      <c r="V539" t="s">
        <v>2940</v>
      </c>
      <c r="W539" t="s">
        <v>1185</v>
      </c>
      <c r="X539" t="s">
        <v>599</v>
      </c>
      <c r="Y539" t="s">
        <v>599</v>
      </c>
      <c r="Z539" t="s">
        <v>2941</v>
      </c>
      <c r="AA539" t="s">
        <v>599</v>
      </c>
      <c r="AB539" t="s">
        <v>599</v>
      </c>
      <c r="AC539" t="s">
        <v>2942</v>
      </c>
      <c r="AD539" t="s">
        <v>599</v>
      </c>
      <c r="AE539" t="s">
        <v>2943</v>
      </c>
      <c r="AF539" t="s">
        <v>1190</v>
      </c>
    </row>
    <row r="540" spans="1:32" ht="45" x14ac:dyDescent="0.25">
      <c r="A540" s="10">
        <v>259033</v>
      </c>
      <c r="B540" s="10">
        <v>2</v>
      </c>
      <c r="C540" s="9">
        <v>102</v>
      </c>
      <c r="D540" s="56" t="s">
        <v>3573</v>
      </c>
      <c r="E540" s="12" t="s">
        <v>428</v>
      </c>
      <c r="F540" s="45"/>
      <c r="G540" s="45"/>
      <c r="H540" s="45"/>
      <c r="I540">
        <v>259033</v>
      </c>
      <c r="J540" t="s">
        <v>427</v>
      </c>
      <c r="K540" t="s">
        <v>2936</v>
      </c>
      <c r="L540" t="s">
        <v>1178</v>
      </c>
      <c r="M540" t="s">
        <v>1362</v>
      </c>
      <c r="N540" t="s">
        <v>1192</v>
      </c>
      <c r="O540" t="s">
        <v>2937</v>
      </c>
      <c r="P540" t="s">
        <v>2938</v>
      </c>
      <c r="Q540" t="s">
        <v>599</v>
      </c>
      <c r="R540" t="s">
        <v>1182</v>
      </c>
      <c r="S540" t="s">
        <v>2939</v>
      </c>
      <c r="T540">
        <v>1735</v>
      </c>
      <c r="U540">
        <v>1735</v>
      </c>
      <c r="V540" t="s">
        <v>2940</v>
      </c>
      <c r="W540" t="s">
        <v>1185</v>
      </c>
      <c r="X540" t="s">
        <v>599</v>
      </c>
      <c r="Y540" t="s">
        <v>599</v>
      </c>
      <c r="Z540" t="s">
        <v>2941</v>
      </c>
      <c r="AA540" t="s">
        <v>599</v>
      </c>
      <c r="AB540" t="s">
        <v>599</v>
      </c>
      <c r="AC540" t="s">
        <v>2942</v>
      </c>
      <c r="AD540" t="s">
        <v>599</v>
      </c>
      <c r="AE540" t="s">
        <v>2943</v>
      </c>
      <c r="AF540" t="s">
        <v>1190</v>
      </c>
    </row>
    <row r="541" spans="1:32" ht="45" x14ac:dyDescent="0.25">
      <c r="A541" s="10">
        <v>259033</v>
      </c>
      <c r="B541" s="10">
        <v>2</v>
      </c>
      <c r="C541" s="9">
        <v>202</v>
      </c>
      <c r="D541" s="56" t="s">
        <v>3574</v>
      </c>
      <c r="E541" s="12" t="s">
        <v>428</v>
      </c>
      <c r="F541" s="45"/>
      <c r="G541" s="45"/>
      <c r="H541" s="45"/>
      <c r="I541">
        <v>259033</v>
      </c>
      <c r="J541" t="s">
        <v>427</v>
      </c>
      <c r="K541" t="s">
        <v>2936</v>
      </c>
      <c r="L541" t="s">
        <v>1178</v>
      </c>
      <c r="M541" t="s">
        <v>1362</v>
      </c>
      <c r="N541" t="s">
        <v>1192</v>
      </c>
      <c r="O541" t="s">
        <v>2937</v>
      </c>
      <c r="P541" t="s">
        <v>2938</v>
      </c>
      <c r="Q541" t="s">
        <v>599</v>
      </c>
      <c r="R541" t="s">
        <v>1182</v>
      </c>
      <c r="S541" t="s">
        <v>2939</v>
      </c>
      <c r="T541">
        <v>1735</v>
      </c>
      <c r="U541">
        <v>1735</v>
      </c>
      <c r="V541" t="s">
        <v>2940</v>
      </c>
      <c r="W541" t="s">
        <v>1185</v>
      </c>
      <c r="X541" t="s">
        <v>599</v>
      </c>
      <c r="Y541" t="s">
        <v>599</v>
      </c>
      <c r="Z541" t="s">
        <v>2941</v>
      </c>
      <c r="AA541" t="s">
        <v>599</v>
      </c>
      <c r="AB541" t="s">
        <v>599</v>
      </c>
      <c r="AC541" t="s">
        <v>2942</v>
      </c>
      <c r="AD541" t="s">
        <v>599</v>
      </c>
      <c r="AE541" t="s">
        <v>2943</v>
      </c>
      <c r="AF541" t="s">
        <v>1190</v>
      </c>
    </row>
    <row r="542" spans="1:32" ht="45" x14ac:dyDescent="0.25">
      <c r="A542" s="10">
        <v>259033</v>
      </c>
      <c r="B542" s="10">
        <v>2</v>
      </c>
      <c r="C542" s="9">
        <v>282</v>
      </c>
      <c r="D542" s="56" t="s">
        <v>3575</v>
      </c>
      <c r="E542" s="12" t="s">
        <v>428</v>
      </c>
      <c r="F542" s="45"/>
      <c r="G542" s="45"/>
      <c r="H542" s="45"/>
      <c r="I542">
        <v>259033</v>
      </c>
      <c r="J542" t="s">
        <v>427</v>
      </c>
      <c r="K542" t="s">
        <v>2936</v>
      </c>
      <c r="L542" t="s">
        <v>1178</v>
      </c>
      <c r="M542" t="s">
        <v>1362</v>
      </c>
      <c r="N542" t="s">
        <v>1192</v>
      </c>
      <c r="O542" t="s">
        <v>2937</v>
      </c>
      <c r="P542" t="s">
        <v>2938</v>
      </c>
      <c r="Q542" t="s">
        <v>599</v>
      </c>
      <c r="R542" t="s">
        <v>1182</v>
      </c>
      <c r="S542" t="s">
        <v>2939</v>
      </c>
      <c r="T542">
        <v>1735</v>
      </c>
      <c r="U542">
        <v>1735</v>
      </c>
      <c r="V542" t="s">
        <v>2940</v>
      </c>
      <c r="W542" t="s">
        <v>1185</v>
      </c>
      <c r="X542" t="s">
        <v>599</v>
      </c>
      <c r="Y542" t="s">
        <v>599</v>
      </c>
      <c r="Z542" t="s">
        <v>2941</v>
      </c>
      <c r="AA542" t="s">
        <v>599</v>
      </c>
      <c r="AB542" t="s">
        <v>599</v>
      </c>
      <c r="AC542" t="s">
        <v>2942</v>
      </c>
      <c r="AD542" t="s">
        <v>599</v>
      </c>
      <c r="AE542" t="s">
        <v>2943</v>
      </c>
      <c r="AF542" t="s">
        <v>1190</v>
      </c>
    </row>
    <row r="543" spans="1:32" ht="45" x14ac:dyDescent="0.25">
      <c r="A543" s="46">
        <v>259033</v>
      </c>
      <c r="B543" s="46">
        <v>3</v>
      </c>
      <c r="C543" s="47">
        <v>12</v>
      </c>
      <c r="D543" s="54" t="s">
        <v>3572</v>
      </c>
      <c r="E543" s="49" t="s">
        <v>428</v>
      </c>
      <c r="F543" s="45"/>
      <c r="G543" s="45"/>
      <c r="H543" s="45"/>
      <c r="I543">
        <v>259033</v>
      </c>
      <c r="J543" t="s">
        <v>427</v>
      </c>
      <c r="K543" t="s">
        <v>2936</v>
      </c>
      <c r="L543" t="s">
        <v>1178</v>
      </c>
      <c r="M543" t="s">
        <v>1362</v>
      </c>
      <c r="N543" t="s">
        <v>1192</v>
      </c>
      <c r="O543" t="s">
        <v>2937</v>
      </c>
      <c r="P543" t="s">
        <v>2938</v>
      </c>
      <c r="Q543" t="s">
        <v>599</v>
      </c>
      <c r="R543" t="s">
        <v>1182</v>
      </c>
      <c r="S543" t="s">
        <v>2939</v>
      </c>
      <c r="T543">
        <v>1735</v>
      </c>
      <c r="U543">
        <v>1735</v>
      </c>
      <c r="V543" t="s">
        <v>2940</v>
      </c>
      <c r="W543" t="s">
        <v>1185</v>
      </c>
      <c r="X543" t="s">
        <v>599</v>
      </c>
      <c r="Y543" t="s">
        <v>599</v>
      </c>
      <c r="Z543" t="s">
        <v>2941</v>
      </c>
      <c r="AA543" t="s">
        <v>599</v>
      </c>
      <c r="AB543" t="s">
        <v>599</v>
      </c>
      <c r="AC543" t="s">
        <v>2942</v>
      </c>
      <c r="AD543" t="s">
        <v>599</v>
      </c>
      <c r="AE543" t="s">
        <v>2943</v>
      </c>
      <c r="AF543" t="s">
        <v>1190</v>
      </c>
    </row>
    <row r="544" spans="1:32" ht="45" x14ac:dyDescent="0.25">
      <c r="A544" s="10">
        <v>259033</v>
      </c>
      <c r="B544" s="10">
        <v>3</v>
      </c>
      <c r="C544" s="9">
        <v>98</v>
      </c>
      <c r="D544" s="56" t="s">
        <v>3576</v>
      </c>
      <c r="E544" s="12" t="s">
        <v>428</v>
      </c>
      <c r="F544" s="45"/>
      <c r="G544" s="45"/>
      <c r="H544" s="45"/>
      <c r="I544">
        <v>259033</v>
      </c>
      <c r="J544" t="s">
        <v>427</v>
      </c>
      <c r="K544" t="s">
        <v>2936</v>
      </c>
      <c r="L544" t="s">
        <v>1178</v>
      </c>
      <c r="M544" t="s">
        <v>1362</v>
      </c>
      <c r="N544" t="s">
        <v>1192</v>
      </c>
      <c r="O544" t="s">
        <v>2937</v>
      </c>
      <c r="P544" t="s">
        <v>2938</v>
      </c>
      <c r="Q544" t="s">
        <v>599</v>
      </c>
      <c r="R544" t="s">
        <v>1182</v>
      </c>
      <c r="S544" t="s">
        <v>2939</v>
      </c>
      <c r="T544">
        <v>1735</v>
      </c>
      <c r="U544">
        <v>1735</v>
      </c>
      <c r="V544" t="s">
        <v>2940</v>
      </c>
      <c r="W544" t="s">
        <v>1185</v>
      </c>
      <c r="X544" t="s">
        <v>599</v>
      </c>
      <c r="Y544" t="s">
        <v>599</v>
      </c>
      <c r="Z544" t="s">
        <v>2941</v>
      </c>
      <c r="AA544" t="s">
        <v>599</v>
      </c>
      <c r="AB544" t="s">
        <v>599</v>
      </c>
      <c r="AC544" t="s">
        <v>2942</v>
      </c>
      <c r="AD544" t="s">
        <v>599</v>
      </c>
      <c r="AE544" t="s">
        <v>2943</v>
      </c>
      <c r="AF544" t="s">
        <v>1190</v>
      </c>
    </row>
    <row r="545" spans="1:32" ht="45" x14ac:dyDescent="0.25">
      <c r="A545" s="10">
        <v>259033</v>
      </c>
      <c r="B545" s="10">
        <v>3</v>
      </c>
      <c r="C545" s="9">
        <v>176</v>
      </c>
      <c r="D545" s="56" t="s">
        <v>3577</v>
      </c>
      <c r="E545" s="12" t="s">
        <v>428</v>
      </c>
      <c r="F545" s="45"/>
      <c r="G545" s="45"/>
      <c r="H545" s="45"/>
      <c r="I545">
        <v>259033</v>
      </c>
      <c r="J545" t="s">
        <v>427</v>
      </c>
      <c r="K545" t="s">
        <v>2936</v>
      </c>
      <c r="L545" t="s">
        <v>1178</v>
      </c>
      <c r="M545" t="s">
        <v>1362</v>
      </c>
      <c r="N545" t="s">
        <v>1192</v>
      </c>
      <c r="O545" t="s">
        <v>2937</v>
      </c>
      <c r="P545" t="s">
        <v>2938</v>
      </c>
      <c r="Q545" t="s">
        <v>599</v>
      </c>
      <c r="R545" t="s">
        <v>1182</v>
      </c>
      <c r="S545" t="s">
        <v>2939</v>
      </c>
      <c r="T545">
        <v>1735</v>
      </c>
      <c r="U545">
        <v>1735</v>
      </c>
      <c r="V545" t="s">
        <v>2940</v>
      </c>
      <c r="W545" t="s">
        <v>1185</v>
      </c>
      <c r="X545" t="s">
        <v>599</v>
      </c>
      <c r="Y545" t="s">
        <v>599</v>
      </c>
      <c r="Z545" t="s">
        <v>2941</v>
      </c>
      <c r="AA545" t="s">
        <v>599</v>
      </c>
      <c r="AB545" t="s">
        <v>599</v>
      </c>
      <c r="AC545" t="s">
        <v>2942</v>
      </c>
      <c r="AD545" t="s">
        <v>599</v>
      </c>
      <c r="AE545" t="s">
        <v>2943</v>
      </c>
      <c r="AF545" t="s">
        <v>1190</v>
      </c>
    </row>
    <row r="546" spans="1:32" ht="45" x14ac:dyDescent="0.25">
      <c r="A546" s="10">
        <v>259828</v>
      </c>
      <c r="B546" s="10">
        <v>1</v>
      </c>
      <c r="C546" s="9">
        <v>9</v>
      </c>
      <c r="D546" s="56" t="s">
        <v>3578</v>
      </c>
      <c r="E546" s="12" t="s">
        <v>431</v>
      </c>
      <c r="F546" s="45"/>
      <c r="G546" s="45"/>
      <c r="H546" s="45"/>
      <c r="I546">
        <v>259828</v>
      </c>
      <c r="J546" t="s">
        <v>430</v>
      </c>
      <c r="K546" t="s">
        <v>2945</v>
      </c>
      <c r="L546" t="s">
        <v>1178</v>
      </c>
      <c r="M546" t="s">
        <v>2543</v>
      </c>
      <c r="N546" t="s">
        <v>1192</v>
      </c>
      <c r="O546" t="s">
        <v>2946</v>
      </c>
      <c r="P546" t="s">
        <v>2947</v>
      </c>
      <c r="Q546" t="s">
        <v>599</v>
      </c>
      <c r="R546" t="s">
        <v>1182</v>
      </c>
      <c r="S546" t="s">
        <v>2948</v>
      </c>
      <c r="T546">
        <v>1777</v>
      </c>
      <c r="U546">
        <v>1777</v>
      </c>
      <c r="V546" t="s">
        <v>2949</v>
      </c>
      <c r="W546" t="s">
        <v>1185</v>
      </c>
      <c r="X546" t="s">
        <v>599</v>
      </c>
      <c r="Y546" t="s">
        <v>599</v>
      </c>
      <c r="Z546" t="s">
        <v>2950</v>
      </c>
      <c r="AA546" t="s">
        <v>599</v>
      </c>
      <c r="AB546" t="s">
        <v>599</v>
      </c>
      <c r="AC546" t="s">
        <v>2951</v>
      </c>
      <c r="AD546" t="s">
        <v>599</v>
      </c>
      <c r="AE546" t="s">
        <v>2952</v>
      </c>
      <c r="AF546" t="s">
        <v>1190</v>
      </c>
    </row>
    <row r="547" spans="1:32" ht="45" x14ac:dyDescent="0.25">
      <c r="A547" s="10">
        <v>259828</v>
      </c>
      <c r="B547" s="10">
        <v>1</v>
      </c>
      <c r="C547" s="9">
        <v>37</v>
      </c>
      <c r="D547" s="56" t="s">
        <v>3579</v>
      </c>
      <c r="E547" s="12" t="s">
        <v>431</v>
      </c>
      <c r="F547" s="45"/>
      <c r="G547" s="45"/>
      <c r="H547" s="45"/>
      <c r="I547">
        <v>259828</v>
      </c>
      <c r="J547" t="s">
        <v>430</v>
      </c>
      <c r="K547" t="s">
        <v>2945</v>
      </c>
      <c r="L547" t="s">
        <v>1178</v>
      </c>
      <c r="M547" t="s">
        <v>2543</v>
      </c>
      <c r="N547" t="s">
        <v>1192</v>
      </c>
      <c r="O547" t="s">
        <v>2946</v>
      </c>
      <c r="P547" t="s">
        <v>2947</v>
      </c>
      <c r="Q547" t="s">
        <v>599</v>
      </c>
      <c r="R547" t="s">
        <v>1182</v>
      </c>
      <c r="S547" t="s">
        <v>2948</v>
      </c>
      <c r="T547">
        <v>1777</v>
      </c>
      <c r="U547">
        <v>1777</v>
      </c>
      <c r="V547" t="s">
        <v>2949</v>
      </c>
      <c r="W547" t="s">
        <v>1185</v>
      </c>
      <c r="X547" t="s">
        <v>599</v>
      </c>
      <c r="Y547" t="s">
        <v>599</v>
      </c>
      <c r="Z547" t="s">
        <v>2950</v>
      </c>
      <c r="AA547" t="s">
        <v>599</v>
      </c>
      <c r="AB547" t="s">
        <v>599</v>
      </c>
      <c r="AC547" t="s">
        <v>2951</v>
      </c>
      <c r="AD547" t="s">
        <v>599</v>
      </c>
      <c r="AE547" t="s">
        <v>2952</v>
      </c>
      <c r="AF547" t="s">
        <v>1190</v>
      </c>
    </row>
    <row r="548" spans="1:32" ht="45" x14ac:dyDescent="0.25">
      <c r="A548" s="10">
        <v>259828</v>
      </c>
      <c r="B548" s="10">
        <v>1</v>
      </c>
      <c r="C548" s="9">
        <v>75</v>
      </c>
      <c r="D548" s="56" t="s">
        <v>3580</v>
      </c>
      <c r="E548" s="12" t="s">
        <v>431</v>
      </c>
      <c r="F548" s="45"/>
      <c r="G548" s="45"/>
      <c r="H548" s="45"/>
      <c r="I548">
        <v>259828</v>
      </c>
      <c r="J548" t="s">
        <v>430</v>
      </c>
      <c r="K548" t="s">
        <v>2945</v>
      </c>
      <c r="L548" t="s">
        <v>1178</v>
      </c>
      <c r="M548" t="s">
        <v>2543</v>
      </c>
      <c r="N548" t="s">
        <v>1192</v>
      </c>
      <c r="O548" t="s">
        <v>2946</v>
      </c>
      <c r="P548" t="s">
        <v>2947</v>
      </c>
      <c r="Q548" t="s">
        <v>599</v>
      </c>
      <c r="R548" t="s">
        <v>1182</v>
      </c>
      <c r="S548" t="s">
        <v>2948</v>
      </c>
      <c r="T548">
        <v>1777</v>
      </c>
      <c r="U548">
        <v>1777</v>
      </c>
      <c r="V548" t="s">
        <v>2949</v>
      </c>
      <c r="W548" t="s">
        <v>1185</v>
      </c>
      <c r="X548" t="s">
        <v>599</v>
      </c>
      <c r="Y548" t="s">
        <v>599</v>
      </c>
      <c r="Z548" t="s">
        <v>2950</v>
      </c>
      <c r="AA548" t="s">
        <v>599</v>
      </c>
      <c r="AB548" t="s">
        <v>599</v>
      </c>
      <c r="AC548" t="s">
        <v>2951</v>
      </c>
      <c r="AD548" t="s">
        <v>599</v>
      </c>
      <c r="AE548" t="s">
        <v>2952</v>
      </c>
      <c r="AF548" t="s">
        <v>1190</v>
      </c>
    </row>
    <row r="549" spans="1:32" ht="45" x14ac:dyDescent="0.25">
      <c r="A549" s="10">
        <v>259828</v>
      </c>
      <c r="B549" s="10">
        <v>1</v>
      </c>
      <c r="C549" s="9">
        <v>115</v>
      </c>
      <c r="D549" s="56" t="s">
        <v>3581</v>
      </c>
      <c r="E549" s="12" t="s">
        <v>431</v>
      </c>
      <c r="F549" s="45"/>
      <c r="G549" s="45"/>
      <c r="H549" s="45"/>
      <c r="I549">
        <v>259828</v>
      </c>
      <c r="J549" t="s">
        <v>430</v>
      </c>
      <c r="K549" t="s">
        <v>2945</v>
      </c>
      <c r="L549" t="s">
        <v>1178</v>
      </c>
      <c r="M549" t="s">
        <v>2543</v>
      </c>
      <c r="N549" t="s">
        <v>1192</v>
      </c>
      <c r="O549" t="s">
        <v>2946</v>
      </c>
      <c r="P549" t="s">
        <v>2947</v>
      </c>
      <c r="Q549" t="s">
        <v>599</v>
      </c>
      <c r="R549" t="s">
        <v>1182</v>
      </c>
      <c r="S549" t="s">
        <v>2948</v>
      </c>
      <c r="T549">
        <v>1777</v>
      </c>
      <c r="U549">
        <v>1777</v>
      </c>
      <c r="V549" t="s">
        <v>2949</v>
      </c>
      <c r="W549" t="s">
        <v>1185</v>
      </c>
      <c r="X549" t="s">
        <v>599</v>
      </c>
      <c r="Y549" t="s">
        <v>599</v>
      </c>
      <c r="Z549" t="s">
        <v>2950</v>
      </c>
      <c r="AA549" t="s">
        <v>599</v>
      </c>
      <c r="AB549" t="s">
        <v>599</v>
      </c>
      <c r="AC549" t="s">
        <v>2951</v>
      </c>
      <c r="AD549" t="s">
        <v>599</v>
      </c>
      <c r="AE549" t="s">
        <v>2952</v>
      </c>
      <c r="AF549" t="s">
        <v>1190</v>
      </c>
    </row>
    <row r="550" spans="1:32" ht="45" x14ac:dyDescent="0.25">
      <c r="A550" s="10">
        <v>259828</v>
      </c>
      <c r="B550" s="10">
        <v>1</v>
      </c>
      <c r="C550" s="9">
        <v>171</v>
      </c>
      <c r="D550" s="56" t="s">
        <v>3582</v>
      </c>
      <c r="E550" s="12" t="s">
        <v>431</v>
      </c>
      <c r="F550" s="45"/>
      <c r="G550" s="45"/>
      <c r="H550" s="45"/>
      <c r="I550">
        <v>259828</v>
      </c>
      <c r="J550" t="s">
        <v>430</v>
      </c>
      <c r="K550" t="s">
        <v>2945</v>
      </c>
      <c r="L550" t="s">
        <v>1178</v>
      </c>
      <c r="M550" t="s">
        <v>2543</v>
      </c>
      <c r="N550" t="s">
        <v>1192</v>
      </c>
      <c r="O550" t="s">
        <v>2946</v>
      </c>
      <c r="P550" t="s">
        <v>2947</v>
      </c>
      <c r="Q550" t="s">
        <v>599</v>
      </c>
      <c r="R550" t="s">
        <v>1182</v>
      </c>
      <c r="S550" t="s">
        <v>2948</v>
      </c>
      <c r="T550">
        <v>1777</v>
      </c>
      <c r="U550">
        <v>1777</v>
      </c>
      <c r="V550" t="s">
        <v>2949</v>
      </c>
      <c r="W550" t="s">
        <v>1185</v>
      </c>
      <c r="X550" t="s">
        <v>599</v>
      </c>
      <c r="Y550" t="s">
        <v>599</v>
      </c>
      <c r="Z550" t="s">
        <v>2950</v>
      </c>
      <c r="AA550" t="s">
        <v>599</v>
      </c>
      <c r="AB550" t="s">
        <v>599</v>
      </c>
      <c r="AC550" t="s">
        <v>2951</v>
      </c>
      <c r="AD550" t="s">
        <v>599</v>
      </c>
      <c r="AE550" t="s">
        <v>2952</v>
      </c>
      <c r="AF550" t="s">
        <v>1190</v>
      </c>
    </row>
    <row r="551" spans="1:32" ht="45" x14ac:dyDescent="0.25">
      <c r="A551" s="10">
        <v>259828</v>
      </c>
      <c r="B551" s="10">
        <v>1</v>
      </c>
      <c r="C551" s="9">
        <v>211</v>
      </c>
      <c r="D551" s="56" t="s">
        <v>3583</v>
      </c>
      <c r="E551" s="12" t="s">
        <v>431</v>
      </c>
      <c r="F551" s="45"/>
      <c r="G551" s="45"/>
      <c r="H551" s="45"/>
      <c r="I551">
        <v>259828</v>
      </c>
      <c r="J551" t="s">
        <v>430</v>
      </c>
      <c r="K551" t="s">
        <v>2945</v>
      </c>
      <c r="L551" t="s">
        <v>1178</v>
      </c>
      <c r="M551" t="s">
        <v>2543</v>
      </c>
      <c r="N551" t="s">
        <v>1192</v>
      </c>
      <c r="O551" t="s">
        <v>2946</v>
      </c>
      <c r="P551" t="s">
        <v>2947</v>
      </c>
      <c r="Q551" t="s">
        <v>599</v>
      </c>
      <c r="R551" t="s">
        <v>1182</v>
      </c>
      <c r="S551" t="s">
        <v>2948</v>
      </c>
      <c r="T551">
        <v>1777</v>
      </c>
      <c r="U551">
        <v>1777</v>
      </c>
      <c r="V551" t="s">
        <v>2949</v>
      </c>
      <c r="W551" t="s">
        <v>1185</v>
      </c>
      <c r="X551" t="s">
        <v>599</v>
      </c>
      <c r="Y551" t="s">
        <v>599</v>
      </c>
      <c r="Z551" t="s">
        <v>2950</v>
      </c>
      <c r="AA551" t="s">
        <v>599</v>
      </c>
      <c r="AB551" t="s">
        <v>599</v>
      </c>
      <c r="AC551" t="s">
        <v>2951</v>
      </c>
      <c r="AD551" t="s">
        <v>599</v>
      </c>
      <c r="AE551" t="s">
        <v>2952</v>
      </c>
      <c r="AF551" t="s">
        <v>1190</v>
      </c>
    </row>
    <row r="552" spans="1:32" ht="45" x14ac:dyDescent="0.25">
      <c r="A552" s="10">
        <v>259828</v>
      </c>
      <c r="B552" s="10">
        <v>1</v>
      </c>
      <c r="C552" s="9">
        <v>259</v>
      </c>
      <c r="D552" s="56" t="s">
        <v>3584</v>
      </c>
      <c r="E552" s="12" t="s">
        <v>431</v>
      </c>
      <c r="F552" s="45"/>
      <c r="G552" s="45"/>
      <c r="H552" s="45"/>
      <c r="I552">
        <v>259828</v>
      </c>
      <c r="J552" t="s">
        <v>430</v>
      </c>
      <c r="K552" t="s">
        <v>2945</v>
      </c>
      <c r="L552" t="s">
        <v>1178</v>
      </c>
      <c r="M552" t="s">
        <v>2543</v>
      </c>
      <c r="N552" t="s">
        <v>1192</v>
      </c>
      <c r="O552" t="s">
        <v>2946</v>
      </c>
      <c r="P552" t="s">
        <v>2947</v>
      </c>
      <c r="Q552" t="s">
        <v>599</v>
      </c>
      <c r="R552" t="s">
        <v>1182</v>
      </c>
      <c r="S552" t="s">
        <v>2948</v>
      </c>
      <c r="T552">
        <v>1777</v>
      </c>
      <c r="U552">
        <v>1777</v>
      </c>
      <c r="V552" t="s">
        <v>2949</v>
      </c>
      <c r="W552" t="s">
        <v>1185</v>
      </c>
      <c r="X552" t="s">
        <v>599</v>
      </c>
      <c r="Y552" t="s">
        <v>599</v>
      </c>
      <c r="Z552" t="s">
        <v>2950</v>
      </c>
      <c r="AA552" t="s">
        <v>599</v>
      </c>
      <c r="AB552" t="s">
        <v>599</v>
      </c>
      <c r="AC552" t="s">
        <v>2951</v>
      </c>
      <c r="AD552" t="s">
        <v>599</v>
      </c>
      <c r="AE552" t="s">
        <v>2952</v>
      </c>
      <c r="AF552" t="s">
        <v>1190</v>
      </c>
    </row>
    <row r="553" spans="1:32" ht="45" x14ac:dyDescent="0.25">
      <c r="A553" s="10">
        <v>259828</v>
      </c>
      <c r="B553" s="10">
        <v>1</v>
      </c>
      <c r="C553" s="9">
        <v>293</v>
      </c>
      <c r="D553" s="56" t="s">
        <v>3585</v>
      </c>
      <c r="E553" s="12" t="s">
        <v>431</v>
      </c>
      <c r="F553" s="45"/>
      <c r="G553" s="45"/>
      <c r="H553" s="45"/>
      <c r="I553">
        <v>259828</v>
      </c>
      <c r="J553" t="s">
        <v>430</v>
      </c>
      <c r="K553" t="s">
        <v>2945</v>
      </c>
      <c r="L553" t="s">
        <v>1178</v>
      </c>
      <c r="M553" t="s">
        <v>2543</v>
      </c>
      <c r="N553" t="s">
        <v>1192</v>
      </c>
      <c r="O553" t="s">
        <v>2946</v>
      </c>
      <c r="P553" t="s">
        <v>2947</v>
      </c>
      <c r="Q553" t="s">
        <v>599</v>
      </c>
      <c r="R553" t="s">
        <v>1182</v>
      </c>
      <c r="S553" t="s">
        <v>2948</v>
      </c>
      <c r="T553">
        <v>1777</v>
      </c>
      <c r="U553">
        <v>1777</v>
      </c>
      <c r="V553" t="s">
        <v>2949</v>
      </c>
      <c r="W553" t="s">
        <v>1185</v>
      </c>
      <c r="X553" t="s">
        <v>599</v>
      </c>
      <c r="Y553" t="s">
        <v>599</v>
      </c>
      <c r="Z553" t="s">
        <v>2950</v>
      </c>
      <c r="AA553" t="s">
        <v>599</v>
      </c>
      <c r="AB553" t="s">
        <v>599</v>
      </c>
      <c r="AC553" t="s">
        <v>2951</v>
      </c>
      <c r="AD553" t="s">
        <v>599</v>
      </c>
      <c r="AE553" t="s">
        <v>2952</v>
      </c>
      <c r="AF553" t="s">
        <v>1190</v>
      </c>
    </row>
    <row r="554" spans="1:32" ht="45" x14ac:dyDescent="0.25">
      <c r="A554" s="10">
        <v>259828</v>
      </c>
      <c r="B554" s="10">
        <v>1</v>
      </c>
      <c r="C554" s="9">
        <v>325</v>
      </c>
      <c r="D554" s="56" t="s">
        <v>3586</v>
      </c>
      <c r="E554" s="12" t="s">
        <v>431</v>
      </c>
      <c r="F554" s="45"/>
      <c r="G554" s="45"/>
      <c r="H554" s="45"/>
      <c r="I554">
        <v>259828</v>
      </c>
      <c r="J554" t="s">
        <v>430</v>
      </c>
      <c r="K554" t="s">
        <v>2945</v>
      </c>
      <c r="L554" t="s">
        <v>1178</v>
      </c>
      <c r="M554" t="s">
        <v>2543</v>
      </c>
      <c r="N554" t="s">
        <v>1192</v>
      </c>
      <c r="O554" t="s">
        <v>2946</v>
      </c>
      <c r="P554" t="s">
        <v>2947</v>
      </c>
      <c r="Q554" t="s">
        <v>599</v>
      </c>
      <c r="R554" t="s">
        <v>1182</v>
      </c>
      <c r="S554" t="s">
        <v>2948</v>
      </c>
      <c r="T554">
        <v>1777</v>
      </c>
      <c r="U554">
        <v>1777</v>
      </c>
      <c r="V554" t="s">
        <v>2949</v>
      </c>
      <c r="W554" t="s">
        <v>1185</v>
      </c>
      <c r="X554" t="s">
        <v>599</v>
      </c>
      <c r="Y554" t="s">
        <v>599</v>
      </c>
      <c r="Z554" t="s">
        <v>2950</v>
      </c>
      <c r="AA554" t="s">
        <v>599</v>
      </c>
      <c r="AB554" t="s">
        <v>599</v>
      </c>
      <c r="AC554" t="s">
        <v>2951</v>
      </c>
      <c r="AD554" t="s">
        <v>599</v>
      </c>
      <c r="AE554" t="s">
        <v>2952</v>
      </c>
      <c r="AF554" t="s">
        <v>1190</v>
      </c>
    </row>
    <row r="555" spans="1:32" ht="45" x14ac:dyDescent="0.25">
      <c r="A555" s="10">
        <v>259828</v>
      </c>
      <c r="B555" s="10">
        <v>1</v>
      </c>
      <c r="C555" s="9">
        <v>365</v>
      </c>
      <c r="D555" s="56" t="s">
        <v>3587</v>
      </c>
      <c r="E555" s="12" t="s">
        <v>431</v>
      </c>
      <c r="F555" s="45"/>
      <c r="G555" s="45"/>
      <c r="H555" s="45"/>
      <c r="I555">
        <v>259828</v>
      </c>
      <c r="J555" t="s">
        <v>430</v>
      </c>
      <c r="K555" t="s">
        <v>2945</v>
      </c>
      <c r="L555" t="s">
        <v>1178</v>
      </c>
      <c r="M555" t="s">
        <v>2543</v>
      </c>
      <c r="N555" t="s">
        <v>1192</v>
      </c>
      <c r="O555" t="s">
        <v>2946</v>
      </c>
      <c r="P555" t="s">
        <v>2947</v>
      </c>
      <c r="Q555" t="s">
        <v>599</v>
      </c>
      <c r="R555" t="s">
        <v>1182</v>
      </c>
      <c r="S555" t="s">
        <v>2948</v>
      </c>
      <c r="T555">
        <v>1777</v>
      </c>
      <c r="U555">
        <v>1777</v>
      </c>
      <c r="V555" t="s">
        <v>2949</v>
      </c>
      <c r="W555" t="s">
        <v>1185</v>
      </c>
      <c r="X555" t="s">
        <v>599</v>
      </c>
      <c r="Y555" t="s">
        <v>599</v>
      </c>
      <c r="Z555" t="s">
        <v>2950</v>
      </c>
      <c r="AA555" t="s">
        <v>599</v>
      </c>
      <c r="AB555" t="s">
        <v>599</v>
      </c>
      <c r="AC555" t="s">
        <v>2951</v>
      </c>
      <c r="AD555" t="s">
        <v>599</v>
      </c>
      <c r="AE555" t="s">
        <v>2952</v>
      </c>
      <c r="AF555" t="s">
        <v>1190</v>
      </c>
    </row>
    <row r="556" spans="1:32" ht="45" x14ac:dyDescent="0.25">
      <c r="A556" s="10">
        <v>259828</v>
      </c>
      <c r="B556" s="10">
        <v>1</v>
      </c>
      <c r="C556" s="9">
        <v>401</v>
      </c>
      <c r="D556" s="56" t="s">
        <v>3588</v>
      </c>
      <c r="E556" s="12" t="s">
        <v>431</v>
      </c>
      <c r="F556" s="45"/>
      <c r="G556" s="45"/>
      <c r="H556" s="45"/>
      <c r="I556">
        <v>259828</v>
      </c>
      <c r="J556" t="s">
        <v>430</v>
      </c>
      <c r="K556" t="s">
        <v>2945</v>
      </c>
      <c r="L556" t="s">
        <v>1178</v>
      </c>
      <c r="M556" t="s">
        <v>2543</v>
      </c>
      <c r="N556" t="s">
        <v>1192</v>
      </c>
      <c r="O556" t="s">
        <v>2946</v>
      </c>
      <c r="P556" t="s">
        <v>2947</v>
      </c>
      <c r="Q556" t="s">
        <v>599</v>
      </c>
      <c r="R556" t="s">
        <v>1182</v>
      </c>
      <c r="S556" t="s">
        <v>2948</v>
      </c>
      <c r="T556">
        <v>1777</v>
      </c>
      <c r="U556">
        <v>1777</v>
      </c>
      <c r="V556" t="s">
        <v>2949</v>
      </c>
      <c r="W556" t="s">
        <v>1185</v>
      </c>
      <c r="X556" t="s">
        <v>599</v>
      </c>
      <c r="Y556" t="s">
        <v>599</v>
      </c>
      <c r="Z556" t="s">
        <v>2950</v>
      </c>
      <c r="AA556" t="s">
        <v>599</v>
      </c>
      <c r="AB556" t="s">
        <v>599</v>
      </c>
      <c r="AC556" t="s">
        <v>2951</v>
      </c>
      <c r="AD556" t="s">
        <v>599</v>
      </c>
      <c r="AE556" t="s">
        <v>2952</v>
      </c>
      <c r="AF556" t="s">
        <v>1190</v>
      </c>
    </row>
    <row r="557" spans="1:32" ht="45" x14ac:dyDescent="0.25">
      <c r="A557" s="10">
        <v>303898</v>
      </c>
      <c r="B557" s="10">
        <v>1</v>
      </c>
      <c r="C557" s="9">
        <v>10</v>
      </c>
      <c r="D557" s="56" t="s">
        <v>3589</v>
      </c>
      <c r="E557" s="12" t="s">
        <v>178</v>
      </c>
      <c r="F557" s="45"/>
      <c r="G557" s="45"/>
      <c r="H557" s="45"/>
      <c r="I557">
        <v>303898</v>
      </c>
      <c r="J557" t="s">
        <v>432</v>
      </c>
      <c r="K557" t="s">
        <v>2953</v>
      </c>
      <c r="L557" t="s">
        <v>1178</v>
      </c>
      <c r="M557" t="s">
        <v>1502</v>
      </c>
      <c r="N557" t="s">
        <v>1192</v>
      </c>
      <c r="O557" t="s">
        <v>1742</v>
      </c>
      <c r="P557" t="s">
        <v>599</v>
      </c>
      <c r="Q557" t="s">
        <v>599</v>
      </c>
      <c r="R557" t="s">
        <v>1182</v>
      </c>
      <c r="S557" t="s">
        <v>2680</v>
      </c>
      <c r="T557">
        <v>1803</v>
      </c>
      <c r="U557">
        <v>1803</v>
      </c>
      <c r="V557" t="s">
        <v>2954</v>
      </c>
      <c r="W557" t="s">
        <v>1185</v>
      </c>
      <c r="X557" t="s">
        <v>599</v>
      </c>
      <c r="Y557" t="s">
        <v>599</v>
      </c>
      <c r="Z557" t="s">
        <v>2955</v>
      </c>
      <c r="AA557" t="s">
        <v>599</v>
      </c>
      <c r="AB557" t="s">
        <v>599</v>
      </c>
      <c r="AC557" t="s">
        <v>2956</v>
      </c>
      <c r="AD557" t="s">
        <v>1702</v>
      </c>
      <c r="AE557" t="s">
        <v>2957</v>
      </c>
      <c r="AF557" t="s">
        <v>1190</v>
      </c>
    </row>
    <row r="558" spans="1:32" ht="45" x14ac:dyDescent="0.25">
      <c r="A558" s="10">
        <v>323612</v>
      </c>
      <c r="B558" s="10">
        <v>1</v>
      </c>
      <c r="C558" s="9">
        <v>19</v>
      </c>
      <c r="D558" s="56" t="s">
        <v>3590</v>
      </c>
      <c r="E558" s="12">
        <v>19</v>
      </c>
      <c r="F558" s="45"/>
      <c r="G558" s="45"/>
      <c r="H558" s="45"/>
      <c r="I558">
        <v>323612</v>
      </c>
      <c r="J558" t="s">
        <v>433</v>
      </c>
      <c r="K558" t="s">
        <v>2958</v>
      </c>
      <c r="L558" t="s">
        <v>1178</v>
      </c>
      <c r="M558" t="s">
        <v>1192</v>
      </c>
      <c r="N558" t="s">
        <v>599</v>
      </c>
      <c r="O558" t="s">
        <v>1551</v>
      </c>
      <c r="P558" t="s">
        <v>599</v>
      </c>
      <c r="Q558" t="s">
        <v>599</v>
      </c>
      <c r="R558" t="s">
        <v>1182</v>
      </c>
      <c r="S558" t="s">
        <v>2959</v>
      </c>
      <c r="T558">
        <v>1572</v>
      </c>
      <c r="U558">
        <v>1572</v>
      </c>
      <c r="V558" t="s">
        <v>1712</v>
      </c>
      <c r="W558" t="s">
        <v>1185</v>
      </c>
      <c r="X558" t="s">
        <v>599</v>
      </c>
      <c r="Y558" t="s">
        <v>599</v>
      </c>
      <c r="Z558" t="s">
        <v>2960</v>
      </c>
      <c r="AA558" t="s">
        <v>599</v>
      </c>
      <c r="AB558" t="s">
        <v>599</v>
      </c>
      <c r="AC558" t="s">
        <v>2961</v>
      </c>
      <c r="AD558" t="s">
        <v>599</v>
      </c>
      <c r="AE558" t="s">
        <v>2962</v>
      </c>
      <c r="AF558" t="s">
        <v>1190</v>
      </c>
    </row>
    <row r="559" spans="1:32" ht="45" x14ac:dyDescent="0.25">
      <c r="A559" s="10">
        <v>323613</v>
      </c>
      <c r="B559" s="10">
        <v>1</v>
      </c>
      <c r="C559" s="9">
        <v>7</v>
      </c>
      <c r="D559" s="56" t="s">
        <v>3591</v>
      </c>
      <c r="E559" s="12">
        <v>7</v>
      </c>
      <c r="F559" s="45"/>
      <c r="G559" s="45"/>
      <c r="H559" s="45"/>
      <c r="I559">
        <v>323613</v>
      </c>
      <c r="J559" t="s">
        <v>434</v>
      </c>
      <c r="K559" t="s">
        <v>2963</v>
      </c>
      <c r="L559" t="s">
        <v>1178</v>
      </c>
      <c r="M559" t="s">
        <v>1192</v>
      </c>
      <c r="N559" t="s">
        <v>599</v>
      </c>
      <c r="O559" t="s">
        <v>1551</v>
      </c>
      <c r="P559" t="s">
        <v>599</v>
      </c>
      <c r="Q559" t="s">
        <v>599</v>
      </c>
      <c r="R559" t="s">
        <v>1182</v>
      </c>
      <c r="S559" t="s">
        <v>2964</v>
      </c>
      <c r="T559">
        <v>1572</v>
      </c>
      <c r="U559">
        <v>1572</v>
      </c>
      <c r="V559" t="s">
        <v>1712</v>
      </c>
      <c r="W559" t="s">
        <v>1185</v>
      </c>
      <c r="X559" t="s">
        <v>599</v>
      </c>
      <c r="Y559" t="s">
        <v>599</v>
      </c>
      <c r="Z559" t="s">
        <v>2965</v>
      </c>
      <c r="AA559" t="s">
        <v>599</v>
      </c>
      <c r="AB559" t="s">
        <v>599</v>
      </c>
      <c r="AC559" t="s">
        <v>2966</v>
      </c>
      <c r="AD559" t="s">
        <v>2967</v>
      </c>
      <c r="AE559" t="s">
        <v>2968</v>
      </c>
      <c r="AF559" t="s">
        <v>1190</v>
      </c>
    </row>
    <row r="560" spans="1:32" ht="45" x14ac:dyDescent="0.25">
      <c r="A560" s="10">
        <v>323614</v>
      </c>
      <c r="B560" s="10">
        <v>1</v>
      </c>
      <c r="C560" s="9">
        <v>23</v>
      </c>
      <c r="D560" s="56" t="s">
        <v>3592</v>
      </c>
      <c r="E560" s="12" t="s">
        <v>436</v>
      </c>
      <c r="F560" s="45"/>
      <c r="G560" s="45"/>
      <c r="H560" s="45"/>
      <c r="I560">
        <v>323614</v>
      </c>
      <c r="J560" t="s">
        <v>435</v>
      </c>
      <c r="K560" t="s">
        <v>2969</v>
      </c>
      <c r="L560" t="s">
        <v>1178</v>
      </c>
      <c r="M560" t="s">
        <v>1192</v>
      </c>
      <c r="N560" t="s">
        <v>599</v>
      </c>
      <c r="O560" t="s">
        <v>1551</v>
      </c>
      <c r="P560" t="s">
        <v>599</v>
      </c>
      <c r="Q560" t="s">
        <v>599</v>
      </c>
      <c r="R560" t="s">
        <v>2970</v>
      </c>
      <c r="S560" t="s">
        <v>2971</v>
      </c>
      <c r="T560">
        <v>1584</v>
      </c>
      <c r="U560">
        <v>1584</v>
      </c>
      <c r="V560" t="s">
        <v>2972</v>
      </c>
      <c r="W560" t="s">
        <v>1185</v>
      </c>
      <c r="X560" t="s">
        <v>599</v>
      </c>
      <c r="Y560" t="s">
        <v>599</v>
      </c>
      <c r="Z560" t="s">
        <v>2973</v>
      </c>
      <c r="AA560" t="s">
        <v>599</v>
      </c>
      <c r="AB560" t="s">
        <v>2974</v>
      </c>
      <c r="AC560" t="s">
        <v>2975</v>
      </c>
      <c r="AD560" t="s">
        <v>2976</v>
      </c>
      <c r="AE560" t="s">
        <v>2977</v>
      </c>
      <c r="AF560" t="s">
        <v>1190</v>
      </c>
    </row>
    <row r="561" spans="1:32" ht="45" x14ac:dyDescent="0.25">
      <c r="A561" s="10">
        <v>323614</v>
      </c>
      <c r="B561" s="10">
        <v>1</v>
      </c>
      <c r="C561" s="9">
        <v>45</v>
      </c>
      <c r="D561" s="56" t="s">
        <v>3593</v>
      </c>
      <c r="E561" s="12" t="s">
        <v>436</v>
      </c>
      <c r="F561" s="45"/>
      <c r="G561" s="45"/>
      <c r="H561" s="45"/>
      <c r="I561">
        <v>323614</v>
      </c>
      <c r="J561" t="s">
        <v>435</v>
      </c>
      <c r="K561" t="s">
        <v>2969</v>
      </c>
      <c r="L561" t="s">
        <v>1178</v>
      </c>
      <c r="M561" t="s">
        <v>1192</v>
      </c>
      <c r="N561" t="s">
        <v>599</v>
      </c>
      <c r="O561" t="s">
        <v>1551</v>
      </c>
      <c r="P561" t="s">
        <v>599</v>
      </c>
      <c r="Q561" t="s">
        <v>599</v>
      </c>
      <c r="R561" t="s">
        <v>2970</v>
      </c>
      <c r="S561" t="s">
        <v>2971</v>
      </c>
      <c r="T561">
        <v>1584</v>
      </c>
      <c r="U561">
        <v>1584</v>
      </c>
      <c r="V561" t="s">
        <v>2972</v>
      </c>
      <c r="W561" t="s">
        <v>1185</v>
      </c>
      <c r="X561" t="s">
        <v>599</v>
      </c>
      <c r="Y561" t="s">
        <v>599</v>
      </c>
      <c r="Z561" t="s">
        <v>2973</v>
      </c>
      <c r="AA561" t="s">
        <v>599</v>
      </c>
      <c r="AB561" t="s">
        <v>2974</v>
      </c>
      <c r="AC561" t="s">
        <v>2975</v>
      </c>
      <c r="AD561" t="s">
        <v>2976</v>
      </c>
      <c r="AE561" t="s">
        <v>2977</v>
      </c>
      <c r="AF561" t="s">
        <v>1190</v>
      </c>
    </row>
    <row r="562" spans="1:32" ht="45" x14ac:dyDescent="0.25">
      <c r="A562" s="10">
        <v>323615</v>
      </c>
      <c r="B562" s="10">
        <v>1</v>
      </c>
      <c r="C562" s="9">
        <v>9</v>
      </c>
      <c r="D562" s="56" t="s">
        <v>3594</v>
      </c>
      <c r="E562" s="12">
        <v>9</v>
      </c>
      <c r="F562" s="45"/>
      <c r="G562" s="45"/>
      <c r="H562" s="45"/>
      <c r="I562">
        <v>323615</v>
      </c>
      <c r="J562" t="s">
        <v>437</v>
      </c>
      <c r="K562" t="s">
        <v>2978</v>
      </c>
      <c r="L562" t="s">
        <v>1178</v>
      </c>
      <c r="M562" t="s">
        <v>1192</v>
      </c>
      <c r="N562" t="s">
        <v>599</v>
      </c>
      <c r="O562" t="s">
        <v>1551</v>
      </c>
      <c r="P562" t="s">
        <v>599</v>
      </c>
      <c r="Q562" t="s">
        <v>599</v>
      </c>
      <c r="R562" t="s">
        <v>2979</v>
      </c>
      <c r="S562" t="s">
        <v>2980</v>
      </c>
      <c r="T562">
        <v>1591</v>
      </c>
      <c r="U562">
        <v>1591</v>
      </c>
      <c r="V562" t="s">
        <v>2981</v>
      </c>
      <c r="W562" t="s">
        <v>1185</v>
      </c>
      <c r="X562" t="s">
        <v>599</v>
      </c>
      <c r="Y562" t="s">
        <v>599</v>
      </c>
      <c r="Z562" t="s">
        <v>2982</v>
      </c>
      <c r="AA562" t="s">
        <v>599</v>
      </c>
      <c r="AB562" t="s">
        <v>599</v>
      </c>
      <c r="AC562" t="s">
        <v>2983</v>
      </c>
      <c r="AD562" t="s">
        <v>2984</v>
      </c>
      <c r="AE562" t="s">
        <v>2985</v>
      </c>
      <c r="AF562" t="s">
        <v>1190</v>
      </c>
    </row>
    <row r="563" spans="1:32" ht="45" x14ac:dyDescent="0.25">
      <c r="A563" s="10">
        <v>323616</v>
      </c>
      <c r="B563" s="10">
        <v>1</v>
      </c>
      <c r="C563" s="9">
        <v>5</v>
      </c>
      <c r="D563" s="56" t="s">
        <v>3595</v>
      </c>
      <c r="E563" s="12">
        <v>5</v>
      </c>
      <c r="F563" s="45"/>
      <c r="G563" s="45"/>
      <c r="H563" s="45"/>
      <c r="I563">
        <v>323616</v>
      </c>
      <c r="J563" t="s">
        <v>438</v>
      </c>
      <c r="K563" t="s">
        <v>2986</v>
      </c>
      <c r="L563" t="s">
        <v>1178</v>
      </c>
      <c r="M563" t="s">
        <v>1192</v>
      </c>
      <c r="N563" t="s">
        <v>599</v>
      </c>
      <c r="O563" t="s">
        <v>1551</v>
      </c>
      <c r="P563" t="s">
        <v>599</v>
      </c>
      <c r="Q563" t="s">
        <v>599</v>
      </c>
      <c r="R563" t="s">
        <v>2987</v>
      </c>
      <c r="S563" t="s">
        <v>2988</v>
      </c>
      <c r="T563">
        <v>1597</v>
      </c>
      <c r="U563">
        <v>1597</v>
      </c>
      <c r="V563" t="s">
        <v>1712</v>
      </c>
      <c r="W563" t="s">
        <v>1185</v>
      </c>
      <c r="X563" t="s">
        <v>599</v>
      </c>
      <c r="Y563" t="s">
        <v>599</v>
      </c>
      <c r="Z563" t="s">
        <v>2989</v>
      </c>
      <c r="AA563" t="s">
        <v>599</v>
      </c>
      <c r="AB563" t="s">
        <v>599</v>
      </c>
      <c r="AC563" t="s">
        <v>2990</v>
      </c>
      <c r="AD563" t="s">
        <v>2984</v>
      </c>
      <c r="AE563" t="s">
        <v>2991</v>
      </c>
      <c r="AF563" t="s">
        <v>1190</v>
      </c>
    </row>
    <row r="564" spans="1:32" ht="45" x14ac:dyDescent="0.25">
      <c r="A564" s="10">
        <v>323617</v>
      </c>
      <c r="B564" s="10">
        <v>1</v>
      </c>
      <c r="C564" s="9">
        <v>9</v>
      </c>
      <c r="D564" s="56" t="s">
        <v>3596</v>
      </c>
      <c r="E564" s="12">
        <v>9</v>
      </c>
      <c r="F564" s="45"/>
      <c r="G564" s="45"/>
      <c r="H564" s="45"/>
      <c r="I564">
        <v>323617</v>
      </c>
      <c r="J564" t="s">
        <v>439</v>
      </c>
      <c r="K564" t="s">
        <v>2992</v>
      </c>
      <c r="L564" t="s">
        <v>1178</v>
      </c>
      <c r="M564" t="s">
        <v>1192</v>
      </c>
      <c r="N564" t="s">
        <v>599</v>
      </c>
      <c r="O564" t="s">
        <v>2993</v>
      </c>
      <c r="P564" t="s">
        <v>599</v>
      </c>
      <c r="Q564" t="s">
        <v>599</v>
      </c>
      <c r="R564" t="s">
        <v>1182</v>
      </c>
      <c r="S564" t="s">
        <v>2994</v>
      </c>
      <c r="T564">
        <v>1595</v>
      </c>
      <c r="U564">
        <v>1595</v>
      </c>
      <c r="V564" t="s">
        <v>2995</v>
      </c>
      <c r="W564" t="s">
        <v>1185</v>
      </c>
      <c r="X564" t="s">
        <v>599</v>
      </c>
      <c r="Y564" t="s">
        <v>599</v>
      </c>
      <c r="Z564" t="s">
        <v>2996</v>
      </c>
      <c r="AA564" t="s">
        <v>599</v>
      </c>
      <c r="AB564" t="s">
        <v>599</v>
      </c>
      <c r="AC564" t="s">
        <v>2997</v>
      </c>
      <c r="AD564" t="s">
        <v>2984</v>
      </c>
      <c r="AE564" t="s">
        <v>2998</v>
      </c>
      <c r="AF564" t="s">
        <v>1190</v>
      </c>
    </row>
    <row r="565" spans="1:32" ht="45" x14ac:dyDescent="0.25">
      <c r="A565" s="10">
        <v>329698</v>
      </c>
      <c r="B565" s="10">
        <v>1</v>
      </c>
      <c r="C565" s="9">
        <v>3</v>
      </c>
      <c r="D565" s="56" t="s">
        <v>3597</v>
      </c>
      <c r="E565" s="12" t="s">
        <v>441</v>
      </c>
      <c r="F565" s="45"/>
      <c r="G565" s="45"/>
      <c r="H565" s="45"/>
      <c r="I565">
        <v>329698</v>
      </c>
      <c r="J565" t="s">
        <v>440</v>
      </c>
      <c r="K565" t="s">
        <v>2999</v>
      </c>
      <c r="L565" t="s">
        <v>1178</v>
      </c>
      <c r="M565" t="s">
        <v>1192</v>
      </c>
      <c r="N565" t="s">
        <v>599</v>
      </c>
      <c r="O565" t="s">
        <v>3000</v>
      </c>
      <c r="P565" t="s">
        <v>599</v>
      </c>
      <c r="Q565" t="s">
        <v>599</v>
      </c>
      <c r="R565" t="s">
        <v>1182</v>
      </c>
      <c r="S565" t="s">
        <v>3001</v>
      </c>
      <c r="T565">
        <v>1641</v>
      </c>
      <c r="U565">
        <v>1641</v>
      </c>
      <c r="V565" t="s">
        <v>3002</v>
      </c>
      <c r="W565" t="s">
        <v>3003</v>
      </c>
      <c r="X565" t="s">
        <v>599</v>
      </c>
      <c r="Y565" t="s">
        <v>599</v>
      </c>
      <c r="Z565" t="s">
        <v>3004</v>
      </c>
      <c r="AA565" t="s">
        <v>599</v>
      </c>
      <c r="AB565" t="s">
        <v>599</v>
      </c>
      <c r="AC565" t="s">
        <v>3005</v>
      </c>
      <c r="AD565" t="s">
        <v>2967</v>
      </c>
      <c r="AE565" t="s">
        <v>3006</v>
      </c>
      <c r="AF565" t="s">
        <v>1190</v>
      </c>
    </row>
    <row r="566" spans="1:32" ht="45" x14ac:dyDescent="0.25">
      <c r="A566" s="10">
        <v>329698</v>
      </c>
      <c r="B566" s="10">
        <v>1</v>
      </c>
      <c r="C566" s="9">
        <v>8</v>
      </c>
      <c r="D566" s="56" t="s">
        <v>3598</v>
      </c>
      <c r="E566" s="12" t="s">
        <v>441</v>
      </c>
      <c r="F566" s="45"/>
      <c r="G566" s="45"/>
      <c r="H566" s="45"/>
      <c r="I566">
        <v>329698</v>
      </c>
      <c r="J566" t="s">
        <v>440</v>
      </c>
      <c r="K566" t="s">
        <v>2999</v>
      </c>
      <c r="L566" t="s">
        <v>1178</v>
      </c>
      <c r="M566" t="s">
        <v>1192</v>
      </c>
      <c r="N566" t="s">
        <v>599</v>
      </c>
      <c r="O566" t="s">
        <v>3000</v>
      </c>
      <c r="P566" t="s">
        <v>599</v>
      </c>
      <c r="Q566" t="s">
        <v>599</v>
      </c>
      <c r="R566" t="s">
        <v>1182</v>
      </c>
      <c r="S566" t="s">
        <v>3001</v>
      </c>
      <c r="T566">
        <v>1641</v>
      </c>
      <c r="U566">
        <v>1641</v>
      </c>
      <c r="V566" t="s">
        <v>3002</v>
      </c>
      <c r="W566" t="s">
        <v>3003</v>
      </c>
      <c r="X566" t="s">
        <v>599</v>
      </c>
      <c r="Y566" t="s">
        <v>599</v>
      </c>
      <c r="Z566" t="s">
        <v>3004</v>
      </c>
      <c r="AA566" t="s">
        <v>599</v>
      </c>
      <c r="AB566" t="s">
        <v>599</v>
      </c>
      <c r="AC566" t="s">
        <v>3005</v>
      </c>
      <c r="AD566" t="s">
        <v>2967</v>
      </c>
      <c r="AE566" t="s">
        <v>3006</v>
      </c>
      <c r="AF566" t="s">
        <v>1190</v>
      </c>
    </row>
    <row r="567" spans="1:32" ht="45" x14ac:dyDescent="0.25">
      <c r="A567" s="10">
        <v>329698</v>
      </c>
      <c r="B567" s="10">
        <v>1</v>
      </c>
      <c r="C567" s="9">
        <v>12</v>
      </c>
      <c r="D567" s="56" t="s">
        <v>3599</v>
      </c>
      <c r="E567" s="12" t="s">
        <v>441</v>
      </c>
      <c r="F567" s="45"/>
      <c r="G567" s="45"/>
      <c r="H567" s="45"/>
      <c r="I567">
        <v>329698</v>
      </c>
      <c r="J567" t="s">
        <v>440</v>
      </c>
      <c r="K567" t="s">
        <v>2999</v>
      </c>
      <c r="L567" t="s">
        <v>1178</v>
      </c>
      <c r="M567" t="s">
        <v>1192</v>
      </c>
      <c r="N567" t="s">
        <v>599</v>
      </c>
      <c r="O567" t="s">
        <v>3000</v>
      </c>
      <c r="P567" t="s">
        <v>599</v>
      </c>
      <c r="Q567" t="s">
        <v>599</v>
      </c>
      <c r="R567" t="s">
        <v>1182</v>
      </c>
      <c r="S567" t="s">
        <v>3001</v>
      </c>
      <c r="T567">
        <v>1641</v>
      </c>
      <c r="U567">
        <v>1641</v>
      </c>
      <c r="V567" t="s">
        <v>3002</v>
      </c>
      <c r="W567" t="s">
        <v>3003</v>
      </c>
      <c r="X567" t="s">
        <v>599</v>
      </c>
      <c r="Y567" t="s">
        <v>599</v>
      </c>
      <c r="Z567" t="s">
        <v>3004</v>
      </c>
      <c r="AA567" t="s">
        <v>599</v>
      </c>
      <c r="AB567" t="s">
        <v>599</v>
      </c>
      <c r="AC567" t="s">
        <v>3005</v>
      </c>
      <c r="AD567" t="s">
        <v>2967</v>
      </c>
      <c r="AE567" t="s">
        <v>3006</v>
      </c>
      <c r="AF567" t="s">
        <v>1190</v>
      </c>
    </row>
    <row r="568" spans="1:32" ht="45" x14ac:dyDescent="0.25">
      <c r="A568" s="10">
        <v>331404</v>
      </c>
      <c r="B568" s="10">
        <v>1</v>
      </c>
      <c r="C568" s="9">
        <v>10</v>
      </c>
      <c r="D568" s="56" t="s">
        <v>3600</v>
      </c>
      <c r="E568" s="12" t="s">
        <v>444</v>
      </c>
      <c r="F568" s="45"/>
      <c r="G568" s="45"/>
      <c r="H568" s="45"/>
      <c r="I568">
        <v>331404</v>
      </c>
      <c r="J568" t="s">
        <v>443</v>
      </c>
      <c r="K568" t="s">
        <v>3008</v>
      </c>
      <c r="L568" t="s">
        <v>1178</v>
      </c>
      <c r="M568" t="s">
        <v>1502</v>
      </c>
      <c r="N568" t="s">
        <v>1192</v>
      </c>
      <c r="O568" t="s">
        <v>1862</v>
      </c>
      <c r="P568" t="s">
        <v>3009</v>
      </c>
      <c r="Q568" t="s">
        <v>599</v>
      </c>
      <c r="R568" t="s">
        <v>1182</v>
      </c>
      <c r="S568" t="s">
        <v>3010</v>
      </c>
      <c r="T568">
        <v>1809</v>
      </c>
      <c r="U568">
        <v>1809</v>
      </c>
      <c r="V568" t="s">
        <v>3011</v>
      </c>
      <c r="W568" t="s">
        <v>1185</v>
      </c>
      <c r="X568" t="s">
        <v>599</v>
      </c>
      <c r="Y568" t="s">
        <v>599</v>
      </c>
      <c r="Z568" t="s">
        <v>1866</v>
      </c>
      <c r="AA568" t="s">
        <v>599</v>
      </c>
      <c r="AB568" t="s">
        <v>599</v>
      </c>
      <c r="AC568" t="s">
        <v>3012</v>
      </c>
      <c r="AD568" t="s">
        <v>1702</v>
      </c>
      <c r="AE568" t="s">
        <v>3013</v>
      </c>
      <c r="AF568" t="s">
        <v>1190</v>
      </c>
    </row>
    <row r="569" spans="1:32" ht="45" x14ac:dyDescent="0.25">
      <c r="A569" s="10">
        <v>331404</v>
      </c>
      <c r="B569" s="10">
        <v>1</v>
      </c>
      <c r="C569" s="9">
        <v>11</v>
      </c>
      <c r="D569" s="56" t="s">
        <v>3601</v>
      </c>
      <c r="E569" s="12" t="s">
        <v>444</v>
      </c>
      <c r="F569" s="45"/>
      <c r="G569" s="45"/>
      <c r="H569" s="45"/>
      <c r="I569">
        <v>331404</v>
      </c>
      <c r="J569" t="s">
        <v>443</v>
      </c>
      <c r="K569" t="s">
        <v>3008</v>
      </c>
      <c r="L569" t="s">
        <v>1178</v>
      </c>
      <c r="M569" t="s">
        <v>1502</v>
      </c>
      <c r="N569" t="s">
        <v>1192</v>
      </c>
      <c r="O569" t="s">
        <v>1862</v>
      </c>
      <c r="P569" t="s">
        <v>3009</v>
      </c>
      <c r="Q569" t="s">
        <v>599</v>
      </c>
      <c r="R569" t="s">
        <v>1182</v>
      </c>
      <c r="S569" t="s">
        <v>3010</v>
      </c>
      <c r="T569">
        <v>1809</v>
      </c>
      <c r="U569">
        <v>1809</v>
      </c>
      <c r="V569" t="s">
        <v>3011</v>
      </c>
      <c r="W569" t="s">
        <v>1185</v>
      </c>
      <c r="X569" t="s">
        <v>599</v>
      </c>
      <c r="Y569" t="s">
        <v>599</v>
      </c>
      <c r="Z569" t="s">
        <v>1866</v>
      </c>
      <c r="AA569" t="s">
        <v>599</v>
      </c>
      <c r="AB569" t="s">
        <v>599</v>
      </c>
      <c r="AC569" t="s">
        <v>3012</v>
      </c>
      <c r="AD569" t="s">
        <v>1702</v>
      </c>
      <c r="AE569" t="s">
        <v>3013</v>
      </c>
      <c r="AF569" t="s">
        <v>1190</v>
      </c>
    </row>
    <row r="570" spans="1:32" ht="45" x14ac:dyDescent="0.25">
      <c r="A570" s="10">
        <v>331411</v>
      </c>
      <c r="B570" s="10">
        <v>1</v>
      </c>
      <c r="C570" s="9">
        <v>6</v>
      </c>
      <c r="D570" s="56" t="s">
        <v>3602</v>
      </c>
      <c r="E570" s="12" t="s">
        <v>446</v>
      </c>
      <c r="F570" s="45"/>
      <c r="G570" s="45"/>
      <c r="H570" s="45"/>
      <c r="I570">
        <v>331411</v>
      </c>
      <c r="J570" t="s">
        <v>445</v>
      </c>
      <c r="K570" t="s">
        <v>3014</v>
      </c>
      <c r="L570" t="s">
        <v>1178</v>
      </c>
      <c r="M570" t="s">
        <v>1502</v>
      </c>
      <c r="N570" t="s">
        <v>1192</v>
      </c>
      <c r="O570" t="s">
        <v>1765</v>
      </c>
      <c r="P570" t="s">
        <v>1863</v>
      </c>
      <c r="Q570" t="s">
        <v>599</v>
      </c>
      <c r="R570" t="s">
        <v>1182</v>
      </c>
      <c r="S570" t="s">
        <v>3015</v>
      </c>
      <c r="T570">
        <v>1826</v>
      </c>
      <c r="U570">
        <v>1826</v>
      </c>
      <c r="V570" t="s">
        <v>3016</v>
      </c>
      <c r="W570" t="s">
        <v>1185</v>
      </c>
      <c r="X570" t="s">
        <v>599</v>
      </c>
      <c r="Y570" t="s">
        <v>599</v>
      </c>
      <c r="Z570" t="s">
        <v>3017</v>
      </c>
      <c r="AA570" t="s">
        <v>599</v>
      </c>
      <c r="AB570" t="s">
        <v>599</v>
      </c>
      <c r="AC570" t="s">
        <v>3018</v>
      </c>
      <c r="AD570" t="s">
        <v>1188</v>
      </c>
      <c r="AE570" t="s">
        <v>3019</v>
      </c>
      <c r="AF570" t="s">
        <v>1190</v>
      </c>
    </row>
    <row r="571" spans="1:32" ht="45" x14ac:dyDescent="0.25">
      <c r="A571" s="10">
        <v>331411</v>
      </c>
      <c r="B571" s="10">
        <v>1</v>
      </c>
      <c r="C571" s="9">
        <v>12</v>
      </c>
      <c r="D571" s="56" t="s">
        <v>3603</v>
      </c>
      <c r="E571" s="12" t="s">
        <v>446</v>
      </c>
      <c r="F571" s="45"/>
      <c r="G571" s="45"/>
      <c r="H571" s="45"/>
      <c r="I571">
        <v>331411</v>
      </c>
      <c r="J571" t="s">
        <v>445</v>
      </c>
      <c r="K571" t="s">
        <v>3014</v>
      </c>
      <c r="L571" t="s">
        <v>1178</v>
      </c>
      <c r="M571" t="s">
        <v>1502</v>
      </c>
      <c r="N571" t="s">
        <v>1192</v>
      </c>
      <c r="O571" t="s">
        <v>1765</v>
      </c>
      <c r="P571" t="s">
        <v>1863</v>
      </c>
      <c r="Q571" t="s">
        <v>599</v>
      </c>
      <c r="R571" t="s">
        <v>1182</v>
      </c>
      <c r="S571" t="s">
        <v>3015</v>
      </c>
      <c r="T571">
        <v>1826</v>
      </c>
      <c r="U571">
        <v>1826</v>
      </c>
      <c r="V571" t="s">
        <v>3016</v>
      </c>
      <c r="W571" t="s">
        <v>1185</v>
      </c>
      <c r="X571" t="s">
        <v>599</v>
      </c>
      <c r="Y571" t="s">
        <v>599</v>
      </c>
      <c r="Z571" t="s">
        <v>3017</v>
      </c>
      <c r="AA571" t="s">
        <v>599</v>
      </c>
      <c r="AB571" t="s">
        <v>599</v>
      </c>
      <c r="AC571" t="s">
        <v>3018</v>
      </c>
      <c r="AD571" t="s">
        <v>1188</v>
      </c>
      <c r="AE571" t="s">
        <v>3019</v>
      </c>
      <c r="AF571" t="s">
        <v>1190</v>
      </c>
    </row>
    <row r="572" spans="1:32" ht="45" x14ac:dyDescent="0.25">
      <c r="A572" s="10">
        <v>380835</v>
      </c>
      <c r="B572" s="10">
        <v>1</v>
      </c>
      <c r="C572" s="9">
        <v>1</v>
      </c>
      <c r="D572" s="56" t="s">
        <v>3604</v>
      </c>
      <c r="E572" s="12" t="s">
        <v>449</v>
      </c>
      <c r="F572" s="45"/>
      <c r="G572" s="45"/>
      <c r="H572" s="45"/>
      <c r="I572">
        <v>380835</v>
      </c>
      <c r="J572" t="s">
        <v>448</v>
      </c>
      <c r="K572" t="s">
        <v>3020</v>
      </c>
      <c r="L572" t="s">
        <v>1178</v>
      </c>
      <c r="M572" t="s">
        <v>1502</v>
      </c>
      <c r="N572" t="s">
        <v>599</v>
      </c>
      <c r="O572" t="s">
        <v>3021</v>
      </c>
      <c r="P572" t="s">
        <v>599</v>
      </c>
      <c r="Q572" t="s">
        <v>599</v>
      </c>
      <c r="R572" t="s">
        <v>1182</v>
      </c>
      <c r="S572" t="s">
        <v>3022</v>
      </c>
      <c r="T572">
        <v>1883</v>
      </c>
      <c r="U572">
        <v>1883</v>
      </c>
      <c r="V572" t="s">
        <v>3023</v>
      </c>
      <c r="W572" t="s">
        <v>1185</v>
      </c>
      <c r="X572" t="s">
        <v>599</v>
      </c>
      <c r="Y572" t="s">
        <v>599</v>
      </c>
      <c r="Z572" t="s">
        <v>3024</v>
      </c>
      <c r="AA572" t="s">
        <v>599</v>
      </c>
      <c r="AB572" t="s">
        <v>599</v>
      </c>
      <c r="AC572" t="s">
        <v>3025</v>
      </c>
      <c r="AD572" t="s">
        <v>1188</v>
      </c>
      <c r="AE572" t="s">
        <v>3026</v>
      </c>
      <c r="AF572" t="s">
        <v>1190</v>
      </c>
    </row>
    <row r="573" spans="1:32" ht="60" x14ac:dyDescent="0.25">
      <c r="A573" s="10">
        <v>381202</v>
      </c>
      <c r="B573" s="10">
        <v>1</v>
      </c>
      <c r="C573" s="9">
        <v>29</v>
      </c>
      <c r="D573" s="56" t="s">
        <v>3605</v>
      </c>
      <c r="E573" s="12" t="s">
        <v>451</v>
      </c>
      <c r="F573" s="45"/>
      <c r="G573" s="45"/>
      <c r="H573" s="45"/>
      <c r="I573">
        <v>381202</v>
      </c>
      <c r="J573" t="s">
        <v>450</v>
      </c>
      <c r="K573" t="s">
        <v>3027</v>
      </c>
      <c r="L573" t="s">
        <v>1178</v>
      </c>
      <c r="M573" t="s">
        <v>1209</v>
      </c>
      <c r="N573" t="s">
        <v>1192</v>
      </c>
      <c r="O573" t="s">
        <v>3028</v>
      </c>
      <c r="P573" t="s">
        <v>599</v>
      </c>
      <c r="Q573" t="s">
        <v>599</v>
      </c>
      <c r="R573" t="s">
        <v>1182</v>
      </c>
      <c r="S573" t="s">
        <v>3029</v>
      </c>
      <c r="T573">
        <v>1639</v>
      </c>
      <c r="U573">
        <v>1639</v>
      </c>
      <c r="V573" t="s">
        <v>3030</v>
      </c>
      <c r="W573" t="s">
        <v>1185</v>
      </c>
      <c r="X573" t="s">
        <v>599</v>
      </c>
      <c r="Y573" t="s">
        <v>599</v>
      </c>
      <c r="Z573" t="s">
        <v>3031</v>
      </c>
      <c r="AA573" t="s">
        <v>599</v>
      </c>
      <c r="AB573" t="s">
        <v>3032</v>
      </c>
      <c r="AC573" t="s">
        <v>3033</v>
      </c>
      <c r="AD573" t="s">
        <v>599</v>
      </c>
      <c r="AE573" t="s">
        <v>3034</v>
      </c>
      <c r="AF573" t="s">
        <v>1190</v>
      </c>
    </row>
    <row r="574" spans="1:32" ht="60" x14ac:dyDescent="0.25">
      <c r="A574" s="10">
        <v>381202</v>
      </c>
      <c r="B574" s="10">
        <v>1</v>
      </c>
      <c r="C574" s="9">
        <v>100</v>
      </c>
      <c r="D574" s="56" t="s">
        <v>3606</v>
      </c>
      <c r="E574" s="12" t="s">
        <v>451</v>
      </c>
      <c r="F574" s="45"/>
      <c r="G574" s="45"/>
      <c r="H574" s="45"/>
      <c r="I574">
        <v>381202</v>
      </c>
      <c r="J574" t="s">
        <v>450</v>
      </c>
      <c r="K574" t="s">
        <v>3027</v>
      </c>
      <c r="L574" t="s">
        <v>1178</v>
      </c>
      <c r="M574" t="s">
        <v>1209</v>
      </c>
      <c r="N574" t="s">
        <v>1192</v>
      </c>
      <c r="O574" t="s">
        <v>3028</v>
      </c>
      <c r="P574" t="s">
        <v>599</v>
      </c>
      <c r="Q574" t="s">
        <v>599</v>
      </c>
      <c r="R574" t="s">
        <v>1182</v>
      </c>
      <c r="S574" t="s">
        <v>3029</v>
      </c>
      <c r="T574">
        <v>1639</v>
      </c>
      <c r="U574">
        <v>1639</v>
      </c>
      <c r="V574" t="s">
        <v>3030</v>
      </c>
      <c r="W574" t="s">
        <v>1185</v>
      </c>
      <c r="X574" t="s">
        <v>599</v>
      </c>
      <c r="Y574" t="s">
        <v>599</v>
      </c>
      <c r="Z574" t="s">
        <v>3031</v>
      </c>
      <c r="AA574" t="s">
        <v>599</v>
      </c>
      <c r="AB574" t="s">
        <v>3032</v>
      </c>
      <c r="AC574" t="s">
        <v>3033</v>
      </c>
      <c r="AD574" t="s">
        <v>599</v>
      </c>
      <c r="AE574" t="s">
        <v>3034</v>
      </c>
      <c r="AF574" t="s">
        <v>1190</v>
      </c>
    </row>
    <row r="575" spans="1:32" ht="60" x14ac:dyDescent="0.25">
      <c r="A575" s="10">
        <v>381202</v>
      </c>
      <c r="B575" s="10">
        <v>1</v>
      </c>
      <c r="C575" s="9">
        <v>216</v>
      </c>
      <c r="D575" s="56" t="s">
        <v>3607</v>
      </c>
      <c r="E575" s="12" t="s">
        <v>451</v>
      </c>
      <c r="F575" s="45"/>
      <c r="G575" s="45"/>
      <c r="H575" s="45"/>
      <c r="I575">
        <v>381202</v>
      </c>
      <c r="J575" t="s">
        <v>450</v>
      </c>
      <c r="K575" t="s">
        <v>3027</v>
      </c>
      <c r="L575" t="s">
        <v>1178</v>
      </c>
      <c r="M575" t="s">
        <v>1209</v>
      </c>
      <c r="N575" t="s">
        <v>1192</v>
      </c>
      <c r="O575" t="s">
        <v>3028</v>
      </c>
      <c r="P575" t="s">
        <v>599</v>
      </c>
      <c r="Q575" t="s">
        <v>599</v>
      </c>
      <c r="R575" t="s">
        <v>1182</v>
      </c>
      <c r="S575" t="s">
        <v>3029</v>
      </c>
      <c r="T575">
        <v>1639</v>
      </c>
      <c r="U575">
        <v>1639</v>
      </c>
      <c r="V575" t="s">
        <v>3030</v>
      </c>
      <c r="W575" t="s">
        <v>1185</v>
      </c>
      <c r="X575" t="s">
        <v>599</v>
      </c>
      <c r="Y575" t="s">
        <v>599</v>
      </c>
      <c r="Z575" t="s">
        <v>3031</v>
      </c>
      <c r="AA575" t="s">
        <v>599</v>
      </c>
      <c r="AB575" t="s">
        <v>3032</v>
      </c>
      <c r="AC575" t="s">
        <v>3033</v>
      </c>
      <c r="AD575" t="s">
        <v>599</v>
      </c>
      <c r="AE575" t="s">
        <v>3034</v>
      </c>
      <c r="AF575" t="s">
        <v>1190</v>
      </c>
    </row>
    <row r="576" spans="1:32" ht="60" x14ac:dyDescent="0.25">
      <c r="A576" s="10">
        <v>381202</v>
      </c>
      <c r="B576" s="10">
        <v>1</v>
      </c>
      <c r="C576" s="9">
        <v>297</v>
      </c>
      <c r="D576" s="56" t="s">
        <v>3608</v>
      </c>
      <c r="E576" s="12" t="s">
        <v>451</v>
      </c>
      <c r="F576" s="45"/>
      <c r="G576" s="45"/>
      <c r="H576" s="45"/>
      <c r="I576">
        <v>381202</v>
      </c>
      <c r="J576" t="s">
        <v>450</v>
      </c>
      <c r="K576" t="s">
        <v>3027</v>
      </c>
      <c r="L576" t="s">
        <v>1178</v>
      </c>
      <c r="M576" t="s">
        <v>1209</v>
      </c>
      <c r="N576" t="s">
        <v>1192</v>
      </c>
      <c r="O576" t="s">
        <v>3028</v>
      </c>
      <c r="P576" t="s">
        <v>599</v>
      </c>
      <c r="Q576" t="s">
        <v>599</v>
      </c>
      <c r="R576" t="s">
        <v>1182</v>
      </c>
      <c r="S576" t="s">
        <v>3029</v>
      </c>
      <c r="T576">
        <v>1639</v>
      </c>
      <c r="U576">
        <v>1639</v>
      </c>
      <c r="V576" t="s">
        <v>3030</v>
      </c>
      <c r="W576" t="s">
        <v>1185</v>
      </c>
      <c r="X576" t="s">
        <v>599</v>
      </c>
      <c r="Y576" t="s">
        <v>599</v>
      </c>
      <c r="Z576" t="s">
        <v>3031</v>
      </c>
      <c r="AA576" t="s">
        <v>599</v>
      </c>
      <c r="AB576" t="s">
        <v>3032</v>
      </c>
      <c r="AC576" t="s">
        <v>3033</v>
      </c>
      <c r="AD576" t="s">
        <v>599</v>
      </c>
      <c r="AE576" t="s">
        <v>3034</v>
      </c>
      <c r="AF576" t="s">
        <v>1190</v>
      </c>
    </row>
    <row r="577" spans="1:32" ht="60" x14ac:dyDescent="0.25">
      <c r="A577" s="10">
        <v>381202</v>
      </c>
      <c r="B577" s="10">
        <v>1</v>
      </c>
      <c r="C577" s="9">
        <v>308</v>
      </c>
      <c r="D577" s="56" t="s">
        <v>3609</v>
      </c>
      <c r="E577" s="12" t="s">
        <v>451</v>
      </c>
      <c r="F577" s="45"/>
      <c r="G577" s="45"/>
      <c r="H577" s="45"/>
      <c r="I577">
        <v>381202</v>
      </c>
      <c r="J577" t="s">
        <v>450</v>
      </c>
      <c r="K577" t="s">
        <v>3027</v>
      </c>
      <c r="L577" t="s">
        <v>1178</v>
      </c>
      <c r="M577" t="s">
        <v>1209</v>
      </c>
      <c r="N577" t="s">
        <v>1192</v>
      </c>
      <c r="O577" t="s">
        <v>3028</v>
      </c>
      <c r="P577" t="s">
        <v>599</v>
      </c>
      <c r="Q577" t="s">
        <v>599</v>
      </c>
      <c r="R577" t="s">
        <v>1182</v>
      </c>
      <c r="S577" t="s">
        <v>3029</v>
      </c>
      <c r="T577">
        <v>1639</v>
      </c>
      <c r="U577">
        <v>1639</v>
      </c>
      <c r="V577" t="s">
        <v>3030</v>
      </c>
      <c r="W577" t="s">
        <v>1185</v>
      </c>
      <c r="X577" t="s">
        <v>599</v>
      </c>
      <c r="Y577" t="s">
        <v>599</v>
      </c>
      <c r="Z577" t="s">
        <v>3031</v>
      </c>
      <c r="AA577" t="s">
        <v>599</v>
      </c>
      <c r="AB577" t="s">
        <v>3032</v>
      </c>
      <c r="AC577" t="s">
        <v>3033</v>
      </c>
      <c r="AD577" t="s">
        <v>599</v>
      </c>
      <c r="AE577" t="s">
        <v>3034</v>
      </c>
      <c r="AF577" t="s">
        <v>1190</v>
      </c>
    </row>
    <row r="578" spans="1:32" ht="60" x14ac:dyDescent="0.25">
      <c r="A578" s="10">
        <v>381202</v>
      </c>
      <c r="B578" s="10">
        <v>1</v>
      </c>
      <c r="C578" s="9">
        <v>424</v>
      </c>
      <c r="D578" s="56" t="s">
        <v>3610</v>
      </c>
      <c r="E578" s="12" t="s">
        <v>451</v>
      </c>
      <c r="F578" s="45"/>
      <c r="G578" s="45"/>
      <c r="H578" s="45"/>
      <c r="I578">
        <v>381202</v>
      </c>
      <c r="J578" t="s">
        <v>450</v>
      </c>
      <c r="K578" t="s">
        <v>3027</v>
      </c>
      <c r="L578" t="s">
        <v>1178</v>
      </c>
      <c r="M578" t="s">
        <v>1209</v>
      </c>
      <c r="N578" t="s">
        <v>1192</v>
      </c>
      <c r="O578" t="s">
        <v>3028</v>
      </c>
      <c r="P578" t="s">
        <v>599</v>
      </c>
      <c r="Q578" t="s">
        <v>599</v>
      </c>
      <c r="R578" t="s">
        <v>1182</v>
      </c>
      <c r="S578" t="s">
        <v>3029</v>
      </c>
      <c r="T578">
        <v>1639</v>
      </c>
      <c r="U578">
        <v>1639</v>
      </c>
      <c r="V578" t="s">
        <v>3030</v>
      </c>
      <c r="W578" t="s">
        <v>1185</v>
      </c>
      <c r="X578" t="s">
        <v>599</v>
      </c>
      <c r="Y578" t="s">
        <v>599</v>
      </c>
      <c r="Z578" t="s">
        <v>3031</v>
      </c>
      <c r="AA578" t="s">
        <v>599</v>
      </c>
      <c r="AB578" t="s">
        <v>3032</v>
      </c>
      <c r="AC578" t="s">
        <v>3033</v>
      </c>
      <c r="AD578" t="s">
        <v>599</v>
      </c>
      <c r="AE578" t="s">
        <v>3034</v>
      </c>
      <c r="AF578" t="s">
        <v>1190</v>
      </c>
    </row>
    <row r="579" spans="1:32" ht="60" x14ac:dyDescent="0.25">
      <c r="A579" s="10">
        <v>381202</v>
      </c>
      <c r="B579" s="10">
        <v>1</v>
      </c>
      <c r="C579" s="9">
        <v>530</v>
      </c>
      <c r="D579" s="56" t="s">
        <v>3611</v>
      </c>
      <c r="E579" s="12" t="s">
        <v>451</v>
      </c>
      <c r="F579" s="45"/>
      <c r="G579" s="45"/>
      <c r="H579" s="45"/>
      <c r="I579">
        <v>381202</v>
      </c>
      <c r="J579" t="s">
        <v>450</v>
      </c>
      <c r="K579" t="s">
        <v>3027</v>
      </c>
      <c r="L579" t="s">
        <v>1178</v>
      </c>
      <c r="M579" t="s">
        <v>1209</v>
      </c>
      <c r="N579" t="s">
        <v>1192</v>
      </c>
      <c r="O579" t="s">
        <v>3028</v>
      </c>
      <c r="P579" t="s">
        <v>599</v>
      </c>
      <c r="Q579" t="s">
        <v>599</v>
      </c>
      <c r="R579" t="s">
        <v>1182</v>
      </c>
      <c r="S579" t="s">
        <v>3029</v>
      </c>
      <c r="T579">
        <v>1639</v>
      </c>
      <c r="U579">
        <v>1639</v>
      </c>
      <c r="V579" t="s">
        <v>3030</v>
      </c>
      <c r="W579" t="s">
        <v>1185</v>
      </c>
      <c r="X579" t="s">
        <v>599</v>
      </c>
      <c r="Y579" t="s">
        <v>599</v>
      </c>
      <c r="Z579" t="s">
        <v>3031</v>
      </c>
      <c r="AA579" t="s">
        <v>599</v>
      </c>
      <c r="AB579" t="s">
        <v>3032</v>
      </c>
      <c r="AC579" t="s">
        <v>3033</v>
      </c>
      <c r="AD579" t="s">
        <v>599</v>
      </c>
      <c r="AE579" t="s">
        <v>3034</v>
      </c>
      <c r="AF579" t="s">
        <v>1190</v>
      </c>
    </row>
    <row r="580" spans="1:32" ht="60" x14ac:dyDescent="0.25">
      <c r="A580" s="10">
        <v>381202</v>
      </c>
      <c r="B580" s="10">
        <v>2</v>
      </c>
      <c r="C580" s="9">
        <v>7</v>
      </c>
      <c r="D580" s="56" t="s">
        <v>3612</v>
      </c>
      <c r="E580" s="12" t="s">
        <v>451</v>
      </c>
      <c r="F580" s="45"/>
      <c r="G580" s="45"/>
      <c r="H580" s="45"/>
      <c r="I580">
        <v>381202</v>
      </c>
      <c r="J580" t="s">
        <v>450</v>
      </c>
      <c r="K580" t="s">
        <v>3027</v>
      </c>
      <c r="L580" t="s">
        <v>1178</v>
      </c>
      <c r="M580" t="s">
        <v>1209</v>
      </c>
      <c r="N580" t="s">
        <v>1192</v>
      </c>
      <c r="O580" t="s">
        <v>3028</v>
      </c>
      <c r="P580" t="s">
        <v>599</v>
      </c>
      <c r="Q580" t="s">
        <v>599</v>
      </c>
      <c r="R580" t="s">
        <v>1182</v>
      </c>
      <c r="S580" t="s">
        <v>3029</v>
      </c>
      <c r="T580">
        <v>1639</v>
      </c>
      <c r="U580">
        <v>1639</v>
      </c>
      <c r="V580" t="s">
        <v>3030</v>
      </c>
      <c r="W580" t="s">
        <v>1185</v>
      </c>
      <c r="X580" t="s">
        <v>599</v>
      </c>
      <c r="Y580" t="s">
        <v>599</v>
      </c>
      <c r="Z580" t="s">
        <v>3031</v>
      </c>
      <c r="AA580" t="s">
        <v>599</v>
      </c>
      <c r="AB580" t="s">
        <v>3032</v>
      </c>
      <c r="AC580" t="s">
        <v>3033</v>
      </c>
      <c r="AD580" t="s">
        <v>599</v>
      </c>
      <c r="AE580" t="s">
        <v>3034</v>
      </c>
      <c r="AF580" t="s">
        <v>1190</v>
      </c>
    </row>
    <row r="581" spans="1:32" ht="60" x14ac:dyDescent="0.25">
      <c r="A581" s="10">
        <v>381202</v>
      </c>
      <c r="B581" s="10">
        <v>2</v>
      </c>
      <c r="C581" s="9">
        <v>10</v>
      </c>
      <c r="D581" s="56" t="s">
        <v>3613</v>
      </c>
      <c r="E581" s="12" t="s">
        <v>451</v>
      </c>
      <c r="F581" s="45"/>
      <c r="G581" s="45"/>
      <c r="H581" s="45"/>
      <c r="I581">
        <v>381202</v>
      </c>
      <c r="J581" t="s">
        <v>450</v>
      </c>
      <c r="K581" t="s">
        <v>3027</v>
      </c>
      <c r="L581" t="s">
        <v>1178</v>
      </c>
      <c r="M581" t="s">
        <v>1209</v>
      </c>
      <c r="N581" t="s">
        <v>1192</v>
      </c>
      <c r="O581" t="s">
        <v>3028</v>
      </c>
      <c r="P581" t="s">
        <v>599</v>
      </c>
      <c r="Q581" t="s">
        <v>599</v>
      </c>
      <c r="R581" t="s">
        <v>1182</v>
      </c>
      <c r="S581" t="s">
        <v>3029</v>
      </c>
      <c r="T581">
        <v>1639</v>
      </c>
      <c r="U581">
        <v>1639</v>
      </c>
      <c r="V581" t="s">
        <v>3030</v>
      </c>
      <c r="W581" t="s">
        <v>1185</v>
      </c>
      <c r="X581" t="s">
        <v>599</v>
      </c>
      <c r="Y581" t="s">
        <v>599</v>
      </c>
      <c r="Z581" t="s">
        <v>3031</v>
      </c>
      <c r="AA581" t="s">
        <v>599</v>
      </c>
      <c r="AB581" t="s">
        <v>3032</v>
      </c>
      <c r="AC581" t="s">
        <v>3033</v>
      </c>
      <c r="AD581" t="s">
        <v>599</v>
      </c>
      <c r="AE581" t="s">
        <v>3034</v>
      </c>
      <c r="AF581" t="s">
        <v>1190</v>
      </c>
    </row>
    <row r="582" spans="1:32" ht="60" x14ac:dyDescent="0.25">
      <c r="A582" s="10">
        <v>381202</v>
      </c>
      <c r="B582" s="10">
        <v>2</v>
      </c>
      <c r="C582" s="9">
        <v>76</v>
      </c>
      <c r="D582" s="56" t="s">
        <v>3614</v>
      </c>
      <c r="E582" s="12" t="s">
        <v>451</v>
      </c>
      <c r="F582" s="45"/>
      <c r="G582" s="45"/>
      <c r="H582" s="45"/>
      <c r="I582">
        <v>381202</v>
      </c>
      <c r="J582" t="s">
        <v>450</v>
      </c>
      <c r="K582" t="s">
        <v>3027</v>
      </c>
      <c r="L582" t="s">
        <v>1178</v>
      </c>
      <c r="M582" t="s">
        <v>1209</v>
      </c>
      <c r="N582" t="s">
        <v>1192</v>
      </c>
      <c r="O582" t="s">
        <v>3028</v>
      </c>
      <c r="P582" t="s">
        <v>599</v>
      </c>
      <c r="Q582" t="s">
        <v>599</v>
      </c>
      <c r="R582" t="s">
        <v>1182</v>
      </c>
      <c r="S582" t="s">
        <v>3029</v>
      </c>
      <c r="T582">
        <v>1639</v>
      </c>
      <c r="U582">
        <v>1639</v>
      </c>
      <c r="V582" t="s">
        <v>3030</v>
      </c>
      <c r="W582" t="s">
        <v>1185</v>
      </c>
      <c r="X582" t="s">
        <v>599</v>
      </c>
      <c r="Y582" t="s">
        <v>599</v>
      </c>
      <c r="Z582" t="s">
        <v>3031</v>
      </c>
      <c r="AA582" t="s">
        <v>599</v>
      </c>
      <c r="AB582" t="s">
        <v>3032</v>
      </c>
      <c r="AC582" t="s">
        <v>3033</v>
      </c>
      <c r="AD582" t="s">
        <v>599</v>
      </c>
      <c r="AE582" t="s">
        <v>3034</v>
      </c>
      <c r="AF582" t="s">
        <v>1190</v>
      </c>
    </row>
    <row r="583" spans="1:32" ht="60" x14ac:dyDescent="0.25">
      <c r="A583" s="10">
        <v>381202</v>
      </c>
      <c r="B583" s="10">
        <v>2</v>
      </c>
      <c r="C583" s="9">
        <v>114</v>
      </c>
      <c r="D583" s="56" t="s">
        <v>3615</v>
      </c>
      <c r="E583" s="12" t="s">
        <v>451</v>
      </c>
      <c r="F583" s="45"/>
      <c r="G583" s="45"/>
      <c r="H583" s="45"/>
      <c r="I583">
        <v>381202</v>
      </c>
      <c r="J583" t="s">
        <v>450</v>
      </c>
      <c r="K583" t="s">
        <v>3027</v>
      </c>
      <c r="L583" t="s">
        <v>1178</v>
      </c>
      <c r="M583" t="s">
        <v>1209</v>
      </c>
      <c r="N583" t="s">
        <v>1192</v>
      </c>
      <c r="O583" t="s">
        <v>3028</v>
      </c>
      <c r="P583" t="s">
        <v>599</v>
      </c>
      <c r="Q583" t="s">
        <v>599</v>
      </c>
      <c r="R583" t="s">
        <v>1182</v>
      </c>
      <c r="S583" t="s">
        <v>3029</v>
      </c>
      <c r="T583">
        <v>1639</v>
      </c>
      <c r="U583">
        <v>1639</v>
      </c>
      <c r="V583" t="s">
        <v>3030</v>
      </c>
      <c r="W583" t="s">
        <v>1185</v>
      </c>
      <c r="X583" t="s">
        <v>599</v>
      </c>
      <c r="Y583" t="s">
        <v>599</v>
      </c>
      <c r="Z583" t="s">
        <v>3031</v>
      </c>
      <c r="AA583" t="s">
        <v>599</v>
      </c>
      <c r="AB583" t="s">
        <v>3032</v>
      </c>
      <c r="AC583" t="s">
        <v>3033</v>
      </c>
      <c r="AD583" t="s">
        <v>599</v>
      </c>
      <c r="AE583" t="s">
        <v>3034</v>
      </c>
      <c r="AF583" t="s">
        <v>1190</v>
      </c>
    </row>
    <row r="584" spans="1:32" ht="60" x14ac:dyDescent="0.25">
      <c r="A584" s="10">
        <v>381202</v>
      </c>
      <c r="B584" s="10">
        <v>2</v>
      </c>
      <c r="C584" s="9">
        <v>194</v>
      </c>
      <c r="D584" s="56" t="s">
        <v>3616</v>
      </c>
      <c r="E584" s="12" t="s">
        <v>451</v>
      </c>
      <c r="F584" s="45"/>
      <c r="G584" s="45"/>
      <c r="H584" s="45"/>
      <c r="I584">
        <v>381202</v>
      </c>
      <c r="J584" t="s">
        <v>450</v>
      </c>
      <c r="K584" t="s">
        <v>3027</v>
      </c>
      <c r="L584" t="s">
        <v>1178</v>
      </c>
      <c r="M584" t="s">
        <v>1209</v>
      </c>
      <c r="N584" t="s">
        <v>1192</v>
      </c>
      <c r="O584" t="s">
        <v>3028</v>
      </c>
      <c r="P584" t="s">
        <v>599</v>
      </c>
      <c r="Q584" t="s">
        <v>599</v>
      </c>
      <c r="R584" t="s">
        <v>1182</v>
      </c>
      <c r="S584" t="s">
        <v>3029</v>
      </c>
      <c r="T584">
        <v>1639</v>
      </c>
      <c r="U584">
        <v>1639</v>
      </c>
      <c r="V584" t="s">
        <v>3030</v>
      </c>
      <c r="W584" t="s">
        <v>1185</v>
      </c>
      <c r="X584" t="s">
        <v>599</v>
      </c>
      <c r="Y584" t="s">
        <v>599</v>
      </c>
      <c r="Z584" t="s">
        <v>3031</v>
      </c>
      <c r="AA584" t="s">
        <v>599</v>
      </c>
      <c r="AB584" t="s">
        <v>3032</v>
      </c>
      <c r="AC584" t="s">
        <v>3033</v>
      </c>
      <c r="AD584" t="s">
        <v>599</v>
      </c>
      <c r="AE584" t="s">
        <v>3034</v>
      </c>
      <c r="AF584" t="s">
        <v>1190</v>
      </c>
    </row>
    <row r="585" spans="1:32" ht="60" x14ac:dyDescent="0.25">
      <c r="A585" s="10">
        <v>381202</v>
      </c>
      <c r="B585" s="10">
        <v>2</v>
      </c>
      <c r="C585" s="9">
        <v>274</v>
      </c>
      <c r="D585" s="56" t="s">
        <v>3617</v>
      </c>
      <c r="E585" s="12" t="s">
        <v>451</v>
      </c>
      <c r="F585" s="45"/>
      <c r="G585" s="45"/>
      <c r="H585" s="45"/>
      <c r="I585">
        <v>381202</v>
      </c>
      <c r="J585" t="s">
        <v>450</v>
      </c>
      <c r="K585" t="s">
        <v>3027</v>
      </c>
      <c r="L585" t="s">
        <v>1178</v>
      </c>
      <c r="M585" t="s">
        <v>1209</v>
      </c>
      <c r="N585" t="s">
        <v>1192</v>
      </c>
      <c r="O585" t="s">
        <v>3028</v>
      </c>
      <c r="P585" t="s">
        <v>599</v>
      </c>
      <c r="Q585" t="s">
        <v>599</v>
      </c>
      <c r="R585" t="s">
        <v>1182</v>
      </c>
      <c r="S585" t="s">
        <v>3029</v>
      </c>
      <c r="T585">
        <v>1639</v>
      </c>
      <c r="U585">
        <v>1639</v>
      </c>
      <c r="V585" t="s">
        <v>3030</v>
      </c>
      <c r="W585" t="s">
        <v>1185</v>
      </c>
      <c r="X585" t="s">
        <v>599</v>
      </c>
      <c r="Y585" t="s">
        <v>599</v>
      </c>
      <c r="Z585" t="s">
        <v>3031</v>
      </c>
      <c r="AA585" t="s">
        <v>599</v>
      </c>
      <c r="AB585" t="s">
        <v>3032</v>
      </c>
      <c r="AC585" t="s">
        <v>3033</v>
      </c>
      <c r="AD585" t="s">
        <v>599</v>
      </c>
      <c r="AE585" t="s">
        <v>3034</v>
      </c>
      <c r="AF585" t="s">
        <v>1190</v>
      </c>
    </row>
    <row r="586" spans="1:32" ht="60" x14ac:dyDescent="0.25">
      <c r="A586" s="10">
        <v>381202</v>
      </c>
      <c r="B586" s="10">
        <v>2</v>
      </c>
      <c r="C586" s="9">
        <v>418</v>
      </c>
      <c r="D586" s="56" t="s">
        <v>3618</v>
      </c>
      <c r="E586" s="12" t="s">
        <v>451</v>
      </c>
      <c r="F586" s="45"/>
      <c r="G586" s="45"/>
      <c r="H586" s="45"/>
      <c r="I586">
        <v>381202</v>
      </c>
      <c r="J586" t="s">
        <v>450</v>
      </c>
      <c r="K586" t="s">
        <v>3027</v>
      </c>
      <c r="L586" t="s">
        <v>1178</v>
      </c>
      <c r="M586" t="s">
        <v>1209</v>
      </c>
      <c r="N586" t="s">
        <v>1192</v>
      </c>
      <c r="O586" t="s">
        <v>3028</v>
      </c>
      <c r="P586" t="s">
        <v>599</v>
      </c>
      <c r="Q586" t="s">
        <v>599</v>
      </c>
      <c r="R586" t="s">
        <v>1182</v>
      </c>
      <c r="S586" t="s">
        <v>3029</v>
      </c>
      <c r="T586">
        <v>1639</v>
      </c>
      <c r="U586">
        <v>1639</v>
      </c>
      <c r="V586" t="s">
        <v>3030</v>
      </c>
      <c r="W586" t="s">
        <v>1185</v>
      </c>
      <c r="X586" t="s">
        <v>599</v>
      </c>
      <c r="Y586" t="s">
        <v>599</v>
      </c>
      <c r="Z586" t="s">
        <v>3031</v>
      </c>
      <c r="AA586" t="s">
        <v>599</v>
      </c>
      <c r="AB586" t="s">
        <v>3032</v>
      </c>
      <c r="AC586" t="s">
        <v>3033</v>
      </c>
      <c r="AD586" t="s">
        <v>599</v>
      </c>
      <c r="AE586" t="s">
        <v>3034</v>
      </c>
      <c r="AF586" t="s">
        <v>1190</v>
      </c>
    </row>
    <row r="587" spans="1:32" ht="60" x14ac:dyDescent="0.25">
      <c r="A587" s="10">
        <v>381202</v>
      </c>
      <c r="B587" s="10">
        <v>2</v>
      </c>
      <c r="C587" s="9">
        <v>454</v>
      </c>
      <c r="D587" s="56" t="s">
        <v>3619</v>
      </c>
      <c r="E587" s="12" t="s">
        <v>451</v>
      </c>
      <c r="F587" s="45"/>
      <c r="G587" s="45"/>
      <c r="H587" s="45"/>
      <c r="I587">
        <v>381202</v>
      </c>
      <c r="J587" t="s">
        <v>450</v>
      </c>
      <c r="K587" t="s">
        <v>3027</v>
      </c>
      <c r="L587" t="s">
        <v>1178</v>
      </c>
      <c r="M587" t="s">
        <v>1209</v>
      </c>
      <c r="N587" t="s">
        <v>1192</v>
      </c>
      <c r="O587" t="s">
        <v>3028</v>
      </c>
      <c r="P587" t="s">
        <v>599</v>
      </c>
      <c r="Q587" t="s">
        <v>599</v>
      </c>
      <c r="R587" t="s">
        <v>1182</v>
      </c>
      <c r="S587" t="s">
        <v>3029</v>
      </c>
      <c r="T587">
        <v>1639</v>
      </c>
      <c r="U587">
        <v>1639</v>
      </c>
      <c r="V587" t="s">
        <v>3030</v>
      </c>
      <c r="W587" t="s">
        <v>1185</v>
      </c>
      <c r="X587" t="s">
        <v>599</v>
      </c>
      <c r="Y587" t="s">
        <v>599</v>
      </c>
      <c r="Z587" t="s">
        <v>3031</v>
      </c>
      <c r="AA587" t="s">
        <v>599</v>
      </c>
      <c r="AB587" t="s">
        <v>3032</v>
      </c>
      <c r="AC587" t="s">
        <v>3033</v>
      </c>
      <c r="AD587" t="s">
        <v>599</v>
      </c>
      <c r="AE587" t="s">
        <v>3034</v>
      </c>
      <c r="AF587" t="s">
        <v>1190</v>
      </c>
    </row>
    <row r="588" spans="1:32" ht="60" x14ac:dyDescent="0.25">
      <c r="A588" s="10">
        <v>381202</v>
      </c>
      <c r="B588" s="10">
        <v>2</v>
      </c>
      <c r="C588" s="9">
        <v>463</v>
      </c>
      <c r="D588" s="56" t="s">
        <v>3620</v>
      </c>
      <c r="E588" s="12" t="s">
        <v>451</v>
      </c>
      <c r="F588" s="45"/>
      <c r="G588" s="45"/>
      <c r="H588" s="45"/>
      <c r="I588">
        <v>381202</v>
      </c>
      <c r="J588" t="s">
        <v>450</v>
      </c>
      <c r="K588" t="s">
        <v>3027</v>
      </c>
      <c r="L588" t="s">
        <v>1178</v>
      </c>
      <c r="M588" t="s">
        <v>1209</v>
      </c>
      <c r="N588" t="s">
        <v>1192</v>
      </c>
      <c r="O588" t="s">
        <v>3028</v>
      </c>
      <c r="P588" t="s">
        <v>599</v>
      </c>
      <c r="Q588" t="s">
        <v>599</v>
      </c>
      <c r="R588" t="s">
        <v>1182</v>
      </c>
      <c r="S588" t="s">
        <v>3029</v>
      </c>
      <c r="T588">
        <v>1639</v>
      </c>
      <c r="U588">
        <v>1639</v>
      </c>
      <c r="V588" t="s">
        <v>3030</v>
      </c>
      <c r="W588" t="s">
        <v>1185</v>
      </c>
      <c r="X588" t="s">
        <v>599</v>
      </c>
      <c r="Y588" t="s">
        <v>599</v>
      </c>
      <c r="Z588" t="s">
        <v>3031</v>
      </c>
      <c r="AA588" t="s">
        <v>599</v>
      </c>
      <c r="AB588" t="s">
        <v>3032</v>
      </c>
      <c r="AC588" t="s">
        <v>3033</v>
      </c>
      <c r="AD588" t="s">
        <v>599</v>
      </c>
      <c r="AE588" t="s">
        <v>3034</v>
      </c>
      <c r="AF588" t="s">
        <v>1190</v>
      </c>
    </row>
    <row r="589" spans="1:32" ht="60" x14ac:dyDescent="0.25">
      <c r="A589" s="10">
        <v>381202</v>
      </c>
      <c r="B589" s="10">
        <v>2</v>
      </c>
      <c r="C589" s="9">
        <v>465</v>
      </c>
      <c r="D589" s="56" t="s">
        <v>3621</v>
      </c>
      <c r="E589" s="12" t="s">
        <v>451</v>
      </c>
      <c r="F589" s="45"/>
      <c r="G589" s="45"/>
      <c r="H589" s="45"/>
      <c r="I589">
        <v>381202</v>
      </c>
      <c r="J589" t="s">
        <v>450</v>
      </c>
      <c r="K589" t="s">
        <v>3027</v>
      </c>
      <c r="L589" t="s">
        <v>1178</v>
      </c>
      <c r="M589" t="s">
        <v>1209</v>
      </c>
      <c r="N589" t="s">
        <v>1192</v>
      </c>
      <c r="O589" t="s">
        <v>3028</v>
      </c>
      <c r="P589" t="s">
        <v>599</v>
      </c>
      <c r="Q589" t="s">
        <v>599</v>
      </c>
      <c r="R589" t="s">
        <v>1182</v>
      </c>
      <c r="S589" t="s">
        <v>3029</v>
      </c>
      <c r="T589">
        <v>1639</v>
      </c>
      <c r="U589">
        <v>1639</v>
      </c>
      <c r="V589" t="s">
        <v>3030</v>
      </c>
      <c r="W589" t="s">
        <v>1185</v>
      </c>
      <c r="X589" t="s">
        <v>599</v>
      </c>
      <c r="Y589" t="s">
        <v>599</v>
      </c>
      <c r="Z589" t="s">
        <v>3031</v>
      </c>
      <c r="AA589" t="s">
        <v>599</v>
      </c>
      <c r="AB589" t="s">
        <v>3032</v>
      </c>
      <c r="AC589" t="s">
        <v>3033</v>
      </c>
      <c r="AD589" t="s">
        <v>599</v>
      </c>
      <c r="AE589" t="s">
        <v>3034</v>
      </c>
      <c r="AF589" t="s">
        <v>1190</v>
      </c>
    </row>
    <row r="590" spans="1:32" ht="60" x14ac:dyDescent="0.25">
      <c r="A590" s="10">
        <v>381202</v>
      </c>
      <c r="B590" s="10">
        <v>2</v>
      </c>
      <c r="C590" s="9">
        <v>466</v>
      </c>
      <c r="D590" s="56" t="s">
        <v>3622</v>
      </c>
      <c r="E590" s="12" t="s">
        <v>451</v>
      </c>
      <c r="F590" s="45"/>
      <c r="G590" s="45"/>
      <c r="H590" s="45"/>
      <c r="I590">
        <v>381202</v>
      </c>
      <c r="J590" t="s">
        <v>450</v>
      </c>
      <c r="K590" t="s">
        <v>3027</v>
      </c>
      <c r="L590" t="s">
        <v>1178</v>
      </c>
      <c r="M590" t="s">
        <v>1209</v>
      </c>
      <c r="N590" t="s">
        <v>1192</v>
      </c>
      <c r="O590" t="s">
        <v>3028</v>
      </c>
      <c r="P590" t="s">
        <v>599</v>
      </c>
      <c r="Q590" t="s">
        <v>599</v>
      </c>
      <c r="R590" t="s">
        <v>1182</v>
      </c>
      <c r="S590" t="s">
        <v>3029</v>
      </c>
      <c r="T590">
        <v>1639</v>
      </c>
      <c r="U590">
        <v>1639</v>
      </c>
      <c r="V590" t="s">
        <v>3030</v>
      </c>
      <c r="W590" t="s">
        <v>1185</v>
      </c>
      <c r="X590" t="s">
        <v>599</v>
      </c>
      <c r="Y590" t="s">
        <v>599</v>
      </c>
      <c r="Z590" t="s">
        <v>3031</v>
      </c>
      <c r="AA590" t="s">
        <v>599</v>
      </c>
      <c r="AB590" t="s">
        <v>3032</v>
      </c>
      <c r="AC590" t="s">
        <v>3033</v>
      </c>
      <c r="AD590" t="s">
        <v>599</v>
      </c>
      <c r="AE590" t="s">
        <v>3034</v>
      </c>
      <c r="AF590" t="s">
        <v>1190</v>
      </c>
    </row>
    <row r="591" spans="1:32" ht="60" x14ac:dyDescent="0.25">
      <c r="A591" s="10">
        <v>381202</v>
      </c>
      <c r="B591" s="10">
        <v>2</v>
      </c>
      <c r="C591" s="9">
        <v>468</v>
      </c>
      <c r="D591" s="56" t="s">
        <v>3623</v>
      </c>
      <c r="E591" s="12" t="s">
        <v>451</v>
      </c>
      <c r="F591" s="45"/>
      <c r="G591" s="45"/>
      <c r="H591" s="45"/>
      <c r="I591">
        <v>381202</v>
      </c>
      <c r="J591" t="s">
        <v>450</v>
      </c>
      <c r="K591" t="s">
        <v>3027</v>
      </c>
      <c r="L591" t="s">
        <v>1178</v>
      </c>
      <c r="M591" t="s">
        <v>1209</v>
      </c>
      <c r="N591" t="s">
        <v>1192</v>
      </c>
      <c r="O591" t="s">
        <v>3028</v>
      </c>
      <c r="P591" t="s">
        <v>599</v>
      </c>
      <c r="Q591" t="s">
        <v>599</v>
      </c>
      <c r="R591" t="s">
        <v>1182</v>
      </c>
      <c r="S591" t="s">
        <v>3029</v>
      </c>
      <c r="T591">
        <v>1639</v>
      </c>
      <c r="U591">
        <v>1639</v>
      </c>
      <c r="V591" t="s">
        <v>3030</v>
      </c>
      <c r="W591" t="s">
        <v>1185</v>
      </c>
      <c r="X591" t="s">
        <v>599</v>
      </c>
      <c r="Y591" t="s">
        <v>599</v>
      </c>
      <c r="Z591" t="s">
        <v>3031</v>
      </c>
      <c r="AA591" t="s">
        <v>599</v>
      </c>
      <c r="AB591" t="s">
        <v>3032</v>
      </c>
      <c r="AC591" t="s">
        <v>3033</v>
      </c>
      <c r="AD591" t="s">
        <v>599</v>
      </c>
      <c r="AE591" t="s">
        <v>3034</v>
      </c>
      <c r="AF591" t="s">
        <v>1190</v>
      </c>
    </row>
    <row r="592" spans="1:32" ht="60" x14ac:dyDescent="0.25">
      <c r="A592" s="10">
        <v>381202</v>
      </c>
      <c r="B592" s="10">
        <v>2</v>
      </c>
      <c r="C592" s="9">
        <v>472</v>
      </c>
      <c r="D592" s="56" t="s">
        <v>3624</v>
      </c>
      <c r="E592" s="12" t="s">
        <v>451</v>
      </c>
      <c r="F592" s="45"/>
      <c r="G592" s="45"/>
      <c r="H592" s="45"/>
      <c r="I592">
        <v>381202</v>
      </c>
      <c r="J592" t="s">
        <v>450</v>
      </c>
      <c r="K592" t="s">
        <v>3027</v>
      </c>
      <c r="L592" t="s">
        <v>1178</v>
      </c>
      <c r="M592" t="s">
        <v>1209</v>
      </c>
      <c r="N592" t="s">
        <v>1192</v>
      </c>
      <c r="O592" t="s">
        <v>3028</v>
      </c>
      <c r="P592" t="s">
        <v>599</v>
      </c>
      <c r="Q592" t="s">
        <v>599</v>
      </c>
      <c r="R592" t="s">
        <v>1182</v>
      </c>
      <c r="S592" t="s">
        <v>3029</v>
      </c>
      <c r="T592">
        <v>1639</v>
      </c>
      <c r="U592">
        <v>1639</v>
      </c>
      <c r="V592" t="s">
        <v>3030</v>
      </c>
      <c r="W592" t="s">
        <v>1185</v>
      </c>
      <c r="X592" t="s">
        <v>599</v>
      </c>
      <c r="Y592" t="s">
        <v>599</v>
      </c>
      <c r="Z592" t="s">
        <v>3031</v>
      </c>
      <c r="AA592" t="s">
        <v>599</v>
      </c>
      <c r="AB592" t="s">
        <v>3032</v>
      </c>
      <c r="AC592" t="s">
        <v>3033</v>
      </c>
      <c r="AD592" t="s">
        <v>599</v>
      </c>
      <c r="AE592" t="s">
        <v>3034</v>
      </c>
      <c r="AF592" t="s">
        <v>1190</v>
      </c>
    </row>
    <row r="593" spans="1:32" ht="60" x14ac:dyDescent="0.25">
      <c r="A593" s="10">
        <v>381202</v>
      </c>
      <c r="B593" s="10">
        <v>2</v>
      </c>
      <c r="C593" s="9">
        <v>473</v>
      </c>
      <c r="D593" s="56" t="s">
        <v>3625</v>
      </c>
      <c r="E593" s="12" t="s">
        <v>451</v>
      </c>
      <c r="F593" s="45"/>
      <c r="G593" s="45"/>
      <c r="H593" s="45"/>
      <c r="I593">
        <v>381202</v>
      </c>
      <c r="J593" t="s">
        <v>450</v>
      </c>
      <c r="K593" t="s">
        <v>3027</v>
      </c>
      <c r="L593" t="s">
        <v>1178</v>
      </c>
      <c r="M593" t="s">
        <v>1209</v>
      </c>
      <c r="N593" t="s">
        <v>1192</v>
      </c>
      <c r="O593" t="s">
        <v>3028</v>
      </c>
      <c r="P593" t="s">
        <v>599</v>
      </c>
      <c r="Q593" t="s">
        <v>599</v>
      </c>
      <c r="R593" t="s">
        <v>1182</v>
      </c>
      <c r="S593" t="s">
        <v>3029</v>
      </c>
      <c r="T593">
        <v>1639</v>
      </c>
      <c r="U593">
        <v>1639</v>
      </c>
      <c r="V593" t="s">
        <v>3030</v>
      </c>
      <c r="W593" t="s">
        <v>1185</v>
      </c>
      <c r="X593" t="s">
        <v>599</v>
      </c>
      <c r="Y593" t="s">
        <v>599</v>
      </c>
      <c r="Z593" t="s">
        <v>3031</v>
      </c>
      <c r="AA593" t="s">
        <v>599</v>
      </c>
      <c r="AB593" t="s">
        <v>3032</v>
      </c>
      <c r="AC593" t="s">
        <v>3033</v>
      </c>
      <c r="AD593" t="s">
        <v>599</v>
      </c>
      <c r="AE593" t="s">
        <v>3034</v>
      </c>
      <c r="AF593" t="s">
        <v>1190</v>
      </c>
    </row>
    <row r="594" spans="1:32" ht="60" x14ac:dyDescent="0.25">
      <c r="A594" s="10">
        <v>381202</v>
      </c>
      <c r="B594" s="10">
        <v>2</v>
      </c>
      <c r="C594" s="9">
        <v>474</v>
      </c>
      <c r="D594" s="56" t="s">
        <v>3626</v>
      </c>
      <c r="E594" s="12" t="s">
        <v>451</v>
      </c>
      <c r="F594" s="45"/>
      <c r="G594" s="45"/>
      <c r="H594" s="45"/>
      <c r="I594">
        <v>381202</v>
      </c>
      <c r="J594" t="s">
        <v>450</v>
      </c>
      <c r="K594" t="s">
        <v>3027</v>
      </c>
      <c r="L594" t="s">
        <v>1178</v>
      </c>
      <c r="M594" t="s">
        <v>1209</v>
      </c>
      <c r="N594" t="s">
        <v>1192</v>
      </c>
      <c r="O594" t="s">
        <v>3028</v>
      </c>
      <c r="P594" t="s">
        <v>599</v>
      </c>
      <c r="Q594" t="s">
        <v>599</v>
      </c>
      <c r="R594" t="s">
        <v>1182</v>
      </c>
      <c r="S594" t="s">
        <v>3029</v>
      </c>
      <c r="T594">
        <v>1639</v>
      </c>
      <c r="U594">
        <v>1639</v>
      </c>
      <c r="V594" t="s">
        <v>3030</v>
      </c>
      <c r="W594" t="s">
        <v>1185</v>
      </c>
      <c r="X594" t="s">
        <v>599</v>
      </c>
      <c r="Y594" t="s">
        <v>599</v>
      </c>
      <c r="Z594" t="s">
        <v>3031</v>
      </c>
      <c r="AA594" t="s">
        <v>599</v>
      </c>
      <c r="AB594" t="s">
        <v>3032</v>
      </c>
      <c r="AC594" t="s">
        <v>3033</v>
      </c>
      <c r="AD594" t="s">
        <v>599</v>
      </c>
      <c r="AE594" t="s">
        <v>3034</v>
      </c>
      <c r="AF594" t="s">
        <v>1190</v>
      </c>
    </row>
    <row r="595" spans="1:32" ht="60" x14ac:dyDescent="0.25">
      <c r="A595" s="10">
        <v>381202</v>
      </c>
      <c r="B595" s="10">
        <v>2</v>
      </c>
      <c r="C595" s="9">
        <v>476</v>
      </c>
      <c r="D595" s="56" t="s">
        <v>3627</v>
      </c>
      <c r="E595" s="12" t="s">
        <v>451</v>
      </c>
      <c r="F595" s="45"/>
      <c r="G595" s="45"/>
      <c r="H595" s="45"/>
      <c r="I595">
        <v>381202</v>
      </c>
      <c r="J595" t="s">
        <v>450</v>
      </c>
      <c r="K595" t="s">
        <v>3027</v>
      </c>
      <c r="L595" t="s">
        <v>1178</v>
      </c>
      <c r="M595" t="s">
        <v>1209</v>
      </c>
      <c r="N595" t="s">
        <v>1192</v>
      </c>
      <c r="O595" t="s">
        <v>3028</v>
      </c>
      <c r="P595" t="s">
        <v>599</v>
      </c>
      <c r="Q595" t="s">
        <v>599</v>
      </c>
      <c r="R595" t="s">
        <v>1182</v>
      </c>
      <c r="S595" t="s">
        <v>3029</v>
      </c>
      <c r="T595">
        <v>1639</v>
      </c>
      <c r="U595">
        <v>1639</v>
      </c>
      <c r="V595" t="s">
        <v>3030</v>
      </c>
      <c r="W595" t="s">
        <v>1185</v>
      </c>
      <c r="X595" t="s">
        <v>599</v>
      </c>
      <c r="Y595" t="s">
        <v>599</v>
      </c>
      <c r="Z595" t="s">
        <v>3031</v>
      </c>
      <c r="AA595" t="s">
        <v>599</v>
      </c>
      <c r="AB595" t="s">
        <v>3032</v>
      </c>
      <c r="AC595" t="s">
        <v>3033</v>
      </c>
      <c r="AD595" t="s">
        <v>599</v>
      </c>
      <c r="AE595" t="s">
        <v>3034</v>
      </c>
      <c r="AF595" t="s">
        <v>1190</v>
      </c>
    </row>
    <row r="596" spans="1:32" ht="60" x14ac:dyDescent="0.25">
      <c r="A596" s="10">
        <v>381202</v>
      </c>
      <c r="B596" s="10">
        <v>2</v>
      </c>
      <c r="C596" s="9">
        <v>480</v>
      </c>
      <c r="D596" s="56" t="s">
        <v>3628</v>
      </c>
      <c r="E596" s="12" t="s">
        <v>451</v>
      </c>
      <c r="F596" s="45"/>
      <c r="G596" s="45"/>
      <c r="H596" s="45"/>
      <c r="I596">
        <v>381202</v>
      </c>
      <c r="J596" t="s">
        <v>450</v>
      </c>
      <c r="K596" t="s">
        <v>3027</v>
      </c>
      <c r="L596" t="s">
        <v>1178</v>
      </c>
      <c r="M596" t="s">
        <v>1209</v>
      </c>
      <c r="N596" t="s">
        <v>1192</v>
      </c>
      <c r="O596" t="s">
        <v>3028</v>
      </c>
      <c r="P596" t="s">
        <v>599</v>
      </c>
      <c r="Q596" t="s">
        <v>599</v>
      </c>
      <c r="R596" t="s">
        <v>1182</v>
      </c>
      <c r="S596" t="s">
        <v>3029</v>
      </c>
      <c r="T596">
        <v>1639</v>
      </c>
      <c r="U596">
        <v>1639</v>
      </c>
      <c r="V596" t="s">
        <v>3030</v>
      </c>
      <c r="W596" t="s">
        <v>1185</v>
      </c>
      <c r="X596" t="s">
        <v>599</v>
      </c>
      <c r="Y596" t="s">
        <v>599</v>
      </c>
      <c r="Z596" t="s">
        <v>3031</v>
      </c>
      <c r="AA596" t="s">
        <v>599</v>
      </c>
      <c r="AB596" t="s">
        <v>3032</v>
      </c>
      <c r="AC596" t="s">
        <v>3033</v>
      </c>
      <c r="AD596" t="s">
        <v>599</v>
      </c>
      <c r="AE596" t="s">
        <v>3034</v>
      </c>
      <c r="AF596" t="s">
        <v>1190</v>
      </c>
    </row>
    <row r="597" spans="1:32" ht="60" x14ac:dyDescent="0.25">
      <c r="A597" s="10">
        <v>381202</v>
      </c>
      <c r="B597" s="10">
        <v>2</v>
      </c>
      <c r="C597" s="9">
        <v>514</v>
      </c>
      <c r="D597" s="56" t="s">
        <v>3629</v>
      </c>
      <c r="E597" s="12" t="s">
        <v>451</v>
      </c>
      <c r="F597" s="45"/>
      <c r="G597" s="45"/>
      <c r="H597" s="45"/>
      <c r="I597">
        <v>381202</v>
      </c>
      <c r="J597" t="s">
        <v>450</v>
      </c>
      <c r="K597" t="s">
        <v>3027</v>
      </c>
      <c r="L597" t="s">
        <v>1178</v>
      </c>
      <c r="M597" t="s">
        <v>1209</v>
      </c>
      <c r="N597" t="s">
        <v>1192</v>
      </c>
      <c r="O597" t="s">
        <v>3028</v>
      </c>
      <c r="P597" t="s">
        <v>599</v>
      </c>
      <c r="Q597" t="s">
        <v>599</v>
      </c>
      <c r="R597" t="s">
        <v>1182</v>
      </c>
      <c r="S597" t="s">
        <v>3029</v>
      </c>
      <c r="T597">
        <v>1639</v>
      </c>
      <c r="U597">
        <v>1639</v>
      </c>
      <c r="V597" t="s">
        <v>3030</v>
      </c>
      <c r="W597" t="s">
        <v>1185</v>
      </c>
      <c r="X597" t="s">
        <v>599</v>
      </c>
      <c r="Y597" t="s">
        <v>599</v>
      </c>
      <c r="Z597" t="s">
        <v>3031</v>
      </c>
      <c r="AA597" t="s">
        <v>599</v>
      </c>
      <c r="AB597" t="s">
        <v>3032</v>
      </c>
      <c r="AC597" t="s">
        <v>3033</v>
      </c>
      <c r="AD597" t="s">
        <v>599</v>
      </c>
      <c r="AE597" t="s">
        <v>3034</v>
      </c>
      <c r="AF597" t="s">
        <v>1190</v>
      </c>
    </row>
    <row r="598" spans="1:32" ht="60" x14ac:dyDescent="0.25">
      <c r="A598" s="10">
        <v>381202</v>
      </c>
      <c r="B598" s="10">
        <v>2</v>
      </c>
      <c r="C598" s="9">
        <v>520</v>
      </c>
      <c r="D598" s="56" t="s">
        <v>3630</v>
      </c>
      <c r="E598" s="12" t="s">
        <v>451</v>
      </c>
      <c r="F598" s="45"/>
      <c r="G598" s="45"/>
      <c r="H598" s="45"/>
      <c r="I598">
        <v>381202</v>
      </c>
      <c r="J598" t="s">
        <v>450</v>
      </c>
      <c r="K598" t="s">
        <v>3027</v>
      </c>
      <c r="L598" t="s">
        <v>1178</v>
      </c>
      <c r="M598" t="s">
        <v>1209</v>
      </c>
      <c r="N598" t="s">
        <v>1192</v>
      </c>
      <c r="O598" t="s">
        <v>3028</v>
      </c>
      <c r="P598" t="s">
        <v>599</v>
      </c>
      <c r="Q598" t="s">
        <v>599</v>
      </c>
      <c r="R598" t="s">
        <v>1182</v>
      </c>
      <c r="S598" t="s">
        <v>3029</v>
      </c>
      <c r="T598">
        <v>1639</v>
      </c>
      <c r="U598">
        <v>1639</v>
      </c>
      <c r="V598" t="s">
        <v>3030</v>
      </c>
      <c r="W598" t="s">
        <v>1185</v>
      </c>
      <c r="X598" t="s">
        <v>599</v>
      </c>
      <c r="Y598" t="s">
        <v>599</v>
      </c>
      <c r="Z598" t="s">
        <v>3031</v>
      </c>
      <c r="AA598" t="s">
        <v>599</v>
      </c>
      <c r="AB598" t="s">
        <v>3032</v>
      </c>
      <c r="AC598" t="s">
        <v>3033</v>
      </c>
      <c r="AD598" t="s">
        <v>599</v>
      </c>
      <c r="AE598" t="s">
        <v>3034</v>
      </c>
      <c r="AF598" t="s">
        <v>1190</v>
      </c>
    </row>
    <row r="599" spans="1:32" ht="60" x14ac:dyDescent="0.25">
      <c r="A599" s="10">
        <v>381202</v>
      </c>
      <c r="B599" s="10">
        <v>2</v>
      </c>
      <c r="C599" s="9">
        <v>521</v>
      </c>
      <c r="D599" s="56" t="s">
        <v>3631</v>
      </c>
      <c r="E599" s="12" t="s">
        <v>451</v>
      </c>
      <c r="F599" s="45"/>
      <c r="G599" s="45"/>
      <c r="H599" s="45"/>
      <c r="I599">
        <v>381202</v>
      </c>
      <c r="J599" t="s">
        <v>450</v>
      </c>
      <c r="K599" t="s">
        <v>3027</v>
      </c>
      <c r="L599" t="s">
        <v>1178</v>
      </c>
      <c r="M599" t="s">
        <v>1209</v>
      </c>
      <c r="N599" t="s">
        <v>1192</v>
      </c>
      <c r="O599" t="s">
        <v>3028</v>
      </c>
      <c r="P599" t="s">
        <v>599</v>
      </c>
      <c r="Q599" t="s">
        <v>599</v>
      </c>
      <c r="R599" t="s">
        <v>1182</v>
      </c>
      <c r="S599" t="s">
        <v>3029</v>
      </c>
      <c r="T599">
        <v>1639</v>
      </c>
      <c r="U599">
        <v>1639</v>
      </c>
      <c r="V599" t="s">
        <v>3030</v>
      </c>
      <c r="W599" t="s">
        <v>1185</v>
      </c>
      <c r="X599" t="s">
        <v>599</v>
      </c>
      <c r="Y599" t="s">
        <v>599</v>
      </c>
      <c r="Z599" t="s">
        <v>3031</v>
      </c>
      <c r="AA599" t="s">
        <v>599</v>
      </c>
      <c r="AB599" t="s">
        <v>3032</v>
      </c>
      <c r="AC599" t="s">
        <v>3033</v>
      </c>
      <c r="AD599" t="s">
        <v>599</v>
      </c>
      <c r="AE599" t="s">
        <v>3034</v>
      </c>
      <c r="AF599" t="s">
        <v>1190</v>
      </c>
    </row>
    <row r="600" spans="1:32" ht="45" x14ac:dyDescent="0.25">
      <c r="A600" s="10">
        <v>381444</v>
      </c>
      <c r="B600" s="10">
        <v>1</v>
      </c>
      <c r="C600" s="9">
        <v>9</v>
      </c>
      <c r="D600" s="56" t="s">
        <v>3632</v>
      </c>
      <c r="E600" s="12" t="s">
        <v>454</v>
      </c>
      <c r="F600" s="45"/>
      <c r="G600" s="45"/>
      <c r="H600" s="45"/>
      <c r="I600">
        <v>381444</v>
      </c>
      <c r="J600" t="s">
        <v>453</v>
      </c>
      <c r="K600" t="s">
        <v>3036</v>
      </c>
      <c r="L600" t="s">
        <v>1178</v>
      </c>
      <c r="M600" t="s">
        <v>1192</v>
      </c>
      <c r="N600" t="s">
        <v>599</v>
      </c>
      <c r="O600" t="s">
        <v>1551</v>
      </c>
      <c r="P600" t="s">
        <v>599</v>
      </c>
      <c r="Q600" t="s">
        <v>599</v>
      </c>
      <c r="R600" t="s">
        <v>1182</v>
      </c>
      <c r="S600" t="s">
        <v>3037</v>
      </c>
      <c r="T600">
        <v>1890</v>
      </c>
      <c r="U600">
        <v>1890</v>
      </c>
      <c r="V600" t="s">
        <v>3038</v>
      </c>
      <c r="W600" t="s">
        <v>1185</v>
      </c>
      <c r="X600" t="s">
        <v>599</v>
      </c>
      <c r="Y600" t="s">
        <v>599</v>
      </c>
      <c r="Z600" t="s">
        <v>3039</v>
      </c>
      <c r="AA600" t="s">
        <v>599</v>
      </c>
      <c r="AB600" t="s">
        <v>599</v>
      </c>
      <c r="AC600" t="s">
        <v>3040</v>
      </c>
      <c r="AD600" t="s">
        <v>599</v>
      </c>
      <c r="AE600" t="s">
        <v>3041</v>
      </c>
      <c r="AF600" t="s">
        <v>1190</v>
      </c>
    </row>
    <row r="601" spans="1:32" ht="45" x14ac:dyDescent="0.25">
      <c r="A601" s="10">
        <v>381444</v>
      </c>
      <c r="B601" s="10">
        <v>1</v>
      </c>
      <c r="C601" s="9">
        <v>23</v>
      </c>
      <c r="D601" s="56" t="s">
        <v>3633</v>
      </c>
      <c r="E601" s="12" t="s">
        <v>454</v>
      </c>
      <c r="F601" s="45"/>
      <c r="G601" s="45"/>
      <c r="H601" s="45"/>
      <c r="I601">
        <v>381444</v>
      </c>
      <c r="J601" t="s">
        <v>453</v>
      </c>
      <c r="K601" t="s">
        <v>3036</v>
      </c>
      <c r="L601" t="s">
        <v>1178</v>
      </c>
      <c r="M601" t="s">
        <v>1192</v>
      </c>
      <c r="N601" t="s">
        <v>599</v>
      </c>
      <c r="O601" t="s">
        <v>1551</v>
      </c>
      <c r="P601" t="s">
        <v>599</v>
      </c>
      <c r="Q601" t="s">
        <v>599</v>
      </c>
      <c r="R601" t="s">
        <v>1182</v>
      </c>
      <c r="S601" t="s">
        <v>3037</v>
      </c>
      <c r="T601">
        <v>1890</v>
      </c>
      <c r="U601">
        <v>1890</v>
      </c>
      <c r="V601" t="s">
        <v>3038</v>
      </c>
      <c r="W601" t="s">
        <v>1185</v>
      </c>
      <c r="X601" t="s">
        <v>599</v>
      </c>
      <c r="Y601" t="s">
        <v>599</v>
      </c>
      <c r="Z601" t="s">
        <v>3039</v>
      </c>
      <c r="AA601" t="s">
        <v>599</v>
      </c>
      <c r="AB601" t="s">
        <v>599</v>
      </c>
      <c r="AC601" t="s">
        <v>3040</v>
      </c>
      <c r="AD601" t="s">
        <v>599</v>
      </c>
      <c r="AE601" t="s">
        <v>3041</v>
      </c>
      <c r="AF601" t="s">
        <v>1190</v>
      </c>
    </row>
    <row r="602" spans="1:32" ht="45" x14ac:dyDescent="0.25">
      <c r="A602" s="10">
        <v>381444</v>
      </c>
      <c r="B602" s="10">
        <v>1</v>
      </c>
      <c r="C602" s="9">
        <v>33</v>
      </c>
      <c r="D602" s="56" t="s">
        <v>3634</v>
      </c>
      <c r="E602" s="12" t="s">
        <v>454</v>
      </c>
      <c r="F602" s="45"/>
      <c r="G602" s="45"/>
      <c r="H602" s="45"/>
      <c r="I602">
        <v>381444</v>
      </c>
      <c r="J602" t="s">
        <v>453</v>
      </c>
      <c r="K602" t="s">
        <v>3036</v>
      </c>
      <c r="L602" t="s">
        <v>1178</v>
      </c>
      <c r="M602" t="s">
        <v>1192</v>
      </c>
      <c r="N602" t="s">
        <v>599</v>
      </c>
      <c r="O602" t="s">
        <v>1551</v>
      </c>
      <c r="P602" t="s">
        <v>599</v>
      </c>
      <c r="Q602" t="s">
        <v>599</v>
      </c>
      <c r="R602" t="s">
        <v>1182</v>
      </c>
      <c r="S602" t="s">
        <v>3037</v>
      </c>
      <c r="T602">
        <v>1890</v>
      </c>
      <c r="U602">
        <v>1890</v>
      </c>
      <c r="V602" t="s">
        <v>3038</v>
      </c>
      <c r="W602" t="s">
        <v>1185</v>
      </c>
      <c r="X602" t="s">
        <v>599</v>
      </c>
      <c r="Y602" t="s">
        <v>599</v>
      </c>
      <c r="Z602" t="s">
        <v>3039</v>
      </c>
      <c r="AA602" t="s">
        <v>599</v>
      </c>
      <c r="AB602" t="s">
        <v>599</v>
      </c>
      <c r="AC602" t="s">
        <v>3040</v>
      </c>
      <c r="AD602" t="s">
        <v>599</v>
      </c>
      <c r="AE602" t="s">
        <v>3041</v>
      </c>
      <c r="AF602" t="s">
        <v>1190</v>
      </c>
    </row>
    <row r="603" spans="1:32" ht="45" x14ac:dyDescent="0.25">
      <c r="A603" s="10">
        <v>381444</v>
      </c>
      <c r="B603" s="10">
        <v>1</v>
      </c>
      <c r="C603" s="9">
        <v>57</v>
      </c>
      <c r="D603" s="56" t="s">
        <v>3635</v>
      </c>
      <c r="E603" s="12" t="s">
        <v>454</v>
      </c>
      <c r="F603" s="45"/>
      <c r="G603" s="45"/>
      <c r="H603" s="45"/>
      <c r="I603">
        <v>381444</v>
      </c>
      <c r="J603" t="s">
        <v>453</v>
      </c>
      <c r="K603" t="s">
        <v>3036</v>
      </c>
      <c r="L603" t="s">
        <v>1178</v>
      </c>
      <c r="M603" t="s">
        <v>1192</v>
      </c>
      <c r="N603" t="s">
        <v>599</v>
      </c>
      <c r="O603" t="s">
        <v>1551</v>
      </c>
      <c r="P603" t="s">
        <v>599</v>
      </c>
      <c r="Q603" t="s">
        <v>599</v>
      </c>
      <c r="R603" t="s">
        <v>1182</v>
      </c>
      <c r="S603" t="s">
        <v>3037</v>
      </c>
      <c r="T603">
        <v>1890</v>
      </c>
      <c r="U603">
        <v>1890</v>
      </c>
      <c r="V603" t="s">
        <v>3038</v>
      </c>
      <c r="W603" t="s">
        <v>1185</v>
      </c>
      <c r="X603" t="s">
        <v>599</v>
      </c>
      <c r="Y603" t="s">
        <v>599</v>
      </c>
      <c r="Z603" t="s">
        <v>3039</v>
      </c>
      <c r="AA603" t="s">
        <v>599</v>
      </c>
      <c r="AB603" t="s">
        <v>599</v>
      </c>
      <c r="AC603" t="s">
        <v>3040</v>
      </c>
      <c r="AD603" t="s">
        <v>599</v>
      </c>
      <c r="AE603" t="s">
        <v>3041</v>
      </c>
      <c r="AF603" t="s">
        <v>1190</v>
      </c>
    </row>
    <row r="604" spans="1:32" ht="45" x14ac:dyDescent="0.25">
      <c r="A604" s="10">
        <v>381444</v>
      </c>
      <c r="B604" s="10">
        <v>1</v>
      </c>
      <c r="C604" s="9">
        <v>77</v>
      </c>
      <c r="D604" s="56" t="s">
        <v>3636</v>
      </c>
      <c r="E604" s="12" t="s">
        <v>454</v>
      </c>
      <c r="F604" s="45"/>
      <c r="G604" s="45"/>
      <c r="H604" s="45"/>
      <c r="I604">
        <v>381444</v>
      </c>
      <c r="J604" t="s">
        <v>453</v>
      </c>
      <c r="K604" t="s">
        <v>3036</v>
      </c>
      <c r="L604" t="s">
        <v>1178</v>
      </c>
      <c r="M604" t="s">
        <v>1192</v>
      </c>
      <c r="N604" t="s">
        <v>599</v>
      </c>
      <c r="O604" t="s">
        <v>1551</v>
      </c>
      <c r="P604" t="s">
        <v>599</v>
      </c>
      <c r="Q604" t="s">
        <v>599</v>
      </c>
      <c r="R604" t="s">
        <v>1182</v>
      </c>
      <c r="S604" t="s">
        <v>3037</v>
      </c>
      <c r="T604">
        <v>1890</v>
      </c>
      <c r="U604">
        <v>1890</v>
      </c>
      <c r="V604" t="s">
        <v>3038</v>
      </c>
      <c r="W604" t="s">
        <v>1185</v>
      </c>
      <c r="X604" t="s">
        <v>599</v>
      </c>
      <c r="Y604" t="s">
        <v>599</v>
      </c>
      <c r="Z604" t="s">
        <v>3039</v>
      </c>
      <c r="AA604" t="s">
        <v>599</v>
      </c>
      <c r="AB604" t="s">
        <v>599</v>
      </c>
      <c r="AC604" t="s">
        <v>3040</v>
      </c>
      <c r="AD604" t="s">
        <v>599</v>
      </c>
      <c r="AE604" t="s">
        <v>3041</v>
      </c>
      <c r="AF604" t="s">
        <v>1190</v>
      </c>
    </row>
    <row r="605" spans="1:32" ht="45" x14ac:dyDescent="0.25">
      <c r="A605" s="10">
        <v>381444</v>
      </c>
      <c r="B605" s="10">
        <v>1</v>
      </c>
      <c r="C605" s="9">
        <v>99</v>
      </c>
      <c r="D605" s="56" t="s">
        <v>3637</v>
      </c>
      <c r="E605" s="12" t="s">
        <v>454</v>
      </c>
      <c r="F605" s="45"/>
      <c r="G605" s="45"/>
      <c r="H605" s="45"/>
      <c r="I605">
        <v>381444</v>
      </c>
      <c r="J605" t="s">
        <v>453</v>
      </c>
      <c r="K605" t="s">
        <v>3036</v>
      </c>
      <c r="L605" t="s">
        <v>1178</v>
      </c>
      <c r="M605" t="s">
        <v>1192</v>
      </c>
      <c r="N605" t="s">
        <v>599</v>
      </c>
      <c r="O605" t="s">
        <v>1551</v>
      </c>
      <c r="P605" t="s">
        <v>599</v>
      </c>
      <c r="Q605" t="s">
        <v>599</v>
      </c>
      <c r="R605" t="s">
        <v>1182</v>
      </c>
      <c r="S605" t="s">
        <v>3037</v>
      </c>
      <c r="T605">
        <v>1890</v>
      </c>
      <c r="U605">
        <v>1890</v>
      </c>
      <c r="V605" t="s">
        <v>3038</v>
      </c>
      <c r="W605" t="s">
        <v>1185</v>
      </c>
      <c r="X605" t="s">
        <v>599</v>
      </c>
      <c r="Y605" t="s">
        <v>599</v>
      </c>
      <c r="Z605" t="s">
        <v>3039</v>
      </c>
      <c r="AA605" t="s">
        <v>599</v>
      </c>
      <c r="AB605" t="s">
        <v>599</v>
      </c>
      <c r="AC605" t="s">
        <v>3040</v>
      </c>
      <c r="AD605" t="s">
        <v>599</v>
      </c>
      <c r="AE605" t="s">
        <v>3041</v>
      </c>
      <c r="AF605" t="s">
        <v>1190</v>
      </c>
    </row>
    <row r="606" spans="1:32" ht="45" x14ac:dyDescent="0.25">
      <c r="A606" s="10">
        <v>381444</v>
      </c>
      <c r="B606" s="10">
        <v>1</v>
      </c>
      <c r="C606" s="9">
        <v>125</v>
      </c>
      <c r="D606" s="56" t="s">
        <v>3638</v>
      </c>
      <c r="E606" s="12" t="s">
        <v>454</v>
      </c>
      <c r="F606" s="45"/>
      <c r="G606" s="45"/>
      <c r="H606" s="45"/>
      <c r="I606">
        <v>381444</v>
      </c>
      <c r="J606" t="s">
        <v>453</v>
      </c>
      <c r="K606" t="s">
        <v>3036</v>
      </c>
      <c r="L606" t="s">
        <v>1178</v>
      </c>
      <c r="M606" t="s">
        <v>1192</v>
      </c>
      <c r="N606" t="s">
        <v>599</v>
      </c>
      <c r="O606" t="s">
        <v>1551</v>
      </c>
      <c r="P606" t="s">
        <v>599</v>
      </c>
      <c r="Q606" t="s">
        <v>599</v>
      </c>
      <c r="R606" t="s">
        <v>1182</v>
      </c>
      <c r="S606" t="s">
        <v>3037</v>
      </c>
      <c r="T606">
        <v>1890</v>
      </c>
      <c r="U606">
        <v>1890</v>
      </c>
      <c r="V606" t="s">
        <v>3038</v>
      </c>
      <c r="W606" t="s">
        <v>1185</v>
      </c>
      <c r="X606" t="s">
        <v>599</v>
      </c>
      <c r="Y606" t="s">
        <v>599</v>
      </c>
      <c r="Z606" t="s">
        <v>3039</v>
      </c>
      <c r="AA606" t="s">
        <v>599</v>
      </c>
      <c r="AB606" t="s">
        <v>599</v>
      </c>
      <c r="AC606" t="s">
        <v>3040</v>
      </c>
      <c r="AD606" t="s">
        <v>599</v>
      </c>
      <c r="AE606" t="s">
        <v>3041</v>
      </c>
      <c r="AF606" t="s">
        <v>1190</v>
      </c>
    </row>
    <row r="607" spans="1:32" ht="45" x14ac:dyDescent="0.25">
      <c r="A607" s="10">
        <v>381444</v>
      </c>
      <c r="B607" s="10">
        <v>1</v>
      </c>
      <c r="C607" s="9">
        <v>147</v>
      </c>
      <c r="D607" s="56" t="s">
        <v>3639</v>
      </c>
      <c r="E607" s="12" t="s">
        <v>454</v>
      </c>
      <c r="F607" s="45"/>
      <c r="G607" s="45"/>
      <c r="H607" s="45"/>
      <c r="I607">
        <v>381444</v>
      </c>
      <c r="J607" t="s">
        <v>453</v>
      </c>
      <c r="K607" t="s">
        <v>3036</v>
      </c>
      <c r="L607" t="s">
        <v>1178</v>
      </c>
      <c r="M607" t="s">
        <v>1192</v>
      </c>
      <c r="N607" t="s">
        <v>599</v>
      </c>
      <c r="O607" t="s">
        <v>1551</v>
      </c>
      <c r="P607" t="s">
        <v>599</v>
      </c>
      <c r="Q607" t="s">
        <v>599</v>
      </c>
      <c r="R607" t="s">
        <v>1182</v>
      </c>
      <c r="S607" t="s">
        <v>3037</v>
      </c>
      <c r="T607">
        <v>1890</v>
      </c>
      <c r="U607">
        <v>1890</v>
      </c>
      <c r="V607" t="s">
        <v>3038</v>
      </c>
      <c r="W607" t="s">
        <v>1185</v>
      </c>
      <c r="X607" t="s">
        <v>599</v>
      </c>
      <c r="Y607" t="s">
        <v>599</v>
      </c>
      <c r="Z607" t="s">
        <v>3039</v>
      </c>
      <c r="AA607" t="s">
        <v>599</v>
      </c>
      <c r="AB607" t="s">
        <v>599</v>
      </c>
      <c r="AC607" t="s">
        <v>3040</v>
      </c>
      <c r="AD607" t="s">
        <v>599</v>
      </c>
      <c r="AE607" t="s">
        <v>3041</v>
      </c>
      <c r="AF607" t="s">
        <v>1190</v>
      </c>
    </row>
    <row r="608" spans="1:32" ht="45" x14ac:dyDescent="0.25">
      <c r="A608" s="10">
        <v>381444</v>
      </c>
      <c r="B608" s="10">
        <v>1</v>
      </c>
      <c r="C608" s="9">
        <v>157</v>
      </c>
      <c r="D608" s="56" t="s">
        <v>3640</v>
      </c>
      <c r="E608" s="12" t="s">
        <v>454</v>
      </c>
      <c r="F608" s="45"/>
      <c r="G608" s="45"/>
      <c r="H608" s="45"/>
      <c r="I608">
        <v>381444</v>
      </c>
      <c r="J608" t="s">
        <v>453</v>
      </c>
      <c r="K608" t="s">
        <v>3036</v>
      </c>
      <c r="L608" t="s">
        <v>1178</v>
      </c>
      <c r="M608" t="s">
        <v>1192</v>
      </c>
      <c r="N608" t="s">
        <v>599</v>
      </c>
      <c r="O608" t="s">
        <v>1551</v>
      </c>
      <c r="P608" t="s">
        <v>599</v>
      </c>
      <c r="Q608" t="s">
        <v>599</v>
      </c>
      <c r="R608" t="s">
        <v>1182</v>
      </c>
      <c r="S608" t="s">
        <v>3037</v>
      </c>
      <c r="T608">
        <v>1890</v>
      </c>
      <c r="U608">
        <v>1890</v>
      </c>
      <c r="V608" t="s">
        <v>3038</v>
      </c>
      <c r="W608" t="s">
        <v>1185</v>
      </c>
      <c r="X608" t="s">
        <v>599</v>
      </c>
      <c r="Y608" t="s">
        <v>599</v>
      </c>
      <c r="Z608" t="s">
        <v>3039</v>
      </c>
      <c r="AA608" t="s">
        <v>599</v>
      </c>
      <c r="AB608" t="s">
        <v>599</v>
      </c>
      <c r="AC608" t="s">
        <v>3040</v>
      </c>
      <c r="AD608" t="s">
        <v>599</v>
      </c>
      <c r="AE608" t="s">
        <v>3041</v>
      </c>
      <c r="AF608" t="s">
        <v>1190</v>
      </c>
    </row>
    <row r="609" spans="1:32" ht="45" x14ac:dyDescent="0.25">
      <c r="A609" s="10">
        <v>381444</v>
      </c>
      <c r="B609" s="10">
        <v>1</v>
      </c>
      <c r="C609" s="9">
        <v>173</v>
      </c>
      <c r="D609" s="56" t="s">
        <v>3641</v>
      </c>
      <c r="E609" s="12" t="s">
        <v>454</v>
      </c>
      <c r="F609" s="45"/>
      <c r="G609" s="45"/>
      <c r="H609" s="45"/>
      <c r="I609">
        <v>381444</v>
      </c>
      <c r="J609" t="s">
        <v>453</v>
      </c>
      <c r="K609" t="s">
        <v>3036</v>
      </c>
      <c r="L609" t="s">
        <v>1178</v>
      </c>
      <c r="M609" t="s">
        <v>1192</v>
      </c>
      <c r="N609" t="s">
        <v>599</v>
      </c>
      <c r="O609" t="s">
        <v>1551</v>
      </c>
      <c r="P609" t="s">
        <v>599</v>
      </c>
      <c r="Q609" t="s">
        <v>599</v>
      </c>
      <c r="R609" t="s">
        <v>1182</v>
      </c>
      <c r="S609" t="s">
        <v>3037</v>
      </c>
      <c r="T609">
        <v>1890</v>
      </c>
      <c r="U609">
        <v>1890</v>
      </c>
      <c r="V609" t="s">
        <v>3038</v>
      </c>
      <c r="W609" t="s">
        <v>1185</v>
      </c>
      <c r="X609" t="s">
        <v>599</v>
      </c>
      <c r="Y609" t="s">
        <v>599</v>
      </c>
      <c r="Z609" t="s">
        <v>3039</v>
      </c>
      <c r="AA609" t="s">
        <v>599</v>
      </c>
      <c r="AB609" t="s">
        <v>599</v>
      </c>
      <c r="AC609" t="s">
        <v>3040</v>
      </c>
      <c r="AD609" t="s">
        <v>599</v>
      </c>
      <c r="AE609" t="s">
        <v>3041</v>
      </c>
      <c r="AF609" t="s">
        <v>1190</v>
      </c>
    </row>
    <row r="610" spans="1:32" ht="45" x14ac:dyDescent="0.25">
      <c r="A610" s="10">
        <v>381444</v>
      </c>
      <c r="B610" s="10">
        <v>1</v>
      </c>
      <c r="C610" s="9">
        <v>185</v>
      </c>
      <c r="D610" s="56" t="s">
        <v>3642</v>
      </c>
      <c r="E610" s="12" t="s">
        <v>454</v>
      </c>
      <c r="F610" s="45"/>
      <c r="G610" s="45"/>
      <c r="H610" s="45"/>
      <c r="I610">
        <v>381444</v>
      </c>
      <c r="J610" t="s">
        <v>453</v>
      </c>
      <c r="K610" t="s">
        <v>3036</v>
      </c>
      <c r="L610" t="s">
        <v>1178</v>
      </c>
      <c r="M610" t="s">
        <v>1192</v>
      </c>
      <c r="N610" t="s">
        <v>599</v>
      </c>
      <c r="O610" t="s">
        <v>1551</v>
      </c>
      <c r="P610" t="s">
        <v>599</v>
      </c>
      <c r="Q610" t="s">
        <v>599</v>
      </c>
      <c r="R610" t="s">
        <v>1182</v>
      </c>
      <c r="S610" t="s">
        <v>3037</v>
      </c>
      <c r="T610">
        <v>1890</v>
      </c>
      <c r="U610">
        <v>1890</v>
      </c>
      <c r="V610" t="s">
        <v>3038</v>
      </c>
      <c r="W610" t="s">
        <v>1185</v>
      </c>
      <c r="X610" t="s">
        <v>599</v>
      </c>
      <c r="Y610" t="s">
        <v>599</v>
      </c>
      <c r="Z610" t="s">
        <v>3039</v>
      </c>
      <c r="AA610" t="s">
        <v>599</v>
      </c>
      <c r="AB610" t="s">
        <v>599</v>
      </c>
      <c r="AC610" t="s">
        <v>3040</v>
      </c>
      <c r="AD610" t="s">
        <v>599</v>
      </c>
      <c r="AE610" t="s">
        <v>3041</v>
      </c>
      <c r="AF610" t="s">
        <v>1190</v>
      </c>
    </row>
    <row r="611" spans="1:32" ht="45" x14ac:dyDescent="0.25">
      <c r="A611" s="10">
        <v>381444</v>
      </c>
      <c r="B611" s="10">
        <v>1</v>
      </c>
      <c r="C611" s="9">
        <v>223</v>
      </c>
      <c r="D611" s="56" t="s">
        <v>3643</v>
      </c>
      <c r="E611" s="12" t="s">
        <v>454</v>
      </c>
      <c r="F611" s="45"/>
      <c r="G611" s="45"/>
      <c r="H611" s="45"/>
      <c r="I611">
        <v>381444</v>
      </c>
      <c r="J611" t="s">
        <v>453</v>
      </c>
      <c r="K611" t="s">
        <v>3036</v>
      </c>
      <c r="L611" t="s">
        <v>1178</v>
      </c>
      <c r="M611" t="s">
        <v>1192</v>
      </c>
      <c r="N611" t="s">
        <v>599</v>
      </c>
      <c r="O611" t="s">
        <v>1551</v>
      </c>
      <c r="P611" t="s">
        <v>599</v>
      </c>
      <c r="Q611" t="s">
        <v>599</v>
      </c>
      <c r="R611" t="s">
        <v>1182</v>
      </c>
      <c r="S611" t="s">
        <v>3037</v>
      </c>
      <c r="T611">
        <v>1890</v>
      </c>
      <c r="U611">
        <v>1890</v>
      </c>
      <c r="V611" t="s">
        <v>3038</v>
      </c>
      <c r="W611" t="s">
        <v>1185</v>
      </c>
      <c r="X611" t="s">
        <v>599</v>
      </c>
      <c r="Y611" t="s">
        <v>599</v>
      </c>
      <c r="Z611" t="s">
        <v>3039</v>
      </c>
      <c r="AA611" t="s">
        <v>599</v>
      </c>
      <c r="AB611" t="s">
        <v>599</v>
      </c>
      <c r="AC611" t="s">
        <v>3040</v>
      </c>
      <c r="AD611" t="s">
        <v>599</v>
      </c>
      <c r="AE611" t="s">
        <v>3041</v>
      </c>
      <c r="AF611" t="s">
        <v>1190</v>
      </c>
    </row>
    <row r="612" spans="1:32" ht="45" x14ac:dyDescent="0.25">
      <c r="A612" s="10">
        <v>381444</v>
      </c>
      <c r="B612" s="10">
        <v>1</v>
      </c>
      <c r="C612" s="9">
        <v>231</v>
      </c>
      <c r="D612" s="56" t="s">
        <v>3644</v>
      </c>
      <c r="E612" s="12" t="s">
        <v>454</v>
      </c>
      <c r="F612" s="45"/>
      <c r="G612" s="45"/>
      <c r="H612" s="45"/>
      <c r="I612">
        <v>381444</v>
      </c>
      <c r="J612" t="s">
        <v>453</v>
      </c>
      <c r="K612" t="s">
        <v>3036</v>
      </c>
      <c r="L612" t="s">
        <v>1178</v>
      </c>
      <c r="M612" t="s">
        <v>1192</v>
      </c>
      <c r="N612" t="s">
        <v>599</v>
      </c>
      <c r="O612" t="s">
        <v>1551</v>
      </c>
      <c r="P612" t="s">
        <v>599</v>
      </c>
      <c r="Q612" t="s">
        <v>599</v>
      </c>
      <c r="R612" t="s">
        <v>1182</v>
      </c>
      <c r="S612" t="s">
        <v>3037</v>
      </c>
      <c r="T612">
        <v>1890</v>
      </c>
      <c r="U612">
        <v>1890</v>
      </c>
      <c r="V612" t="s">
        <v>3038</v>
      </c>
      <c r="W612" t="s">
        <v>1185</v>
      </c>
      <c r="X612" t="s">
        <v>599</v>
      </c>
      <c r="Y612" t="s">
        <v>599</v>
      </c>
      <c r="Z612" t="s">
        <v>3039</v>
      </c>
      <c r="AA612" t="s">
        <v>599</v>
      </c>
      <c r="AB612" t="s">
        <v>599</v>
      </c>
      <c r="AC612" t="s">
        <v>3040</v>
      </c>
      <c r="AD612" t="s">
        <v>599</v>
      </c>
      <c r="AE612" t="s">
        <v>3041</v>
      </c>
      <c r="AF612" t="s">
        <v>1190</v>
      </c>
    </row>
    <row r="613" spans="1:32" ht="45" x14ac:dyDescent="0.25">
      <c r="A613" s="10">
        <v>381444</v>
      </c>
      <c r="B613" s="10">
        <v>1</v>
      </c>
      <c r="C613" s="9">
        <v>255</v>
      </c>
      <c r="D613" s="56" t="s">
        <v>3645</v>
      </c>
      <c r="E613" s="12" t="s">
        <v>454</v>
      </c>
      <c r="F613" s="45"/>
      <c r="G613" s="45"/>
      <c r="H613" s="45"/>
      <c r="I613">
        <v>381444</v>
      </c>
      <c r="J613" t="s">
        <v>453</v>
      </c>
      <c r="K613" t="s">
        <v>3036</v>
      </c>
      <c r="L613" t="s">
        <v>1178</v>
      </c>
      <c r="M613" t="s">
        <v>1192</v>
      </c>
      <c r="N613" t="s">
        <v>599</v>
      </c>
      <c r="O613" t="s">
        <v>1551</v>
      </c>
      <c r="P613" t="s">
        <v>599</v>
      </c>
      <c r="Q613" t="s">
        <v>599</v>
      </c>
      <c r="R613" t="s">
        <v>1182</v>
      </c>
      <c r="S613" t="s">
        <v>3037</v>
      </c>
      <c r="T613">
        <v>1890</v>
      </c>
      <c r="U613">
        <v>1890</v>
      </c>
      <c r="V613" t="s">
        <v>3038</v>
      </c>
      <c r="W613" t="s">
        <v>1185</v>
      </c>
      <c r="X613" t="s">
        <v>599</v>
      </c>
      <c r="Y613" t="s">
        <v>599</v>
      </c>
      <c r="Z613" t="s">
        <v>3039</v>
      </c>
      <c r="AA613" t="s">
        <v>599</v>
      </c>
      <c r="AB613" t="s">
        <v>599</v>
      </c>
      <c r="AC613" t="s">
        <v>3040</v>
      </c>
      <c r="AD613" t="s">
        <v>599</v>
      </c>
      <c r="AE613" t="s">
        <v>3041</v>
      </c>
      <c r="AF613" t="s">
        <v>1190</v>
      </c>
    </row>
    <row r="614" spans="1:32" ht="45" x14ac:dyDescent="0.25">
      <c r="A614" s="10">
        <v>381444</v>
      </c>
      <c r="B614" s="10">
        <v>1</v>
      </c>
      <c r="C614" s="9">
        <v>265</v>
      </c>
      <c r="D614" s="56" t="s">
        <v>3646</v>
      </c>
      <c r="E614" s="12" t="s">
        <v>454</v>
      </c>
      <c r="F614" s="45"/>
      <c r="G614" s="45"/>
      <c r="H614" s="45"/>
      <c r="I614">
        <v>381444</v>
      </c>
      <c r="J614" t="s">
        <v>453</v>
      </c>
      <c r="K614" t="s">
        <v>3036</v>
      </c>
      <c r="L614" t="s">
        <v>1178</v>
      </c>
      <c r="M614" t="s">
        <v>1192</v>
      </c>
      <c r="N614" t="s">
        <v>599</v>
      </c>
      <c r="O614" t="s">
        <v>1551</v>
      </c>
      <c r="P614" t="s">
        <v>599</v>
      </c>
      <c r="Q614" t="s">
        <v>599</v>
      </c>
      <c r="R614" t="s">
        <v>1182</v>
      </c>
      <c r="S614" t="s">
        <v>3037</v>
      </c>
      <c r="T614">
        <v>1890</v>
      </c>
      <c r="U614">
        <v>1890</v>
      </c>
      <c r="V614" t="s">
        <v>3038</v>
      </c>
      <c r="W614" t="s">
        <v>1185</v>
      </c>
      <c r="X614" t="s">
        <v>599</v>
      </c>
      <c r="Y614" t="s">
        <v>599</v>
      </c>
      <c r="Z614" t="s">
        <v>3039</v>
      </c>
      <c r="AA614" t="s">
        <v>599</v>
      </c>
      <c r="AB614" t="s">
        <v>599</v>
      </c>
      <c r="AC614" t="s">
        <v>3040</v>
      </c>
      <c r="AD614" t="s">
        <v>599</v>
      </c>
      <c r="AE614" t="s">
        <v>3041</v>
      </c>
      <c r="AF614" t="s">
        <v>1190</v>
      </c>
    </row>
    <row r="615" spans="1:32" ht="45" x14ac:dyDescent="0.25">
      <c r="A615" s="10">
        <v>381444</v>
      </c>
      <c r="B615" s="10">
        <v>1</v>
      </c>
      <c r="C615" s="9">
        <v>289</v>
      </c>
      <c r="D615" s="56" t="s">
        <v>3647</v>
      </c>
      <c r="E615" s="12" t="s">
        <v>454</v>
      </c>
      <c r="F615" s="45"/>
      <c r="G615" s="45"/>
      <c r="H615" s="45"/>
      <c r="I615">
        <v>381444</v>
      </c>
      <c r="J615" t="s">
        <v>453</v>
      </c>
      <c r="K615" t="s">
        <v>3036</v>
      </c>
      <c r="L615" t="s">
        <v>1178</v>
      </c>
      <c r="M615" t="s">
        <v>1192</v>
      </c>
      <c r="N615" t="s">
        <v>599</v>
      </c>
      <c r="O615" t="s">
        <v>1551</v>
      </c>
      <c r="P615" t="s">
        <v>599</v>
      </c>
      <c r="Q615" t="s">
        <v>599</v>
      </c>
      <c r="R615" t="s">
        <v>1182</v>
      </c>
      <c r="S615" t="s">
        <v>3037</v>
      </c>
      <c r="T615">
        <v>1890</v>
      </c>
      <c r="U615">
        <v>1890</v>
      </c>
      <c r="V615" t="s">
        <v>3038</v>
      </c>
      <c r="W615" t="s">
        <v>1185</v>
      </c>
      <c r="X615" t="s">
        <v>599</v>
      </c>
      <c r="Y615" t="s">
        <v>599</v>
      </c>
      <c r="Z615" t="s">
        <v>3039</v>
      </c>
      <c r="AA615" t="s">
        <v>599</v>
      </c>
      <c r="AB615" t="s">
        <v>599</v>
      </c>
      <c r="AC615" t="s">
        <v>3040</v>
      </c>
      <c r="AD615" t="s">
        <v>599</v>
      </c>
      <c r="AE615" t="s">
        <v>3041</v>
      </c>
      <c r="AF615" t="s">
        <v>1190</v>
      </c>
    </row>
    <row r="616" spans="1:32" ht="45" x14ac:dyDescent="0.25">
      <c r="A616" s="10">
        <v>381444</v>
      </c>
      <c r="B616" s="10">
        <v>1</v>
      </c>
      <c r="C616" s="9">
        <v>295</v>
      </c>
      <c r="D616" s="56" t="s">
        <v>3648</v>
      </c>
      <c r="E616" s="12" t="s">
        <v>454</v>
      </c>
      <c r="F616" s="45"/>
      <c r="G616" s="45"/>
      <c r="H616" s="45"/>
      <c r="I616">
        <v>381444</v>
      </c>
      <c r="J616" t="s">
        <v>453</v>
      </c>
      <c r="K616" t="s">
        <v>3036</v>
      </c>
      <c r="L616" t="s">
        <v>1178</v>
      </c>
      <c r="M616" t="s">
        <v>1192</v>
      </c>
      <c r="N616" t="s">
        <v>599</v>
      </c>
      <c r="O616" t="s">
        <v>1551</v>
      </c>
      <c r="P616" t="s">
        <v>599</v>
      </c>
      <c r="Q616" t="s">
        <v>599</v>
      </c>
      <c r="R616" t="s">
        <v>1182</v>
      </c>
      <c r="S616" t="s">
        <v>3037</v>
      </c>
      <c r="T616">
        <v>1890</v>
      </c>
      <c r="U616">
        <v>1890</v>
      </c>
      <c r="V616" t="s">
        <v>3038</v>
      </c>
      <c r="W616" t="s">
        <v>1185</v>
      </c>
      <c r="X616" t="s">
        <v>599</v>
      </c>
      <c r="Y616" t="s">
        <v>599</v>
      </c>
      <c r="Z616" t="s">
        <v>3039</v>
      </c>
      <c r="AA616" t="s">
        <v>599</v>
      </c>
      <c r="AB616" t="s">
        <v>599</v>
      </c>
      <c r="AC616" t="s">
        <v>3040</v>
      </c>
      <c r="AD616" t="s">
        <v>599</v>
      </c>
      <c r="AE616" t="s">
        <v>3041</v>
      </c>
      <c r="AF616" t="s">
        <v>1190</v>
      </c>
    </row>
    <row r="617" spans="1:32" ht="45" x14ac:dyDescent="0.25">
      <c r="A617" s="10">
        <v>381444</v>
      </c>
      <c r="B617" s="10">
        <v>1</v>
      </c>
      <c r="C617" s="9">
        <v>323</v>
      </c>
      <c r="D617" s="56" t="s">
        <v>3649</v>
      </c>
      <c r="E617" s="12" t="s">
        <v>454</v>
      </c>
      <c r="F617" s="45"/>
      <c r="G617" s="45"/>
      <c r="H617" s="45"/>
      <c r="I617">
        <v>381444</v>
      </c>
      <c r="J617" t="s">
        <v>453</v>
      </c>
      <c r="K617" t="s">
        <v>3036</v>
      </c>
      <c r="L617" t="s">
        <v>1178</v>
      </c>
      <c r="M617" t="s">
        <v>1192</v>
      </c>
      <c r="N617" t="s">
        <v>599</v>
      </c>
      <c r="O617" t="s">
        <v>1551</v>
      </c>
      <c r="P617" t="s">
        <v>599</v>
      </c>
      <c r="Q617" t="s">
        <v>599</v>
      </c>
      <c r="R617" t="s">
        <v>1182</v>
      </c>
      <c r="S617" t="s">
        <v>3037</v>
      </c>
      <c r="T617">
        <v>1890</v>
      </c>
      <c r="U617">
        <v>1890</v>
      </c>
      <c r="V617" t="s">
        <v>3038</v>
      </c>
      <c r="W617" t="s">
        <v>1185</v>
      </c>
      <c r="X617" t="s">
        <v>599</v>
      </c>
      <c r="Y617" t="s">
        <v>599</v>
      </c>
      <c r="Z617" t="s">
        <v>3039</v>
      </c>
      <c r="AA617" t="s">
        <v>599</v>
      </c>
      <c r="AB617" t="s">
        <v>599</v>
      </c>
      <c r="AC617" t="s">
        <v>3040</v>
      </c>
      <c r="AD617" t="s">
        <v>599</v>
      </c>
      <c r="AE617" t="s">
        <v>3041</v>
      </c>
      <c r="AF617" t="s">
        <v>1190</v>
      </c>
    </row>
    <row r="618" spans="1:32" ht="45" x14ac:dyDescent="0.25">
      <c r="A618" s="10">
        <v>381444</v>
      </c>
      <c r="B618" s="10">
        <v>1</v>
      </c>
      <c r="C618" s="9">
        <v>331</v>
      </c>
      <c r="D618" s="56" t="s">
        <v>3650</v>
      </c>
      <c r="E618" s="12" t="s">
        <v>454</v>
      </c>
      <c r="F618" s="45"/>
      <c r="G618" s="45"/>
      <c r="H618" s="45"/>
      <c r="I618">
        <v>381444</v>
      </c>
      <c r="J618" t="s">
        <v>453</v>
      </c>
      <c r="K618" t="s">
        <v>3036</v>
      </c>
      <c r="L618" t="s">
        <v>1178</v>
      </c>
      <c r="M618" t="s">
        <v>1192</v>
      </c>
      <c r="N618" t="s">
        <v>599</v>
      </c>
      <c r="O618" t="s">
        <v>1551</v>
      </c>
      <c r="P618" t="s">
        <v>599</v>
      </c>
      <c r="Q618" t="s">
        <v>599</v>
      </c>
      <c r="R618" t="s">
        <v>1182</v>
      </c>
      <c r="S618" t="s">
        <v>3037</v>
      </c>
      <c r="T618">
        <v>1890</v>
      </c>
      <c r="U618">
        <v>1890</v>
      </c>
      <c r="V618" t="s">
        <v>3038</v>
      </c>
      <c r="W618" t="s">
        <v>1185</v>
      </c>
      <c r="X618" t="s">
        <v>599</v>
      </c>
      <c r="Y618" t="s">
        <v>599</v>
      </c>
      <c r="Z618" t="s">
        <v>3039</v>
      </c>
      <c r="AA618" t="s">
        <v>599</v>
      </c>
      <c r="AB618" t="s">
        <v>599</v>
      </c>
      <c r="AC618" t="s">
        <v>3040</v>
      </c>
      <c r="AD618" t="s">
        <v>599</v>
      </c>
      <c r="AE618" t="s">
        <v>3041</v>
      </c>
      <c r="AF618" t="s">
        <v>1190</v>
      </c>
    </row>
    <row r="619" spans="1:32" ht="45" x14ac:dyDescent="0.25">
      <c r="A619" s="10">
        <v>381444</v>
      </c>
      <c r="B619" s="10">
        <v>1</v>
      </c>
      <c r="C619" s="9">
        <v>365</v>
      </c>
      <c r="D619" s="56" t="s">
        <v>3651</v>
      </c>
      <c r="E619" s="12" t="s">
        <v>454</v>
      </c>
      <c r="F619" s="45"/>
      <c r="G619" s="45"/>
      <c r="H619" s="45"/>
      <c r="I619">
        <v>381444</v>
      </c>
      <c r="J619" t="s">
        <v>453</v>
      </c>
      <c r="K619" t="s">
        <v>3036</v>
      </c>
      <c r="L619" t="s">
        <v>1178</v>
      </c>
      <c r="M619" t="s">
        <v>1192</v>
      </c>
      <c r="N619" t="s">
        <v>599</v>
      </c>
      <c r="O619" t="s">
        <v>1551</v>
      </c>
      <c r="P619" t="s">
        <v>599</v>
      </c>
      <c r="Q619" t="s">
        <v>599</v>
      </c>
      <c r="R619" t="s">
        <v>1182</v>
      </c>
      <c r="S619" t="s">
        <v>3037</v>
      </c>
      <c r="T619">
        <v>1890</v>
      </c>
      <c r="U619">
        <v>1890</v>
      </c>
      <c r="V619" t="s">
        <v>3038</v>
      </c>
      <c r="W619" t="s">
        <v>1185</v>
      </c>
      <c r="X619" t="s">
        <v>599</v>
      </c>
      <c r="Y619" t="s">
        <v>599</v>
      </c>
      <c r="Z619" t="s">
        <v>3039</v>
      </c>
      <c r="AA619" t="s">
        <v>599</v>
      </c>
      <c r="AB619" t="s">
        <v>599</v>
      </c>
      <c r="AC619" t="s">
        <v>3040</v>
      </c>
      <c r="AD619" t="s">
        <v>599</v>
      </c>
      <c r="AE619" t="s">
        <v>3041</v>
      </c>
      <c r="AF619" t="s">
        <v>1190</v>
      </c>
    </row>
    <row r="620" spans="1:32" ht="45" x14ac:dyDescent="0.25">
      <c r="A620" s="10">
        <v>381444</v>
      </c>
      <c r="B620" s="10">
        <v>1</v>
      </c>
      <c r="C620" s="9">
        <v>385</v>
      </c>
      <c r="D620" s="56" t="s">
        <v>3652</v>
      </c>
      <c r="E620" s="12" t="s">
        <v>454</v>
      </c>
      <c r="F620" s="45"/>
      <c r="G620" s="45"/>
      <c r="H620" s="45"/>
      <c r="I620">
        <v>381444</v>
      </c>
      <c r="J620" t="s">
        <v>453</v>
      </c>
      <c r="K620" t="s">
        <v>3036</v>
      </c>
      <c r="L620" t="s">
        <v>1178</v>
      </c>
      <c r="M620" t="s">
        <v>1192</v>
      </c>
      <c r="N620" t="s">
        <v>599</v>
      </c>
      <c r="O620" t="s">
        <v>1551</v>
      </c>
      <c r="P620" t="s">
        <v>599</v>
      </c>
      <c r="Q620" t="s">
        <v>599</v>
      </c>
      <c r="R620" t="s">
        <v>1182</v>
      </c>
      <c r="S620" t="s">
        <v>3037</v>
      </c>
      <c r="T620">
        <v>1890</v>
      </c>
      <c r="U620">
        <v>1890</v>
      </c>
      <c r="V620" t="s">
        <v>3038</v>
      </c>
      <c r="W620" t="s">
        <v>1185</v>
      </c>
      <c r="X620" t="s">
        <v>599</v>
      </c>
      <c r="Y620" t="s">
        <v>599</v>
      </c>
      <c r="Z620" t="s">
        <v>3039</v>
      </c>
      <c r="AA620" t="s">
        <v>599</v>
      </c>
      <c r="AB620" t="s">
        <v>599</v>
      </c>
      <c r="AC620" t="s">
        <v>3040</v>
      </c>
      <c r="AD620" t="s">
        <v>599</v>
      </c>
      <c r="AE620" t="s">
        <v>3041</v>
      </c>
      <c r="AF620" t="s">
        <v>1190</v>
      </c>
    </row>
    <row r="621" spans="1:32" ht="45" x14ac:dyDescent="0.25">
      <c r="A621" s="10">
        <v>381504</v>
      </c>
      <c r="B621" s="10">
        <v>1</v>
      </c>
      <c r="C621" s="9">
        <v>8</v>
      </c>
      <c r="D621" s="56" t="s">
        <v>3653</v>
      </c>
      <c r="E621" s="12" t="s">
        <v>457</v>
      </c>
      <c r="F621" s="45"/>
      <c r="G621" s="45"/>
      <c r="H621" s="45"/>
      <c r="I621">
        <v>381504</v>
      </c>
      <c r="J621" t="s">
        <v>456</v>
      </c>
      <c r="K621" t="s">
        <v>3042</v>
      </c>
      <c r="L621" t="s">
        <v>1178</v>
      </c>
      <c r="M621" t="s">
        <v>1502</v>
      </c>
      <c r="N621" t="s">
        <v>1192</v>
      </c>
      <c r="O621" t="s">
        <v>3043</v>
      </c>
      <c r="P621" t="s">
        <v>3044</v>
      </c>
      <c r="Q621" t="s">
        <v>599</v>
      </c>
      <c r="R621" t="s">
        <v>1182</v>
      </c>
      <c r="S621" t="s">
        <v>3045</v>
      </c>
      <c r="T621">
        <v>1655</v>
      </c>
      <c r="U621">
        <v>1655</v>
      </c>
      <c r="V621" t="s">
        <v>3046</v>
      </c>
      <c r="W621" t="s">
        <v>1185</v>
      </c>
      <c r="X621" t="s">
        <v>599</v>
      </c>
      <c r="Y621" t="s">
        <v>599</v>
      </c>
      <c r="Z621" t="s">
        <v>3047</v>
      </c>
      <c r="AA621" t="s">
        <v>599</v>
      </c>
      <c r="AB621" t="s">
        <v>599</v>
      </c>
      <c r="AC621" t="s">
        <v>3048</v>
      </c>
      <c r="AD621" t="s">
        <v>1702</v>
      </c>
      <c r="AE621" t="s">
        <v>3049</v>
      </c>
      <c r="AF621" t="s">
        <v>1190</v>
      </c>
    </row>
    <row r="622" spans="1:32" ht="45" x14ac:dyDescent="0.25">
      <c r="A622" s="10">
        <v>381504</v>
      </c>
      <c r="B622" s="10">
        <v>1</v>
      </c>
      <c r="C622" s="9">
        <v>30</v>
      </c>
      <c r="D622" s="56" t="s">
        <v>3654</v>
      </c>
      <c r="E622" s="12" t="s">
        <v>457</v>
      </c>
      <c r="F622" s="45"/>
      <c r="G622" s="45"/>
      <c r="H622" s="45"/>
      <c r="I622">
        <v>381504</v>
      </c>
      <c r="J622" t="s">
        <v>456</v>
      </c>
      <c r="K622" t="s">
        <v>3042</v>
      </c>
      <c r="L622" t="s">
        <v>1178</v>
      </c>
      <c r="M622" t="s">
        <v>1502</v>
      </c>
      <c r="N622" t="s">
        <v>1192</v>
      </c>
      <c r="O622" t="s">
        <v>3043</v>
      </c>
      <c r="P622" t="s">
        <v>3044</v>
      </c>
      <c r="Q622" t="s">
        <v>599</v>
      </c>
      <c r="R622" t="s">
        <v>1182</v>
      </c>
      <c r="S622" t="s">
        <v>3045</v>
      </c>
      <c r="T622">
        <v>1655</v>
      </c>
      <c r="U622">
        <v>1655</v>
      </c>
      <c r="V622" t="s">
        <v>3046</v>
      </c>
      <c r="W622" t="s">
        <v>1185</v>
      </c>
      <c r="X622" t="s">
        <v>599</v>
      </c>
      <c r="Y622" t="s">
        <v>599</v>
      </c>
      <c r="Z622" t="s">
        <v>3047</v>
      </c>
      <c r="AA622" t="s">
        <v>599</v>
      </c>
      <c r="AB622" t="s">
        <v>599</v>
      </c>
      <c r="AC622" t="s">
        <v>3048</v>
      </c>
      <c r="AD622" t="s">
        <v>1702</v>
      </c>
      <c r="AE622" t="s">
        <v>3049</v>
      </c>
      <c r="AF622" t="s">
        <v>1190</v>
      </c>
    </row>
    <row r="623" spans="1:32" ht="45" x14ac:dyDescent="0.25">
      <c r="A623" s="10">
        <v>381504</v>
      </c>
      <c r="B623" s="10">
        <v>1</v>
      </c>
      <c r="C623" s="9">
        <v>31</v>
      </c>
      <c r="D623" s="56" t="s">
        <v>3655</v>
      </c>
      <c r="E623" s="12" t="s">
        <v>457</v>
      </c>
      <c r="F623" s="45"/>
      <c r="G623" s="45"/>
      <c r="H623" s="45"/>
      <c r="I623">
        <v>381504</v>
      </c>
      <c r="J623" t="s">
        <v>456</v>
      </c>
      <c r="K623" t="s">
        <v>3042</v>
      </c>
      <c r="L623" t="s">
        <v>1178</v>
      </c>
      <c r="M623" t="s">
        <v>1502</v>
      </c>
      <c r="N623" t="s">
        <v>1192</v>
      </c>
      <c r="O623" t="s">
        <v>3043</v>
      </c>
      <c r="P623" t="s">
        <v>3044</v>
      </c>
      <c r="Q623" t="s">
        <v>599</v>
      </c>
      <c r="R623" t="s">
        <v>1182</v>
      </c>
      <c r="S623" t="s">
        <v>3045</v>
      </c>
      <c r="T623">
        <v>1655</v>
      </c>
      <c r="U623">
        <v>1655</v>
      </c>
      <c r="V623" t="s">
        <v>3046</v>
      </c>
      <c r="W623" t="s">
        <v>1185</v>
      </c>
      <c r="X623" t="s">
        <v>599</v>
      </c>
      <c r="Y623" t="s">
        <v>599</v>
      </c>
      <c r="Z623" t="s">
        <v>3047</v>
      </c>
      <c r="AA623" t="s">
        <v>599</v>
      </c>
      <c r="AB623" t="s">
        <v>599</v>
      </c>
      <c r="AC623" t="s">
        <v>3048</v>
      </c>
      <c r="AD623" t="s">
        <v>1702</v>
      </c>
      <c r="AE623" t="s">
        <v>3049</v>
      </c>
      <c r="AF623" t="s">
        <v>1190</v>
      </c>
    </row>
    <row r="624" spans="1:32" ht="45" x14ac:dyDescent="0.25">
      <c r="A624" s="10">
        <v>381588</v>
      </c>
      <c r="B624" s="10">
        <v>1</v>
      </c>
      <c r="C624" s="9">
        <v>6</v>
      </c>
      <c r="D624" s="56" t="s">
        <v>3656</v>
      </c>
      <c r="E624" s="12" t="s">
        <v>460</v>
      </c>
      <c r="F624" s="45"/>
      <c r="G624" s="45"/>
      <c r="H624" s="45"/>
      <c r="I624">
        <v>381588</v>
      </c>
      <c r="J624" t="s">
        <v>459</v>
      </c>
      <c r="K624" t="s">
        <v>3050</v>
      </c>
      <c r="L624" t="s">
        <v>1178</v>
      </c>
      <c r="M624" t="s">
        <v>1502</v>
      </c>
      <c r="N624" t="s">
        <v>1192</v>
      </c>
      <c r="O624" t="s">
        <v>3051</v>
      </c>
      <c r="P624" t="s">
        <v>1863</v>
      </c>
      <c r="Q624" t="s">
        <v>599</v>
      </c>
      <c r="R624" t="s">
        <v>3052</v>
      </c>
      <c r="S624" t="s">
        <v>3053</v>
      </c>
      <c r="T624">
        <v>1778</v>
      </c>
      <c r="U624">
        <v>1778</v>
      </c>
      <c r="V624" t="s">
        <v>3054</v>
      </c>
      <c r="W624" t="s">
        <v>1185</v>
      </c>
      <c r="X624" t="s">
        <v>599</v>
      </c>
      <c r="Y624" t="s">
        <v>599</v>
      </c>
      <c r="Z624" t="s">
        <v>3055</v>
      </c>
      <c r="AA624" t="s">
        <v>599</v>
      </c>
      <c r="AB624" t="s">
        <v>3056</v>
      </c>
      <c r="AC624" t="s">
        <v>3057</v>
      </c>
      <c r="AD624" t="s">
        <v>1702</v>
      </c>
      <c r="AE624" t="s">
        <v>3058</v>
      </c>
      <c r="AF624" t="s">
        <v>1190</v>
      </c>
    </row>
    <row r="625" spans="1:32" ht="45" x14ac:dyDescent="0.25">
      <c r="A625" s="10">
        <v>381588</v>
      </c>
      <c r="B625" s="10">
        <v>1</v>
      </c>
      <c r="C625" s="9">
        <v>35</v>
      </c>
      <c r="D625" s="56" t="s">
        <v>3657</v>
      </c>
      <c r="E625" s="12" t="s">
        <v>460</v>
      </c>
      <c r="F625" s="45"/>
      <c r="G625" s="45"/>
      <c r="H625" s="45"/>
      <c r="I625">
        <v>381588</v>
      </c>
      <c r="J625" t="s">
        <v>459</v>
      </c>
      <c r="K625" t="s">
        <v>3050</v>
      </c>
      <c r="L625" t="s">
        <v>1178</v>
      </c>
      <c r="M625" t="s">
        <v>1502</v>
      </c>
      <c r="N625" t="s">
        <v>1192</v>
      </c>
      <c r="O625" t="s">
        <v>3051</v>
      </c>
      <c r="P625" t="s">
        <v>1863</v>
      </c>
      <c r="Q625" t="s">
        <v>599</v>
      </c>
      <c r="R625" t="s">
        <v>3052</v>
      </c>
      <c r="S625" t="s">
        <v>3053</v>
      </c>
      <c r="T625">
        <v>1778</v>
      </c>
      <c r="U625">
        <v>1778</v>
      </c>
      <c r="V625" t="s">
        <v>3054</v>
      </c>
      <c r="W625" t="s">
        <v>1185</v>
      </c>
      <c r="X625" t="s">
        <v>599</v>
      </c>
      <c r="Y625" t="s">
        <v>599</v>
      </c>
      <c r="Z625" t="s">
        <v>3055</v>
      </c>
      <c r="AA625" t="s">
        <v>599</v>
      </c>
      <c r="AB625" t="s">
        <v>3056</v>
      </c>
      <c r="AC625" t="s">
        <v>3057</v>
      </c>
      <c r="AD625" t="s">
        <v>1702</v>
      </c>
      <c r="AE625" t="s">
        <v>3058</v>
      </c>
      <c r="AF625" t="s">
        <v>1190</v>
      </c>
    </row>
    <row r="626" spans="1:32" ht="45" x14ac:dyDescent="0.25">
      <c r="A626" s="10">
        <v>397754</v>
      </c>
      <c r="B626" s="10">
        <v>1</v>
      </c>
      <c r="C626" s="9">
        <v>13</v>
      </c>
      <c r="D626" s="56" t="s">
        <v>3658</v>
      </c>
      <c r="E626" s="12" t="s">
        <v>463</v>
      </c>
      <c r="F626" s="45"/>
      <c r="G626" s="45"/>
      <c r="H626" s="45"/>
      <c r="I626">
        <v>397754</v>
      </c>
      <c r="J626" t="s">
        <v>462</v>
      </c>
      <c r="K626" t="s">
        <v>3059</v>
      </c>
      <c r="L626" t="s">
        <v>1178</v>
      </c>
      <c r="M626" t="s">
        <v>1192</v>
      </c>
      <c r="N626" t="s">
        <v>599</v>
      </c>
      <c r="O626" t="s">
        <v>3060</v>
      </c>
      <c r="P626" t="s">
        <v>599</v>
      </c>
      <c r="Q626" t="s">
        <v>599</v>
      </c>
      <c r="R626" t="s">
        <v>1182</v>
      </c>
      <c r="S626" t="s">
        <v>3061</v>
      </c>
      <c r="T626">
        <v>1887</v>
      </c>
      <c r="U626">
        <v>1887</v>
      </c>
      <c r="V626" t="s">
        <v>3062</v>
      </c>
      <c r="W626" t="s">
        <v>1185</v>
      </c>
      <c r="X626" t="s">
        <v>599</v>
      </c>
      <c r="Y626" t="s">
        <v>599</v>
      </c>
      <c r="Z626" t="s">
        <v>3063</v>
      </c>
      <c r="AA626" t="s">
        <v>599</v>
      </c>
      <c r="AB626" t="s">
        <v>599</v>
      </c>
      <c r="AC626" t="s">
        <v>3064</v>
      </c>
      <c r="AD626" t="s">
        <v>1188</v>
      </c>
      <c r="AE626" t="s">
        <v>3065</v>
      </c>
      <c r="AF626" t="s">
        <v>1190</v>
      </c>
    </row>
    <row r="627" spans="1:32" ht="45" x14ac:dyDescent="0.25">
      <c r="A627" s="10">
        <v>452326</v>
      </c>
      <c r="B627" s="10">
        <v>1</v>
      </c>
      <c r="C627" s="9">
        <v>12</v>
      </c>
      <c r="D627" s="56" t="s">
        <v>3659</v>
      </c>
      <c r="E627" s="12" t="s">
        <v>465</v>
      </c>
      <c r="F627" s="45"/>
      <c r="G627" s="45"/>
      <c r="H627" s="45"/>
      <c r="I627">
        <v>452326</v>
      </c>
      <c r="J627" t="s">
        <v>464</v>
      </c>
      <c r="K627" t="s">
        <v>3067</v>
      </c>
      <c r="L627" t="s">
        <v>1178</v>
      </c>
      <c r="M627" t="s">
        <v>1362</v>
      </c>
      <c r="N627" t="s">
        <v>599</v>
      </c>
      <c r="O627" t="s">
        <v>3068</v>
      </c>
      <c r="P627" t="s">
        <v>3069</v>
      </c>
      <c r="Q627" t="s">
        <v>599</v>
      </c>
      <c r="R627" t="s">
        <v>1182</v>
      </c>
      <c r="S627" t="s">
        <v>3070</v>
      </c>
      <c r="T627">
        <v>1935</v>
      </c>
      <c r="U627">
        <v>1935</v>
      </c>
      <c r="V627" t="s">
        <v>3071</v>
      </c>
      <c r="W627" t="s">
        <v>3072</v>
      </c>
      <c r="X627" t="s">
        <v>599</v>
      </c>
      <c r="Y627" t="s">
        <v>599</v>
      </c>
      <c r="Z627" t="s">
        <v>3073</v>
      </c>
      <c r="AA627" t="s">
        <v>599</v>
      </c>
      <c r="AB627" t="s">
        <v>599</v>
      </c>
      <c r="AC627" t="s">
        <v>3074</v>
      </c>
      <c r="AD627" t="s">
        <v>3075</v>
      </c>
      <c r="AE627" t="s">
        <v>3076</v>
      </c>
      <c r="AF627" t="s">
        <v>1190</v>
      </c>
    </row>
    <row r="628" spans="1:32" ht="45" x14ac:dyDescent="0.25">
      <c r="A628" s="10">
        <v>452326</v>
      </c>
      <c r="B628" s="10">
        <v>1</v>
      </c>
      <c r="C628" s="9">
        <v>21</v>
      </c>
      <c r="D628" s="56" t="s">
        <v>3660</v>
      </c>
      <c r="E628" s="12" t="s">
        <v>465</v>
      </c>
      <c r="F628" s="45"/>
      <c r="G628" s="45"/>
      <c r="H628" s="45"/>
      <c r="I628">
        <v>452326</v>
      </c>
      <c r="J628" t="s">
        <v>464</v>
      </c>
      <c r="K628" t="s">
        <v>3067</v>
      </c>
      <c r="L628" t="s">
        <v>1178</v>
      </c>
      <c r="M628" t="s">
        <v>1362</v>
      </c>
      <c r="N628" t="s">
        <v>599</v>
      </c>
      <c r="O628" t="s">
        <v>3068</v>
      </c>
      <c r="P628" t="s">
        <v>3069</v>
      </c>
      <c r="Q628" t="s">
        <v>599</v>
      </c>
      <c r="R628" t="s">
        <v>1182</v>
      </c>
      <c r="S628" t="s">
        <v>3070</v>
      </c>
      <c r="T628">
        <v>1935</v>
      </c>
      <c r="U628">
        <v>1935</v>
      </c>
      <c r="V628" t="s">
        <v>3071</v>
      </c>
      <c r="W628" t="s">
        <v>3072</v>
      </c>
      <c r="X628" t="s">
        <v>599</v>
      </c>
      <c r="Y628" t="s">
        <v>599</v>
      </c>
      <c r="Z628" t="s">
        <v>3073</v>
      </c>
      <c r="AA628" t="s">
        <v>599</v>
      </c>
      <c r="AB628" t="s">
        <v>599</v>
      </c>
      <c r="AC628" t="s">
        <v>3074</v>
      </c>
      <c r="AD628" t="s">
        <v>3075</v>
      </c>
      <c r="AE628" t="s">
        <v>3076</v>
      </c>
      <c r="AF628" t="s">
        <v>1190</v>
      </c>
    </row>
    <row r="629" spans="1:32" ht="45" x14ac:dyDescent="0.25">
      <c r="A629" s="10">
        <v>452326</v>
      </c>
      <c r="B629" s="10">
        <v>1</v>
      </c>
      <c r="C629" s="9">
        <v>108</v>
      </c>
      <c r="D629" s="56" t="s">
        <v>3661</v>
      </c>
      <c r="E629" s="12" t="s">
        <v>465</v>
      </c>
      <c r="F629" s="45"/>
      <c r="G629" s="45"/>
      <c r="H629" s="45"/>
      <c r="I629">
        <v>452326</v>
      </c>
      <c r="J629" t="s">
        <v>464</v>
      </c>
      <c r="K629" t="s">
        <v>3067</v>
      </c>
      <c r="L629" t="s">
        <v>1178</v>
      </c>
      <c r="M629" t="s">
        <v>1362</v>
      </c>
      <c r="N629" t="s">
        <v>599</v>
      </c>
      <c r="O629" t="s">
        <v>3068</v>
      </c>
      <c r="P629" t="s">
        <v>3069</v>
      </c>
      <c r="Q629" t="s">
        <v>599</v>
      </c>
      <c r="R629" t="s">
        <v>1182</v>
      </c>
      <c r="S629" t="s">
        <v>3070</v>
      </c>
      <c r="T629">
        <v>1935</v>
      </c>
      <c r="U629">
        <v>1935</v>
      </c>
      <c r="V629" t="s">
        <v>3071</v>
      </c>
      <c r="W629" t="s">
        <v>3072</v>
      </c>
      <c r="X629" t="s">
        <v>599</v>
      </c>
      <c r="Y629" t="s">
        <v>599</v>
      </c>
      <c r="Z629" t="s">
        <v>3073</v>
      </c>
      <c r="AA629" t="s">
        <v>599</v>
      </c>
      <c r="AB629" t="s">
        <v>599</v>
      </c>
      <c r="AC629" t="s">
        <v>3074</v>
      </c>
      <c r="AD629" t="s">
        <v>3075</v>
      </c>
      <c r="AE629" t="s">
        <v>3076</v>
      </c>
      <c r="AF629" t="s">
        <v>1190</v>
      </c>
    </row>
    <row r="630" spans="1:32" ht="45" x14ac:dyDescent="0.25">
      <c r="A630" s="10">
        <v>452326</v>
      </c>
      <c r="B630" s="10">
        <v>1</v>
      </c>
      <c r="C630" s="9">
        <v>125</v>
      </c>
      <c r="D630" s="56" t="s">
        <v>3662</v>
      </c>
      <c r="E630" s="12" t="s">
        <v>465</v>
      </c>
      <c r="F630" s="45"/>
      <c r="G630" s="45"/>
      <c r="H630" s="45"/>
      <c r="I630">
        <v>452326</v>
      </c>
      <c r="J630" t="s">
        <v>464</v>
      </c>
      <c r="K630" t="s">
        <v>3067</v>
      </c>
      <c r="L630" t="s">
        <v>1178</v>
      </c>
      <c r="M630" t="s">
        <v>1362</v>
      </c>
      <c r="N630" t="s">
        <v>599</v>
      </c>
      <c r="O630" t="s">
        <v>3068</v>
      </c>
      <c r="P630" t="s">
        <v>3069</v>
      </c>
      <c r="Q630" t="s">
        <v>599</v>
      </c>
      <c r="R630" t="s">
        <v>1182</v>
      </c>
      <c r="S630" t="s">
        <v>3070</v>
      </c>
      <c r="T630">
        <v>1935</v>
      </c>
      <c r="U630">
        <v>1935</v>
      </c>
      <c r="V630" t="s">
        <v>3071</v>
      </c>
      <c r="W630" t="s">
        <v>3072</v>
      </c>
      <c r="X630" t="s">
        <v>599</v>
      </c>
      <c r="Y630" t="s">
        <v>599</v>
      </c>
      <c r="Z630" t="s">
        <v>3073</v>
      </c>
      <c r="AA630" t="s">
        <v>599</v>
      </c>
      <c r="AB630" t="s">
        <v>599</v>
      </c>
      <c r="AC630" t="s">
        <v>3074</v>
      </c>
      <c r="AD630" t="s">
        <v>3075</v>
      </c>
      <c r="AE630" t="s">
        <v>3076</v>
      </c>
      <c r="AF630" t="s">
        <v>1190</v>
      </c>
    </row>
    <row r="631" spans="1:32" ht="45" x14ac:dyDescent="0.25">
      <c r="A631" s="10">
        <v>452510</v>
      </c>
      <c r="B631" s="10">
        <v>1</v>
      </c>
      <c r="C631" s="9">
        <v>6</v>
      </c>
      <c r="D631" s="56" t="s">
        <v>3663</v>
      </c>
      <c r="E631" s="12" t="s">
        <v>468</v>
      </c>
      <c r="F631" s="45"/>
      <c r="G631" s="45"/>
      <c r="H631" s="45"/>
      <c r="I631">
        <v>452510</v>
      </c>
      <c r="J631" t="s">
        <v>467</v>
      </c>
      <c r="K631" t="s">
        <v>3077</v>
      </c>
      <c r="L631" t="s">
        <v>1178</v>
      </c>
      <c r="M631" t="s">
        <v>1192</v>
      </c>
      <c r="N631" t="s">
        <v>599</v>
      </c>
      <c r="O631" t="s">
        <v>3078</v>
      </c>
      <c r="P631" t="s">
        <v>599</v>
      </c>
      <c r="Q631" t="s">
        <v>599</v>
      </c>
      <c r="R631" t="s">
        <v>1182</v>
      </c>
      <c r="S631" t="s">
        <v>3079</v>
      </c>
      <c r="T631">
        <v>1897</v>
      </c>
      <c r="U631">
        <v>1897</v>
      </c>
      <c r="V631" t="s">
        <v>3080</v>
      </c>
      <c r="W631" t="s">
        <v>2691</v>
      </c>
      <c r="X631" t="s">
        <v>599</v>
      </c>
      <c r="Y631" t="s">
        <v>599</v>
      </c>
      <c r="Z631" t="s">
        <v>599</v>
      </c>
      <c r="AA631" t="s">
        <v>599</v>
      </c>
      <c r="AB631" t="s">
        <v>599</v>
      </c>
      <c r="AC631" t="s">
        <v>3081</v>
      </c>
      <c r="AD631" t="s">
        <v>599</v>
      </c>
      <c r="AE631" t="s">
        <v>3082</v>
      </c>
      <c r="AF631" t="s">
        <v>1190</v>
      </c>
    </row>
    <row r="632" spans="1:32" ht="45" x14ac:dyDescent="0.25">
      <c r="A632" s="10">
        <v>452510</v>
      </c>
      <c r="B632" s="10">
        <v>1</v>
      </c>
      <c r="C632" s="9">
        <v>11</v>
      </c>
      <c r="D632" s="56" t="s">
        <v>3664</v>
      </c>
      <c r="E632" s="12" t="s">
        <v>468</v>
      </c>
      <c r="F632" s="45"/>
      <c r="G632" s="45"/>
      <c r="H632" s="45"/>
      <c r="I632">
        <v>452510</v>
      </c>
      <c r="J632" t="s">
        <v>467</v>
      </c>
      <c r="K632" t="s">
        <v>3077</v>
      </c>
      <c r="L632" t="s">
        <v>1178</v>
      </c>
      <c r="M632" t="s">
        <v>1192</v>
      </c>
      <c r="N632" t="s">
        <v>599</v>
      </c>
      <c r="O632" t="s">
        <v>3078</v>
      </c>
      <c r="P632" t="s">
        <v>599</v>
      </c>
      <c r="Q632" t="s">
        <v>599</v>
      </c>
      <c r="R632" t="s">
        <v>1182</v>
      </c>
      <c r="S632" t="s">
        <v>3079</v>
      </c>
      <c r="T632">
        <v>1897</v>
      </c>
      <c r="U632">
        <v>1897</v>
      </c>
      <c r="V632" t="s">
        <v>3080</v>
      </c>
      <c r="W632" t="s">
        <v>2691</v>
      </c>
      <c r="X632" t="s">
        <v>599</v>
      </c>
      <c r="Y632" t="s">
        <v>599</v>
      </c>
      <c r="Z632" t="s">
        <v>599</v>
      </c>
      <c r="AA632" t="s">
        <v>599</v>
      </c>
      <c r="AB632" t="s">
        <v>599</v>
      </c>
      <c r="AC632" t="s">
        <v>3081</v>
      </c>
      <c r="AD632" t="s">
        <v>599</v>
      </c>
      <c r="AE632" t="s">
        <v>3082</v>
      </c>
      <c r="AF632" t="s">
        <v>1190</v>
      </c>
    </row>
    <row r="633" spans="1:32" ht="45" x14ac:dyDescent="0.25">
      <c r="A633" s="10">
        <v>464971</v>
      </c>
      <c r="B633" s="10">
        <v>1</v>
      </c>
      <c r="C633" s="9">
        <v>17</v>
      </c>
      <c r="D633" s="56" t="s">
        <v>3665</v>
      </c>
      <c r="E633" s="12" t="s">
        <v>471</v>
      </c>
      <c r="F633" s="45"/>
      <c r="G633" s="45"/>
      <c r="H633" s="45"/>
      <c r="I633">
        <v>464971</v>
      </c>
      <c r="J633" t="s">
        <v>470</v>
      </c>
      <c r="K633" t="s">
        <v>3083</v>
      </c>
      <c r="L633" t="s">
        <v>1178</v>
      </c>
      <c r="M633" t="s">
        <v>1192</v>
      </c>
      <c r="N633" t="s">
        <v>599</v>
      </c>
      <c r="O633" t="s">
        <v>3084</v>
      </c>
      <c r="P633" t="s">
        <v>599</v>
      </c>
      <c r="Q633" t="s">
        <v>599</v>
      </c>
      <c r="R633" t="s">
        <v>1182</v>
      </c>
      <c r="S633" t="s">
        <v>1437</v>
      </c>
      <c r="T633">
        <v>1879</v>
      </c>
      <c r="U633">
        <v>1879</v>
      </c>
      <c r="V633" t="s">
        <v>3085</v>
      </c>
      <c r="W633" t="s">
        <v>1185</v>
      </c>
      <c r="X633" t="s">
        <v>599</v>
      </c>
      <c r="Y633" t="s">
        <v>599</v>
      </c>
      <c r="Z633" t="s">
        <v>599</v>
      </c>
      <c r="AA633" t="s">
        <v>599</v>
      </c>
      <c r="AB633" t="s">
        <v>599</v>
      </c>
      <c r="AC633" t="s">
        <v>3086</v>
      </c>
      <c r="AD633" t="s">
        <v>1188</v>
      </c>
      <c r="AE633" t="s">
        <v>3087</v>
      </c>
      <c r="AF633" t="s">
        <v>1190</v>
      </c>
    </row>
    <row r="634" spans="1:32" ht="60" x14ac:dyDescent="0.25">
      <c r="A634" s="10">
        <v>465618</v>
      </c>
      <c r="B634" s="10">
        <v>1</v>
      </c>
      <c r="C634" s="9">
        <v>8</v>
      </c>
      <c r="D634" s="56" t="s">
        <v>3666</v>
      </c>
      <c r="E634" s="12" t="s">
        <v>473</v>
      </c>
      <c r="F634" s="45"/>
      <c r="G634" s="45"/>
      <c r="H634" s="45"/>
      <c r="I634">
        <v>465618</v>
      </c>
      <c r="J634" t="s">
        <v>472</v>
      </c>
      <c r="K634" t="s">
        <v>3089</v>
      </c>
      <c r="L634" t="s">
        <v>1178</v>
      </c>
      <c r="M634" t="s">
        <v>1192</v>
      </c>
      <c r="N634" t="s">
        <v>599</v>
      </c>
      <c r="O634" t="s">
        <v>3090</v>
      </c>
      <c r="P634" t="s">
        <v>599</v>
      </c>
      <c r="Q634" t="s">
        <v>599</v>
      </c>
      <c r="R634" t="s">
        <v>1182</v>
      </c>
      <c r="S634" t="s">
        <v>3091</v>
      </c>
      <c r="T634">
        <v>1860</v>
      </c>
      <c r="U634">
        <v>1860</v>
      </c>
      <c r="V634" t="s">
        <v>3092</v>
      </c>
      <c r="W634" t="s">
        <v>3093</v>
      </c>
      <c r="X634" t="s">
        <v>599</v>
      </c>
      <c r="Y634" t="s">
        <v>599</v>
      </c>
      <c r="Z634" t="s">
        <v>3094</v>
      </c>
      <c r="AA634" t="s">
        <v>599</v>
      </c>
      <c r="AB634" t="s">
        <v>599</v>
      </c>
      <c r="AC634" t="s">
        <v>3095</v>
      </c>
      <c r="AD634" t="s">
        <v>1188</v>
      </c>
      <c r="AE634" t="s">
        <v>3096</v>
      </c>
      <c r="AF634" t="s">
        <v>1190</v>
      </c>
    </row>
    <row r="635" spans="1:32" ht="60" x14ac:dyDescent="0.25">
      <c r="A635" s="10">
        <v>465618</v>
      </c>
      <c r="B635" s="10">
        <v>1</v>
      </c>
      <c r="C635" s="9">
        <v>55</v>
      </c>
      <c r="D635" s="56" t="s">
        <v>3667</v>
      </c>
      <c r="E635" s="12" t="s">
        <v>473</v>
      </c>
      <c r="F635" s="45"/>
      <c r="G635" s="45"/>
      <c r="H635" s="45"/>
      <c r="I635">
        <v>465618</v>
      </c>
      <c r="J635" t="s">
        <v>472</v>
      </c>
      <c r="K635" t="s">
        <v>3089</v>
      </c>
      <c r="L635" t="s">
        <v>1178</v>
      </c>
      <c r="M635" t="s">
        <v>1192</v>
      </c>
      <c r="N635" t="s">
        <v>599</v>
      </c>
      <c r="O635" t="s">
        <v>3090</v>
      </c>
      <c r="P635" t="s">
        <v>599</v>
      </c>
      <c r="Q635" t="s">
        <v>599</v>
      </c>
      <c r="R635" t="s">
        <v>1182</v>
      </c>
      <c r="S635" t="s">
        <v>3091</v>
      </c>
      <c r="T635">
        <v>1860</v>
      </c>
      <c r="U635">
        <v>1860</v>
      </c>
      <c r="V635" t="s">
        <v>3092</v>
      </c>
      <c r="W635" t="s">
        <v>3093</v>
      </c>
      <c r="X635" t="s">
        <v>599</v>
      </c>
      <c r="Y635" t="s">
        <v>599</v>
      </c>
      <c r="Z635" t="s">
        <v>3094</v>
      </c>
      <c r="AA635" t="s">
        <v>599</v>
      </c>
      <c r="AB635" t="s">
        <v>599</v>
      </c>
      <c r="AC635" t="s">
        <v>3095</v>
      </c>
      <c r="AD635" t="s">
        <v>1188</v>
      </c>
      <c r="AE635" t="s">
        <v>3096</v>
      </c>
      <c r="AF635" t="s">
        <v>1190</v>
      </c>
    </row>
    <row r="636" spans="1:32" ht="60" x14ac:dyDescent="0.25">
      <c r="A636" s="10">
        <v>465618</v>
      </c>
      <c r="B636" s="10">
        <v>1</v>
      </c>
      <c r="C636" s="9">
        <v>81</v>
      </c>
      <c r="D636" s="56" t="s">
        <v>3668</v>
      </c>
      <c r="E636" s="12" t="s">
        <v>473</v>
      </c>
      <c r="F636" s="45"/>
      <c r="G636" s="45"/>
      <c r="H636" s="45"/>
      <c r="I636">
        <v>465618</v>
      </c>
      <c r="J636" t="s">
        <v>472</v>
      </c>
      <c r="K636" t="s">
        <v>3089</v>
      </c>
      <c r="L636" t="s">
        <v>1178</v>
      </c>
      <c r="M636" t="s">
        <v>1192</v>
      </c>
      <c r="N636" t="s">
        <v>599</v>
      </c>
      <c r="O636" t="s">
        <v>3090</v>
      </c>
      <c r="P636" t="s">
        <v>599</v>
      </c>
      <c r="Q636" t="s">
        <v>599</v>
      </c>
      <c r="R636" t="s">
        <v>1182</v>
      </c>
      <c r="S636" t="s">
        <v>3091</v>
      </c>
      <c r="T636">
        <v>1860</v>
      </c>
      <c r="U636">
        <v>1860</v>
      </c>
      <c r="V636" t="s">
        <v>3092</v>
      </c>
      <c r="W636" t="s">
        <v>3093</v>
      </c>
      <c r="X636" t="s">
        <v>599</v>
      </c>
      <c r="Y636" t="s">
        <v>599</v>
      </c>
      <c r="Z636" t="s">
        <v>3094</v>
      </c>
      <c r="AA636" t="s">
        <v>599</v>
      </c>
      <c r="AB636" t="s">
        <v>599</v>
      </c>
      <c r="AC636" t="s">
        <v>3095</v>
      </c>
      <c r="AD636" t="s">
        <v>1188</v>
      </c>
      <c r="AE636" t="s">
        <v>3096</v>
      </c>
      <c r="AF636" t="s">
        <v>1190</v>
      </c>
    </row>
    <row r="637" spans="1:32" ht="60" x14ac:dyDescent="0.25">
      <c r="A637" s="10">
        <v>465618</v>
      </c>
      <c r="B637" s="10">
        <v>1</v>
      </c>
      <c r="C637" s="9">
        <v>198</v>
      </c>
      <c r="D637" s="56" t="s">
        <v>3669</v>
      </c>
      <c r="E637" s="12" t="s">
        <v>473</v>
      </c>
      <c r="F637" s="45"/>
      <c r="G637" s="45"/>
      <c r="H637" s="45"/>
      <c r="I637">
        <v>465618</v>
      </c>
      <c r="J637" t="s">
        <v>472</v>
      </c>
      <c r="K637" t="s">
        <v>3089</v>
      </c>
      <c r="L637" t="s">
        <v>1178</v>
      </c>
      <c r="M637" t="s">
        <v>1192</v>
      </c>
      <c r="N637" t="s">
        <v>599</v>
      </c>
      <c r="O637" t="s">
        <v>3090</v>
      </c>
      <c r="P637" t="s">
        <v>599</v>
      </c>
      <c r="Q637" t="s">
        <v>599</v>
      </c>
      <c r="R637" t="s">
        <v>1182</v>
      </c>
      <c r="S637" t="s">
        <v>3091</v>
      </c>
      <c r="T637">
        <v>1860</v>
      </c>
      <c r="U637">
        <v>1860</v>
      </c>
      <c r="V637" t="s">
        <v>3092</v>
      </c>
      <c r="W637" t="s">
        <v>3093</v>
      </c>
      <c r="X637" t="s">
        <v>599</v>
      </c>
      <c r="Y637" t="s">
        <v>599</v>
      </c>
      <c r="Z637" t="s">
        <v>3094</v>
      </c>
      <c r="AA637" t="s">
        <v>599</v>
      </c>
      <c r="AB637" t="s">
        <v>599</v>
      </c>
      <c r="AC637" t="s">
        <v>3095</v>
      </c>
      <c r="AD637" t="s">
        <v>1188</v>
      </c>
      <c r="AE637" t="s">
        <v>3096</v>
      </c>
      <c r="AF637" t="s">
        <v>1190</v>
      </c>
    </row>
    <row r="638" spans="1:32" ht="60" x14ac:dyDescent="0.25">
      <c r="A638" s="10">
        <v>465618</v>
      </c>
      <c r="B638" s="10">
        <v>1</v>
      </c>
      <c r="C638" s="9">
        <v>307</v>
      </c>
      <c r="D638" s="56" t="s">
        <v>3670</v>
      </c>
      <c r="E638" s="12" t="s">
        <v>473</v>
      </c>
      <c r="F638" s="45"/>
      <c r="G638" s="45"/>
      <c r="H638" s="45"/>
      <c r="I638">
        <v>465618</v>
      </c>
      <c r="J638" t="s">
        <v>472</v>
      </c>
      <c r="K638" t="s">
        <v>3089</v>
      </c>
      <c r="L638" t="s">
        <v>1178</v>
      </c>
      <c r="M638" t="s">
        <v>1192</v>
      </c>
      <c r="N638" t="s">
        <v>599</v>
      </c>
      <c r="O638" t="s">
        <v>3090</v>
      </c>
      <c r="P638" t="s">
        <v>599</v>
      </c>
      <c r="Q638" t="s">
        <v>599</v>
      </c>
      <c r="R638" t="s">
        <v>1182</v>
      </c>
      <c r="S638" t="s">
        <v>3091</v>
      </c>
      <c r="T638">
        <v>1860</v>
      </c>
      <c r="U638">
        <v>1860</v>
      </c>
      <c r="V638" t="s">
        <v>3092</v>
      </c>
      <c r="W638" t="s">
        <v>3093</v>
      </c>
      <c r="X638" t="s">
        <v>599</v>
      </c>
      <c r="Y638" t="s">
        <v>599</v>
      </c>
      <c r="Z638" t="s">
        <v>3094</v>
      </c>
      <c r="AA638" t="s">
        <v>599</v>
      </c>
      <c r="AB638" t="s">
        <v>599</v>
      </c>
      <c r="AC638" t="s">
        <v>3095</v>
      </c>
      <c r="AD638" t="s">
        <v>1188</v>
      </c>
      <c r="AE638" t="s">
        <v>3096</v>
      </c>
      <c r="AF638" t="s">
        <v>1190</v>
      </c>
    </row>
    <row r="639" spans="1:32" ht="60" x14ac:dyDescent="0.25">
      <c r="A639" s="10">
        <v>465618</v>
      </c>
      <c r="B639" s="10">
        <v>1</v>
      </c>
      <c r="C639" s="9">
        <v>369</v>
      </c>
      <c r="D639" s="56" t="s">
        <v>3671</v>
      </c>
      <c r="E639" s="12" t="s">
        <v>473</v>
      </c>
      <c r="F639" s="45"/>
      <c r="G639" s="45"/>
      <c r="H639" s="45"/>
      <c r="I639">
        <v>465618</v>
      </c>
      <c r="J639" t="s">
        <v>472</v>
      </c>
      <c r="K639" t="s">
        <v>3089</v>
      </c>
      <c r="L639" t="s">
        <v>1178</v>
      </c>
      <c r="M639" t="s">
        <v>1192</v>
      </c>
      <c r="N639" t="s">
        <v>599</v>
      </c>
      <c r="O639" t="s">
        <v>3090</v>
      </c>
      <c r="P639" t="s">
        <v>599</v>
      </c>
      <c r="Q639" t="s">
        <v>599</v>
      </c>
      <c r="R639" t="s">
        <v>1182</v>
      </c>
      <c r="S639" t="s">
        <v>3091</v>
      </c>
      <c r="T639">
        <v>1860</v>
      </c>
      <c r="U639">
        <v>1860</v>
      </c>
      <c r="V639" t="s">
        <v>3092</v>
      </c>
      <c r="W639" t="s">
        <v>3093</v>
      </c>
      <c r="X639" t="s">
        <v>599</v>
      </c>
      <c r="Y639" t="s">
        <v>599</v>
      </c>
      <c r="Z639" t="s">
        <v>3094</v>
      </c>
      <c r="AA639" t="s">
        <v>599</v>
      </c>
      <c r="AB639" t="s">
        <v>599</v>
      </c>
      <c r="AC639" t="s">
        <v>3095</v>
      </c>
      <c r="AD639" t="s">
        <v>1188</v>
      </c>
      <c r="AE639" t="s">
        <v>3096</v>
      </c>
      <c r="AF639" t="s">
        <v>1190</v>
      </c>
    </row>
    <row r="640" spans="1:32" ht="75" x14ac:dyDescent="0.25">
      <c r="A640" s="10">
        <v>478277</v>
      </c>
      <c r="B640" s="10">
        <v>1</v>
      </c>
      <c r="C640" s="9">
        <v>1</v>
      </c>
      <c r="D640" s="56" t="s">
        <v>3672</v>
      </c>
      <c r="E640" s="12" t="s">
        <v>476</v>
      </c>
      <c r="F640" s="45"/>
      <c r="G640" s="45"/>
      <c r="H640" s="45"/>
      <c r="I640">
        <v>478277</v>
      </c>
      <c r="J640" t="s">
        <v>475</v>
      </c>
      <c r="K640" t="s">
        <v>3098</v>
      </c>
      <c r="L640" t="s">
        <v>1226</v>
      </c>
      <c r="M640" t="s">
        <v>1192</v>
      </c>
      <c r="N640" t="s">
        <v>599</v>
      </c>
      <c r="O640" t="s">
        <v>3099</v>
      </c>
      <c r="P640" t="s">
        <v>3100</v>
      </c>
      <c r="Q640" t="s">
        <v>599</v>
      </c>
      <c r="R640" t="s">
        <v>1182</v>
      </c>
      <c r="S640" t="s">
        <v>3101</v>
      </c>
      <c r="T640">
        <v>1880</v>
      </c>
      <c r="U640">
        <v>1880</v>
      </c>
      <c r="V640" t="s">
        <v>599</v>
      </c>
      <c r="W640" t="s">
        <v>599</v>
      </c>
      <c r="X640" t="s">
        <v>599</v>
      </c>
      <c r="Y640" t="s">
        <v>599</v>
      </c>
      <c r="Z640" t="s">
        <v>3102</v>
      </c>
      <c r="AA640" t="s">
        <v>599</v>
      </c>
      <c r="AB640" t="s">
        <v>599</v>
      </c>
      <c r="AC640" t="s">
        <v>3103</v>
      </c>
      <c r="AD640" t="s">
        <v>599</v>
      </c>
      <c r="AE640" t="s">
        <v>3104</v>
      </c>
      <c r="AF640" t="s">
        <v>1190</v>
      </c>
    </row>
    <row r="641" spans="1:32" ht="75" x14ac:dyDescent="0.25">
      <c r="A641" s="10">
        <v>478277</v>
      </c>
      <c r="B641" s="10">
        <v>1</v>
      </c>
      <c r="C641" s="9">
        <v>10</v>
      </c>
      <c r="D641" s="56" t="s">
        <v>3673</v>
      </c>
      <c r="E641" s="12" t="s">
        <v>476</v>
      </c>
      <c r="F641" s="45"/>
      <c r="G641" s="45"/>
      <c r="H641" s="45"/>
      <c r="I641">
        <v>478277</v>
      </c>
      <c r="J641" t="s">
        <v>475</v>
      </c>
      <c r="K641" t="s">
        <v>3098</v>
      </c>
      <c r="L641" t="s">
        <v>1226</v>
      </c>
      <c r="M641" t="s">
        <v>1192</v>
      </c>
      <c r="N641" t="s">
        <v>599</v>
      </c>
      <c r="O641" t="s">
        <v>3099</v>
      </c>
      <c r="P641" t="s">
        <v>3100</v>
      </c>
      <c r="Q641" t="s">
        <v>599</v>
      </c>
      <c r="R641" t="s">
        <v>1182</v>
      </c>
      <c r="S641" t="s">
        <v>3101</v>
      </c>
      <c r="T641">
        <v>1880</v>
      </c>
      <c r="U641">
        <v>1880</v>
      </c>
      <c r="V641" t="s">
        <v>599</v>
      </c>
      <c r="W641" t="s">
        <v>599</v>
      </c>
      <c r="X641" t="s">
        <v>599</v>
      </c>
      <c r="Y641" t="s">
        <v>599</v>
      </c>
      <c r="Z641" t="s">
        <v>3102</v>
      </c>
      <c r="AA641" t="s">
        <v>599</v>
      </c>
      <c r="AB641" t="s">
        <v>599</v>
      </c>
      <c r="AC641" t="s">
        <v>3103</v>
      </c>
      <c r="AD641" t="s">
        <v>599</v>
      </c>
      <c r="AE641" t="s">
        <v>3104</v>
      </c>
      <c r="AF641" t="s">
        <v>1190</v>
      </c>
    </row>
    <row r="642" spans="1:32" ht="75" x14ac:dyDescent="0.25">
      <c r="A642" s="10">
        <v>478277</v>
      </c>
      <c r="B642" s="10">
        <v>1</v>
      </c>
      <c r="C642" s="9">
        <v>11</v>
      </c>
      <c r="D642" s="56" t="s">
        <v>3674</v>
      </c>
      <c r="E642" s="12" t="s">
        <v>476</v>
      </c>
      <c r="F642" s="45"/>
      <c r="G642" s="45"/>
      <c r="H642" s="45"/>
      <c r="I642">
        <v>478277</v>
      </c>
      <c r="J642" t="s">
        <v>475</v>
      </c>
      <c r="K642" t="s">
        <v>3098</v>
      </c>
      <c r="L642" t="s">
        <v>1226</v>
      </c>
      <c r="M642" t="s">
        <v>1192</v>
      </c>
      <c r="N642" t="s">
        <v>599</v>
      </c>
      <c r="O642" t="s">
        <v>3099</v>
      </c>
      <c r="P642" t="s">
        <v>3100</v>
      </c>
      <c r="Q642" t="s">
        <v>599</v>
      </c>
      <c r="R642" t="s">
        <v>1182</v>
      </c>
      <c r="S642" t="s">
        <v>3101</v>
      </c>
      <c r="T642">
        <v>1880</v>
      </c>
      <c r="U642">
        <v>1880</v>
      </c>
      <c r="V642" t="s">
        <v>599</v>
      </c>
      <c r="W642" t="s">
        <v>599</v>
      </c>
      <c r="X642" t="s">
        <v>599</v>
      </c>
      <c r="Y642" t="s">
        <v>599</v>
      </c>
      <c r="Z642" t="s">
        <v>3102</v>
      </c>
      <c r="AA642" t="s">
        <v>599</v>
      </c>
      <c r="AB642" t="s">
        <v>599</v>
      </c>
      <c r="AC642" t="s">
        <v>3103</v>
      </c>
      <c r="AD642" t="s">
        <v>599</v>
      </c>
      <c r="AE642" t="s">
        <v>3104</v>
      </c>
      <c r="AF642" t="s">
        <v>1190</v>
      </c>
    </row>
    <row r="643" spans="1:32" ht="75" x14ac:dyDescent="0.25">
      <c r="A643" s="10">
        <v>478277</v>
      </c>
      <c r="B643" s="10">
        <v>1</v>
      </c>
      <c r="C643" s="9">
        <v>14</v>
      </c>
      <c r="D643" s="56" t="s">
        <v>3675</v>
      </c>
      <c r="E643" s="12" t="s">
        <v>476</v>
      </c>
      <c r="F643" s="45"/>
      <c r="G643" s="45"/>
      <c r="H643" s="45"/>
      <c r="I643">
        <v>478277</v>
      </c>
      <c r="J643" t="s">
        <v>475</v>
      </c>
      <c r="K643" t="s">
        <v>3098</v>
      </c>
      <c r="L643" t="s">
        <v>1226</v>
      </c>
      <c r="M643" t="s">
        <v>1192</v>
      </c>
      <c r="N643" t="s">
        <v>599</v>
      </c>
      <c r="O643" t="s">
        <v>3099</v>
      </c>
      <c r="P643" t="s">
        <v>3100</v>
      </c>
      <c r="Q643" t="s">
        <v>599</v>
      </c>
      <c r="R643" t="s">
        <v>1182</v>
      </c>
      <c r="S643" t="s">
        <v>3101</v>
      </c>
      <c r="T643">
        <v>1880</v>
      </c>
      <c r="U643">
        <v>1880</v>
      </c>
      <c r="V643" t="s">
        <v>599</v>
      </c>
      <c r="W643" t="s">
        <v>599</v>
      </c>
      <c r="X643" t="s">
        <v>599</v>
      </c>
      <c r="Y643" t="s">
        <v>599</v>
      </c>
      <c r="Z643" t="s">
        <v>3102</v>
      </c>
      <c r="AA643" t="s">
        <v>599</v>
      </c>
      <c r="AB643" t="s">
        <v>599</v>
      </c>
      <c r="AC643" t="s">
        <v>3103</v>
      </c>
      <c r="AD643" t="s">
        <v>599</v>
      </c>
      <c r="AE643" t="s">
        <v>3104</v>
      </c>
      <c r="AF643" t="s">
        <v>1190</v>
      </c>
    </row>
    <row r="644" spans="1:32" ht="75" x14ac:dyDescent="0.25">
      <c r="A644" s="10">
        <v>478277</v>
      </c>
      <c r="B644" s="10">
        <v>1</v>
      </c>
      <c r="C644" s="9">
        <v>16</v>
      </c>
      <c r="D644" s="56" t="s">
        <v>3676</v>
      </c>
      <c r="E644" s="12" t="s">
        <v>476</v>
      </c>
      <c r="F644" s="45"/>
      <c r="G644" s="45"/>
      <c r="H644" s="45"/>
      <c r="I644">
        <v>478277</v>
      </c>
      <c r="J644" t="s">
        <v>475</v>
      </c>
      <c r="K644" t="s">
        <v>3098</v>
      </c>
      <c r="L644" t="s">
        <v>1226</v>
      </c>
      <c r="M644" t="s">
        <v>1192</v>
      </c>
      <c r="N644" t="s">
        <v>599</v>
      </c>
      <c r="O644" t="s">
        <v>3099</v>
      </c>
      <c r="P644" t="s">
        <v>3100</v>
      </c>
      <c r="Q644" t="s">
        <v>599</v>
      </c>
      <c r="R644" t="s">
        <v>1182</v>
      </c>
      <c r="S644" t="s">
        <v>3101</v>
      </c>
      <c r="T644">
        <v>1880</v>
      </c>
      <c r="U644">
        <v>1880</v>
      </c>
      <c r="V644" t="s">
        <v>599</v>
      </c>
      <c r="W644" t="s">
        <v>599</v>
      </c>
      <c r="X644" t="s">
        <v>599</v>
      </c>
      <c r="Y644" t="s">
        <v>599</v>
      </c>
      <c r="Z644" t="s">
        <v>3102</v>
      </c>
      <c r="AA644" t="s">
        <v>599</v>
      </c>
      <c r="AB644" t="s">
        <v>599</v>
      </c>
      <c r="AC644" t="s">
        <v>3103</v>
      </c>
      <c r="AD644" t="s">
        <v>599</v>
      </c>
      <c r="AE644" t="s">
        <v>3104</v>
      </c>
      <c r="AF644" t="s">
        <v>1190</v>
      </c>
    </row>
    <row r="645" spans="1:32" ht="75" x14ac:dyDescent="0.25">
      <c r="A645" s="10">
        <v>478277</v>
      </c>
      <c r="B645" s="10">
        <v>1</v>
      </c>
      <c r="C645" s="9">
        <v>20</v>
      </c>
      <c r="D645" s="56" t="s">
        <v>3677</v>
      </c>
      <c r="E645" s="12" t="s">
        <v>476</v>
      </c>
      <c r="F645" s="45"/>
      <c r="G645" s="45"/>
      <c r="H645" s="45"/>
      <c r="I645">
        <v>478277</v>
      </c>
      <c r="J645" t="s">
        <v>475</v>
      </c>
      <c r="K645" t="s">
        <v>3098</v>
      </c>
      <c r="L645" t="s">
        <v>1226</v>
      </c>
      <c r="M645" t="s">
        <v>1192</v>
      </c>
      <c r="N645" t="s">
        <v>599</v>
      </c>
      <c r="O645" t="s">
        <v>3099</v>
      </c>
      <c r="P645" t="s">
        <v>3100</v>
      </c>
      <c r="Q645" t="s">
        <v>599</v>
      </c>
      <c r="R645" t="s">
        <v>1182</v>
      </c>
      <c r="S645" t="s">
        <v>3101</v>
      </c>
      <c r="T645">
        <v>1880</v>
      </c>
      <c r="U645">
        <v>1880</v>
      </c>
      <c r="V645" t="s">
        <v>599</v>
      </c>
      <c r="W645" t="s">
        <v>599</v>
      </c>
      <c r="X645" t="s">
        <v>599</v>
      </c>
      <c r="Y645" t="s">
        <v>599</v>
      </c>
      <c r="Z645" t="s">
        <v>3102</v>
      </c>
      <c r="AA645" t="s">
        <v>599</v>
      </c>
      <c r="AB645" t="s">
        <v>599</v>
      </c>
      <c r="AC645" t="s">
        <v>3103</v>
      </c>
      <c r="AD645" t="s">
        <v>599</v>
      </c>
      <c r="AE645" t="s">
        <v>3104</v>
      </c>
      <c r="AF645" t="s">
        <v>1190</v>
      </c>
    </row>
    <row r="646" spans="1:32" ht="45" x14ac:dyDescent="0.25">
      <c r="A646" s="10">
        <v>709123</v>
      </c>
      <c r="B646" s="10">
        <v>1</v>
      </c>
      <c r="C646" s="9">
        <v>1</v>
      </c>
      <c r="D646" s="56" t="s">
        <v>3678</v>
      </c>
      <c r="E646" s="12">
        <v>1</v>
      </c>
      <c r="F646" s="45"/>
      <c r="G646" s="45"/>
      <c r="H646" s="45"/>
      <c r="I646">
        <v>709123</v>
      </c>
      <c r="J646" t="s">
        <v>478</v>
      </c>
      <c r="K646" t="s">
        <v>3105</v>
      </c>
      <c r="L646" t="s">
        <v>1312</v>
      </c>
      <c r="M646" t="s">
        <v>1192</v>
      </c>
      <c r="N646" t="s">
        <v>599</v>
      </c>
      <c r="O646" t="s">
        <v>3106</v>
      </c>
      <c r="P646" t="s">
        <v>3107</v>
      </c>
      <c r="Q646" t="s">
        <v>599</v>
      </c>
      <c r="R646" t="s">
        <v>1182</v>
      </c>
      <c r="S646" t="s">
        <v>3108</v>
      </c>
      <c r="T646">
        <v>1890</v>
      </c>
      <c r="U646">
        <v>1890</v>
      </c>
      <c r="V646" t="s">
        <v>1315</v>
      </c>
      <c r="W646" t="s">
        <v>599</v>
      </c>
      <c r="X646" t="s">
        <v>599</v>
      </c>
      <c r="Y646" t="s">
        <v>599</v>
      </c>
      <c r="Z646" t="s">
        <v>1683</v>
      </c>
      <c r="AA646" t="s">
        <v>599</v>
      </c>
      <c r="AB646" t="s">
        <v>599</v>
      </c>
      <c r="AC646" t="s">
        <v>3109</v>
      </c>
      <c r="AD646" t="s">
        <v>599</v>
      </c>
      <c r="AE646" t="s">
        <v>3110</v>
      </c>
      <c r="AF646" t="s">
        <v>1190</v>
      </c>
    </row>
    <row r="647" spans="1:32" ht="45" x14ac:dyDescent="0.25">
      <c r="A647" s="29">
        <v>766189</v>
      </c>
      <c r="B647" s="29">
        <v>1</v>
      </c>
      <c r="C647" s="28">
        <v>1</v>
      </c>
      <c r="D647" s="57" t="s">
        <v>3679</v>
      </c>
      <c r="E647" s="31" t="s">
        <v>480</v>
      </c>
      <c r="F647" s="45"/>
      <c r="G647" s="45"/>
      <c r="H647" s="45"/>
      <c r="I647">
        <v>766189</v>
      </c>
      <c r="J647" t="s">
        <v>479</v>
      </c>
      <c r="K647" t="s">
        <v>3112</v>
      </c>
      <c r="L647" t="s">
        <v>1178</v>
      </c>
      <c r="M647" t="s">
        <v>1192</v>
      </c>
      <c r="N647" t="s">
        <v>599</v>
      </c>
      <c r="O647" t="s">
        <v>1551</v>
      </c>
      <c r="P647" t="s">
        <v>599</v>
      </c>
      <c r="Q647" t="s">
        <v>599</v>
      </c>
      <c r="R647" t="s">
        <v>1182</v>
      </c>
      <c r="S647" t="s">
        <v>3113</v>
      </c>
      <c r="T647">
        <v>1644</v>
      </c>
      <c r="U647">
        <v>1644</v>
      </c>
      <c r="V647" t="s">
        <v>3114</v>
      </c>
      <c r="W647" t="s">
        <v>1185</v>
      </c>
      <c r="X647" t="s">
        <v>599</v>
      </c>
      <c r="Y647" t="s">
        <v>599</v>
      </c>
      <c r="Z647" t="s">
        <v>3115</v>
      </c>
      <c r="AA647" t="s">
        <v>599</v>
      </c>
      <c r="AB647" t="s">
        <v>599</v>
      </c>
      <c r="AC647" t="s">
        <v>3116</v>
      </c>
      <c r="AD647" t="s">
        <v>2967</v>
      </c>
      <c r="AE647" t="s">
        <v>3117</v>
      </c>
      <c r="AF647" t="s">
        <v>1190</v>
      </c>
    </row>
    <row r="648" spans="1:32" ht="45" x14ac:dyDescent="0.25">
      <c r="A648" s="10">
        <v>782735</v>
      </c>
      <c r="B648" s="10">
        <v>1</v>
      </c>
      <c r="C648" s="9">
        <v>10</v>
      </c>
      <c r="D648" s="56" t="s">
        <v>3680</v>
      </c>
      <c r="E648" s="12" t="s">
        <v>482</v>
      </c>
      <c r="F648" s="45"/>
      <c r="G648" s="45"/>
      <c r="H648" s="45"/>
      <c r="I648">
        <v>782735</v>
      </c>
      <c r="J648" t="s">
        <v>481</v>
      </c>
      <c r="K648" t="s">
        <v>3120</v>
      </c>
      <c r="L648" t="s">
        <v>1178</v>
      </c>
      <c r="M648" t="s">
        <v>1192</v>
      </c>
      <c r="N648" t="s">
        <v>599</v>
      </c>
      <c r="O648" t="s">
        <v>3121</v>
      </c>
      <c r="P648" t="s">
        <v>599</v>
      </c>
      <c r="Q648" t="s">
        <v>599</v>
      </c>
      <c r="R648" t="s">
        <v>1182</v>
      </c>
      <c r="S648" t="s">
        <v>2268</v>
      </c>
      <c r="T648">
        <v>1860</v>
      </c>
      <c r="U648">
        <v>1860</v>
      </c>
      <c r="V648" t="s">
        <v>3122</v>
      </c>
      <c r="W648" t="s">
        <v>3123</v>
      </c>
      <c r="X648" t="s">
        <v>599</v>
      </c>
      <c r="Y648" t="s">
        <v>599</v>
      </c>
      <c r="Z648" t="s">
        <v>599</v>
      </c>
      <c r="AA648" t="s">
        <v>599</v>
      </c>
      <c r="AB648" t="s">
        <v>599</v>
      </c>
      <c r="AC648" t="s">
        <v>3124</v>
      </c>
      <c r="AD648" t="s">
        <v>1188</v>
      </c>
      <c r="AE648" t="s">
        <v>3125</v>
      </c>
      <c r="AF648" t="s">
        <v>1190</v>
      </c>
    </row>
    <row r="649" spans="1:32" ht="45" x14ac:dyDescent="0.25">
      <c r="A649" s="10">
        <v>782740</v>
      </c>
      <c r="B649" s="10">
        <v>1</v>
      </c>
      <c r="C649" s="9">
        <v>8</v>
      </c>
      <c r="D649" s="56" t="s">
        <v>3681</v>
      </c>
      <c r="E649" s="12" t="s">
        <v>484</v>
      </c>
      <c r="F649" s="45"/>
      <c r="G649" s="45"/>
      <c r="H649" s="45"/>
      <c r="I649">
        <v>782740</v>
      </c>
      <c r="J649" t="s">
        <v>483</v>
      </c>
      <c r="K649" t="s">
        <v>3126</v>
      </c>
      <c r="L649" t="s">
        <v>1178</v>
      </c>
      <c r="M649" t="s">
        <v>1192</v>
      </c>
      <c r="N649" t="s">
        <v>599</v>
      </c>
      <c r="O649" t="s">
        <v>1551</v>
      </c>
      <c r="P649" t="s">
        <v>1330</v>
      </c>
      <c r="Q649" t="s">
        <v>599</v>
      </c>
      <c r="R649" t="s">
        <v>3127</v>
      </c>
      <c r="S649" t="s">
        <v>3128</v>
      </c>
      <c r="T649">
        <v>1871</v>
      </c>
      <c r="U649">
        <v>1871</v>
      </c>
      <c r="V649" t="s">
        <v>3129</v>
      </c>
      <c r="W649" t="s">
        <v>1185</v>
      </c>
      <c r="X649" t="s">
        <v>599</v>
      </c>
      <c r="Y649" t="s">
        <v>599</v>
      </c>
      <c r="Z649" t="s">
        <v>599</v>
      </c>
      <c r="AA649" t="s">
        <v>599</v>
      </c>
      <c r="AB649" t="s">
        <v>599</v>
      </c>
      <c r="AC649" t="s">
        <v>3130</v>
      </c>
      <c r="AD649" t="s">
        <v>1188</v>
      </c>
      <c r="AE649" t="s">
        <v>3131</v>
      </c>
      <c r="AF649" t="s">
        <v>1190</v>
      </c>
    </row>
    <row r="650" spans="1:32" ht="45" x14ac:dyDescent="0.25">
      <c r="A650" s="10">
        <v>782742</v>
      </c>
      <c r="B650" s="10">
        <v>1</v>
      </c>
      <c r="C650" s="9">
        <v>6</v>
      </c>
      <c r="D650" s="56" t="s">
        <v>3682</v>
      </c>
      <c r="E650" s="12" t="s">
        <v>408</v>
      </c>
      <c r="F650" s="45"/>
      <c r="G650" s="45"/>
      <c r="H650" s="45"/>
      <c r="I650">
        <v>782742</v>
      </c>
      <c r="J650" t="s">
        <v>485</v>
      </c>
      <c r="K650" t="s">
        <v>3132</v>
      </c>
      <c r="L650" t="s">
        <v>1178</v>
      </c>
      <c r="M650" t="s">
        <v>1192</v>
      </c>
      <c r="N650" t="s">
        <v>599</v>
      </c>
      <c r="O650" t="s">
        <v>1551</v>
      </c>
      <c r="P650" t="s">
        <v>1330</v>
      </c>
      <c r="Q650" t="s">
        <v>599</v>
      </c>
      <c r="R650" t="s">
        <v>3133</v>
      </c>
      <c r="S650" t="s">
        <v>3134</v>
      </c>
      <c r="T650">
        <v>1874</v>
      </c>
      <c r="U650">
        <v>1874</v>
      </c>
      <c r="V650" t="s">
        <v>3135</v>
      </c>
      <c r="W650" t="s">
        <v>1185</v>
      </c>
      <c r="X650" t="s">
        <v>599</v>
      </c>
      <c r="Y650" t="s">
        <v>599</v>
      </c>
      <c r="Z650" t="s">
        <v>599</v>
      </c>
      <c r="AA650" t="s">
        <v>599</v>
      </c>
      <c r="AB650" t="s">
        <v>599</v>
      </c>
      <c r="AC650" t="s">
        <v>3136</v>
      </c>
      <c r="AD650" t="s">
        <v>1188</v>
      </c>
      <c r="AE650" t="s">
        <v>3137</v>
      </c>
      <c r="AF650" t="s">
        <v>1190</v>
      </c>
    </row>
    <row r="651" spans="1:32" ht="45" x14ac:dyDescent="0.25">
      <c r="A651" s="10">
        <v>782743</v>
      </c>
      <c r="B651" s="10">
        <v>1</v>
      </c>
      <c r="C651" s="9">
        <v>6</v>
      </c>
      <c r="D651" s="56" t="s">
        <v>3683</v>
      </c>
      <c r="E651" s="12" t="s">
        <v>408</v>
      </c>
      <c r="F651" s="45"/>
      <c r="G651" s="45"/>
      <c r="H651" s="45"/>
      <c r="I651">
        <v>782743</v>
      </c>
      <c r="J651" t="s">
        <v>486</v>
      </c>
      <c r="K651" t="s">
        <v>3138</v>
      </c>
      <c r="L651" t="s">
        <v>1178</v>
      </c>
      <c r="M651" t="s">
        <v>1192</v>
      </c>
      <c r="N651" t="s">
        <v>599</v>
      </c>
      <c r="O651" t="s">
        <v>1551</v>
      </c>
      <c r="P651" t="s">
        <v>1330</v>
      </c>
      <c r="Q651" t="s">
        <v>599</v>
      </c>
      <c r="R651" t="s">
        <v>1731</v>
      </c>
      <c r="S651" t="s">
        <v>3139</v>
      </c>
      <c r="T651">
        <v>1897</v>
      </c>
      <c r="U651">
        <v>1897</v>
      </c>
      <c r="V651" t="s">
        <v>3140</v>
      </c>
      <c r="W651" t="s">
        <v>1185</v>
      </c>
      <c r="X651" t="s">
        <v>599</v>
      </c>
      <c r="Y651" t="s">
        <v>599</v>
      </c>
      <c r="Z651" t="s">
        <v>599</v>
      </c>
      <c r="AA651" t="s">
        <v>599</v>
      </c>
      <c r="AB651" t="s">
        <v>599</v>
      </c>
      <c r="AC651" t="s">
        <v>3141</v>
      </c>
      <c r="AD651" t="s">
        <v>1188</v>
      </c>
      <c r="AE651" t="s">
        <v>3142</v>
      </c>
      <c r="AF651" t="s">
        <v>1190</v>
      </c>
    </row>
    <row r="652" spans="1:32" ht="45" x14ac:dyDescent="0.25">
      <c r="A652" s="10">
        <v>783484</v>
      </c>
      <c r="B652" s="10">
        <v>1</v>
      </c>
      <c r="C652" s="9">
        <v>10</v>
      </c>
      <c r="D652" s="56" t="s">
        <v>3684</v>
      </c>
      <c r="E652" s="12" t="s">
        <v>178</v>
      </c>
      <c r="F652" s="45"/>
      <c r="G652" s="45"/>
      <c r="H652" s="45"/>
      <c r="I652">
        <v>783484</v>
      </c>
      <c r="J652" t="s">
        <v>487</v>
      </c>
      <c r="K652" t="s">
        <v>3143</v>
      </c>
      <c r="L652" t="s">
        <v>1178</v>
      </c>
      <c r="M652" t="s">
        <v>1502</v>
      </c>
      <c r="N652" t="s">
        <v>1192</v>
      </c>
      <c r="O652" t="s">
        <v>1742</v>
      </c>
      <c r="P652" t="s">
        <v>599</v>
      </c>
      <c r="Q652" t="s">
        <v>599</v>
      </c>
      <c r="R652" t="s">
        <v>3144</v>
      </c>
      <c r="S652" t="s">
        <v>2680</v>
      </c>
      <c r="T652">
        <v>1805</v>
      </c>
      <c r="U652">
        <v>1805</v>
      </c>
      <c r="V652" t="s">
        <v>3145</v>
      </c>
      <c r="W652" t="s">
        <v>1185</v>
      </c>
      <c r="X652" t="s">
        <v>599</v>
      </c>
      <c r="Y652" t="s">
        <v>599</v>
      </c>
      <c r="Z652" t="s">
        <v>3146</v>
      </c>
      <c r="AA652" t="s">
        <v>599</v>
      </c>
      <c r="AB652" t="s">
        <v>599</v>
      </c>
      <c r="AC652" t="s">
        <v>3147</v>
      </c>
      <c r="AD652" t="s">
        <v>1188</v>
      </c>
      <c r="AE652" t="s">
        <v>3148</v>
      </c>
      <c r="AF652" t="s">
        <v>1190</v>
      </c>
    </row>
    <row r="653" spans="1:32" ht="45" x14ac:dyDescent="0.25">
      <c r="A653" s="10">
        <v>783488</v>
      </c>
      <c r="B653" s="10">
        <v>1</v>
      </c>
      <c r="C653" s="9">
        <v>8</v>
      </c>
      <c r="D653" s="56" t="s">
        <v>3685</v>
      </c>
      <c r="E653" s="12" t="s">
        <v>484</v>
      </c>
      <c r="F653" s="45"/>
      <c r="G653" s="45"/>
      <c r="H653" s="45"/>
      <c r="I653">
        <v>783488</v>
      </c>
      <c r="J653" t="s">
        <v>488</v>
      </c>
      <c r="K653" t="s">
        <v>3149</v>
      </c>
      <c r="L653" t="s">
        <v>1178</v>
      </c>
      <c r="M653" t="s">
        <v>1502</v>
      </c>
      <c r="N653" t="s">
        <v>1192</v>
      </c>
      <c r="O653" t="s">
        <v>3150</v>
      </c>
      <c r="P653" t="s">
        <v>599</v>
      </c>
      <c r="Q653" t="s">
        <v>599</v>
      </c>
      <c r="R653" t="s">
        <v>3151</v>
      </c>
      <c r="S653" t="s">
        <v>2680</v>
      </c>
      <c r="T653">
        <v>1804</v>
      </c>
      <c r="U653">
        <v>1804</v>
      </c>
      <c r="V653" t="s">
        <v>3152</v>
      </c>
      <c r="W653" t="s">
        <v>1185</v>
      </c>
      <c r="X653" t="s">
        <v>599</v>
      </c>
      <c r="Y653" t="s">
        <v>599</v>
      </c>
      <c r="Z653" t="s">
        <v>3146</v>
      </c>
      <c r="AA653" t="s">
        <v>599</v>
      </c>
      <c r="AB653" t="s">
        <v>599</v>
      </c>
      <c r="AC653" t="s">
        <v>3153</v>
      </c>
      <c r="AD653" t="s">
        <v>1188</v>
      </c>
      <c r="AE653" t="s">
        <v>3154</v>
      </c>
      <c r="AF653" t="s">
        <v>1190</v>
      </c>
    </row>
    <row r="654" spans="1:32" ht="45" x14ac:dyDescent="0.25">
      <c r="A654" s="10">
        <v>784526</v>
      </c>
      <c r="B654" s="10">
        <v>1</v>
      </c>
      <c r="C654" s="9">
        <v>6</v>
      </c>
      <c r="D654" s="56" t="s">
        <v>3686</v>
      </c>
      <c r="E654" s="12" t="s">
        <v>408</v>
      </c>
      <c r="F654" s="45"/>
      <c r="G654" s="45"/>
      <c r="H654" s="45"/>
      <c r="I654">
        <v>784526</v>
      </c>
      <c r="J654" t="s">
        <v>489</v>
      </c>
      <c r="K654" t="s">
        <v>3155</v>
      </c>
      <c r="L654" t="s">
        <v>1178</v>
      </c>
      <c r="M654" t="s">
        <v>1502</v>
      </c>
      <c r="N654" t="s">
        <v>1192</v>
      </c>
      <c r="O654" t="s">
        <v>1742</v>
      </c>
      <c r="P654" t="s">
        <v>599</v>
      </c>
      <c r="Q654" t="s">
        <v>599</v>
      </c>
      <c r="R654" t="s">
        <v>2370</v>
      </c>
      <c r="S654" t="s">
        <v>2680</v>
      </c>
      <c r="T654">
        <v>1808</v>
      </c>
      <c r="U654">
        <v>1808</v>
      </c>
      <c r="V654" t="s">
        <v>3156</v>
      </c>
      <c r="W654" t="s">
        <v>1185</v>
      </c>
      <c r="X654" t="s">
        <v>599</v>
      </c>
      <c r="Y654" t="s">
        <v>599</v>
      </c>
      <c r="Z654" t="s">
        <v>3146</v>
      </c>
      <c r="AA654" t="s">
        <v>599</v>
      </c>
      <c r="AB654" t="s">
        <v>599</v>
      </c>
      <c r="AC654" t="s">
        <v>3157</v>
      </c>
      <c r="AD654" t="s">
        <v>1188</v>
      </c>
      <c r="AE654" t="s">
        <v>3158</v>
      </c>
      <c r="AF654" t="s">
        <v>1190</v>
      </c>
    </row>
    <row r="655" spans="1:32" ht="45" x14ac:dyDescent="0.25">
      <c r="A655" s="10">
        <v>784628</v>
      </c>
      <c r="B655" s="10">
        <v>1</v>
      </c>
      <c r="C655" s="9">
        <v>6</v>
      </c>
      <c r="D655" s="56" t="s">
        <v>3687</v>
      </c>
      <c r="E655" s="12" t="s">
        <v>491</v>
      </c>
      <c r="F655" s="45"/>
      <c r="G655" s="45"/>
      <c r="H655" s="45"/>
      <c r="I655">
        <v>784628</v>
      </c>
      <c r="J655" t="s">
        <v>490</v>
      </c>
      <c r="K655" t="s">
        <v>3159</v>
      </c>
      <c r="L655" t="s">
        <v>1178</v>
      </c>
      <c r="M655" t="s">
        <v>1403</v>
      </c>
      <c r="N655" t="s">
        <v>1192</v>
      </c>
      <c r="O655" t="s">
        <v>2638</v>
      </c>
      <c r="P655" t="s">
        <v>599</v>
      </c>
      <c r="Q655" t="s">
        <v>599</v>
      </c>
      <c r="R655" t="s">
        <v>1182</v>
      </c>
      <c r="S655" t="s">
        <v>3160</v>
      </c>
      <c r="T655">
        <v>1800</v>
      </c>
      <c r="U655">
        <v>1800</v>
      </c>
      <c r="V655" t="s">
        <v>3161</v>
      </c>
      <c r="W655" t="s">
        <v>1185</v>
      </c>
      <c r="X655" t="s">
        <v>599</v>
      </c>
      <c r="Y655" t="s">
        <v>599</v>
      </c>
      <c r="Z655" t="s">
        <v>3162</v>
      </c>
      <c r="AA655" t="s">
        <v>599</v>
      </c>
      <c r="AB655" t="s">
        <v>599</v>
      </c>
      <c r="AC655" t="s">
        <v>3163</v>
      </c>
      <c r="AD655" t="s">
        <v>1188</v>
      </c>
      <c r="AE655" t="s">
        <v>3164</v>
      </c>
      <c r="AF655" t="s">
        <v>1190</v>
      </c>
    </row>
    <row r="656" spans="1:32" ht="150" x14ac:dyDescent="0.25">
      <c r="A656" s="10">
        <v>788999</v>
      </c>
      <c r="B656" s="10">
        <v>1</v>
      </c>
      <c r="C656" s="9">
        <v>1</v>
      </c>
      <c r="D656" s="56" t="s">
        <v>3688</v>
      </c>
      <c r="E656" s="12" t="s">
        <v>493</v>
      </c>
      <c r="F656" s="45"/>
      <c r="G656" s="45"/>
      <c r="H656" s="45"/>
      <c r="I656">
        <v>788999</v>
      </c>
      <c r="J656" t="s">
        <v>492</v>
      </c>
      <c r="K656" t="s">
        <v>3165</v>
      </c>
      <c r="L656" t="s">
        <v>1178</v>
      </c>
      <c r="M656" t="s">
        <v>1192</v>
      </c>
      <c r="N656" t="s">
        <v>599</v>
      </c>
      <c r="O656" t="s">
        <v>3166</v>
      </c>
      <c r="P656" t="s">
        <v>3167</v>
      </c>
      <c r="Q656" t="s">
        <v>599</v>
      </c>
      <c r="R656" t="s">
        <v>1182</v>
      </c>
      <c r="S656" t="s">
        <v>3168</v>
      </c>
      <c r="T656">
        <v>1916</v>
      </c>
      <c r="U656">
        <v>1916</v>
      </c>
      <c r="V656" t="s">
        <v>3169</v>
      </c>
      <c r="W656" t="s">
        <v>1185</v>
      </c>
      <c r="X656" t="s">
        <v>599</v>
      </c>
      <c r="Y656" t="s">
        <v>599</v>
      </c>
      <c r="Z656" t="s">
        <v>3170</v>
      </c>
      <c r="AA656" t="s">
        <v>599</v>
      </c>
      <c r="AB656" t="s">
        <v>599</v>
      </c>
      <c r="AC656" t="s">
        <v>3171</v>
      </c>
      <c r="AD656" t="s">
        <v>1188</v>
      </c>
      <c r="AE656" t="s">
        <v>3172</v>
      </c>
      <c r="AF656" t="s">
        <v>1190</v>
      </c>
    </row>
    <row r="657" spans="1:32" ht="150" x14ac:dyDescent="0.25">
      <c r="A657" s="10">
        <v>788999</v>
      </c>
      <c r="B657" s="10">
        <v>1</v>
      </c>
      <c r="C657" s="9">
        <v>8</v>
      </c>
      <c r="D657" s="56" t="s">
        <v>3689</v>
      </c>
      <c r="E657" s="12" t="s">
        <v>493</v>
      </c>
      <c r="F657" s="45"/>
      <c r="G657" s="45"/>
      <c r="H657" s="45"/>
      <c r="I657">
        <v>788999</v>
      </c>
      <c r="J657" t="s">
        <v>492</v>
      </c>
      <c r="K657" t="s">
        <v>3165</v>
      </c>
      <c r="L657" t="s">
        <v>1178</v>
      </c>
      <c r="M657" t="s">
        <v>1192</v>
      </c>
      <c r="N657" t="s">
        <v>599</v>
      </c>
      <c r="O657" t="s">
        <v>3166</v>
      </c>
      <c r="P657" t="s">
        <v>3167</v>
      </c>
      <c r="Q657" t="s">
        <v>599</v>
      </c>
      <c r="R657" t="s">
        <v>1182</v>
      </c>
      <c r="S657" t="s">
        <v>3168</v>
      </c>
      <c r="T657">
        <v>1916</v>
      </c>
      <c r="U657">
        <v>1916</v>
      </c>
      <c r="V657" t="s">
        <v>3169</v>
      </c>
      <c r="W657" t="s">
        <v>1185</v>
      </c>
      <c r="X657" t="s">
        <v>599</v>
      </c>
      <c r="Y657" t="s">
        <v>599</v>
      </c>
      <c r="Z657" t="s">
        <v>3170</v>
      </c>
      <c r="AA657" t="s">
        <v>599</v>
      </c>
      <c r="AB657" t="s">
        <v>599</v>
      </c>
      <c r="AC657" t="s">
        <v>3171</v>
      </c>
      <c r="AD657" t="s">
        <v>1188</v>
      </c>
      <c r="AE657" t="s">
        <v>3172</v>
      </c>
      <c r="AF657" t="s">
        <v>1190</v>
      </c>
    </row>
    <row r="658" spans="1:32" ht="150" x14ac:dyDescent="0.25">
      <c r="A658" s="10">
        <v>788999</v>
      </c>
      <c r="B658" s="10">
        <v>1</v>
      </c>
      <c r="C658" s="9">
        <v>9</v>
      </c>
      <c r="D658" s="56" t="s">
        <v>3690</v>
      </c>
      <c r="E658" s="12" t="s">
        <v>493</v>
      </c>
      <c r="F658" s="45"/>
      <c r="G658" s="45"/>
      <c r="H658" s="45"/>
      <c r="I658">
        <v>788999</v>
      </c>
      <c r="J658" t="s">
        <v>492</v>
      </c>
      <c r="K658" t="s">
        <v>3165</v>
      </c>
      <c r="L658" t="s">
        <v>1178</v>
      </c>
      <c r="M658" t="s">
        <v>1192</v>
      </c>
      <c r="N658" t="s">
        <v>599</v>
      </c>
      <c r="O658" t="s">
        <v>3166</v>
      </c>
      <c r="P658" t="s">
        <v>3167</v>
      </c>
      <c r="Q658" t="s">
        <v>599</v>
      </c>
      <c r="R658" t="s">
        <v>1182</v>
      </c>
      <c r="S658" t="s">
        <v>3168</v>
      </c>
      <c r="T658">
        <v>1916</v>
      </c>
      <c r="U658">
        <v>1916</v>
      </c>
      <c r="V658" t="s">
        <v>3169</v>
      </c>
      <c r="W658" t="s">
        <v>1185</v>
      </c>
      <c r="X658" t="s">
        <v>599</v>
      </c>
      <c r="Y658" t="s">
        <v>599</v>
      </c>
      <c r="Z658" t="s">
        <v>3170</v>
      </c>
      <c r="AA658" t="s">
        <v>599</v>
      </c>
      <c r="AB658" t="s">
        <v>599</v>
      </c>
      <c r="AC658" t="s">
        <v>3171</v>
      </c>
      <c r="AD658" t="s">
        <v>1188</v>
      </c>
      <c r="AE658" t="s">
        <v>3172</v>
      </c>
      <c r="AF658" t="s">
        <v>1190</v>
      </c>
    </row>
    <row r="659" spans="1:32" ht="150" x14ac:dyDescent="0.25">
      <c r="A659" s="10">
        <v>788999</v>
      </c>
      <c r="B659" s="10">
        <v>1</v>
      </c>
      <c r="C659" s="9">
        <v>25</v>
      </c>
      <c r="D659" s="56" t="s">
        <v>3691</v>
      </c>
      <c r="E659" s="12" t="s">
        <v>493</v>
      </c>
      <c r="F659" s="45"/>
      <c r="G659" s="45"/>
      <c r="H659" s="45"/>
      <c r="I659">
        <v>788999</v>
      </c>
      <c r="J659" t="s">
        <v>492</v>
      </c>
      <c r="K659" t="s">
        <v>3165</v>
      </c>
      <c r="L659" t="s">
        <v>1178</v>
      </c>
      <c r="M659" t="s">
        <v>1192</v>
      </c>
      <c r="N659" t="s">
        <v>599</v>
      </c>
      <c r="O659" t="s">
        <v>3166</v>
      </c>
      <c r="P659" t="s">
        <v>3167</v>
      </c>
      <c r="Q659" t="s">
        <v>599</v>
      </c>
      <c r="R659" t="s">
        <v>1182</v>
      </c>
      <c r="S659" t="s">
        <v>3168</v>
      </c>
      <c r="T659">
        <v>1916</v>
      </c>
      <c r="U659">
        <v>1916</v>
      </c>
      <c r="V659" t="s">
        <v>3169</v>
      </c>
      <c r="W659" t="s">
        <v>1185</v>
      </c>
      <c r="X659" t="s">
        <v>599</v>
      </c>
      <c r="Y659" t="s">
        <v>599</v>
      </c>
      <c r="Z659" t="s">
        <v>3170</v>
      </c>
      <c r="AA659" t="s">
        <v>599</v>
      </c>
      <c r="AB659" t="s">
        <v>599</v>
      </c>
      <c r="AC659" t="s">
        <v>3171</v>
      </c>
      <c r="AD659" t="s">
        <v>1188</v>
      </c>
      <c r="AE659" t="s">
        <v>3172</v>
      </c>
      <c r="AF659" t="s">
        <v>1190</v>
      </c>
    </row>
    <row r="660" spans="1:32" ht="150" x14ac:dyDescent="0.25">
      <c r="A660" s="10">
        <v>788999</v>
      </c>
      <c r="B660" s="10">
        <v>1</v>
      </c>
      <c r="C660" s="9">
        <v>27</v>
      </c>
      <c r="D660" s="56" t="s">
        <v>3692</v>
      </c>
      <c r="E660" s="12" t="s">
        <v>493</v>
      </c>
      <c r="F660" s="45"/>
      <c r="G660" s="45"/>
      <c r="H660" s="45"/>
      <c r="I660">
        <v>788999</v>
      </c>
      <c r="J660" t="s">
        <v>492</v>
      </c>
      <c r="K660" t="s">
        <v>3165</v>
      </c>
      <c r="L660" t="s">
        <v>1178</v>
      </c>
      <c r="M660" t="s">
        <v>1192</v>
      </c>
      <c r="N660" t="s">
        <v>599</v>
      </c>
      <c r="O660" t="s">
        <v>3166</v>
      </c>
      <c r="P660" t="s">
        <v>3167</v>
      </c>
      <c r="Q660" t="s">
        <v>599</v>
      </c>
      <c r="R660" t="s">
        <v>1182</v>
      </c>
      <c r="S660" t="s">
        <v>3168</v>
      </c>
      <c r="T660">
        <v>1916</v>
      </c>
      <c r="U660">
        <v>1916</v>
      </c>
      <c r="V660" t="s">
        <v>3169</v>
      </c>
      <c r="W660" t="s">
        <v>1185</v>
      </c>
      <c r="X660" t="s">
        <v>599</v>
      </c>
      <c r="Y660" t="s">
        <v>599</v>
      </c>
      <c r="Z660" t="s">
        <v>3170</v>
      </c>
      <c r="AA660" t="s">
        <v>599</v>
      </c>
      <c r="AB660" t="s">
        <v>599</v>
      </c>
      <c r="AC660" t="s">
        <v>3171</v>
      </c>
      <c r="AD660" t="s">
        <v>1188</v>
      </c>
      <c r="AE660" t="s">
        <v>3172</v>
      </c>
      <c r="AF660" t="s">
        <v>1190</v>
      </c>
    </row>
    <row r="661" spans="1:32" ht="150" x14ac:dyDescent="0.25">
      <c r="A661" s="10">
        <v>788999</v>
      </c>
      <c r="B661" s="10">
        <v>1</v>
      </c>
      <c r="C661" s="9">
        <v>29</v>
      </c>
      <c r="D661" s="56" t="s">
        <v>3693</v>
      </c>
      <c r="E661" s="12" t="s">
        <v>493</v>
      </c>
      <c r="F661" s="45"/>
      <c r="G661" s="45"/>
      <c r="H661" s="45"/>
      <c r="I661">
        <v>788999</v>
      </c>
      <c r="J661" t="s">
        <v>492</v>
      </c>
      <c r="K661" t="s">
        <v>3165</v>
      </c>
      <c r="L661" t="s">
        <v>1178</v>
      </c>
      <c r="M661" t="s">
        <v>1192</v>
      </c>
      <c r="N661" t="s">
        <v>599</v>
      </c>
      <c r="O661" t="s">
        <v>3166</v>
      </c>
      <c r="P661" t="s">
        <v>3167</v>
      </c>
      <c r="Q661" t="s">
        <v>599</v>
      </c>
      <c r="R661" t="s">
        <v>1182</v>
      </c>
      <c r="S661" t="s">
        <v>3168</v>
      </c>
      <c r="T661">
        <v>1916</v>
      </c>
      <c r="U661">
        <v>1916</v>
      </c>
      <c r="V661" t="s">
        <v>3169</v>
      </c>
      <c r="W661" t="s">
        <v>1185</v>
      </c>
      <c r="X661" t="s">
        <v>599</v>
      </c>
      <c r="Y661" t="s">
        <v>599</v>
      </c>
      <c r="Z661" t="s">
        <v>3170</v>
      </c>
      <c r="AA661" t="s">
        <v>599</v>
      </c>
      <c r="AB661" t="s">
        <v>599</v>
      </c>
      <c r="AC661" t="s">
        <v>3171</v>
      </c>
      <c r="AD661" t="s">
        <v>1188</v>
      </c>
      <c r="AE661" t="s">
        <v>3172</v>
      </c>
      <c r="AF661" t="s">
        <v>1190</v>
      </c>
    </row>
    <row r="662" spans="1:32" ht="150" x14ac:dyDescent="0.25">
      <c r="A662" s="10">
        <v>788999</v>
      </c>
      <c r="B662" s="10">
        <v>1</v>
      </c>
      <c r="C662" s="9">
        <v>31</v>
      </c>
      <c r="D662" s="56" t="s">
        <v>3694</v>
      </c>
      <c r="E662" s="12" t="s">
        <v>493</v>
      </c>
      <c r="F662" s="45"/>
      <c r="G662" s="45"/>
      <c r="H662" s="45"/>
      <c r="I662">
        <v>788999</v>
      </c>
      <c r="J662" t="s">
        <v>492</v>
      </c>
      <c r="K662" t="s">
        <v>3165</v>
      </c>
      <c r="L662" t="s">
        <v>1178</v>
      </c>
      <c r="M662" t="s">
        <v>1192</v>
      </c>
      <c r="N662" t="s">
        <v>599</v>
      </c>
      <c r="O662" t="s">
        <v>3166</v>
      </c>
      <c r="P662" t="s">
        <v>3167</v>
      </c>
      <c r="Q662" t="s">
        <v>599</v>
      </c>
      <c r="R662" t="s">
        <v>1182</v>
      </c>
      <c r="S662" t="s">
        <v>3168</v>
      </c>
      <c r="T662">
        <v>1916</v>
      </c>
      <c r="U662">
        <v>1916</v>
      </c>
      <c r="V662" t="s">
        <v>3169</v>
      </c>
      <c r="W662" t="s">
        <v>1185</v>
      </c>
      <c r="X662" t="s">
        <v>599</v>
      </c>
      <c r="Y662" t="s">
        <v>599</v>
      </c>
      <c r="Z662" t="s">
        <v>3170</v>
      </c>
      <c r="AA662" t="s">
        <v>599</v>
      </c>
      <c r="AB662" t="s">
        <v>599</v>
      </c>
      <c r="AC662" t="s">
        <v>3171</v>
      </c>
      <c r="AD662" t="s">
        <v>1188</v>
      </c>
      <c r="AE662" t="s">
        <v>3172</v>
      </c>
      <c r="AF662" t="s">
        <v>1190</v>
      </c>
    </row>
    <row r="663" spans="1:32" ht="150" x14ac:dyDescent="0.25">
      <c r="A663" s="10">
        <v>788999</v>
      </c>
      <c r="B663" s="10">
        <v>1</v>
      </c>
      <c r="C663" s="9">
        <v>59</v>
      </c>
      <c r="D663" s="56" t="s">
        <v>3695</v>
      </c>
      <c r="E663" s="12" t="s">
        <v>493</v>
      </c>
      <c r="F663" s="45"/>
      <c r="G663" s="45"/>
      <c r="H663" s="45"/>
      <c r="I663">
        <v>788999</v>
      </c>
      <c r="J663" t="s">
        <v>492</v>
      </c>
      <c r="K663" t="s">
        <v>3165</v>
      </c>
      <c r="L663" t="s">
        <v>1178</v>
      </c>
      <c r="M663" t="s">
        <v>1192</v>
      </c>
      <c r="N663" t="s">
        <v>599</v>
      </c>
      <c r="O663" t="s">
        <v>3166</v>
      </c>
      <c r="P663" t="s">
        <v>3167</v>
      </c>
      <c r="Q663" t="s">
        <v>599</v>
      </c>
      <c r="R663" t="s">
        <v>1182</v>
      </c>
      <c r="S663" t="s">
        <v>3168</v>
      </c>
      <c r="T663">
        <v>1916</v>
      </c>
      <c r="U663">
        <v>1916</v>
      </c>
      <c r="V663" t="s">
        <v>3169</v>
      </c>
      <c r="W663" t="s">
        <v>1185</v>
      </c>
      <c r="X663" t="s">
        <v>599</v>
      </c>
      <c r="Y663" t="s">
        <v>599</v>
      </c>
      <c r="Z663" t="s">
        <v>3170</v>
      </c>
      <c r="AA663" t="s">
        <v>599</v>
      </c>
      <c r="AB663" t="s">
        <v>599</v>
      </c>
      <c r="AC663" t="s">
        <v>3171</v>
      </c>
      <c r="AD663" t="s">
        <v>1188</v>
      </c>
      <c r="AE663" t="s">
        <v>3172</v>
      </c>
      <c r="AF663" t="s">
        <v>1190</v>
      </c>
    </row>
    <row r="664" spans="1:32" ht="150" x14ac:dyDescent="0.25">
      <c r="A664" s="10">
        <v>788999</v>
      </c>
      <c r="B664" s="10">
        <v>1</v>
      </c>
      <c r="C664" s="9">
        <v>71</v>
      </c>
      <c r="D664" s="56" t="s">
        <v>3696</v>
      </c>
      <c r="E664" s="12" t="s">
        <v>493</v>
      </c>
      <c r="F664" s="45"/>
      <c r="G664" s="45"/>
      <c r="H664" s="45"/>
      <c r="I664">
        <v>788999</v>
      </c>
      <c r="J664" t="s">
        <v>492</v>
      </c>
      <c r="K664" t="s">
        <v>3165</v>
      </c>
      <c r="L664" t="s">
        <v>1178</v>
      </c>
      <c r="M664" t="s">
        <v>1192</v>
      </c>
      <c r="N664" t="s">
        <v>599</v>
      </c>
      <c r="O664" t="s">
        <v>3166</v>
      </c>
      <c r="P664" t="s">
        <v>3167</v>
      </c>
      <c r="Q664" t="s">
        <v>599</v>
      </c>
      <c r="R664" t="s">
        <v>1182</v>
      </c>
      <c r="S664" t="s">
        <v>3168</v>
      </c>
      <c r="T664">
        <v>1916</v>
      </c>
      <c r="U664">
        <v>1916</v>
      </c>
      <c r="V664" t="s">
        <v>3169</v>
      </c>
      <c r="W664" t="s">
        <v>1185</v>
      </c>
      <c r="X664" t="s">
        <v>599</v>
      </c>
      <c r="Y664" t="s">
        <v>599</v>
      </c>
      <c r="Z664" t="s">
        <v>3170</v>
      </c>
      <c r="AA664" t="s">
        <v>599</v>
      </c>
      <c r="AB664" t="s">
        <v>599</v>
      </c>
      <c r="AC664" t="s">
        <v>3171</v>
      </c>
      <c r="AD664" t="s">
        <v>1188</v>
      </c>
      <c r="AE664" t="s">
        <v>3172</v>
      </c>
      <c r="AF664" t="s">
        <v>1190</v>
      </c>
    </row>
    <row r="665" spans="1:32" ht="150" x14ac:dyDescent="0.25">
      <c r="A665" s="10">
        <v>788999</v>
      </c>
      <c r="B665" s="10">
        <v>1</v>
      </c>
      <c r="C665" s="9">
        <v>89</v>
      </c>
      <c r="D665" s="56" t="s">
        <v>3697</v>
      </c>
      <c r="E665" s="12" t="s">
        <v>493</v>
      </c>
      <c r="F665" s="45"/>
      <c r="G665" s="45"/>
      <c r="H665" s="45"/>
      <c r="I665">
        <v>788999</v>
      </c>
      <c r="J665" t="s">
        <v>492</v>
      </c>
      <c r="K665" t="s">
        <v>3165</v>
      </c>
      <c r="L665" t="s">
        <v>1178</v>
      </c>
      <c r="M665" t="s">
        <v>1192</v>
      </c>
      <c r="N665" t="s">
        <v>599</v>
      </c>
      <c r="O665" t="s">
        <v>3166</v>
      </c>
      <c r="P665" t="s">
        <v>3167</v>
      </c>
      <c r="Q665" t="s">
        <v>599</v>
      </c>
      <c r="R665" t="s">
        <v>1182</v>
      </c>
      <c r="S665" t="s">
        <v>3168</v>
      </c>
      <c r="T665">
        <v>1916</v>
      </c>
      <c r="U665">
        <v>1916</v>
      </c>
      <c r="V665" t="s">
        <v>3169</v>
      </c>
      <c r="W665" t="s">
        <v>1185</v>
      </c>
      <c r="X665" t="s">
        <v>599</v>
      </c>
      <c r="Y665" t="s">
        <v>599</v>
      </c>
      <c r="Z665" t="s">
        <v>3170</v>
      </c>
      <c r="AA665" t="s">
        <v>599</v>
      </c>
      <c r="AB665" t="s">
        <v>599</v>
      </c>
      <c r="AC665" t="s">
        <v>3171</v>
      </c>
      <c r="AD665" t="s">
        <v>1188</v>
      </c>
      <c r="AE665" t="s">
        <v>3172</v>
      </c>
      <c r="AF665" t="s">
        <v>1190</v>
      </c>
    </row>
    <row r="666" spans="1:32" ht="150" x14ac:dyDescent="0.25">
      <c r="A666" s="10">
        <v>788999</v>
      </c>
      <c r="B666" s="10">
        <v>1</v>
      </c>
      <c r="C666" s="9">
        <v>95</v>
      </c>
      <c r="D666" s="56" t="s">
        <v>3698</v>
      </c>
      <c r="E666" s="12" t="s">
        <v>493</v>
      </c>
      <c r="F666" s="45"/>
      <c r="G666" s="45"/>
      <c r="H666" s="45"/>
      <c r="I666">
        <v>788999</v>
      </c>
      <c r="J666" t="s">
        <v>492</v>
      </c>
      <c r="K666" t="s">
        <v>3165</v>
      </c>
      <c r="L666" t="s">
        <v>1178</v>
      </c>
      <c r="M666" t="s">
        <v>1192</v>
      </c>
      <c r="N666" t="s">
        <v>599</v>
      </c>
      <c r="O666" t="s">
        <v>3166</v>
      </c>
      <c r="P666" t="s">
        <v>3167</v>
      </c>
      <c r="Q666" t="s">
        <v>599</v>
      </c>
      <c r="R666" t="s">
        <v>1182</v>
      </c>
      <c r="S666" t="s">
        <v>3168</v>
      </c>
      <c r="T666">
        <v>1916</v>
      </c>
      <c r="U666">
        <v>1916</v>
      </c>
      <c r="V666" t="s">
        <v>3169</v>
      </c>
      <c r="W666" t="s">
        <v>1185</v>
      </c>
      <c r="X666" t="s">
        <v>599</v>
      </c>
      <c r="Y666" t="s">
        <v>599</v>
      </c>
      <c r="Z666" t="s">
        <v>3170</v>
      </c>
      <c r="AA666" t="s">
        <v>599</v>
      </c>
      <c r="AB666" t="s">
        <v>599</v>
      </c>
      <c r="AC666" t="s">
        <v>3171</v>
      </c>
      <c r="AD666" t="s">
        <v>1188</v>
      </c>
      <c r="AE666" t="s">
        <v>3172</v>
      </c>
      <c r="AF666" t="s">
        <v>1190</v>
      </c>
    </row>
    <row r="667" spans="1:32" ht="150" x14ac:dyDescent="0.25">
      <c r="A667" s="10">
        <v>788999</v>
      </c>
      <c r="B667" s="10">
        <v>1</v>
      </c>
      <c r="C667" s="9">
        <v>127</v>
      </c>
      <c r="D667" s="56" t="s">
        <v>3699</v>
      </c>
      <c r="E667" s="12" t="s">
        <v>493</v>
      </c>
      <c r="F667" s="45"/>
      <c r="G667" s="45"/>
      <c r="H667" s="45"/>
      <c r="I667">
        <v>788999</v>
      </c>
      <c r="J667" t="s">
        <v>492</v>
      </c>
      <c r="K667" t="s">
        <v>3165</v>
      </c>
      <c r="L667" t="s">
        <v>1178</v>
      </c>
      <c r="M667" t="s">
        <v>1192</v>
      </c>
      <c r="N667" t="s">
        <v>599</v>
      </c>
      <c r="O667" t="s">
        <v>3166</v>
      </c>
      <c r="P667" t="s">
        <v>3167</v>
      </c>
      <c r="Q667" t="s">
        <v>599</v>
      </c>
      <c r="R667" t="s">
        <v>1182</v>
      </c>
      <c r="S667" t="s">
        <v>3168</v>
      </c>
      <c r="T667">
        <v>1916</v>
      </c>
      <c r="U667">
        <v>1916</v>
      </c>
      <c r="V667" t="s">
        <v>3169</v>
      </c>
      <c r="W667" t="s">
        <v>1185</v>
      </c>
      <c r="X667" t="s">
        <v>599</v>
      </c>
      <c r="Y667" t="s">
        <v>599</v>
      </c>
      <c r="Z667" t="s">
        <v>3170</v>
      </c>
      <c r="AA667" t="s">
        <v>599</v>
      </c>
      <c r="AB667" t="s">
        <v>599</v>
      </c>
      <c r="AC667" t="s">
        <v>3171</v>
      </c>
      <c r="AD667" t="s">
        <v>1188</v>
      </c>
      <c r="AE667" t="s">
        <v>3172</v>
      </c>
      <c r="AF667" t="s">
        <v>1190</v>
      </c>
    </row>
    <row r="668" spans="1:32" ht="150" x14ac:dyDescent="0.25">
      <c r="A668" s="10">
        <v>788999</v>
      </c>
      <c r="B668" s="10">
        <v>1</v>
      </c>
      <c r="C668" s="9">
        <v>135</v>
      </c>
      <c r="D668" s="56" t="s">
        <v>3700</v>
      </c>
      <c r="E668" s="12" t="s">
        <v>493</v>
      </c>
      <c r="F668" s="45"/>
      <c r="G668" s="45"/>
      <c r="H668" s="45"/>
      <c r="I668">
        <v>788999</v>
      </c>
      <c r="J668" t="s">
        <v>492</v>
      </c>
      <c r="K668" t="s">
        <v>3165</v>
      </c>
      <c r="L668" t="s">
        <v>1178</v>
      </c>
      <c r="M668" t="s">
        <v>1192</v>
      </c>
      <c r="N668" t="s">
        <v>599</v>
      </c>
      <c r="O668" t="s">
        <v>3166</v>
      </c>
      <c r="P668" t="s">
        <v>3167</v>
      </c>
      <c r="Q668" t="s">
        <v>599</v>
      </c>
      <c r="R668" t="s">
        <v>1182</v>
      </c>
      <c r="S668" t="s">
        <v>3168</v>
      </c>
      <c r="T668">
        <v>1916</v>
      </c>
      <c r="U668">
        <v>1916</v>
      </c>
      <c r="V668" t="s">
        <v>3169</v>
      </c>
      <c r="W668" t="s">
        <v>1185</v>
      </c>
      <c r="X668" t="s">
        <v>599</v>
      </c>
      <c r="Y668" t="s">
        <v>599</v>
      </c>
      <c r="Z668" t="s">
        <v>3170</v>
      </c>
      <c r="AA668" t="s">
        <v>599</v>
      </c>
      <c r="AB668" t="s">
        <v>599</v>
      </c>
      <c r="AC668" t="s">
        <v>3171</v>
      </c>
      <c r="AD668" t="s">
        <v>1188</v>
      </c>
      <c r="AE668" t="s">
        <v>3172</v>
      </c>
      <c r="AF668" t="s">
        <v>1190</v>
      </c>
    </row>
    <row r="669" spans="1:32" ht="150" x14ac:dyDescent="0.25">
      <c r="A669" s="10">
        <v>788999</v>
      </c>
      <c r="B669" s="10">
        <v>1</v>
      </c>
      <c r="C669" s="9">
        <v>161</v>
      </c>
      <c r="D669" s="56" t="s">
        <v>3701</v>
      </c>
      <c r="E669" s="12" t="s">
        <v>493</v>
      </c>
      <c r="F669" s="45"/>
      <c r="G669" s="45"/>
      <c r="H669" s="45"/>
      <c r="I669">
        <v>788999</v>
      </c>
      <c r="J669" t="s">
        <v>492</v>
      </c>
      <c r="K669" t="s">
        <v>3165</v>
      </c>
      <c r="L669" t="s">
        <v>1178</v>
      </c>
      <c r="M669" t="s">
        <v>1192</v>
      </c>
      <c r="N669" t="s">
        <v>599</v>
      </c>
      <c r="O669" t="s">
        <v>3166</v>
      </c>
      <c r="P669" t="s">
        <v>3167</v>
      </c>
      <c r="Q669" t="s">
        <v>599</v>
      </c>
      <c r="R669" t="s">
        <v>1182</v>
      </c>
      <c r="S669" t="s">
        <v>3168</v>
      </c>
      <c r="T669">
        <v>1916</v>
      </c>
      <c r="U669">
        <v>1916</v>
      </c>
      <c r="V669" t="s">
        <v>3169</v>
      </c>
      <c r="W669" t="s">
        <v>1185</v>
      </c>
      <c r="X669" t="s">
        <v>599</v>
      </c>
      <c r="Y669" t="s">
        <v>599</v>
      </c>
      <c r="Z669" t="s">
        <v>3170</v>
      </c>
      <c r="AA669" t="s">
        <v>599</v>
      </c>
      <c r="AB669" t="s">
        <v>599</v>
      </c>
      <c r="AC669" t="s">
        <v>3171</v>
      </c>
      <c r="AD669" t="s">
        <v>1188</v>
      </c>
      <c r="AE669" t="s">
        <v>3172</v>
      </c>
      <c r="AF669" t="s">
        <v>1190</v>
      </c>
    </row>
    <row r="670" spans="1:32" ht="150" x14ac:dyDescent="0.25">
      <c r="A670" s="10">
        <v>788999</v>
      </c>
      <c r="B670" s="10">
        <v>1</v>
      </c>
      <c r="C670" s="9">
        <v>167</v>
      </c>
      <c r="D670" s="56" t="s">
        <v>3702</v>
      </c>
      <c r="E670" s="12" t="s">
        <v>493</v>
      </c>
      <c r="F670" s="45"/>
      <c r="G670" s="45"/>
      <c r="H670" s="45"/>
      <c r="I670">
        <v>788999</v>
      </c>
      <c r="J670" t="s">
        <v>492</v>
      </c>
      <c r="K670" t="s">
        <v>3165</v>
      </c>
      <c r="L670" t="s">
        <v>1178</v>
      </c>
      <c r="M670" t="s">
        <v>1192</v>
      </c>
      <c r="N670" t="s">
        <v>599</v>
      </c>
      <c r="O670" t="s">
        <v>3166</v>
      </c>
      <c r="P670" t="s">
        <v>3167</v>
      </c>
      <c r="Q670" t="s">
        <v>599</v>
      </c>
      <c r="R670" t="s">
        <v>1182</v>
      </c>
      <c r="S670" t="s">
        <v>3168</v>
      </c>
      <c r="T670">
        <v>1916</v>
      </c>
      <c r="U670">
        <v>1916</v>
      </c>
      <c r="V670" t="s">
        <v>3169</v>
      </c>
      <c r="W670" t="s">
        <v>1185</v>
      </c>
      <c r="X670" t="s">
        <v>599</v>
      </c>
      <c r="Y670" t="s">
        <v>599</v>
      </c>
      <c r="Z670" t="s">
        <v>3170</v>
      </c>
      <c r="AA670" t="s">
        <v>599</v>
      </c>
      <c r="AB670" t="s">
        <v>599</v>
      </c>
      <c r="AC670" t="s">
        <v>3171</v>
      </c>
      <c r="AD670" t="s">
        <v>1188</v>
      </c>
      <c r="AE670" t="s">
        <v>3172</v>
      </c>
      <c r="AF670" t="s">
        <v>1190</v>
      </c>
    </row>
    <row r="671" spans="1:32" ht="150" x14ac:dyDescent="0.25">
      <c r="A671" s="10">
        <v>788999</v>
      </c>
      <c r="B671" s="10">
        <v>1</v>
      </c>
      <c r="C671" s="9">
        <v>181</v>
      </c>
      <c r="D671" s="56" t="s">
        <v>3703</v>
      </c>
      <c r="E671" s="12" t="s">
        <v>493</v>
      </c>
      <c r="F671" s="45"/>
      <c r="G671" s="45"/>
      <c r="H671" s="45"/>
      <c r="I671">
        <v>788999</v>
      </c>
      <c r="J671" t="s">
        <v>492</v>
      </c>
      <c r="K671" t="s">
        <v>3165</v>
      </c>
      <c r="L671" t="s">
        <v>1178</v>
      </c>
      <c r="M671" t="s">
        <v>1192</v>
      </c>
      <c r="N671" t="s">
        <v>599</v>
      </c>
      <c r="O671" t="s">
        <v>3166</v>
      </c>
      <c r="P671" t="s">
        <v>3167</v>
      </c>
      <c r="Q671" t="s">
        <v>599</v>
      </c>
      <c r="R671" t="s">
        <v>1182</v>
      </c>
      <c r="S671" t="s">
        <v>3168</v>
      </c>
      <c r="T671">
        <v>1916</v>
      </c>
      <c r="U671">
        <v>1916</v>
      </c>
      <c r="V671" t="s">
        <v>3169</v>
      </c>
      <c r="W671" t="s">
        <v>1185</v>
      </c>
      <c r="X671" t="s">
        <v>599</v>
      </c>
      <c r="Y671" t="s">
        <v>599</v>
      </c>
      <c r="Z671" t="s">
        <v>3170</v>
      </c>
      <c r="AA671" t="s">
        <v>599</v>
      </c>
      <c r="AB671" t="s">
        <v>599</v>
      </c>
      <c r="AC671" t="s">
        <v>3171</v>
      </c>
      <c r="AD671" t="s">
        <v>1188</v>
      </c>
      <c r="AE671" t="s">
        <v>3172</v>
      </c>
      <c r="AF671" t="s">
        <v>1190</v>
      </c>
    </row>
    <row r="672" spans="1:32" ht="150" x14ac:dyDescent="0.25">
      <c r="A672" s="10">
        <v>788999</v>
      </c>
      <c r="B672" s="10">
        <v>1</v>
      </c>
      <c r="C672" s="9">
        <v>197</v>
      </c>
      <c r="D672" s="56" t="s">
        <v>3704</v>
      </c>
      <c r="E672" s="12" t="s">
        <v>493</v>
      </c>
      <c r="F672" s="45"/>
      <c r="G672" s="45"/>
      <c r="H672" s="45"/>
      <c r="I672">
        <v>788999</v>
      </c>
      <c r="J672" t="s">
        <v>492</v>
      </c>
      <c r="K672" t="s">
        <v>3165</v>
      </c>
      <c r="L672" t="s">
        <v>1178</v>
      </c>
      <c r="M672" t="s">
        <v>1192</v>
      </c>
      <c r="N672" t="s">
        <v>599</v>
      </c>
      <c r="O672" t="s">
        <v>3166</v>
      </c>
      <c r="P672" t="s">
        <v>3167</v>
      </c>
      <c r="Q672" t="s">
        <v>599</v>
      </c>
      <c r="R672" t="s">
        <v>1182</v>
      </c>
      <c r="S672" t="s">
        <v>3168</v>
      </c>
      <c r="T672">
        <v>1916</v>
      </c>
      <c r="U672">
        <v>1916</v>
      </c>
      <c r="V672" t="s">
        <v>3169</v>
      </c>
      <c r="W672" t="s">
        <v>1185</v>
      </c>
      <c r="X672" t="s">
        <v>599</v>
      </c>
      <c r="Y672" t="s">
        <v>599</v>
      </c>
      <c r="Z672" t="s">
        <v>3170</v>
      </c>
      <c r="AA672" t="s">
        <v>599</v>
      </c>
      <c r="AB672" t="s">
        <v>599</v>
      </c>
      <c r="AC672" t="s">
        <v>3171</v>
      </c>
      <c r="AD672" t="s">
        <v>1188</v>
      </c>
      <c r="AE672" t="s">
        <v>3172</v>
      </c>
      <c r="AF672" t="s">
        <v>1190</v>
      </c>
    </row>
    <row r="673" spans="1:32" ht="150" x14ac:dyDescent="0.25">
      <c r="A673" s="10">
        <v>788999</v>
      </c>
      <c r="B673" s="10">
        <v>1</v>
      </c>
      <c r="C673" s="9">
        <v>207</v>
      </c>
      <c r="D673" s="56" t="s">
        <v>3705</v>
      </c>
      <c r="E673" s="12" t="s">
        <v>493</v>
      </c>
      <c r="F673" s="45"/>
      <c r="G673" s="45"/>
      <c r="H673" s="45"/>
      <c r="I673">
        <v>788999</v>
      </c>
      <c r="J673" t="s">
        <v>492</v>
      </c>
      <c r="K673" t="s">
        <v>3165</v>
      </c>
      <c r="L673" t="s">
        <v>1178</v>
      </c>
      <c r="M673" t="s">
        <v>1192</v>
      </c>
      <c r="N673" t="s">
        <v>599</v>
      </c>
      <c r="O673" t="s">
        <v>3166</v>
      </c>
      <c r="P673" t="s">
        <v>3167</v>
      </c>
      <c r="Q673" t="s">
        <v>599</v>
      </c>
      <c r="R673" t="s">
        <v>1182</v>
      </c>
      <c r="S673" t="s">
        <v>3168</v>
      </c>
      <c r="T673">
        <v>1916</v>
      </c>
      <c r="U673">
        <v>1916</v>
      </c>
      <c r="V673" t="s">
        <v>3169</v>
      </c>
      <c r="W673" t="s">
        <v>1185</v>
      </c>
      <c r="X673" t="s">
        <v>599</v>
      </c>
      <c r="Y673" t="s">
        <v>599</v>
      </c>
      <c r="Z673" t="s">
        <v>3170</v>
      </c>
      <c r="AA673" t="s">
        <v>599</v>
      </c>
      <c r="AB673" t="s">
        <v>599</v>
      </c>
      <c r="AC673" t="s">
        <v>3171</v>
      </c>
      <c r="AD673" t="s">
        <v>1188</v>
      </c>
      <c r="AE673" t="s">
        <v>3172</v>
      </c>
      <c r="AF673" t="s">
        <v>1190</v>
      </c>
    </row>
    <row r="674" spans="1:32" ht="150" x14ac:dyDescent="0.25">
      <c r="A674" s="10">
        <v>788999</v>
      </c>
      <c r="B674" s="10">
        <v>1</v>
      </c>
      <c r="C674" s="9">
        <v>227</v>
      </c>
      <c r="D674" s="56" t="s">
        <v>3706</v>
      </c>
      <c r="E674" s="12" t="s">
        <v>493</v>
      </c>
      <c r="F674" s="45"/>
      <c r="G674" s="45"/>
      <c r="H674" s="45"/>
      <c r="I674">
        <v>788999</v>
      </c>
      <c r="J674" t="s">
        <v>492</v>
      </c>
      <c r="K674" t="s">
        <v>3165</v>
      </c>
      <c r="L674" t="s">
        <v>1178</v>
      </c>
      <c r="M674" t="s">
        <v>1192</v>
      </c>
      <c r="N674" t="s">
        <v>599</v>
      </c>
      <c r="O674" t="s">
        <v>3166</v>
      </c>
      <c r="P674" t="s">
        <v>3167</v>
      </c>
      <c r="Q674" t="s">
        <v>599</v>
      </c>
      <c r="R674" t="s">
        <v>1182</v>
      </c>
      <c r="S674" t="s">
        <v>3168</v>
      </c>
      <c r="T674">
        <v>1916</v>
      </c>
      <c r="U674">
        <v>1916</v>
      </c>
      <c r="V674" t="s">
        <v>3169</v>
      </c>
      <c r="W674" t="s">
        <v>1185</v>
      </c>
      <c r="X674" t="s">
        <v>599</v>
      </c>
      <c r="Y674" t="s">
        <v>599</v>
      </c>
      <c r="Z674" t="s">
        <v>3170</v>
      </c>
      <c r="AA674" t="s">
        <v>599</v>
      </c>
      <c r="AB674" t="s">
        <v>599</v>
      </c>
      <c r="AC674" t="s">
        <v>3171</v>
      </c>
      <c r="AD674" t="s">
        <v>1188</v>
      </c>
      <c r="AE674" t="s">
        <v>3172</v>
      </c>
      <c r="AF674" t="s">
        <v>1190</v>
      </c>
    </row>
    <row r="675" spans="1:32" ht="150" x14ac:dyDescent="0.25">
      <c r="A675" s="10">
        <v>788999</v>
      </c>
      <c r="B675" s="10">
        <v>1</v>
      </c>
      <c r="C675" s="9">
        <v>241</v>
      </c>
      <c r="D675" s="56" t="s">
        <v>3707</v>
      </c>
      <c r="E675" s="12" t="s">
        <v>493</v>
      </c>
      <c r="F675" s="45"/>
      <c r="G675" s="45"/>
      <c r="H675" s="45"/>
      <c r="I675">
        <v>788999</v>
      </c>
      <c r="J675" t="s">
        <v>492</v>
      </c>
      <c r="K675" t="s">
        <v>3165</v>
      </c>
      <c r="L675" t="s">
        <v>1178</v>
      </c>
      <c r="M675" t="s">
        <v>1192</v>
      </c>
      <c r="N675" t="s">
        <v>599</v>
      </c>
      <c r="O675" t="s">
        <v>3166</v>
      </c>
      <c r="P675" t="s">
        <v>3167</v>
      </c>
      <c r="Q675" t="s">
        <v>599</v>
      </c>
      <c r="R675" t="s">
        <v>1182</v>
      </c>
      <c r="S675" t="s">
        <v>3168</v>
      </c>
      <c r="T675">
        <v>1916</v>
      </c>
      <c r="U675">
        <v>1916</v>
      </c>
      <c r="V675" t="s">
        <v>3169</v>
      </c>
      <c r="W675" t="s">
        <v>1185</v>
      </c>
      <c r="X675" t="s">
        <v>599</v>
      </c>
      <c r="Y675" t="s">
        <v>599</v>
      </c>
      <c r="Z675" t="s">
        <v>3170</v>
      </c>
      <c r="AA675" t="s">
        <v>599</v>
      </c>
      <c r="AB675" t="s">
        <v>599</v>
      </c>
      <c r="AC675" t="s">
        <v>3171</v>
      </c>
      <c r="AD675" t="s">
        <v>1188</v>
      </c>
      <c r="AE675" t="s">
        <v>3172</v>
      </c>
      <c r="AF675" t="s">
        <v>1190</v>
      </c>
    </row>
    <row r="676" spans="1:32" ht="150" x14ac:dyDescent="0.25">
      <c r="A676" s="10">
        <v>788999</v>
      </c>
      <c r="B676" s="10">
        <v>1</v>
      </c>
      <c r="C676" s="9">
        <v>253</v>
      </c>
      <c r="D676" s="56" t="s">
        <v>3708</v>
      </c>
      <c r="E676" s="12" t="s">
        <v>493</v>
      </c>
      <c r="F676" s="45"/>
      <c r="G676" s="45"/>
      <c r="H676" s="45"/>
      <c r="I676">
        <v>788999</v>
      </c>
      <c r="J676" t="s">
        <v>492</v>
      </c>
      <c r="K676" t="s">
        <v>3165</v>
      </c>
      <c r="L676" t="s">
        <v>1178</v>
      </c>
      <c r="M676" t="s">
        <v>1192</v>
      </c>
      <c r="N676" t="s">
        <v>599</v>
      </c>
      <c r="O676" t="s">
        <v>3166</v>
      </c>
      <c r="P676" t="s">
        <v>3167</v>
      </c>
      <c r="Q676" t="s">
        <v>599</v>
      </c>
      <c r="R676" t="s">
        <v>1182</v>
      </c>
      <c r="S676" t="s">
        <v>3168</v>
      </c>
      <c r="T676">
        <v>1916</v>
      </c>
      <c r="U676">
        <v>1916</v>
      </c>
      <c r="V676" t="s">
        <v>3169</v>
      </c>
      <c r="W676" t="s">
        <v>1185</v>
      </c>
      <c r="X676" t="s">
        <v>599</v>
      </c>
      <c r="Y676" t="s">
        <v>599</v>
      </c>
      <c r="Z676" t="s">
        <v>3170</v>
      </c>
      <c r="AA676" t="s">
        <v>599</v>
      </c>
      <c r="AB676" t="s">
        <v>599</v>
      </c>
      <c r="AC676" t="s">
        <v>3171</v>
      </c>
      <c r="AD676" t="s">
        <v>1188</v>
      </c>
      <c r="AE676" t="s">
        <v>3172</v>
      </c>
      <c r="AF676" t="s">
        <v>1190</v>
      </c>
    </row>
    <row r="677" spans="1:32" ht="150" x14ac:dyDescent="0.25">
      <c r="A677" s="10">
        <v>788999</v>
      </c>
      <c r="B677" s="10">
        <v>1</v>
      </c>
      <c r="C677" s="9">
        <v>271</v>
      </c>
      <c r="D677" s="56" t="s">
        <v>3709</v>
      </c>
      <c r="E677" s="12" t="s">
        <v>493</v>
      </c>
      <c r="F677" s="45"/>
      <c r="G677" s="45"/>
      <c r="H677" s="45"/>
      <c r="I677">
        <v>788999</v>
      </c>
      <c r="J677" t="s">
        <v>492</v>
      </c>
      <c r="K677" t="s">
        <v>3165</v>
      </c>
      <c r="L677" t="s">
        <v>1178</v>
      </c>
      <c r="M677" t="s">
        <v>1192</v>
      </c>
      <c r="N677" t="s">
        <v>599</v>
      </c>
      <c r="O677" t="s">
        <v>3166</v>
      </c>
      <c r="P677" t="s">
        <v>3167</v>
      </c>
      <c r="Q677" t="s">
        <v>599</v>
      </c>
      <c r="R677" t="s">
        <v>1182</v>
      </c>
      <c r="S677" t="s">
        <v>3168</v>
      </c>
      <c r="T677">
        <v>1916</v>
      </c>
      <c r="U677">
        <v>1916</v>
      </c>
      <c r="V677" t="s">
        <v>3169</v>
      </c>
      <c r="W677" t="s">
        <v>1185</v>
      </c>
      <c r="X677" t="s">
        <v>599</v>
      </c>
      <c r="Y677" t="s">
        <v>599</v>
      </c>
      <c r="Z677" t="s">
        <v>3170</v>
      </c>
      <c r="AA677" t="s">
        <v>599</v>
      </c>
      <c r="AB677" t="s">
        <v>599</v>
      </c>
      <c r="AC677" t="s">
        <v>3171</v>
      </c>
      <c r="AD677" t="s">
        <v>1188</v>
      </c>
      <c r="AE677" t="s">
        <v>3172</v>
      </c>
      <c r="AF677" t="s">
        <v>1190</v>
      </c>
    </row>
    <row r="678" spans="1:32" ht="150" x14ac:dyDescent="0.25">
      <c r="A678" s="10">
        <v>788999</v>
      </c>
      <c r="B678" s="10">
        <v>1</v>
      </c>
      <c r="C678" s="9">
        <v>283</v>
      </c>
      <c r="D678" s="56" t="s">
        <v>3710</v>
      </c>
      <c r="E678" s="12" t="s">
        <v>493</v>
      </c>
      <c r="F678" s="45"/>
      <c r="G678" s="45"/>
      <c r="H678" s="45"/>
      <c r="I678">
        <v>788999</v>
      </c>
      <c r="J678" t="s">
        <v>492</v>
      </c>
      <c r="K678" t="s">
        <v>3165</v>
      </c>
      <c r="L678" t="s">
        <v>1178</v>
      </c>
      <c r="M678" t="s">
        <v>1192</v>
      </c>
      <c r="N678" t="s">
        <v>599</v>
      </c>
      <c r="O678" t="s">
        <v>3166</v>
      </c>
      <c r="P678" t="s">
        <v>3167</v>
      </c>
      <c r="Q678" t="s">
        <v>599</v>
      </c>
      <c r="R678" t="s">
        <v>1182</v>
      </c>
      <c r="S678" t="s">
        <v>3168</v>
      </c>
      <c r="T678">
        <v>1916</v>
      </c>
      <c r="U678">
        <v>1916</v>
      </c>
      <c r="V678" t="s">
        <v>3169</v>
      </c>
      <c r="W678" t="s">
        <v>1185</v>
      </c>
      <c r="X678" t="s">
        <v>599</v>
      </c>
      <c r="Y678" t="s">
        <v>599</v>
      </c>
      <c r="Z678" t="s">
        <v>3170</v>
      </c>
      <c r="AA678" t="s">
        <v>599</v>
      </c>
      <c r="AB678" t="s">
        <v>599</v>
      </c>
      <c r="AC678" t="s">
        <v>3171</v>
      </c>
      <c r="AD678" t="s">
        <v>1188</v>
      </c>
      <c r="AE678" t="s">
        <v>3172</v>
      </c>
      <c r="AF678" t="s">
        <v>1190</v>
      </c>
    </row>
    <row r="679" spans="1:32" ht="150" x14ac:dyDescent="0.25">
      <c r="A679" s="10">
        <v>788999</v>
      </c>
      <c r="B679" s="10">
        <v>1</v>
      </c>
      <c r="C679" s="9">
        <v>307</v>
      </c>
      <c r="D679" s="56" t="s">
        <v>3711</v>
      </c>
      <c r="E679" s="12" t="s">
        <v>493</v>
      </c>
      <c r="F679" s="45"/>
      <c r="G679" s="45"/>
      <c r="H679" s="45"/>
      <c r="I679">
        <v>788999</v>
      </c>
      <c r="J679" t="s">
        <v>492</v>
      </c>
      <c r="K679" t="s">
        <v>3165</v>
      </c>
      <c r="L679" t="s">
        <v>1178</v>
      </c>
      <c r="M679" t="s">
        <v>1192</v>
      </c>
      <c r="N679" t="s">
        <v>599</v>
      </c>
      <c r="O679" t="s">
        <v>3166</v>
      </c>
      <c r="P679" t="s">
        <v>3167</v>
      </c>
      <c r="Q679" t="s">
        <v>599</v>
      </c>
      <c r="R679" t="s">
        <v>1182</v>
      </c>
      <c r="S679" t="s">
        <v>3168</v>
      </c>
      <c r="T679">
        <v>1916</v>
      </c>
      <c r="U679">
        <v>1916</v>
      </c>
      <c r="V679" t="s">
        <v>3169</v>
      </c>
      <c r="W679" t="s">
        <v>1185</v>
      </c>
      <c r="X679" t="s">
        <v>599</v>
      </c>
      <c r="Y679" t="s">
        <v>599</v>
      </c>
      <c r="Z679" t="s">
        <v>3170</v>
      </c>
      <c r="AA679" t="s">
        <v>599</v>
      </c>
      <c r="AB679" t="s">
        <v>599</v>
      </c>
      <c r="AC679" t="s">
        <v>3171</v>
      </c>
      <c r="AD679" t="s">
        <v>1188</v>
      </c>
      <c r="AE679" t="s">
        <v>3172</v>
      </c>
      <c r="AF679" t="s">
        <v>1190</v>
      </c>
    </row>
    <row r="680" spans="1:32" ht="150" x14ac:dyDescent="0.25">
      <c r="A680" s="10">
        <v>788999</v>
      </c>
      <c r="B680" s="10">
        <v>1</v>
      </c>
      <c r="C680" s="9">
        <v>311</v>
      </c>
      <c r="D680" s="56" t="s">
        <v>3712</v>
      </c>
      <c r="E680" s="12" t="s">
        <v>493</v>
      </c>
      <c r="F680" s="45"/>
      <c r="G680" s="45"/>
      <c r="H680" s="45"/>
      <c r="I680">
        <v>788999</v>
      </c>
      <c r="J680" t="s">
        <v>492</v>
      </c>
      <c r="K680" t="s">
        <v>3165</v>
      </c>
      <c r="L680" t="s">
        <v>1178</v>
      </c>
      <c r="M680" t="s">
        <v>1192</v>
      </c>
      <c r="N680" t="s">
        <v>599</v>
      </c>
      <c r="O680" t="s">
        <v>3166</v>
      </c>
      <c r="P680" t="s">
        <v>3167</v>
      </c>
      <c r="Q680" t="s">
        <v>599</v>
      </c>
      <c r="R680" t="s">
        <v>1182</v>
      </c>
      <c r="S680" t="s">
        <v>3168</v>
      </c>
      <c r="T680">
        <v>1916</v>
      </c>
      <c r="U680">
        <v>1916</v>
      </c>
      <c r="V680" t="s">
        <v>3169</v>
      </c>
      <c r="W680" t="s">
        <v>1185</v>
      </c>
      <c r="X680" t="s">
        <v>599</v>
      </c>
      <c r="Y680" t="s">
        <v>599</v>
      </c>
      <c r="Z680" t="s">
        <v>3170</v>
      </c>
      <c r="AA680" t="s">
        <v>599</v>
      </c>
      <c r="AB680" t="s">
        <v>599</v>
      </c>
      <c r="AC680" t="s">
        <v>3171</v>
      </c>
      <c r="AD680" t="s">
        <v>1188</v>
      </c>
      <c r="AE680" t="s">
        <v>3172</v>
      </c>
      <c r="AF680" t="s">
        <v>1190</v>
      </c>
    </row>
    <row r="681" spans="1:32" ht="150" x14ac:dyDescent="0.25">
      <c r="A681" s="10">
        <v>788999</v>
      </c>
      <c r="B681" s="10">
        <v>1</v>
      </c>
      <c r="C681" s="9">
        <v>349</v>
      </c>
      <c r="D681" s="56" t="s">
        <v>3713</v>
      </c>
      <c r="E681" s="12" t="s">
        <v>493</v>
      </c>
      <c r="F681" s="45"/>
      <c r="G681" s="45"/>
      <c r="H681" s="45"/>
      <c r="I681">
        <v>788999</v>
      </c>
      <c r="J681" t="s">
        <v>492</v>
      </c>
      <c r="K681" t="s">
        <v>3165</v>
      </c>
      <c r="L681" t="s">
        <v>1178</v>
      </c>
      <c r="M681" t="s">
        <v>1192</v>
      </c>
      <c r="N681" t="s">
        <v>599</v>
      </c>
      <c r="O681" t="s">
        <v>3166</v>
      </c>
      <c r="P681" t="s">
        <v>3167</v>
      </c>
      <c r="Q681" t="s">
        <v>599</v>
      </c>
      <c r="R681" t="s">
        <v>1182</v>
      </c>
      <c r="S681" t="s">
        <v>3168</v>
      </c>
      <c r="T681">
        <v>1916</v>
      </c>
      <c r="U681">
        <v>1916</v>
      </c>
      <c r="V681" t="s">
        <v>3169</v>
      </c>
      <c r="W681" t="s">
        <v>1185</v>
      </c>
      <c r="X681" t="s">
        <v>599</v>
      </c>
      <c r="Y681" t="s">
        <v>599</v>
      </c>
      <c r="Z681" t="s">
        <v>3170</v>
      </c>
      <c r="AA681" t="s">
        <v>599</v>
      </c>
      <c r="AB681" t="s">
        <v>599</v>
      </c>
      <c r="AC681" t="s">
        <v>3171</v>
      </c>
      <c r="AD681" t="s">
        <v>1188</v>
      </c>
      <c r="AE681" t="s">
        <v>3172</v>
      </c>
      <c r="AF681" t="s">
        <v>1190</v>
      </c>
    </row>
    <row r="682" spans="1:32" ht="45" x14ac:dyDescent="0.25">
      <c r="A682" s="10">
        <v>796045</v>
      </c>
      <c r="B682" s="10">
        <v>1</v>
      </c>
      <c r="C682" s="9">
        <v>5</v>
      </c>
      <c r="D682" s="56" t="s">
        <v>3714</v>
      </c>
      <c r="E682" s="12" t="s">
        <v>496</v>
      </c>
      <c r="F682" s="45"/>
      <c r="G682" s="45"/>
      <c r="H682" s="45"/>
      <c r="I682">
        <v>796045</v>
      </c>
      <c r="J682" t="s">
        <v>495</v>
      </c>
      <c r="K682" t="s">
        <v>3173</v>
      </c>
      <c r="L682" t="s">
        <v>1178</v>
      </c>
      <c r="M682" t="s">
        <v>1192</v>
      </c>
      <c r="N682" t="s">
        <v>599</v>
      </c>
      <c r="O682" t="s">
        <v>1551</v>
      </c>
      <c r="P682" t="s">
        <v>599</v>
      </c>
      <c r="Q682" t="s">
        <v>599</v>
      </c>
      <c r="R682" t="s">
        <v>1182</v>
      </c>
      <c r="S682" t="s">
        <v>3174</v>
      </c>
      <c r="T682">
        <v>1800</v>
      </c>
      <c r="U682">
        <v>1800</v>
      </c>
      <c r="V682" t="s">
        <v>3175</v>
      </c>
      <c r="W682" t="s">
        <v>1185</v>
      </c>
      <c r="X682" t="s">
        <v>599</v>
      </c>
      <c r="Y682" t="s">
        <v>599</v>
      </c>
      <c r="Z682" t="s">
        <v>599</v>
      </c>
      <c r="AA682" t="s">
        <v>599</v>
      </c>
      <c r="AB682" t="s">
        <v>599</v>
      </c>
      <c r="AC682" t="s">
        <v>3176</v>
      </c>
      <c r="AD682" t="s">
        <v>1188</v>
      </c>
      <c r="AE682" t="s">
        <v>3177</v>
      </c>
      <c r="AF682" t="s">
        <v>1190</v>
      </c>
    </row>
    <row r="683" spans="1:32" ht="45" x14ac:dyDescent="0.25">
      <c r="A683" s="10">
        <v>796045</v>
      </c>
      <c r="B683" s="10">
        <v>1</v>
      </c>
      <c r="C683" s="9">
        <v>7</v>
      </c>
      <c r="D683" s="56" t="s">
        <v>3715</v>
      </c>
      <c r="E683" s="12" t="s">
        <v>496</v>
      </c>
      <c r="F683" s="45"/>
      <c r="G683" s="45"/>
      <c r="H683" s="45"/>
      <c r="I683">
        <v>796045</v>
      </c>
      <c r="J683" t="s">
        <v>495</v>
      </c>
      <c r="K683" t="s">
        <v>3173</v>
      </c>
      <c r="L683" t="s">
        <v>1178</v>
      </c>
      <c r="M683" t="s">
        <v>1192</v>
      </c>
      <c r="N683" t="s">
        <v>599</v>
      </c>
      <c r="O683" t="s">
        <v>1551</v>
      </c>
      <c r="P683" t="s">
        <v>599</v>
      </c>
      <c r="Q683" t="s">
        <v>599</v>
      </c>
      <c r="R683" t="s">
        <v>1182</v>
      </c>
      <c r="S683" t="s">
        <v>3174</v>
      </c>
      <c r="T683">
        <v>1800</v>
      </c>
      <c r="U683">
        <v>1800</v>
      </c>
      <c r="V683" t="s">
        <v>3175</v>
      </c>
      <c r="W683" t="s">
        <v>1185</v>
      </c>
      <c r="X683" t="s">
        <v>599</v>
      </c>
      <c r="Y683" t="s">
        <v>599</v>
      </c>
      <c r="Z683" t="s">
        <v>599</v>
      </c>
      <c r="AA683" t="s">
        <v>599</v>
      </c>
      <c r="AB683" t="s">
        <v>599</v>
      </c>
      <c r="AC683" t="s">
        <v>3176</v>
      </c>
      <c r="AD683" t="s">
        <v>1188</v>
      </c>
      <c r="AE683" t="s">
        <v>3177</v>
      </c>
      <c r="AF683" t="s">
        <v>1190</v>
      </c>
    </row>
    <row r="684" spans="1:32" ht="45" x14ac:dyDescent="0.25">
      <c r="A684" s="10">
        <v>798858</v>
      </c>
      <c r="B684" s="10">
        <v>1</v>
      </c>
      <c r="C684" s="9">
        <v>4</v>
      </c>
      <c r="D684" s="56" t="s">
        <v>3716</v>
      </c>
      <c r="E684" s="12" t="s">
        <v>499</v>
      </c>
      <c r="F684" s="45"/>
      <c r="G684" s="45"/>
      <c r="H684" s="45"/>
      <c r="I684">
        <v>798858</v>
      </c>
      <c r="J684" t="s">
        <v>498</v>
      </c>
      <c r="K684" t="s">
        <v>3178</v>
      </c>
      <c r="L684" t="s">
        <v>1178</v>
      </c>
      <c r="M684" t="s">
        <v>1192</v>
      </c>
      <c r="N684" t="s">
        <v>599</v>
      </c>
      <c r="O684" t="s">
        <v>1551</v>
      </c>
      <c r="P684" t="s">
        <v>1778</v>
      </c>
      <c r="Q684" t="s">
        <v>599</v>
      </c>
      <c r="R684" t="s">
        <v>3179</v>
      </c>
      <c r="S684" t="s">
        <v>3180</v>
      </c>
      <c r="T684">
        <v>1898</v>
      </c>
      <c r="U684">
        <v>1898</v>
      </c>
      <c r="V684" t="s">
        <v>3135</v>
      </c>
      <c r="W684" t="s">
        <v>1185</v>
      </c>
      <c r="X684" t="s">
        <v>599</v>
      </c>
      <c r="Y684" t="s">
        <v>599</v>
      </c>
      <c r="Z684" t="s">
        <v>1334</v>
      </c>
      <c r="AA684" t="s">
        <v>599</v>
      </c>
      <c r="AB684" t="s">
        <v>599</v>
      </c>
      <c r="AC684" t="s">
        <v>3181</v>
      </c>
      <c r="AD684" t="s">
        <v>1188</v>
      </c>
      <c r="AE684" t="s">
        <v>3182</v>
      </c>
      <c r="AF684" t="s">
        <v>1190</v>
      </c>
    </row>
    <row r="685" spans="1:32" ht="45" x14ac:dyDescent="0.25">
      <c r="A685" s="10">
        <v>798866</v>
      </c>
      <c r="B685" s="10">
        <v>1</v>
      </c>
      <c r="C685" s="9">
        <v>1</v>
      </c>
      <c r="D685" s="56" t="s">
        <v>3717</v>
      </c>
      <c r="E685" s="12" t="s">
        <v>501</v>
      </c>
      <c r="F685" s="45"/>
      <c r="G685" s="45"/>
      <c r="H685" s="45"/>
      <c r="I685">
        <v>798866</v>
      </c>
      <c r="J685" t="s">
        <v>500</v>
      </c>
      <c r="K685" t="s">
        <v>3183</v>
      </c>
      <c r="L685" t="s">
        <v>1178</v>
      </c>
      <c r="M685" t="s">
        <v>1502</v>
      </c>
      <c r="N685" t="s">
        <v>1192</v>
      </c>
      <c r="O685" t="s">
        <v>3184</v>
      </c>
      <c r="P685" t="s">
        <v>599</v>
      </c>
      <c r="Q685" t="s">
        <v>599</v>
      </c>
      <c r="R685" t="s">
        <v>1182</v>
      </c>
      <c r="S685" t="s">
        <v>3185</v>
      </c>
      <c r="T685">
        <v>1883</v>
      </c>
      <c r="U685">
        <v>1883</v>
      </c>
      <c r="V685" t="s">
        <v>3186</v>
      </c>
      <c r="W685" t="s">
        <v>1185</v>
      </c>
      <c r="X685" t="s">
        <v>599</v>
      </c>
      <c r="Y685" t="s">
        <v>3187</v>
      </c>
      <c r="Z685" t="s">
        <v>3024</v>
      </c>
      <c r="AA685" t="s">
        <v>599</v>
      </c>
      <c r="AB685" t="s">
        <v>599</v>
      </c>
      <c r="AC685" t="s">
        <v>3188</v>
      </c>
      <c r="AD685" t="s">
        <v>1188</v>
      </c>
      <c r="AE685" t="s">
        <v>3189</v>
      </c>
      <c r="AF685" t="s">
        <v>1190</v>
      </c>
    </row>
    <row r="686" spans="1:32" ht="45" x14ac:dyDescent="0.25">
      <c r="A686" s="10">
        <v>993818</v>
      </c>
      <c r="B686" s="10">
        <v>1</v>
      </c>
      <c r="C686" s="9">
        <v>1</v>
      </c>
      <c r="D686" s="56" t="s">
        <v>3718</v>
      </c>
      <c r="E686" s="12" t="s">
        <v>503</v>
      </c>
      <c r="F686" s="45"/>
      <c r="G686" s="45"/>
      <c r="H686" s="45"/>
      <c r="I686">
        <v>993818</v>
      </c>
      <c r="J686" t="s">
        <v>502</v>
      </c>
      <c r="K686" t="s">
        <v>3190</v>
      </c>
      <c r="L686" t="s">
        <v>1312</v>
      </c>
      <c r="M686" t="s">
        <v>1362</v>
      </c>
      <c r="N686" t="s">
        <v>599</v>
      </c>
      <c r="O686" t="s">
        <v>3191</v>
      </c>
      <c r="P686" t="s">
        <v>3192</v>
      </c>
      <c r="Q686" t="s">
        <v>599</v>
      </c>
      <c r="R686" t="s">
        <v>1182</v>
      </c>
      <c r="S686" t="s">
        <v>3193</v>
      </c>
      <c r="T686">
        <v>1972</v>
      </c>
      <c r="U686">
        <v>1972</v>
      </c>
      <c r="V686" t="s">
        <v>2007</v>
      </c>
      <c r="W686" t="s">
        <v>599</v>
      </c>
      <c r="X686" t="s">
        <v>3194</v>
      </c>
      <c r="Y686" t="s">
        <v>599</v>
      </c>
      <c r="Z686" t="s">
        <v>3195</v>
      </c>
      <c r="AA686" t="s">
        <v>599</v>
      </c>
      <c r="AB686" t="s">
        <v>599</v>
      </c>
      <c r="AC686" t="s">
        <v>3196</v>
      </c>
      <c r="AD686" t="s">
        <v>599</v>
      </c>
      <c r="AE686" t="s">
        <v>3197</v>
      </c>
      <c r="AF686" t="s">
        <v>1319</v>
      </c>
    </row>
    <row r="687" spans="1:32" ht="45" x14ac:dyDescent="0.25">
      <c r="A687" s="10">
        <v>1001679</v>
      </c>
      <c r="B687" s="10">
        <v>1</v>
      </c>
      <c r="C687" s="9">
        <v>1</v>
      </c>
      <c r="D687" s="56" t="s">
        <v>3719</v>
      </c>
      <c r="E687" s="12" t="s">
        <v>505</v>
      </c>
      <c r="F687" s="45"/>
      <c r="G687" s="45"/>
      <c r="H687" s="45"/>
      <c r="I687">
        <v>1001679</v>
      </c>
      <c r="J687" t="s">
        <v>504</v>
      </c>
      <c r="K687" t="s">
        <v>3198</v>
      </c>
      <c r="L687" t="s">
        <v>1312</v>
      </c>
      <c r="M687" t="s">
        <v>1192</v>
      </c>
      <c r="N687" t="s">
        <v>599</v>
      </c>
      <c r="O687" t="s">
        <v>3199</v>
      </c>
      <c r="P687" t="s">
        <v>3200</v>
      </c>
      <c r="Q687" t="s">
        <v>599</v>
      </c>
      <c r="R687" t="s">
        <v>1182</v>
      </c>
      <c r="S687" t="s">
        <v>3201</v>
      </c>
      <c r="T687">
        <v>1977</v>
      </c>
      <c r="U687">
        <v>1977</v>
      </c>
      <c r="V687" t="s">
        <v>2007</v>
      </c>
      <c r="W687" t="s">
        <v>599</v>
      </c>
      <c r="X687" t="s">
        <v>599</v>
      </c>
      <c r="Y687" t="s">
        <v>599</v>
      </c>
      <c r="Z687" t="s">
        <v>599</v>
      </c>
      <c r="AA687" t="s">
        <v>599</v>
      </c>
      <c r="AB687" t="s">
        <v>599</v>
      </c>
      <c r="AC687" t="s">
        <v>3202</v>
      </c>
      <c r="AD687" t="s">
        <v>599</v>
      </c>
      <c r="AE687" t="s">
        <v>3203</v>
      </c>
      <c r="AF687" t="s">
        <v>1319</v>
      </c>
    </row>
    <row r="688" spans="1:32" ht="135" x14ac:dyDescent="0.25">
      <c r="A688" s="10">
        <v>1366577</v>
      </c>
      <c r="B688" s="10">
        <v>1</v>
      </c>
      <c r="C688" s="9">
        <v>13</v>
      </c>
      <c r="D688" s="56" t="s">
        <v>3720</v>
      </c>
      <c r="E688" s="12" t="s">
        <v>507</v>
      </c>
      <c r="F688" s="45"/>
      <c r="G688" s="45"/>
      <c r="H688" s="45"/>
      <c r="I688">
        <v>1366577</v>
      </c>
      <c r="J688" t="s">
        <v>506</v>
      </c>
      <c r="K688" t="s">
        <v>3204</v>
      </c>
      <c r="L688" t="s">
        <v>1178</v>
      </c>
      <c r="M688" t="s">
        <v>1362</v>
      </c>
      <c r="N688" t="s">
        <v>1192</v>
      </c>
      <c r="O688" t="s">
        <v>3205</v>
      </c>
      <c r="P688" t="s">
        <v>599</v>
      </c>
      <c r="Q688" t="s">
        <v>599</v>
      </c>
      <c r="R688" t="s">
        <v>1182</v>
      </c>
      <c r="S688" t="s">
        <v>3206</v>
      </c>
      <c r="T688">
        <v>1931</v>
      </c>
      <c r="U688">
        <v>1931</v>
      </c>
      <c r="V688" t="s">
        <v>3207</v>
      </c>
      <c r="W688" t="s">
        <v>1185</v>
      </c>
      <c r="X688" t="s">
        <v>599</v>
      </c>
      <c r="Y688" t="s">
        <v>599</v>
      </c>
      <c r="Z688" t="s">
        <v>3208</v>
      </c>
      <c r="AA688" t="s">
        <v>599</v>
      </c>
      <c r="AB688" t="s">
        <v>599</v>
      </c>
      <c r="AC688" t="s">
        <v>3209</v>
      </c>
      <c r="AD688" t="s">
        <v>599</v>
      </c>
      <c r="AE688" t="s">
        <v>3210</v>
      </c>
      <c r="AF688" t="s">
        <v>1190</v>
      </c>
    </row>
    <row r="689" spans="1:32" ht="135" x14ac:dyDescent="0.25">
      <c r="A689" s="10">
        <v>1366577</v>
      </c>
      <c r="B689" s="10">
        <v>1</v>
      </c>
      <c r="C689" s="9">
        <v>30</v>
      </c>
      <c r="D689" s="56" t="s">
        <v>3721</v>
      </c>
      <c r="E689" s="12" t="s">
        <v>507</v>
      </c>
      <c r="F689" s="45"/>
      <c r="G689" s="45"/>
      <c r="H689" s="45"/>
      <c r="I689">
        <v>1366577</v>
      </c>
      <c r="J689" t="s">
        <v>506</v>
      </c>
      <c r="K689" t="s">
        <v>3204</v>
      </c>
      <c r="L689" t="s">
        <v>1178</v>
      </c>
      <c r="M689" t="s">
        <v>1362</v>
      </c>
      <c r="N689" t="s">
        <v>1192</v>
      </c>
      <c r="O689" t="s">
        <v>3205</v>
      </c>
      <c r="P689" t="s">
        <v>599</v>
      </c>
      <c r="Q689" t="s">
        <v>599</v>
      </c>
      <c r="R689" t="s">
        <v>1182</v>
      </c>
      <c r="S689" t="s">
        <v>3206</v>
      </c>
      <c r="T689">
        <v>1931</v>
      </c>
      <c r="U689">
        <v>1931</v>
      </c>
      <c r="V689" t="s">
        <v>3207</v>
      </c>
      <c r="W689" t="s">
        <v>1185</v>
      </c>
      <c r="X689" t="s">
        <v>599</v>
      </c>
      <c r="Y689" t="s">
        <v>599</v>
      </c>
      <c r="Z689" t="s">
        <v>3208</v>
      </c>
      <c r="AA689" t="s">
        <v>599</v>
      </c>
      <c r="AB689" t="s">
        <v>599</v>
      </c>
      <c r="AC689" t="s">
        <v>3209</v>
      </c>
      <c r="AD689" t="s">
        <v>599</v>
      </c>
      <c r="AE689" t="s">
        <v>3210</v>
      </c>
      <c r="AF689" t="s">
        <v>1190</v>
      </c>
    </row>
    <row r="690" spans="1:32" ht="135" x14ac:dyDescent="0.25">
      <c r="A690" s="10">
        <v>1366577</v>
      </c>
      <c r="B690" s="10">
        <v>1</v>
      </c>
      <c r="C690" s="9">
        <v>32</v>
      </c>
      <c r="D690" s="56" t="s">
        <v>3722</v>
      </c>
      <c r="E690" s="12" t="s">
        <v>507</v>
      </c>
      <c r="F690" s="45"/>
      <c r="G690" s="45"/>
      <c r="H690" s="45"/>
      <c r="I690">
        <v>1366577</v>
      </c>
      <c r="J690" t="s">
        <v>506</v>
      </c>
      <c r="K690" t="s">
        <v>3204</v>
      </c>
      <c r="L690" t="s">
        <v>1178</v>
      </c>
      <c r="M690" t="s">
        <v>1362</v>
      </c>
      <c r="N690" t="s">
        <v>1192</v>
      </c>
      <c r="O690" t="s">
        <v>3205</v>
      </c>
      <c r="P690" t="s">
        <v>599</v>
      </c>
      <c r="Q690" t="s">
        <v>599</v>
      </c>
      <c r="R690" t="s">
        <v>1182</v>
      </c>
      <c r="S690" t="s">
        <v>3206</v>
      </c>
      <c r="T690">
        <v>1931</v>
      </c>
      <c r="U690">
        <v>1931</v>
      </c>
      <c r="V690" t="s">
        <v>3207</v>
      </c>
      <c r="W690" t="s">
        <v>1185</v>
      </c>
      <c r="X690" t="s">
        <v>599</v>
      </c>
      <c r="Y690" t="s">
        <v>599</v>
      </c>
      <c r="Z690" t="s">
        <v>3208</v>
      </c>
      <c r="AA690" t="s">
        <v>599</v>
      </c>
      <c r="AB690" t="s">
        <v>599</v>
      </c>
      <c r="AC690" t="s">
        <v>3209</v>
      </c>
      <c r="AD690" t="s">
        <v>599</v>
      </c>
      <c r="AE690" t="s">
        <v>3210</v>
      </c>
      <c r="AF690" t="s">
        <v>1190</v>
      </c>
    </row>
    <row r="691" spans="1:32" ht="135" x14ac:dyDescent="0.25">
      <c r="A691" s="10">
        <v>1366577</v>
      </c>
      <c r="B691" s="10">
        <v>1</v>
      </c>
      <c r="C691" s="9">
        <v>54</v>
      </c>
      <c r="D691" s="56" t="s">
        <v>3723</v>
      </c>
      <c r="E691" s="12" t="s">
        <v>507</v>
      </c>
      <c r="F691" s="45"/>
      <c r="G691" s="45"/>
      <c r="H691" s="45"/>
      <c r="I691">
        <v>1366577</v>
      </c>
      <c r="J691" t="s">
        <v>506</v>
      </c>
      <c r="K691" t="s">
        <v>3204</v>
      </c>
      <c r="L691" t="s">
        <v>1178</v>
      </c>
      <c r="M691" t="s">
        <v>1362</v>
      </c>
      <c r="N691" t="s">
        <v>1192</v>
      </c>
      <c r="O691" t="s">
        <v>3205</v>
      </c>
      <c r="P691" t="s">
        <v>599</v>
      </c>
      <c r="Q691" t="s">
        <v>599</v>
      </c>
      <c r="R691" t="s">
        <v>1182</v>
      </c>
      <c r="S691" t="s">
        <v>3206</v>
      </c>
      <c r="T691">
        <v>1931</v>
      </c>
      <c r="U691">
        <v>1931</v>
      </c>
      <c r="V691" t="s">
        <v>3207</v>
      </c>
      <c r="W691" t="s">
        <v>1185</v>
      </c>
      <c r="X691" t="s">
        <v>599</v>
      </c>
      <c r="Y691" t="s">
        <v>599</v>
      </c>
      <c r="Z691" t="s">
        <v>3208</v>
      </c>
      <c r="AA691" t="s">
        <v>599</v>
      </c>
      <c r="AB691" t="s">
        <v>599</v>
      </c>
      <c r="AC691" t="s">
        <v>3209</v>
      </c>
      <c r="AD691" t="s">
        <v>599</v>
      </c>
      <c r="AE691" t="s">
        <v>3210</v>
      </c>
      <c r="AF691" t="s">
        <v>1190</v>
      </c>
    </row>
    <row r="692" spans="1:32" ht="135" x14ac:dyDescent="0.25">
      <c r="A692" s="10">
        <v>1366577</v>
      </c>
      <c r="B692" s="10">
        <v>1</v>
      </c>
      <c r="C692" s="9">
        <v>78</v>
      </c>
      <c r="D692" s="56" t="s">
        <v>3724</v>
      </c>
      <c r="E692" s="12" t="s">
        <v>507</v>
      </c>
      <c r="F692" s="45"/>
      <c r="G692" s="45"/>
      <c r="H692" s="45"/>
      <c r="I692">
        <v>1366577</v>
      </c>
      <c r="J692" t="s">
        <v>506</v>
      </c>
      <c r="K692" t="s">
        <v>3204</v>
      </c>
      <c r="L692" t="s">
        <v>1178</v>
      </c>
      <c r="M692" t="s">
        <v>1362</v>
      </c>
      <c r="N692" t="s">
        <v>1192</v>
      </c>
      <c r="O692" t="s">
        <v>3205</v>
      </c>
      <c r="P692" t="s">
        <v>599</v>
      </c>
      <c r="Q692" t="s">
        <v>599</v>
      </c>
      <c r="R692" t="s">
        <v>1182</v>
      </c>
      <c r="S692" t="s">
        <v>3206</v>
      </c>
      <c r="T692">
        <v>1931</v>
      </c>
      <c r="U692">
        <v>1931</v>
      </c>
      <c r="V692" t="s">
        <v>3207</v>
      </c>
      <c r="W692" t="s">
        <v>1185</v>
      </c>
      <c r="X692" t="s">
        <v>599</v>
      </c>
      <c r="Y692" t="s">
        <v>599</v>
      </c>
      <c r="Z692" t="s">
        <v>3208</v>
      </c>
      <c r="AA692" t="s">
        <v>599</v>
      </c>
      <c r="AB692" t="s">
        <v>599</v>
      </c>
      <c r="AC692" t="s">
        <v>3209</v>
      </c>
      <c r="AD692" t="s">
        <v>599</v>
      </c>
      <c r="AE692" t="s">
        <v>3210</v>
      </c>
      <c r="AF692" t="s">
        <v>1190</v>
      </c>
    </row>
    <row r="693" spans="1:32" ht="135" x14ac:dyDescent="0.25">
      <c r="A693" s="10">
        <v>1366577</v>
      </c>
      <c r="B693" s="10">
        <v>1</v>
      </c>
      <c r="C693" s="9">
        <v>106</v>
      </c>
      <c r="D693" s="56" t="s">
        <v>3725</v>
      </c>
      <c r="E693" s="12" t="s">
        <v>507</v>
      </c>
      <c r="F693" s="45"/>
      <c r="G693" s="45"/>
      <c r="H693" s="45"/>
      <c r="I693">
        <v>1366577</v>
      </c>
      <c r="J693" t="s">
        <v>506</v>
      </c>
      <c r="K693" t="s">
        <v>3204</v>
      </c>
      <c r="L693" t="s">
        <v>1178</v>
      </c>
      <c r="M693" t="s">
        <v>1362</v>
      </c>
      <c r="N693" t="s">
        <v>1192</v>
      </c>
      <c r="O693" t="s">
        <v>3205</v>
      </c>
      <c r="P693" t="s">
        <v>599</v>
      </c>
      <c r="Q693" t="s">
        <v>599</v>
      </c>
      <c r="R693" t="s">
        <v>1182</v>
      </c>
      <c r="S693" t="s">
        <v>3206</v>
      </c>
      <c r="T693">
        <v>1931</v>
      </c>
      <c r="U693">
        <v>1931</v>
      </c>
      <c r="V693" t="s">
        <v>3207</v>
      </c>
      <c r="W693" t="s">
        <v>1185</v>
      </c>
      <c r="X693" t="s">
        <v>599</v>
      </c>
      <c r="Y693" t="s">
        <v>599</v>
      </c>
      <c r="Z693" t="s">
        <v>3208</v>
      </c>
      <c r="AA693" t="s">
        <v>599</v>
      </c>
      <c r="AB693" t="s">
        <v>599</v>
      </c>
      <c r="AC693" t="s">
        <v>3209</v>
      </c>
      <c r="AD693" t="s">
        <v>599</v>
      </c>
      <c r="AE693" t="s">
        <v>3210</v>
      </c>
      <c r="AF693" t="s">
        <v>1190</v>
      </c>
    </row>
    <row r="694" spans="1:32" ht="135" x14ac:dyDescent="0.25">
      <c r="A694" s="10">
        <v>1366577</v>
      </c>
      <c r="B694" s="10">
        <v>1</v>
      </c>
      <c r="C694" s="9">
        <v>128</v>
      </c>
      <c r="D694" s="56" t="s">
        <v>3726</v>
      </c>
      <c r="E694" s="12" t="s">
        <v>507</v>
      </c>
      <c r="F694" s="45"/>
      <c r="G694" s="45"/>
      <c r="H694" s="45"/>
      <c r="I694">
        <v>1366577</v>
      </c>
      <c r="J694" t="s">
        <v>506</v>
      </c>
      <c r="K694" t="s">
        <v>3204</v>
      </c>
      <c r="L694" t="s">
        <v>1178</v>
      </c>
      <c r="M694" t="s">
        <v>1362</v>
      </c>
      <c r="N694" t="s">
        <v>1192</v>
      </c>
      <c r="O694" t="s">
        <v>3205</v>
      </c>
      <c r="P694" t="s">
        <v>599</v>
      </c>
      <c r="Q694" t="s">
        <v>599</v>
      </c>
      <c r="R694" t="s">
        <v>1182</v>
      </c>
      <c r="S694" t="s">
        <v>3206</v>
      </c>
      <c r="T694">
        <v>1931</v>
      </c>
      <c r="U694">
        <v>1931</v>
      </c>
      <c r="V694" t="s">
        <v>3207</v>
      </c>
      <c r="W694" t="s">
        <v>1185</v>
      </c>
      <c r="X694" t="s">
        <v>599</v>
      </c>
      <c r="Y694" t="s">
        <v>599</v>
      </c>
      <c r="Z694" t="s">
        <v>3208</v>
      </c>
      <c r="AA694" t="s">
        <v>599</v>
      </c>
      <c r="AB694" t="s">
        <v>599</v>
      </c>
      <c r="AC694" t="s">
        <v>3209</v>
      </c>
      <c r="AD694" t="s">
        <v>599</v>
      </c>
      <c r="AE694" t="s">
        <v>3210</v>
      </c>
      <c r="AF694" t="s">
        <v>1190</v>
      </c>
    </row>
    <row r="695" spans="1:32" ht="135" x14ac:dyDescent="0.25">
      <c r="A695" s="10">
        <v>1366577</v>
      </c>
      <c r="B695" s="10">
        <v>1</v>
      </c>
      <c r="C695" s="9">
        <v>129</v>
      </c>
      <c r="D695" s="56" t="s">
        <v>3727</v>
      </c>
      <c r="E695" s="12" t="s">
        <v>507</v>
      </c>
      <c r="F695" s="45"/>
      <c r="G695" s="45"/>
      <c r="H695" s="45"/>
      <c r="I695">
        <v>1366577</v>
      </c>
      <c r="J695" t="s">
        <v>506</v>
      </c>
      <c r="K695" t="s">
        <v>3204</v>
      </c>
      <c r="L695" t="s">
        <v>1178</v>
      </c>
      <c r="M695" t="s">
        <v>1362</v>
      </c>
      <c r="N695" t="s">
        <v>1192</v>
      </c>
      <c r="O695" t="s">
        <v>3205</v>
      </c>
      <c r="P695" t="s">
        <v>599</v>
      </c>
      <c r="Q695" t="s">
        <v>599</v>
      </c>
      <c r="R695" t="s">
        <v>1182</v>
      </c>
      <c r="S695" t="s">
        <v>3206</v>
      </c>
      <c r="T695">
        <v>1931</v>
      </c>
      <c r="U695">
        <v>1931</v>
      </c>
      <c r="V695" t="s">
        <v>3207</v>
      </c>
      <c r="W695" t="s">
        <v>1185</v>
      </c>
      <c r="X695" t="s">
        <v>599</v>
      </c>
      <c r="Y695" t="s">
        <v>599</v>
      </c>
      <c r="Z695" t="s">
        <v>3208</v>
      </c>
      <c r="AA695" t="s">
        <v>599</v>
      </c>
      <c r="AB695" t="s">
        <v>599</v>
      </c>
      <c r="AC695" t="s">
        <v>3209</v>
      </c>
      <c r="AD695" t="s">
        <v>599</v>
      </c>
      <c r="AE695" t="s">
        <v>3210</v>
      </c>
      <c r="AF695" t="s">
        <v>1190</v>
      </c>
    </row>
    <row r="696" spans="1:32" ht="135" x14ac:dyDescent="0.25">
      <c r="A696" s="10">
        <v>1366577</v>
      </c>
      <c r="B696" s="10">
        <v>1</v>
      </c>
      <c r="C696" s="9">
        <v>150</v>
      </c>
      <c r="D696" s="56" t="s">
        <v>3728</v>
      </c>
      <c r="E696" s="12" t="s">
        <v>507</v>
      </c>
      <c r="F696" s="45"/>
      <c r="G696" s="45"/>
      <c r="H696" s="45"/>
      <c r="I696">
        <v>1366577</v>
      </c>
      <c r="J696" t="s">
        <v>506</v>
      </c>
      <c r="K696" t="s">
        <v>3204</v>
      </c>
      <c r="L696" t="s">
        <v>1178</v>
      </c>
      <c r="M696" t="s">
        <v>1362</v>
      </c>
      <c r="N696" t="s">
        <v>1192</v>
      </c>
      <c r="O696" t="s">
        <v>3205</v>
      </c>
      <c r="P696" t="s">
        <v>599</v>
      </c>
      <c r="Q696" t="s">
        <v>599</v>
      </c>
      <c r="R696" t="s">
        <v>1182</v>
      </c>
      <c r="S696" t="s">
        <v>3206</v>
      </c>
      <c r="T696">
        <v>1931</v>
      </c>
      <c r="U696">
        <v>1931</v>
      </c>
      <c r="V696" t="s">
        <v>3207</v>
      </c>
      <c r="W696" t="s">
        <v>1185</v>
      </c>
      <c r="X696" t="s">
        <v>599</v>
      </c>
      <c r="Y696" t="s">
        <v>599</v>
      </c>
      <c r="Z696" t="s">
        <v>3208</v>
      </c>
      <c r="AA696" t="s">
        <v>599</v>
      </c>
      <c r="AB696" t="s">
        <v>599</v>
      </c>
      <c r="AC696" t="s">
        <v>3209</v>
      </c>
      <c r="AD696" t="s">
        <v>599</v>
      </c>
      <c r="AE696" t="s">
        <v>3210</v>
      </c>
      <c r="AF696" t="s">
        <v>1190</v>
      </c>
    </row>
    <row r="697" spans="1:32" ht="135" x14ac:dyDescent="0.25">
      <c r="A697" s="10">
        <v>1366577</v>
      </c>
      <c r="B697" s="10">
        <v>1</v>
      </c>
      <c r="C697" s="9">
        <v>151</v>
      </c>
      <c r="D697" s="56" t="s">
        <v>3729</v>
      </c>
      <c r="E697" s="12" t="s">
        <v>507</v>
      </c>
      <c r="F697" s="45"/>
      <c r="G697" s="45"/>
      <c r="H697" s="45"/>
      <c r="I697">
        <v>1366577</v>
      </c>
      <c r="J697" t="s">
        <v>506</v>
      </c>
      <c r="K697" t="s">
        <v>3204</v>
      </c>
      <c r="L697" t="s">
        <v>1178</v>
      </c>
      <c r="M697" t="s">
        <v>1362</v>
      </c>
      <c r="N697" t="s">
        <v>1192</v>
      </c>
      <c r="O697" t="s">
        <v>3205</v>
      </c>
      <c r="P697" t="s">
        <v>599</v>
      </c>
      <c r="Q697" t="s">
        <v>599</v>
      </c>
      <c r="R697" t="s">
        <v>1182</v>
      </c>
      <c r="S697" t="s">
        <v>3206</v>
      </c>
      <c r="T697">
        <v>1931</v>
      </c>
      <c r="U697">
        <v>1931</v>
      </c>
      <c r="V697" t="s">
        <v>3207</v>
      </c>
      <c r="W697" t="s">
        <v>1185</v>
      </c>
      <c r="X697" t="s">
        <v>599</v>
      </c>
      <c r="Y697" t="s">
        <v>599</v>
      </c>
      <c r="Z697" t="s">
        <v>3208</v>
      </c>
      <c r="AA697" t="s">
        <v>599</v>
      </c>
      <c r="AB697" t="s">
        <v>599</v>
      </c>
      <c r="AC697" t="s">
        <v>3209</v>
      </c>
      <c r="AD697" t="s">
        <v>599</v>
      </c>
      <c r="AE697" t="s">
        <v>3210</v>
      </c>
      <c r="AF697" t="s">
        <v>1190</v>
      </c>
    </row>
    <row r="698" spans="1:32" ht="135" x14ac:dyDescent="0.25">
      <c r="A698" s="10">
        <v>1366577</v>
      </c>
      <c r="B698" s="10">
        <v>1</v>
      </c>
      <c r="C698" s="9">
        <v>170</v>
      </c>
      <c r="D698" s="56" t="s">
        <v>3730</v>
      </c>
      <c r="E698" s="12" t="s">
        <v>507</v>
      </c>
      <c r="F698" s="45"/>
      <c r="G698" s="45"/>
      <c r="H698" s="45"/>
      <c r="I698">
        <v>1366577</v>
      </c>
      <c r="J698" t="s">
        <v>506</v>
      </c>
      <c r="K698" t="s">
        <v>3204</v>
      </c>
      <c r="L698" t="s">
        <v>1178</v>
      </c>
      <c r="M698" t="s">
        <v>1362</v>
      </c>
      <c r="N698" t="s">
        <v>1192</v>
      </c>
      <c r="O698" t="s">
        <v>3205</v>
      </c>
      <c r="P698" t="s">
        <v>599</v>
      </c>
      <c r="Q698" t="s">
        <v>599</v>
      </c>
      <c r="R698" t="s">
        <v>1182</v>
      </c>
      <c r="S698" t="s">
        <v>3206</v>
      </c>
      <c r="T698">
        <v>1931</v>
      </c>
      <c r="U698">
        <v>1931</v>
      </c>
      <c r="V698" t="s">
        <v>3207</v>
      </c>
      <c r="W698" t="s">
        <v>1185</v>
      </c>
      <c r="X698" t="s">
        <v>599</v>
      </c>
      <c r="Y698" t="s">
        <v>599</v>
      </c>
      <c r="Z698" t="s">
        <v>3208</v>
      </c>
      <c r="AA698" t="s">
        <v>599</v>
      </c>
      <c r="AB698" t="s">
        <v>599</v>
      </c>
      <c r="AC698" t="s">
        <v>3209</v>
      </c>
      <c r="AD698" t="s">
        <v>599</v>
      </c>
      <c r="AE698" t="s">
        <v>3210</v>
      </c>
      <c r="AF698" t="s">
        <v>1190</v>
      </c>
    </row>
    <row r="699" spans="1:32" ht="135" x14ac:dyDescent="0.25">
      <c r="A699" s="10">
        <v>1366577</v>
      </c>
      <c r="B699" s="10">
        <v>1</v>
      </c>
      <c r="C699" s="9">
        <v>171</v>
      </c>
      <c r="D699" s="56" t="s">
        <v>3731</v>
      </c>
      <c r="E699" s="12" t="s">
        <v>507</v>
      </c>
      <c r="F699" s="45"/>
      <c r="G699" s="45"/>
      <c r="H699" s="45"/>
      <c r="I699">
        <v>1366577</v>
      </c>
      <c r="J699" t="s">
        <v>506</v>
      </c>
      <c r="K699" t="s">
        <v>3204</v>
      </c>
      <c r="L699" t="s">
        <v>1178</v>
      </c>
      <c r="M699" t="s">
        <v>1362</v>
      </c>
      <c r="N699" t="s">
        <v>1192</v>
      </c>
      <c r="O699" t="s">
        <v>3205</v>
      </c>
      <c r="P699" t="s">
        <v>599</v>
      </c>
      <c r="Q699" t="s">
        <v>599</v>
      </c>
      <c r="R699" t="s">
        <v>1182</v>
      </c>
      <c r="S699" t="s">
        <v>3206</v>
      </c>
      <c r="T699">
        <v>1931</v>
      </c>
      <c r="U699">
        <v>1931</v>
      </c>
      <c r="V699" t="s">
        <v>3207</v>
      </c>
      <c r="W699" t="s">
        <v>1185</v>
      </c>
      <c r="X699" t="s">
        <v>599</v>
      </c>
      <c r="Y699" t="s">
        <v>599</v>
      </c>
      <c r="Z699" t="s">
        <v>3208</v>
      </c>
      <c r="AA699" t="s">
        <v>599</v>
      </c>
      <c r="AB699" t="s">
        <v>599</v>
      </c>
      <c r="AC699" t="s">
        <v>3209</v>
      </c>
      <c r="AD699" t="s">
        <v>599</v>
      </c>
      <c r="AE699" t="s">
        <v>3210</v>
      </c>
      <c r="AF699" t="s">
        <v>1190</v>
      </c>
    </row>
    <row r="700" spans="1:32" ht="135" x14ac:dyDescent="0.25">
      <c r="A700" s="10">
        <v>1366577</v>
      </c>
      <c r="B700" s="10">
        <v>1</v>
      </c>
      <c r="C700" s="9">
        <v>188</v>
      </c>
      <c r="D700" s="56" t="s">
        <v>3732</v>
      </c>
      <c r="E700" s="12" t="s">
        <v>507</v>
      </c>
      <c r="F700" s="45"/>
      <c r="G700" s="45"/>
      <c r="H700" s="45"/>
      <c r="I700">
        <v>1366577</v>
      </c>
      <c r="J700" t="s">
        <v>506</v>
      </c>
      <c r="K700" t="s">
        <v>3204</v>
      </c>
      <c r="L700" t="s">
        <v>1178</v>
      </c>
      <c r="M700" t="s">
        <v>1362</v>
      </c>
      <c r="N700" t="s">
        <v>1192</v>
      </c>
      <c r="O700" t="s">
        <v>3205</v>
      </c>
      <c r="P700" t="s">
        <v>599</v>
      </c>
      <c r="Q700" t="s">
        <v>599</v>
      </c>
      <c r="R700" t="s">
        <v>1182</v>
      </c>
      <c r="S700" t="s">
        <v>3206</v>
      </c>
      <c r="T700">
        <v>1931</v>
      </c>
      <c r="U700">
        <v>1931</v>
      </c>
      <c r="V700" t="s">
        <v>3207</v>
      </c>
      <c r="W700" t="s">
        <v>1185</v>
      </c>
      <c r="X700" t="s">
        <v>599</v>
      </c>
      <c r="Y700" t="s">
        <v>599</v>
      </c>
      <c r="Z700" t="s">
        <v>3208</v>
      </c>
      <c r="AA700" t="s">
        <v>599</v>
      </c>
      <c r="AB700" t="s">
        <v>599</v>
      </c>
      <c r="AC700" t="s">
        <v>3209</v>
      </c>
      <c r="AD700" t="s">
        <v>599</v>
      </c>
      <c r="AE700" t="s">
        <v>3210</v>
      </c>
      <c r="AF700" t="s">
        <v>1190</v>
      </c>
    </row>
    <row r="701" spans="1:32" ht="135" x14ac:dyDescent="0.25">
      <c r="A701" s="10">
        <v>1366577</v>
      </c>
      <c r="B701" s="10">
        <v>1</v>
      </c>
      <c r="C701" s="9">
        <v>189</v>
      </c>
      <c r="D701" s="56" t="s">
        <v>3733</v>
      </c>
      <c r="E701" s="12" t="s">
        <v>507</v>
      </c>
      <c r="F701" s="45"/>
      <c r="G701" s="45"/>
      <c r="H701" s="45"/>
      <c r="I701">
        <v>1366577</v>
      </c>
      <c r="J701" t="s">
        <v>506</v>
      </c>
      <c r="K701" t="s">
        <v>3204</v>
      </c>
      <c r="L701" t="s">
        <v>1178</v>
      </c>
      <c r="M701" t="s">
        <v>1362</v>
      </c>
      <c r="N701" t="s">
        <v>1192</v>
      </c>
      <c r="O701" t="s">
        <v>3205</v>
      </c>
      <c r="P701" t="s">
        <v>599</v>
      </c>
      <c r="Q701" t="s">
        <v>599</v>
      </c>
      <c r="R701" t="s">
        <v>1182</v>
      </c>
      <c r="S701" t="s">
        <v>3206</v>
      </c>
      <c r="T701">
        <v>1931</v>
      </c>
      <c r="U701">
        <v>1931</v>
      </c>
      <c r="V701" t="s">
        <v>3207</v>
      </c>
      <c r="W701" t="s">
        <v>1185</v>
      </c>
      <c r="X701" t="s">
        <v>599</v>
      </c>
      <c r="Y701" t="s">
        <v>599</v>
      </c>
      <c r="Z701" t="s">
        <v>3208</v>
      </c>
      <c r="AA701" t="s">
        <v>599</v>
      </c>
      <c r="AB701" t="s">
        <v>599</v>
      </c>
      <c r="AC701" t="s">
        <v>3209</v>
      </c>
      <c r="AD701" t="s">
        <v>599</v>
      </c>
      <c r="AE701" t="s">
        <v>3210</v>
      </c>
      <c r="AF701" t="s">
        <v>1190</v>
      </c>
    </row>
    <row r="702" spans="1:32" ht="135" x14ac:dyDescent="0.25">
      <c r="A702" s="10">
        <v>1366577</v>
      </c>
      <c r="B702" s="10">
        <v>1</v>
      </c>
      <c r="C702" s="9">
        <v>208</v>
      </c>
      <c r="D702" s="56" t="s">
        <v>3734</v>
      </c>
      <c r="E702" s="12" t="s">
        <v>507</v>
      </c>
      <c r="F702" s="45"/>
      <c r="G702" s="45"/>
      <c r="H702" s="45"/>
      <c r="I702">
        <v>1366577</v>
      </c>
      <c r="J702" t="s">
        <v>506</v>
      </c>
      <c r="K702" t="s">
        <v>3204</v>
      </c>
      <c r="L702" t="s">
        <v>1178</v>
      </c>
      <c r="M702" t="s">
        <v>1362</v>
      </c>
      <c r="N702" t="s">
        <v>1192</v>
      </c>
      <c r="O702" t="s">
        <v>3205</v>
      </c>
      <c r="P702" t="s">
        <v>599</v>
      </c>
      <c r="Q702" t="s">
        <v>599</v>
      </c>
      <c r="R702" t="s">
        <v>1182</v>
      </c>
      <c r="S702" t="s">
        <v>3206</v>
      </c>
      <c r="T702">
        <v>1931</v>
      </c>
      <c r="U702">
        <v>1931</v>
      </c>
      <c r="V702" t="s">
        <v>3207</v>
      </c>
      <c r="W702" t="s">
        <v>1185</v>
      </c>
      <c r="X702" t="s">
        <v>599</v>
      </c>
      <c r="Y702" t="s">
        <v>599</v>
      </c>
      <c r="Z702" t="s">
        <v>3208</v>
      </c>
      <c r="AA702" t="s">
        <v>599</v>
      </c>
      <c r="AB702" t="s">
        <v>599</v>
      </c>
      <c r="AC702" t="s">
        <v>3209</v>
      </c>
      <c r="AD702" t="s">
        <v>599</v>
      </c>
      <c r="AE702" t="s">
        <v>3210</v>
      </c>
      <c r="AF702" t="s">
        <v>1190</v>
      </c>
    </row>
    <row r="703" spans="1:32" ht="135" x14ac:dyDescent="0.25">
      <c r="A703" s="10">
        <v>1366577</v>
      </c>
      <c r="B703" s="10">
        <v>1</v>
      </c>
      <c r="C703" s="9">
        <v>209</v>
      </c>
      <c r="D703" s="56" t="s">
        <v>3735</v>
      </c>
      <c r="E703" s="12" t="s">
        <v>507</v>
      </c>
      <c r="F703" s="45"/>
      <c r="G703" s="45"/>
      <c r="H703" s="45"/>
      <c r="I703">
        <v>1366577</v>
      </c>
      <c r="J703" t="s">
        <v>506</v>
      </c>
      <c r="K703" t="s">
        <v>3204</v>
      </c>
      <c r="L703" t="s">
        <v>1178</v>
      </c>
      <c r="M703" t="s">
        <v>1362</v>
      </c>
      <c r="N703" t="s">
        <v>1192</v>
      </c>
      <c r="O703" t="s">
        <v>3205</v>
      </c>
      <c r="P703" t="s">
        <v>599</v>
      </c>
      <c r="Q703" t="s">
        <v>599</v>
      </c>
      <c r="R703" t="s">
        <v>1182</v>
      </c>
      <c r="S703" t="s">
        <v>3206</v>
      </c>
      <c r="T703">
        <v>1931</v>
      </c>
      <c r="U703">
        <v>1931</v>
      </c>
      <c r="V703" t="s">
        <v>3207</v>
      </c>
      <c r="W703" t="s">
        <v>1185</v>
      </c>
      <c r="X703" t="s">
        <v>599</v>
      </c>
      <c r="Y703" t="s">
        <v>599</v>
      </c>
      <c r="Z703" t="s">
        <v>3208</v>
      </c>
      <c r="AA703" t="s">
        <v>599</v>
      </c>
      <c r="AB703" t="s">
        <v>599</v>
      </c>
      <c r="AC703" t="s">
        <v>3209</v>
      </c>
      <c r="AD703" t="s">
        <v>599</v>
      </c>
      <c r="AE703" t="s">
        <v>3210</v>
      </c>
      <c r="AF703" t="s">
        <v>1190</v>
      </c>
    </row>
    <row r="704" spans="1:32" ht="135" x14ac:dyDescent="0.25">
      <c r="A704" s="10">
        <v>1366577</v>
      </c>
      <c r="B704" s="10">
        <v>1</v>
      </c>
      <c r="C704" s="9">
        <v>228</v>
      </c>
      <c r="D704" s="56" t="s">
        <v>3736</v>
      </c>
      <c r="E704" s="12" t="s">
        <v>507</v>
      </c>
      <c r="F704" s="45"/>
      <c r="G704" s="45"/>
      <c r="H704" s="45"/>
      <c r="I704">
        <v>1366577</v>
      </c>
      <c r="J704" t="s">
        <v>506</v>
      </c>
      <c r="K704" t="s">
        <v>3204</v>
      </c>
      <c r="L704" t="s">
        <v>1178</v>
      </c>
      <c r="M704" t="s">
        <v>1362</v>
      </c>
      <c r="N704" t="s">
        <v>1192</v>
      </c>
      <c r="O704" t="s">
        <v>3205</v>
      </c>
      <c r="P704" t="s">
        <v>599</v>
      </c>
      <c r="Q704" t="s">
        <v>599</v>
      </c>
      <c r="R704" t="s">
        <v>1182</v>
      </c>
      <c r="S704" t="s">
        <v>3206</v>
      </c>
      <c r="T704">
        <v>1931</v>
      </c>
      <c r="U704">
        <v>1931</v>
      </c>
      <c r="V704" t="s">
        <v>3207</v>
      </c>
      <c r="W704" t="s">
        <v>1185</v>
      </c>
      <c r="X704" t="s">
        <v>599</v>
      </c>
      <c r="Y704" t="s">
        <v>599</v>
      </c>
      <c r="Z704" t="s">
        <v>3208</v>
      </c>
      <c r="AA704" t="s">
        <v>599</v>
      </c>
      <c r="AB704" t="s">
        <v>599</v>
      </c>
      <c r="AC704" t="s">
        <v>3209</v>
      </c>
      <c r="AD704" t="s">
        <v>599</v>
      </c>
      <c r="AE704" t="s">
        <v>3210</v>
      </c>
      <c r="AF704" t="s">
        <v>1190</v>
      </c>
    </row>
    <row r="705" spans="1:32" ht="135" x14ac:dyDescent="0.25">
      <c r="A705" s="10">
        <v>1366577</v>
      </c>
      <c r="B705" s="10">
        <v>1</v>
      </c>
      <c r="C705" s="9">
        <v>229</v>
      </c>
      <c r="D705" s="56" t="s">
        <v>3737</v>
      </c>
      <c r="E705" s="12" t="s">
        <v>507</v>
      </c>
      <c r="F705" s="45"/>
      <c r="G705" s="45"/>
      <c r="H705" s="45"/>
      <c r="I705">
        <v>1366577</v>
      </c>
      <c r="J705" t="s">
        <v>506</v>
      </c>
      <c r="K705" t="s">
        <v>3204</v>
      </c>
      <c r="L705" t="s">
        <v>1178</v>
      </c>
      <c r="M705" t="s">
        <v>1362</v>
      </c>
      <c r="N705" t="s">
        <v>1192</v>
      </c>
      <c r="O705" t="s">
        <v>3205</v>
      </c>
      <c r="P705" t="s">
        <v>599</v>
      </c>
      <c r="Q705" t="s">
        <v>599</v>
      </c>
      <c r="R705" t="s">
        <v>1182</v>
      </c>
      <c r="S705" t="s">
        <v>3206</v>
      </c>
      <c r="T705">
        <v>1931</v>
      </c>
      <c r="U705">
        <v>1931</v>
      </c>
      <c r="V705" t="s">
        <v>3207</v>
      </c>
      <c r="W705" t="s">
        <v>1185</v>
      </c>
      <c r="X705" t="s">
        <v>599</v>
      </c>
      <c r="Y705" t="s">
        <v>599</v>
      </c>
      <c r="Z705" t="s">
        <v>3208</v>
      </c>
      <c r="AA705" t="s">
        <v>599</v>
      </c>
      <c r="AB705" t="s">
        <v>599</v>
      </c>
      <c r="AC705" t="s">
        <v>3209</v>
      </c>
      <c r="AD705" t="s">
        <v>599</v>
      </c>
      <c r="AE705" t="s">
        <v>3210</v>
      </c>
      <c r="AF705" t="s">
        <v>1190</v>
      </c>
    </row>
    <row r="706" spans="1:32" ht="45" x14ac:dyDescent="0.25">
      <c r="A706" s="10">
        <v>1917811</v>
      </c>
      <c r="B706" s="10">
        <v>1</v>
      </c>
      <c r="C706" s="9">
        <v>1</v>
      </c>
      <c r="D706" s="56" t="s">
        <v>3738</v>
      </c>
      <c r="E706" s="12">
        <v>1</v>
      </c>
      <c r="F706" s="45"/>
      <c r="G706" s="45"/>
      <c r="H706" s="45"/>
      <c r="I706">
        <v>1917811</v>
      </c>
      <c r="J706" t="s">
        <v>509</v>
      </c>
      <c r="K706" t="s">
        <v>3211</v>
      </c>
      <c r="L706" t="s">
        <v>1312</v>
      </c>
      <c r="M706" t="s">
        <v>1502</v>
      </c>
      <c r="N706" t="s">
        <v>599</v>
      </c>
      <c r="O706" t="s">
        <v>3212</v>
      </c>
      <c r="P706" t="s">
        <v>3213</v>
      </c>
      <c r="Q706" t="s">
        <v>599</v>
      </c>
      <c r="R706" t="s">
        <v>1182</v>
      </c>
      <c r="S706" t="s">
        <v>3214</v>
      </c>
      <c r="T706">
        <v>1980</v>
      </c>
      <c r="U706">
        <v>1980</v>
      </c>
      <c r="V706" t="s">
        <v>2056</v>
      </c>
      <c r="W706" t="s">
        <v>599</v>
      </c>
      <c r="X706" t="s">
        <v>599</v>
      </c>
      <c r="Y706" t="s">
        <v>599</v>
      </c>
      <c r="Z706" t="s">
        <v>599</v>
      </c>
      <c r="AA706" t="s">
        <v>599</v>
      </c>
      <c r="AB706" t="s">
        <v>599</v>
      </c>
      <c r="AC706" t="s">
        <v>3215</v>
      </c>
      <c r="AD706" t="s">
        <v>599</v>
      </c>
      <c r="AE706" t="s">
        <v>3216</v>
      </c>
      <c r="AF706" t="s">
        <v>1190</v>
      </c>
    </row>
    <row r="707" spans="1:32" ht="45" x14ac:dyDescent="0.25">
      <c r="A707" s="10">
        <v>2186705</v>
      </c>
      <c r="B707" s="10">
        <v>1</v>
      </c>
      <c r="C707" s="9">
        <v>4</v>
      </c>
      <c r="D707" s="56" t="s">
        <v>3739</v>
      </c>
      <c r="E707" s="12" t="s">
        <v>511</v>
      </c>
      <c r="F707" s="45"/>
      <c r="G707" s="45"/>
      <c r="H707" s="45"/>
      <c r="I707">
        <v>2186705</v>
      </c>
      <c r="J707" t="s">
        <v>510</v>
      </c>
      <c r="K707" t="s">
        <v>3218</v>
      </c>
      <c r="L707" t="s">
        <v>1178</v>
      </c>
      <c r="M707" t="s">
        <v>1192</v>
      </c>
      <c r="N707" t="s">
        <v>599</v>
      </c>
      <c r="O707" t="s">
        <v>3219</v>
      </c>
      <c r="P707" t="s">
        <v>3220</v>
      </c>
      <c r="Q707" t="s">
        <v>599</v>
      </c>
      <c r="R707" t="s">
        <v>1182</v>
      </c>
      <c r="S707" t="s">
        <v>3221</v>
      </c>
      <c r="T707">
        <v>1867</v>
      </c>
      <c r="U707">
        <v>1867</v>
      </c>
      <c r="V707" t="s">
        <v>3222</v>
      </c>
      <c r="W707" t="s">
        <v>599</v>
      </c>
      <c r="X707" t="s">
        <v>599</v>
      </c>
      <c r="Y707" t="s">
        <v>599</v>
      </c>
      <c r="Z707" t="s">
        <v>599</v>
      </c>
      <c r="AA707" t="s">
        <v>599</v>
      </c>
      <c r="AB707" t="s">
        <v>599</v>
      </c>
      <c r="AC707" t="s">
        <v>3223</v>
      </c>
      <c r="AD707" t="s">
        <v>599</v>
      </c>
      <c r="AE707" t="s">
        <v>3224</v>
      </c>
      <c r="AF707" t="s">
        <v>1190</v>
      </c>
    </row>
    <row r="708" spans="1:32" ht="45" x14ac:dyDescent="0.25">
      <c r="A708" s="10">
        <v>252584</v>
      </c>
      <c r="B708" s="10">
        <v>1</v>
      </c>
      <c r="C708" s="9">
        <v>13</v>
      </c>
      <c r="D708" s="56" t="s">
        <v>3740</v>
      </c>
      <c r="E708" s="12" t="s">
        <v>152</v>
      </c>
      <c r="F708" s="45"/>
      <c r="G708" s="45"/>
      <c r="H708" s="45"/>
      <c r="I708">
        <v>252584</v>
      </c>
      <c r="J708" t="s">
        <v>512</v>
      </c>
      <c r="K708" t="s">
        <v>3226</v>
      </c>
      <c r="L708" t="s">
        <v>1178</v>
      </c>
      <c r="M708" t="s">
        <v>1192</v>
      </c>
      <c r="N708" t="s">
        <v>599</v>
      </c>
      <c r="O708" t="s">
        <v>3227</v>
      </c>
      <c r="P708" t="s">
        <v>599</v>
      </c>
      <c r="Q708" t="s">
        <v>599</v>
      </c>
      <c r="R708" t="s">
        <v>1182</v>
      </c>
      <c r="S708" t="s">
        <v>3228</v>
      </c>
      <c r="T708">
        <v>1880</v>
      </c>
      <c r="U708">
        <v>1880</v>
      </c>
      <c r="V708" t="s">
        <v>1935</v>
      </c>
      <c r="W708" t="s">
        <v>1185</v>
      </c>
      <c r="X708" t="s">
        <v>599</v>
      </c>
      <c r="Y708" t="s">
        <v>599</v>
      </c>
      <c r="Z708" t="s">
        <v>3229</v>
      </c>
      <c r="AA708" t="s">
        <v>599</v>
      </c>
      <c r="AB708" t="s">
        <v>599</v>
      </c>
      <c r="AC708" t="s">
        <v>3230</v>
      </c>
      <c r="AD708" t="s">
        <v>1188</v>
      </c>
      <c r="AE708" t="s">
        <v>3231</v>
      </c>
      <c r="AF708" t="s">
        <v>1190</v>
      </c>
    </row>
    <row r="709" spans="1:32" ht="45" x14ac:dyDescent="0.25">
      <c r="A709" s="10">
        <v>370691</v>
      </c>
      <c r="B709" s="10">
        <v>1</v>
      </c>
      <c r="C709" s="9">
        <v>15</v>
      </c>
      <c r="D709" s="56" t="s">
        <v>3741</v>
      </c>
      <c r="E709" s="12" t="s">
        <v>514</v>
      </c>
      <c r="F709" s="45"/>
      <c r="G709" s="45"/>
      <c r="H709" s="45"/>
      <c r="I709">
        <v>370691</v>
      </c>
      <c r="J709" t="s">
        <v>513</v>
      </c>
      <c r="K709" t="s">
        <v>3232</v>
      </c>
      <c r="L709" t="s">
        <v>1178</v>
      </c>
      <c r="M709" t="s">
        <v>1192</v>
      </c>
      <c r="N709" t="s">
        <v>599</v>
      </c>
      <c r="O709" t="s">
        <v>3233</v>
      </c>
      <c r="P709" t="s">
        <v>599</v>
      </c>
      <c r="Q709" t="s">
        <v>599</v>
      </c>
      <c r="R709" t="s">
        <v>1182</v>
      </c>
      <c r="S709" t="s">
        <v>1571</v>
      </c>
      <c r="T709">
        <v>1880</v>
      </c>
      <c r="U709">
        <v>1880</v>
      </c>
      <c r="V709" t="s">
        <v>1774</v>
      </c>
      <c r="W709" t="s">
        <v>1185</v>
      </c>
      <c r="X709" t="s">
        <v>599</v>
      </c>
      <c r="Y709" t="s">
        <v>599</v>
      </c>
      <c r="Z709" t="s">
        <v>599</v>
      </c>
      <c r="AA709" t="s">
        <v>599</v>
      </c>
      <c r="AB709" t="s">
        <v>599</v>
      </c>
      <c r="AC709" t="s">
        <v>3234</v>
      </c>
      <c r="AD709" t="s">
        <v>1188</v>
      </c>
      <c r="AE709" t="s">
        <v>3235</v>
      </c>
      <c r="AF709" t="s">
        <v>1190</v>
      </c>
    </row>
    <row r="710" spans="1:32" ht="45" x14ac:dyDescent="0.25">
      <c r="A710" s="23">
        <v>370691</v>
      </c>
      <c r="B710" s="23">
        <v>1</v>
      </c>
      <c r="C710" s="27" t="s">
        <v>1135</v>
      </c>
      <c r="D710" s="53" t="s">
        <v>3742</v>
      </c>
      <c r="E710" s="25" t="s">
        <v>514</v>
      </c>
      <c r="F710" s="45"/>
      <c r="G710" s="45"/>
      <c r="H710" s="45"/>
      <c r="I710">
        <v>370691</v>
      </c>
      <c r="J710" t="s">
        <v>513</v>
      </c>
      <c r="K710" t="s">
        <v>3232</v>
      </c>
      <c r="L710" t="s">
        <v>1178</v>
      </c>
      <c r="M710" t="s">
        <v>1192</v>
      </c>
      <c r="N710" t="s">
        <v>599</v>
      </c>
      <c r="O710" t="s">
        <v>3233</v>
      </c>
      <c r="P710" t="s">
        <v>599</v>
      </c>
      <c r="Q710" t="s">
        <v>599</v>
      </c>
      <c r="R710" t="s">
        <v>1182</v>
      </c>
      <c r="S710" t="s">
        <v>1571</v>
      </c>
      <c r="T710">
        <v>1880</v>
      </c>
      <c r="U710">
        <v>1880</v>
      </c>
      <c r="V710" t="s">
        <v>1774</v>
      </c>
      <c r="W710" t="s">
        <v>1185</v>
      </c>
      <c r="X710" t="s">
        <v>599</v>
      </c>
      <c r="Y710" t="s">
        <v>599</v>
      </c>
      <c r="Z710" t="s">
        <v>599</v>
      </c>
      <c r="AA710" t="s">
        <v>599</v>
      </c>
      <c r="AB710" t="s">
        <v>599</v>
      </c>
      <c r="AC710" t="s">
        <v>3234</v>
      </c>
      <c r="AD710" t="s">
        <v>1188</v>
      </c>
      <c r="AE710" t="s">
        <v>3235</v>
      </c>
      <c r="AF710" t="s">
        <v>1190</v>
      </c>
    </row>
    <row r="711" spans="1:32" ht="45" x14ac:dyDescent="0.25">
      <c r="A711" s="10">
        <v>370691</v>
      </c>
      <c r="B711" s="10">
        <v>1</v>
      </c>
      <c r="C711" s="9">
        <v>121</v>
      </c>
      <c r="D711" s="56" t="s">
        <v>3743</v>
      </c>
      <c r="E711" s="12" t="s">
        <v>514</v>
      </c>
      <c r="F711" s="45"/>
      <c r="G711" s="45"/>
      <c r="H711" s="45"/>
      <c r="I711">
        <v>370691</v>
      </c>
      <c r="J711" t="s">
        <v>513</v>
      </c>
      <c r="K711" t="s">
        <v>3232</v>
      </c>
      <c r="L711" t="s">
        <v>1178</v>
      </c>
      <c r="M711" t="s">
        <v>1192</v>
      </c>
      <c r="N711" t="s">
        <v>599</v>
      </c>
      <c r="O711" t="s">
        <v>3233</v>
      </c>
      <c r="P711" t="s">
        <v>599</v>
      </c>
      <c r="Q711" t="s">
        <v>599</v>
      </c>
      <c r="R711" t="s">
        <v>1182</v>
      </c>
      <c r="S711" t="s">
        <v>1571</v>
      </c>
      <c r="T711">
        <v>1880</v>
      </c>
      <c r="U711">
        <v>1880</v>
      </c>
      <c r="V711" t="s">
        <v>1774</v>
      </c>
      <c r="W711" t="s">
        <v>1185</v>
      </c>
      <c r="X711" t="s">
        <v>599</v>
      </c>
      <c r="Y711" t="s">
        <v>599</v>
      </c>
      <c r="Z711" t="s">
        <v>599</v>
      </c>
      <c r="AA711" t="s">
        <v>599</v>
      </c>
      <c r="AB711" t="s">
        <v>599</v>
      </c>
      <c r="AC711" t="s">
        <v>3234</v>
      </c>
      <c r="AD711" t="s">
        <v>1188</v>
      </c>
      <c r="AE711" t="s">
        <v>3235</v>
      </c>
      <c r="AF711" t="s">
        <v>1190</v>
      </c>
    </row>
    <row r="712" spans="1:32" ht="45" x14ac:dyDescent="0.25">
      <c r="A712" s="23">
        <v>370691</v>
      </c>
      <c r="B712" s="23">
        <v>1</v>
      </c>
      <c r="C712" s="27" t="s">
        <v>1136</v>
      </c>
      <c r="D712" s="53" t="s">
        <v>3744</v>
      </c>
      <c r="E712" s="25" t="s">
        <v>514</v>
      </c>
      <c r="F712" s="45"/>
      <c r="G712" s="45"/>
      <c r="H712" s="45"/>
      <c r="I712">
        <v>370691</v>
      </c>
      <c r="J712" t="s">
        <v>513</v>
      </c>
      <c r="K712" t="s">
        <v>3232</v>
      </c>
      <c r="L712" t="s">
        <v>1178</v>
      </c>
      <c r="M712" t="s">
        <v>1192</v>
      </c>
      <c r="N712" t="s">
        <v>599</v>
      </c>
      <c r="O712" t="s">
        <v>3233</v>
      </c>
      <c r="P712" t="s">
        <v>599</v>
      </c>
      <c r="Q712" t="s">
        <v>599</v>
      </c>
      <c r="R712" t="s">
        <v>1182</v>
      </c>
      <c r="S712" t="s">
        <v>1571</v>
      </c>
      <c r="T712">
        <v>1880</v>
      </c>
      <c r="U712">
        <v>1880</v>
      </c>
      <c r="V712" t="s">
        <v>1774</v>
      </c>
      <c r="W712" t="s">
        <v>1185</v>
      </c>
      <c r="X712" t="s">
        <v>599</v>
      </c>
      <c r="Y712" t="s">
        <v>599</v>
      </c>
      <c r="Z712" t="s">
        <v>599</v>
      </c>
      <c r="AA712" t="s">
        <v>599</v>
      </c>
      <c r="AB712" t="s">
        <v>599</v>
      </c>
      <c r="AC712" t="s">
        <v>3234</v>
      </c>
      <c r="AD712" t="s">
        <v>1188</v>
      </c>
      <c r="AE712" t="s">
        <v>3235</v>
      </c>
      <c r="AF712" t="s">
        <v>1190</v>
      </c>
    </row>
    <row r="713" spans="1:32" ht="45" x14ac:dyDescent="0.25">
      <c r="A713" s="29">
        <v>370691</v>
      </c>
      <c r="B713" s="29">
        <v>1</v>
      </c>
      <c r="C713" s="28">
        <v>145</v>
      </c>
      <c r="D713" s="57" t="s">
        <v>3745</v>
      </c>
      <c r="E713" s="31" t="s">
        <v>514</v>
      </c>
      <c r="F713" s="45"/>
      <c r="G713" s="45"/>
      <c r="H713" s="45"/>
      <c r="I713">
        <v>370691</v>
      </c>
      <c r="J713" t="s">
        <v>513</v>
      </c>
      <c r="K713" t="s">
        <v>3232</v>
      </c>
      <c r="L713" t="s">
        <v>1178</v>
      </c>
      <c r="M713" t="s">
        <v>1192</v>
      </c>
      <c r="N713" t="s">
        <v>599</v>
      </c>
      <c r="O713" t="s">
        <v>3233</v>
      </c>
      <c r="P713" t="s">
        <v>599</v>
      </c>
      <c r="Q713" t="s">
        <v>599</v>
      </c>
      <c r="R713" t="s">
        <v>1182</v>
      </c>
      <c r="S713" t="s">
        <v>1571</v>
      </c>
      <c r="T713">
        <v>1880</v>
      </c>
      <c r="U713">
        <v>1880</v>
      </c>
      <c r="V713" t="s">
        <v>1774</v>
      </c>
      <c r="W713" t="s">
        <v>1185</v>
      </c>
      <c r="X713" t="s">
        <v>599</v>
      </c>
      <c r="Y713" t="s">
        <v>599</v>
      </c>
      <c r="Z713" t="s">
        <v>599</v>
      </c>
      <c r="AA713" t="s">
        <v>599</v>
      </c>
      <c r="AB713" t="s">
        <v>599</v>
      </c>
      <c r="AC713" t="s">
        <v>3234</v>
      </c>
      <c r="AD713" t="s">
        <v>1188</v>
      </c>
      <c r="AE713" t="s">
        <v>3235</v>
      </c>
      <c r="AF713" t="s">
        <v>1190</v>
      </c>
    </row>
    <row r="714" spans="1:32" ht="45" x14ac:dyDescent="0.25">
      <c r="A714" s="10">
        <v>370691</v>
      </c>
      <c r="B714" s="10">
        <v>1</v>
      </c>
      <c r="C714" s="9">
        <v>165</v>
      </c>
      <c r="D714" s="56" t="s">
        <v>3746</v>
      </c>
      <c r="E714" s="12" t="s">
        <v>514</v>
      </c>
      <c r="F714" s="45"/>
      <c r="G714" s="45"/>
      <c r="H714" s="45"/>
      <c r="I714">
        <v>370691</v>
      </c>
      <c r="J714" t="s">
        <v>513</v>
      </c>
      <c r="K714" t="s">
        <v>3232</v>
      </c>
      <c r="L714" t="s">
        <v>1178</v>
      </c>
      <c r="M714" t="s">
        <v>1192</v>
      </c>
      <c r="N714" t="s">
        <v>599</v>
      </c>
      <c r="O714" t="s">
        <v>3233</v>
      </c>
      <c r="P714" t="s">
        <v>599</v>
      </c>
      <c r="Q714" t="s">
        <v>599</v>
      </c>
      <c r="R714" t="s">
        <v>1182</v>
      </c>
      <c r="S714" t="s">
        <v>1571</v>
      </c>
      <c r="T714">
        <v>1880</v>
      </c>
      <c r="U714">
        <v>1880</v>
      </c>
      <c r="V714" t="s">
        <v>1774</v>
      </c>
      <c r="W714" t="s">
        <v>1185</v>
      </c>
      <c r="X714" t="s">
        <v>599</v>
      </c>
      <c r="Y714" t="s">
        <v>599</v>
      </c>
      <c r="Z714" t="s">
        <v>599</v>
      </c>
      <c r="AA714" t="s">
        <v>599</v>
      </c>
      <c r="AB714" t="s">
        <v>599</v>
      </c>
      <c r="AC714" t="s">
        <v>3234</v>
      </c>
      <c r="AD714" t="s">
        <v>1188</v>
      </c>
      <c r="AE714" t="s">
        <v>3235</v>
      </c>
      <c r="AF714" t="s">
        <v>1190</v>
      </c>
    </row>
    <row r="715" spans="1:32" ht="45" x14ac:dyDescent="0.25">
      <c r="A715" s="10">
        <v>397797</v>
      </c>
      <c r="B715" s="10">
        <v>1</v>
      </c>
      <c r="C715" s="9">
        <v>5</v>
      </c>
      <c r="D715" s="56" t="s">
        <v>3747</v>
      </c>
      <c r="E715" s="12" t="s">
        <v>516</v>
      </c>
      <c r="F715" s="45"/>
      <c r="G715" s="45"/>
      <c r="H715" s="45"/>
      <c r="I715">
        <v>397797</v>
      </c>
      <c r="J715" t="s">
        <v>515</v>
      </c>
      <c r="K715" t="s">
        <v>3236</v>
      </c>
      <c r="L715" t="s">
        <v>1178</v>
      </c>
      <c r="M715" t="s">
        <v>1192</v>
      </c>
      <c r="N715" t="s">
        <v>599</v>
      </c>
      <c r="O715" t="s">
        <v>1193</v>
      </c>
      <c r="P715" t="s">
        <v>3237</v>
      </c>
      <c r="Q715" t="s">
        <v>599</v>
      </c>
      <c r="R715" t="s">
        <v>1731</v>
      </c>
      <c r="S715" t="s">
        <v>3238</v>
      </c>
      <c r="T715">
        <v>1868</v>
      </c>
      <c r="U715">
        <v>1868</v>
      </c>
      <c r="V715" t="s">
        <v>3239</v>
      </c>
      <c r="W715" t="s">
        <v>1185</v>
      </c>
      <c r="X715" t="s">
        <v>599</v>
      </c>
      <c r="Y715" t="s">
        <v>599</v>
      </c>
      <c r="Z715" t="s">
        <v>599</v>
      </c>
      <c r="AA715" t="s">
        <v>599</v>
      </c>
      <c r="AB715" t="s">
        <v>599</v>
      </c>
      <c r="AC715" t="s">
        <v>3240</v>
      </c>
      <c r="AD715" t="s">
        <v>1188</v>
      </c>
      <c r="AE715" t="s">
        <v>3241</v>
      </c>
      <c r="AF715" t="s">
        <v>1190</v>
      </c>
    </row>
    <row r="716" spans="1:32" ht="45" x14ac:dyDescent="0.25">
      <c r="A716" s="10">
        <v>397797</v>
      </c>
      <c r="B716" s="10">
        <v>1</v>
      </c>
      <c r="C716" s="9">
        <v>8</v>
      </c>
      <c r="D716" s="56" t="s">
        <v>3748</v>
      </c>
      <c r="E716" s="12" t="s">
        <v>516</v>
      </c>
      <c r="F716" s="45"/>
      <c r="G716" s="45"/>
      <c r="H716" s="45"/>
      <c r="I716">
        <v>397797</v>
      </c>
      <c r="J716" t="s">
        <v>515</v>
      </c>
      <c r="K716" t="s">
        <v>3236</v>
      </c>
      <c r="L716" t="s">
        <v>1178</v>
      </c>
      <c r="M716" t="s">
        <v>1192</v>
      </c>
      <c r="N716" t="s">
        <v>599</v>
      </c>
      <c r="O716" t="s">
        <v>1193</v>
      </c>
      <c r="P716" t="s">
        <v>3237</v>
      </c>
      <c r="Q716" t="s">
        <v>599</v>
      </c>
      <c r="R716" t="s">
        <v>1731</v>
      </c>
      <c r="S716" t="s">
        <v>3238</v>
      </c>
      <c r="T716">
        <v>1868</v>
      </c>
      <c r="U716">
        <v>1868</v>
      </c>
      <c r="V716" t="s">
        <v>3239</v>
      </c>
      <c r="W716" t="s">
        <v>1185</v>
      </c>
      <c r="X716" t="s">
        <v>599</v>
      </c>
      <c r="Y716" t="s">
        <v>599</v>
      </c>
      <c r="Z716" t="s">
        <v>599</v>
      </c>
      <c r="AA716" t="s">
        <v>599</v>
      </c>
      <c r="AB716" t="s">
        <v>599</v>
      </c>
      <c r="AC716" t="s">
        <v>3240</v>
      </c>
      <c r="AD716" t="s">
        <v>1188</v>
      </c>
      <c r="AE716" t="s">
        <v>3241</v>
      </c>
      <c r="AF716" t="s">
        <v>1190</v>
      </c>
    </row>
    <row r="717" spans="1:32" ht="45" x14ac:dyDescent="0.25">
      <c r="A717" s="10">
        <v>397855</v>
      </c>
      <c r="B717" s="10">
        <v>1</v>
      </c>
      <c r="C717" s="9">
        <v>5</v>
      </c>
      <c r="D717" s="56" t="s">
        <v>3749</v>
      </c>
      <c r="E717" s="12" t="s">
        <v>143</v>
      </c>
      <c r="F717" s="45"/>
      <c r="G717" s="45"/>
      <c r="H717" s="45"/>
      <c r="I717">
        <v>397855</v>
      </c>
      <c r="J717" t="s">
        <v>517</v>
      </c>
      <c r="K717" t="s">
        <v>3242</v>
      </c>
      <c r="L717" t="s">
        <v>1178</v>
      </c>
      <c r="M717" t="s">
        <v>1192</v>
      </c>
      <c r="N717" t="s">
        <v>599</v>
      </c>
      <c r="O717" t="s">
        <v>3243</v>
      </c>
      <c r="P717" t="s">
        <v>599</v>
      </c>
      <c r="Q717" t="s">
        <v>599</v>
      </c>
      <c r="R717" t="s">
        <v>1182</v>
      </c>
      <c r="S717" t="s">
        <v>3244</v>
      </c>
      <c r="T717">
        <v>1890</v>
      </c>
      <c r="U717">
        <v>1890</v>
      </c>
      <c r="V717" t="s">
        <v>3245</v>
      </c>
      <c r="W717" t="s">
        <v>1185</v>
      </c>
      <c r="X717" t="s">
        <v>599</v>
      </c>
      <c r="Y717" t="s">
        <v>599</v>
      </c>
      <c r="Z717" t="s">
        <v>3246</v>
      </c>
      <c r="AA717" t="s">
        <v>599</v>
      </c>
      <c r="AB717" t="s">
        <v>599</v>
      </c>
      <c r="AC717" t="s">
        <v>3247</v>
      </c>
      <c r="AD717" t="s">
        <v>1188</v>
      </c>
      <c r="AE717" t="s">
        <v>3248</v>
      </c>
      <c r="AF717" t="s">
        <v>1190</v>
      </c>
    </row>
    <row r="718" spans="1:32" ht="45" x14ac:dyDescent="0.25">
      <c r="A718" s="10">
        <v>397878</v>
      </c>
      <c r="B718" s="10">
        <v>1</v>
      </c>
      <c r="C718" s="9">
        <v>4</v>
      </c>
      <c r="D718" s="56" t="s">
        <v>3750</v>
      </c>
      <c r="E718" s="12" t="s">
        <v>519</v>
      </c>
      <c r="F718" s="45"/>
      <c r="G718" s="45"/>
      <c r="H718" s="45"/>
      <c r="I718">
        <v>397878</v>
      </c>
      <c r="J718" t="s">
        <v>518</v>
      </c>
      <c r="K718" t="s">
        <v>3249</v>
      </c>
      <c r="L718" t="s">
        <v>1178</v>
      </c>
      <c r="M718" t="s">
        <v>1192</v>
      </c>
      <c r="N718" t="s">
        <v>599</v>
      </c>
      <c r="O718" t="s">
        <v>3250</v>
      </c>
      <c r="P718" t="s">
        <v>599</v>
      </c>
      <c r="Q718" t="s">
        <v>599</v>
      </c>
      <c r="R718" t="s">
        <v>1182</v>
      </c>
      <c r="S718" t="s">
        <v>3251</v>
      </c>
      <c r="T718">
        <v>1890</v>
      </c>
      <c r="U718">
        <v>1890</v>
      </c>
      <c r="V718" t="s">
        <v>1276</v>
      </c>
      <c r="W718" t="s">
        <v>1185</v>
      </c>
      <c r="X718" t="s">
        <v>599</v>
      </c>
      <c r="Y718" t="s">
        <v>599</v>
      </c>
      <c r="Z718" t="s">
        <v>3252</v>
      </c>
      <c r="AA718" t="s">
        <v>599</v>
      </c>
      <c r="AB718" t="s">
        <v>599</v>
      </c>
      <c r="AC718" t="s">
        <v>3253</v>
      </c>
      <c r="AD718" t="s">
        <v>1188</v>
      </c>
      <c r="AE718" t="s">
        <v>3254</v>
      </c>
      <c r="AF718" t="s">
        <v>1190</v>
      </c>
    </row>
    <row r="719" spans="1:32" ht="45" x14ac:dyDescent="0.25">
      <c r="A719" s="10">
        <v>397880</v>
      </c>
      <c r="B719" s="10">
        <v>1</v>
      </c>
      <c r="C719" s="9">
        <v>3</v>
      </c>
      <c r="D719" s="56" t="s">
        <v>3751</v>
      </c>
      <c r="E719" s="12" t="s">
        <v>521</v>
      </c>
      <c r="F719" s="45"/>
      <c r="G719" s="45"/>
      <c r="H719" s="45"/>
      <c r="I719">
        <v>397880</v>
      </c>
      <c r="J719" t="s">
        <v>520</v>
      </c>
      <c r="K719" t="s">
        <v>3255</v>
      </c>
      <c r="L719" t="s">
        <v>1178</v>
      </c>
      <c r="M719" t="s">
        <v>3256</v>
      </c>
      <c r="N719" t="s">
        <v>1192</v>
      </c>
      <c r="O719" t="s">
        <v>3257</v>
      </c>
      <c r="P719" t="s">
        <v>599</v>
      </c>
      <c r="Q719" t="s">
        <v>599</v>
      </c>
      <c r="R719" t="s">
        <v>1182</v>
      </c>
      <c r="S719" t="s">
        <v>3258</v>
      </c>
      <c r="T719">
        <v>1898</v>
      </c>
      <c r="U719">
        <v>1898</v>
      </c>
      <c r="V719" t="s">
        <v>1276</v>
      </c>
      <c r="W719" t="s">
        <v>1185</v>
      </c>
      <c r="X719" t="s">
        <v>599</v>
      </c>
      <c r="Y719" t="s">
        <v>599</v>
      </c>
      <c r="Z719" t="s">
        <v>3259</v>
      </c>
      <c r="AA719" t="s">
        <v>599</v>
      </c>
      <c r="AB719" t="s">
        <v>599</v>
      </c>
      <c r="AC719" t="s">
        <v>3260</v>
      </c>
      <c r="AD719" t="s">
        <v>1188</v>
      </c>
      <c r="AE719" t="s">
        <v>3261</v>
      </c>
      <c r="AF719" t="s">
        <v>1190</v>
      </c>
    </row>
    <row r="720" spans="1:32" ht="45" x14ac:dyDescent="0.25">
      <c r="A720" s="10">
        <v>397880</v>
      </c>
      <c r="B720" s="10">
        <v>1</v>
      </c>
      <c r="C720" s="9">
        <v>5</v>
      </c>
      <c r="D720" s="56" t="s">
        <v>3752</v>
      </c>
      <c r="E720" s="12" t="s">
        <v>609</v>
      </c>
      <c r="F720" s="45"/>
      <c r="G720" s="45"/>
      <c r="H720" s="45"/>
      <c r="I720">
        <v>397880</v>
      </c>
      <c r="J720" t="s">
        <v>520</v>
      </c>
      <c r="K720" t="s">
        <v>3255</v>
      </c>
      <c r="L720" t="s">
        <v>1178</v>
      </c>
      <c r="M720" t="s">
        <v>3256</v>
      </c>
      <c r="N720" t="s">
        <v>1192</v>
      </c>
      <c r="O720" t="s">
        <v>3257</v>
      </c>
      <c r="P720" t="s">
        <v>599</v>
      </c>
      <c r="Q720" t="s">
        <v>599</v>
      </c>
      <c r="R720" t="s">
        <v>1182</v>
      </c>
      <c r="S720" t="s">
        <v>3258</v>
      </c>
      <c r="T720">
        <v>1898</v>
      </c>
      <c r="U720">
        <v>1898</v>
      </c>
      <c r="V720" t="s">
        <v>1276</v>
      </c>
      <c r="W720" t="s">
        <v>1185</v>
      </c>
      <c r="X720" t="s">
        <v>599</v>
      </c>
      <c r="Y720" t="s">
        <v>599</v>
      </c>
      <c r="Z720" t="s">
        <v>3259</v>
      </c>
      <c r="AA720" t="s">
        <v>599</v>
      </c>
      <c r="AB720" t="s">
        <v>599</v>
      </c>
      <c r="AC720" t="s">
        <v>3260</v>
      </c>
      <c r="AD720" t="s">
        <v>1188</v>
      </c>
      <c r="AE720" t="s">
        <v>3261</v>
      </c>
      <c r="AF720" t="s">
        <v>1190</v>
      </c>
    </row>
    <row r="721" spans="1:32" ht="45" x14ac:dyDescent="0.25">
      <c r="A721" s="10">
        <v>397880</v>
      </c>
      <c r="B721" s="10">
        <v>1</v>
      </c>
      <c r="C721" s="9">
        <v>8</v>
      </c>
      <c r="D721" s="56" t="s">
        <v>3753</v>
      </c>
      <c r="E721" s="12" t="s">
        <v>610</v>
      </c>
      <c r="F721" s="45"/>
      <c r="G721" s="45"/>
      <c r="H721" s="45"/>
      <c r="I721">
        <v>397880</v>
      </c>
      <c r="J721" t="s">
        <v>520</v>
      </c>
      <c r="K721" t="s">
        <v>3255</v>
      </c>
      <c r="L721" t="s">
        <v>1178</v>
      </c>
      <c r="M721" t="s">
        <v>3256</v>
      </c>
      <c r="N721" t="s">
        <v>1192</v>
      </c>
      <c r="O721" t="s">
        <v>3257</v>
      </c>
      <c r="P721" t="s">
        <v>599</v>
      </c>
      <c r="Q721" t="s">
        <v>599</v>
      </c>
      <c r="R721" t="s">
        <v>1182</v>
      </c>
      <c r="S721" t="s">
        <v>3258</v>
      </c>
      <c r="T721">
        <v>1898</v>
      </c>
      <c r="U721">
        <v>1898</v>
      </c>
      <c r="V721" t="s">
        <v>1276</v>
      </c>
      <c r="W721" t="s">
        <v>1185</v>
      </c>
      <c r="X721" t="s">
        <v>599</v>
      </c>
      <c r="Y721" t="s">
        <v>599</v>
      </c>
      <c r="Z721" t="s">
        <v>3259</v>
      </c>
      <c r="AA721" t="s">
        <v>599</v>
      </c>
      <c r="AB721" t="s">
        <v>599</v>
      </c>
      <c r="AC721" t="s">
        <v>3260</v>
      </c>
      <c r="AD721" t="s">
        <v>1188</v>
      </c>
      <c r="AE721" t="s">
        <v>3261</v>
      </c>
      <c r="AF721" t="s">
        <v>1190</v>
      </c>
    </row>
    <row r="722" spans="1:32" ht="45" x14ac:dyDescent="0.25">
      <c r="A722" s="10">
        <v>397880</v>
      </c>
      <c r="B722" s="10">
        <v>1</v>
      </c>
      <c r="C722" s="9">
        <v>10</v>
      </c>
      <c r="D722" s="56" t="s">
        <v>3754</v>
      </c>
      <c r="E722" s="12" t="s">
        <v>611</v>
      </c>
      <c r="F722" s="45"/>
      <c r="G722" s="45"/>
      <c r="H722" s="45"/>
      <c r="I722">
        <v>397880</v>
      </c>
      <c r="J722" t="s">
        <v>520</v>
      </c>
      <c r="K722" t="s">
        <v>3255</v>
      </c>
      <c r="L722" t="s">
        <v>1178</v>
      </c>
      <c r="M722" t="s">
        <v>3256</v>
      </c>
      <c r="N722" t="s">
        <v>1192</v>
      </c>
      <c r="O722" t="s">
        <v>3257</v>
      </c>
      <c r="P722" t="s">
        <v>599</v>
      </c>
      <c r="Q722" t="s">
        <v>599</v>
      </c>
      <c r="R722" t="s">
        <v>1182</v>
      </c>
      <c r="S722" t="s">
        <v>3258</v>
      </c>
      <c r="T722">
        <v>1898</v>
      </c>
      <c r="U722">
        <v>1898</v>
      </c>
      <c r="V722" t="s">
        <v>1276</v>
      </c>
      <c r="W722" t="s">
        <v>1185</v>
      </c>
      <c r="X722" t="s">
        <v>599</v>
      </c>
      <c r="Y722" t="s">
        <v>599</v>
      </c>
      <c r="Z722" t="s">
        <v>3259</v>
      </c>
      <c r="AA722" t="s">
        <v>599</v>
      </c>
      <c r="AB722" t="s">
        <v>599</v>
      </c>
      <c r="AC722" t="s">
        <v>3260</v>
      </c>
      <c r="AD722" t="s">
        <v>1188</v>
      </c>
      <c r="AE722" t="s">
        <v>3261</v>
      </c>
      <c r="AF722" t="s">
        <v>1190</v>
      </c>
    </row>
    <row r="723" spans="1:32" ht="45" x14ac:dyDescent="0.25">
      <c r="A723" s="10">
        <v>458381</v>
      </c>
      <c r="B723" s="10">
        <v>1</v>
      </c>
      <c r="C723" s="9">
        <v>12</v>
      </c>
      <c r="D723" s="56" t="s">
        <v>3755</v>
      </c>
      <c r="E723" s="12" t="s">
        <v>523</v>
      </c>
      <c r="F723" s="45"/>
      <c r="G723" s="45"/>
      <c r="H723" s="45"/>
      <c r="I723">
        <v>458381</v>
      </c>
      <c r="J723" t="s">
        <v>522</v>
      </c>
      <c r="K723" t="s">
        <v>3262</v>
      </c>
      <c r="L723" t="s">
        <v>1178</v>
      </c>
      <c r="M723" t="s">
        <v>1192</v>
      </c>
      <c r="N723" t="s">
        <v>599</v>
      </c>
      <c r="O723" t="s">
        <v>3263</v>
      </c>
      <c r="P723" t="s">
        <v>599</v>
      </c>
      <c r="Q723" t="s">
        <v>599</v>
      </c>
      <c r="R723" t="s">
        <v>1182</v>
      </c>
      <c r="S723" t="s">
        <v>2696</v>
      </c>
      <c r="T723">
        <v>1880</v>
      </c>
      <c r="U723">
        <v>1880</v>
      </c>
      <c r="V723" t="s">
        <v>3264</v>
      </c>
      <c r="W723" t="s">
        <v>599</v>
      </c>
      <c r="X723" t="s">
        <v>599</v>
      </c>
      <c r="Y723" t="s">
        <v>599</v>
      </c>
      <c r="Z723" t="s">
        <v>599</v>
      </c>
      <c r="AA723" t="s">
        <v>599</v>
      </c>
      <c r="AB723" t="s">
        <v>599</v>
      </c>
      <c r="AC723" t="s">
        <v>3265</v>
      </c>
      <c r="AD723" t="s">
        <v>1188</v>
      </c>
      <c r="AE723" t="s">
        <v>3266</v>
      </c>
      <c r="AF723" t="s">
        <v>1190</v>
      </c>
    </row>
    <row r="724" spans="1:32" ht="45" x14ac:dyDescent="0.25">
      <c r="A724" s="10">
        <v>464811</v>
      </c>
      <c r="B724" s="10">
        <v>1</v>
      </c>
      <c r="C724" s="9">
        <v>10</v>
      </c>
      <c r="D724" s="56" t="s">
        <v>3756</v>
      </c>
      <c r="E724" s="12">
        <v>10</v>
      </c>
      <c r="F724" s="45"/>
      <c r="G724" s="45"/>
      <c r="H724" s="45"/>
      <c r="I724">
        <v>464811</v>
      </c>
      <c r="J724" t="s">
        <v>524</v>
      </c>
      <c r="K724" t="s">
        <v>3268</v>
      </c>
      <c r="L724" t="s">
        <v>1178</v>
      </c>
      <c r="M724" t="s">
        <v>1362</v>
      </c>
      <c r="N724" t="s">
        <v>599</v>
      </c>
      <c r="O724" t="s">
        <v>3269</v>
      </c>
      <c r="P724" t="s">
        <v>599</v>
      </c>
      <c r="Q724" t="s">
        <v>599</v>
      </c>
      <c r="R724" t="s">
        <v>1182</v>
      </c>
      <c r="S724" t="s">
        <v>3270</v>
      </c>
      <c r="T724">
        <v>1859</v>
      </c>
      <c r="U724">
        <v>1859</v>
      </c>
      <c r="V724" t="s">
        <v>3271</v>
      </c>
      <c r="W724" t="s">
        <v>3272</v>
      </c>
      <c r="X724" t="s">
        <v>599</v>
      </c>
      <c r="Y724" t="s">
        <v>599</v>
      </c>
      <c r="Z724" t="s">
        <v>3273</v>
      </c>
      <c r="AA724" t="s">
        <v>599</v>
      </c>
      <c r="AB724" t="s">
        <v>599</v>
      </c>
      <c r="AC724" t="s">
        <v>3274</v>
      </c>
      <c r="AD724" t="s">
        <v>1188</v>
      </c>
      <c r="AE724" t="s">
        <v>3275</v>
      </c>
      <c r="AF724" t="s">
        <v>1190</v>
      </c>
    </row>
    <row r="725" spans="1:32" ht="45" x14ac:dyDescent="0.25">
      <c r="A725" s="10">
        <v>464977</v>
      </c>
      <c r="B725" s="10">
        <v>1</v>
      </c>
      <c r="C725" s="9">
        <v>8</v>
      </c>
      <c r="D725" s="56" t="s">
        <v>3757</v>
      </c>
      <c r="E725" s="12" t="s">
        <v>526</v>
      </c>
      <c r="F725" s="45"/>
      <c r="G725" s="45"/>
      <c r="H725" s="45"/>
      <c r="I725">
        <v>464977</v>
      </c>
      <c r="J725" t="s">
        <v>525</v>
      </c>
      <c r="K725" t="s">
        <v>3276</v>
      </c>
      <c r="L725" t="s">
        <v>1178</v>
      </c>
      <c r="M725" t="s">
        <v>1192</v>
      </c>
      <c r="N725" t="s">
        <v>599</v>
      </c>
      <c r="O725" t="s">
        <v>3277</v>
      </c>
      <c r="P725" t="s">
        <v>599</v>
      </c>
      <c r="Q725" t="s">
        <v>599</v>
      </c>
      <c r="R725" t="s">
        <v>1182</v>
      </c>
      <c r="S725" t="s">
        <v>3278</v>
      </c>
      <c r="T725">
        <v>1910</v>
      </c>
      <c r="U725">
        <v>1910</v>
      </c>
      <c r="V725" t="s">
        <v>1463</v>
      </c>
      <c r="W725" t="s">
        <v>3279</v>
      </c>
      <c r="X725" t="s">
        <v>599</v>
      </c>
      <c r="Y725" t="s">
        <v>599</v>
      </c>
      <c r="Z725" t="s">
        <v>599</v>
      </c>
      <c r="AA725" t="s">
        <v>599</v>
      </c>
      <c r="AB725" t="s">
        <v>599</v>
      </c>
      <c r="AC725" t="s">
        <v>3280</v>
      </c>
      <c r="AD725" t="s">
        <v>1188</v>
      </c>
      <c r="AE725" t="s">
        <v>3281</v>
      </c>
      <c r="AF725" t="s">
        <v>1190</v>
      </c>
    </row>
    <row r="726" spans="1:32" ht="45" x14ac:dyDescent="0.25">
      <c r="A726" s="10">
        <v>465372</v>
      </c>
      <c r="B726" s="10">
        <v>1</v>
      </c>
      <c r="C726" s="9">
        <v>1</v>
      </c>
      <c r="D726" s="56" t="s">
        <v>3758</v>
      </c>
      <c r="E726" s="12" t="s">
        <v>449</v>
      </c>
      <c r="F726" s="45"/>
      <c r="G726" s="45"/>
      <c r="H726" s="45"/>
      <c r="I726">
        <v>465372</v>
      </c>
      <c r="J726" t="s">
        <v>527</v>
      </c>
      <c r="K726" t="s">
        <v>3282</v>
      </c>
      <c r="L726" t="s">
        <v>1178</v>
      </c>
      <c r="M726" t="s">
        <v>1192</v>
      </c>
      <c r="N726" t="s">
        <v>599</v>
      </c>
      <c r="O726" t="s">
        <v>3283</v>
      </c>
      <c r="P726" t="s">
        <v>3284</v>
      </c>
      <c r="Q726" t="s">
        <v>599</v>
      </c>
      <c r="R726" t="s">
        <v>1182</v>
      </c>
      <c r="S726" t="s">
        <v>3285</v>
      </c>
      <c r="T726">
        <v>1882</v>
      </c>
      <c r="U726">
        <v>1882</v>
      </c>
      <c r="V726" t="s">
        <v>2868</v>
      </c>
      <c r="W726" t="s">
        <v>599</v>
      </c>
      <c r="X726" t="s">
        <v>599</v>
      </c>
      <c r="Y726" t="s">
        <v>599</v>
      </c>
      <c r="Z726" t="s">
        <v>599</v>
      </c>
      <c r="AA726" t="s">
        <v>599</v>
      </c>
      <c r="AB726" t="s">
        <v>599</v>
      </c>
      <c r="AC726" t="s">
        <v>3286</v>
      </c>
      <c r="AD726" t="s">
        <v>1188</v>
      </c>
      <c r="AE726" t="s">
        <v>3287</v>
      </c>
      <c r="AF726" t="s">
        <v>1190</v>
      </c>
    </row>
    <row r="727" spans="1:32" ht="45" x14ac:dyDescent="0.25">
      <c r="A727" s="10">
        <v>782738</v>
      </c>
      <c r="B727" s="10">
        <v>1</v>
      </c>
      <c r="C727" s="9">
        <v>5</v>
      </c>
      <c r="D727" s="56" t="s">
        <v>3759</v>
      </c>
      <c r="E727" s="12" t="s">
        <v>529</v>
      </c>
      <c r="F727" s="45"/>
      <c r="G727" s="45"/>
      <c r="H727" s="45"/>
      <c r="I727">
        <v>782738</v>
      </c>
      <c r="J727" t="s">
        <v>528</v>
      </c>
      <c r="K727" t="s">
        <v>3289</v>
      </c>
      <c r="L727" t="s">
        <v>1178</v>
      </c>
      <c r="M727" t="s">
        <v>1192</v>
      </c>
      <c r="N727" t="s">
        <v>599</v>
      </c>
      <c r="O727" t="s">
        <v>1193</v>
      </c>
      <c r="P727" t="s">
        <v>1330</v>
      </c>
      <c r="Q727" t="s">
        <v>599</v>
      </c>
      <c r="R727" t="s">
        <v>3127</v>
      </c>
      <c r="S727" t="s">
        <v>3128</v>
      </c>
      <c r="T727">
        <v>1870</v>
      </c>
      <c r="U727">
        <v>1870</v>
      </c>
      <c r="V727" t="s">
        <v>3290</v>
      </c>
      <c r="W727" t="s">
        <v>1185</v>
      </c>
      <c r="X727" t="s">
        <v>599</v>
      </c>
      <c r="Y727" t="s">
        <v>599</v>
      </c>
      <c r="Z727" t="s">
        <v>599</v>
      </c>
      <c r="AA727" t="s">
        <v>599</v>
      </c>
      <c r="AB727" t="s">
        <v>599</v>
      </c>
      <c r="AC727" t="s">
        <v>3291</v>
      </c>
      <c r="AD727" t="s">
        <v>1188</v>
      </c>
      <c r="AE727" t="s">
        <v>3292</v>
      </c>
      <c r="AF727" t="s">
        <v>1190</v>
      </c>
    </row>
    <row r="728" spans="1:32" ht="75" x14ac:dyDescent="0.25">
      <c r="A728" s="10">
        <v>784624</v>
      </c>
      <c r="B728" s="10">
        <v>1</v>
      </c>
      <c r="C728" s="9">
        <v>8</v>
      </c>
      <c r="D728" s="56" t="s">
        <v>3760</v>
      </c>
      <c r="E728" s="12" t="s">
        <v>531</v>
      </c>
      <c r="F728" s="45"/>
      <c r="G728" s="45"/>
      <c r="H728" s="45"/>
      <c r="I728">
        <v>784624</v>
      </c>
      <c r="J728" t="s">
        <v>530</v>
      </c>
      <c r="K728" t="s">
        <v>3293</v>
      </c>
      <c r="L728" t="s">
        <v>1178</v>
      </c>
      <c r="M728" t="s">
        <v>1192</v>
      </c>
      <c r="N728" t="s">
        <v>599</v>
      </c>
      <c r="O728" t="s">
        <v>1193</v>
      </c>
      <c r="P728" t="s">
        <v>1330</v>
      </c>
      <c r="Q728" t="s">
        <v>599</v>
      </c>
      <c r="R728" t="s">
        <v>3294</v>
      </c>
      <c r="S728" t="s">
        <v>3295</v>
      </c>
      <c r="T728">
        <v>1875</v>
      </c>
      <c r="U728">
        <v>1875</v>
      </c>
      <c r="V728" t="s">
        <v>3296</v>
      </c>
      <c r="W728" t="s">
        <v>1185</v>
      </c>
      <c r="X728" t="s">
        <v>599</v>
      </c>
      <c r="Y728" t="s">
        <v>599</v>
      </c>
      <c r="Z728" t="s">
        <v>3297</v>
      </c>
      <c r="AA728" t="s">
        <v>599</v>
      </c>
      <c r="AB728" t="s">
        <v>599</v>
      </c>
      <c r="AC728" t="s">
        <v>3298</v>
      </c>
      <c r="AD728" t="s">
        <v>1188</v>
      </c>
      <c r="AE728" t="s">
        <v>3299</v>
      </c>
      <c r="AF728" t="s">
        <v>1190</v>
      </c>
    </row>
    <row r="729" spans="1:32" ht="75" x14ac:dyDescent="0.25">
      <c r="A729" s="10">
        <v>784624</v>
      </c>
      <c r="B729" s="10">
        <v>1</v>
      </c>
      <c r="C729" s="9">
        <v>59</v>
      </c>
      <c r="D729" s="56" t="s">
        <v>3761</v>
      </c>
      <c r="E729" s="12" t="s">
        <v>531</v>
      </c>
      <c r="F729" s="45"/>
      <c r="G729" s="45"/>
      <c r="H729" s="45"/>
      <c r="I729">
        <v>784624</v>
      </c>
      <c r="J729" t="s">
        <v>530</v>
      </c>
      <c r="K729" t="s">
        <v>3293</v>
      </c>
      <c r="L729" t="s">
        <v>1178</v>
      </c>
      <c r="M729" t="s">
        <v>1192</v>
      </c>
      <c r="N729" t="s">
        <v>599</v>
      </c>
      <c r="O729" t="s">
        <v>1193</v>
      </c>
      <c r="P729" t="s">
        <v>1330</v>
      </c>
      <c r="Q729" t="s">
        <v>599</v>
      </c>
      <c r="R729" t="s">
        <v>3294</v>
      </c>
      <c r="S729" t="s">
        <v>3295</v>
      </c>
      <c r="T729">
        <v>1875</v>
      </c>
      <c r="U729">
        <v>1875</v>
      </c>
      <c r="V729" t="s">
        <v>3296</v>
      </c>
      <c r="W729" t="s">
        <v>1185</v>
      </c>
      <c r="X729" t="s">
        <v>599</v>
      </c>
      <c r="Y729" t="s">
        <v>599</v>
      </c>
      <c r="Z729" t="s">
        <v>3297</v>
      </c>
      <c r="AA729" t="s">
        <v>599</v>
      </c>
      <c r="AB729" t="s">
        <v>599</v>
      </c>
      <c r="AC729" t="s">
        <v>3298</v>
      </c>
      <c r="AD729" t="s">
        <v>1188</v>
      </c>
      <c r="AE729" t="s">
        <v>3299</v>
      </c>
      <c r="AF729" t="s">
        <v>1190</v>
      </c>
    </row>
    <row r="730" spans="1:32" ht="75" x14ac:dyDescent="0.25">
      <c r="A730" s="10">
        <v>784624</v>
      </c>
      <c r="B730" s="10">
        <v>1</v>
      </c>
      <c r="C730" s="9">
        <v>97</v>
      </c>
      <c r="D730" s="56" t="s">
        <v>3762</v>
      </c>
      <c r="E730" s="12" t="s">
        <v>531</v>
      </c>
      <c r="F730" s="45"/>
      <c r="G730" s="45"/>
      <c r="H730" s="45"/>
      <c r="I730">
        <v>784624</v>
      </c>
      <c r="J730" t="s">
        <v>530</v>
      </c>
      <c r="K730" t="s">
        <v>3293</v>
      </c>
      <c r="L730" t="s">
        <v>1178</v>
      </c>
      <c r="M730" t="s">
        <v>1192</v>
      </c>
      <c r="N730" t="s">
        <v>599</v>
      </c>
      <c r="O730" t="s">
        <v>1193</v>
      </c>
      <c r="P730" t="s">
        <v>1330</v>
      </c>
      <c r="Q730" t="s">
        <v>599</v>
      </c>
      <c r="R730" t="s">
        <v>3294</v>
      </c>
      <c r="S730" t="s">
        <v>3295</v>
      </c>
      <c r="T730">
        <v>1875</v>
      </c>
      <c r="U730">
        <v>1875</v>
      </c>
      <c r="V730" t="s">
        <v>3296</v>
      </c>
      <c r="W730" t="s">
        <v>1185</v>
      </c>
      <c r="X730" t="s">
        <v>599</v>
      </c>
      <c r="Y730" t="s">
        <v>599</v>
      </c>
      <c r="Z730" t="s">
        <v>3297</v>
      </c>
      <c r="AA730" t="s">
        <v>599</v>
      </c>
      <c r="AB730" t="s">
        <v>599</v>
      </c>
      <c r="AC730" t="s">
        <v>3298</v>
      </c>
      <c r="AD730" t="s">
        <v>1188</v>
      </c>
      <c r="AE730" t="s">
        <v>3299</v>
      </c>
      <c r="AF730" t="s">
        <v>1190</v>
      </c>
    </row>
    <row r="731" spans="1:32" ht="75" x14ac:dyDescent="0.25">
      <c r="A731" s="10">
        <v>784624</v>
      </c>
      <c r="B731" s="10">
        <v>1</v>
      </c>
      <c r="C731" s="9">
        <v>139</v>
      </c>
      <c r="D731" s="56" t="s">
        <v>3763</v>
      </c>
      <c r="E731" s="12" t="s">
        <v>531</v>
      </c>
      <c r="F731" s="45"/>
      <c r="G731" s="45"/>
      <c r="H731" s="45"/>
      <c r="I731">
        <v>784624</v>
      </c>
      <c r="J731" t="s">
        <v>530</v>
      </c>
      <c r="K731" t="s">
        <v>3293</v>
      </c>
      <c r="L731" t="s">
        <v>1178</v>
      </c>
      <c r="M731" t="s">
        <v>1192</v>
      </c>
      <c r="N731" t="s">
        <v>599</v>
      </c>
      <c r="O731" t="s">
        <v>1193</v>
      </c>
      <c r="P731" t="s">
        <v>1330</v>
      </c>
      <c r="Q731" t="s">
        <v>599</v>
      </c>
      <c r="R731" t="s">
        <v>3294</v>
      </c>
      <c r="S731" t="s">
        <v>3295</v>
      </c>
      <c r="T731">
        <v>1875</v>
      </c>
      <c r="U731">
        <v>1875</v>
      </c>
      <c r="V731" t="s">
        <v>3296</v>
      </c>
      <c r="W731" t="s">
        <v>1185</v>
      </c>
      <c r="X731" t="s">
        <v>599</v>
      </c>
      <c r="Y731" t="s">
        <v>599</v>
      </c>
      <c r="Z731" t="s">
        <v>3297</v>
      </c>
      <c r="AA731" t="s">
        <v>599</v>
      </c>
      <c r="AB731" t="s">
        <v>599</v>
      </c>
      <c r="AC731" t="s">
        <v>3298</v>
      </c>
      <c r="AD731" t="s">
        <v>1188</v>
      </c>
      <c r="AE731" t="s">
        <v>3299</v>
      </c>
      <c r="AF731" t="s">
        <v>1190</v>
      </c>
    </row>
    <row r="732" spans="1:32" ht="75" x14ac:dyDescent="0.25">
      <c r="A732" s="10">
        <v>784624</v>
      </c>
      <c r="B732" s="10">
        <v>1</v>
      </c>
      <c r="C732" s="9">
        <v>191</v>
      </c>
      <c r="D732" s="56" t="s">
        <v>3764</v>
      </c>
      <c r="E732" s="12" t="s">
        <v>531</v>
      </c>
      <c r="F732" s="45"/>
      <c r="G732" s="45"/>
      <c r="H732" s="45"/>
      <c r="I732">
        <v>784624</v>
      </c>
      <c r="J732" t="s">
        <v>530</v>
      </c>
      <c r="K732" t="s">
        <v>3293</v>
      </c>
      <c r="L732" t="s">
        <v>1178</v>
      </c>
      <c r="M732" t="s">
        <v>1192</v>
      </c>
      <c r="N732" t="s">
        <v>599</v>
      </c>
      <c r="O732" t="s">
        <v>1193</v>
      </c>
      <c r="P732" t="s">
        <v>1330</v>
      </c>
      <c r="Q732" t="s">
        <v>599</v>
      </c>
      <c r="R732" t="s">
        <v>3294</v>
      </c>
      <c r="S732" t="s">
        <v>3295</v>
      </c>
      <c r="T732">
        <v>1875</v>
      </c>
      <c r="U732">
        <v>1875</v>
      </c>
      <c r="V732" t="s">
        <v>3296</v>
      </c>
      <c r="W732" t="s">
        <v>1185</v>
      </c>
      <c r="X732" t="s">
        <v>599</v>
      </c>
      <c r="Y732" t="s">
        <v>599</v>
      </c>
      <c r="Z732" t="s">
        <v>3297</v>
      </c>
      <c r="AA732" t="s">
        <v>599</v>
      </c>
      <c r="AB732" t="s">
        <v>599</v>
      </c>
      <c r="AC732" t="s">
        <v>3298</v>
      </c>
      <c r="AD732" t="s">
        <v>1188</v>
      </c>
      <c r="AE732" t="s">
        <v>3299</v>
      </c>
      <c r="AF732" t="s">
        <v>1190</v>
      </c>
    </row>
    <row r="733" spans="1:32" ht="75" x14ac:dyDescent="0.25">
      <c r="A733" s="10">
        <v>784624</v>
      </c>
      <c r="B733" s="10">
        <v>1</v>
      </c>
      <c r="C733" s="9">
        <v>229</v>
      </c>
      <c r="D733" s="56" t="s">
        <v>3765</v>
      </c>
      <c r="E733" s="12" t="s">
        <v>531</v>
      </c>
      <c r="F733" s="45"/>
      <c r="G733" s="45"/>
      <c r="H733" s="45"/>
      <c r="I733">
        <v>784624</v>
      </c>
      <c r="J733" t="s">
        <v>530</v>
      </c>
      <c r="K733" t="s">
        <v>3293</v>
      </c>
      <c r="L733" t="s">
        <v>1178</v>
      </c>
      <c r="M733" t="s">
        <v>1192</v>
      </c>
      <c r="N733" t="s">
        <v>599</v>
      </c>
      <c r="O733" t="s">
        <v>1193</v>
      </c>
      <c r="P733" t="s">
        <v>1330</v>
      </c>
      <c r="Q733" t="s">
        <v>599</v>
      </c>
      <c r="R733" t="s">
        <v>3294</v>
      </c>
      <c r="S733" t="s">
        <v>3295</v>
      </c>
      <c r="T733">
        <v>1875</v>
      </c>
      <c r="U733">
        <v>1875</v>
      </c>
      <c r="V733" t="s">
        <v>3296</v>
      </c>
      <c r="W733" t="s">
        <v>1185</v>
      </c>
      <c r="X733" t="s">
        <v>599</v>
      </c>
      <c r="Y733" t="s">
        <v>599</v>
      </c>
      <c r="Z733" t="s">
        <v>3297</v>
      </c>
      <c r="AA733" t="s">
        <v>599</v>
      </c>
      <c r="AB733" t="s">
        <v>599</v>
      </c>
      <c r="AC733" t="s">
        <v>3298</v>
      </c>
      <c r="AD733" t="s">
        <v>1188</v>
      </c>
      <c r="AE733" t="s">
        <v>3299</v>
      </c>
      <c r="AF733" t="s">
        <v>1190</v>
      </c>
    </row>
    <row r="734" spans="1:32" ht="75" x14ac:dyDescent="0.25">
      <c r="A734" s="10">
        <v>784624</v>
      </c>
      <c r="B734" s="10">
        <v>1</v>
      </c>
      <c r="C734" s="9">
        <v>265</v>
      </c>
      <c r="D734" s="56" t="s">
        <v>3766</v>
      </c>
      <c r="E734" s="12" t="s">
        <v>531</v>
      </c>
      <c r="F734" s="45"/>
      <c r="G734" s="45"/>
      <c r="H734" s="45"/>
      <c r="I734">
        <v>784624</v>
      </c>
      <c r="J734" t="s">
        <v>530</v>
      </c>
      <c r="K734" t="s">
        <v>3293</v>
      </c>
      <c r="L734" t="s">
        <v>1178</v>
      </c>
      <c r="M734" t="s">
        <v>1192</v>
      </c>
      <c r="N734" t="s">
        <v>599</v>
      </c>
      <c r="O734" t="s">
        <v>1193</v>
      </c>
      <c r="P734" t="s">
        <v>1330</v>
      </c>
      <c r="Q734" t="s">
        <v>599</v>
      </c>
      <c r="R734" t="s">
        <v>3294</v>
      </c>
      <c r="S734" t="s">
        <v>3295</v>
      </c>
      <c r="T734">
        <v>1875</v>
      </c>
      <c r="U734">
        <v>1875</v>
      </c>
      <c r="V734" t="s">
        <v>3296</v>
      </c>
      <c r="W734" t="s">
        <v>1185</v>
      </c>
      <c r="X734" t="s">
        <v>599</v>
      </c>
      <c r="Y734" t="s">
        <v>599</v>
      </c>
      <c r="Z734" t="s">
        <v>3297</v>
      </c>
      <c r="AA734" t="s">
        <v>599</v>
      </c>
      <c r="AB734" t="s">
        <v>599</v>
      </c>
      <c r="AC734" t="s">
        <v>3298</v>
      </c>
      <c r="AD734" t="s">
        <v>1188</v>
      </c>
      <c r="AE734" t="s">
        <v>3299</v>
      </c>
      <c r="AF734" t="s">
        <v>1190</v>
      </c>
    </row>
    <row r="735" spans="1:32" ht="75" x14ac:dyDescent="0.25">
      <c r="A735" s="10">
        <v>784624</v>
      </c>
      <c r="B735" s="10">
        <v>1</v>
      </c>
      <c r="C735" s="9">
        <v>301</v>
      </c>
      <c r="D735" s="56" t="s">
        <v>3767</v>
      </c>
      <c r="E735" s="12" t="s">
        <v>531</v>
      </c>
      <c r="F735" s="45"/>
      <c r="G735" s="45"/>
      <c r="H735" s="45"/>
      <c r="I735">
        <v>784624</v>
      </c>
      <c r="J735" t="s">
        <v>530</v>
      </c>
      <c r="K735" t="s">
        <v>3293</v>
      </c>
      <c r="L735" t="s">
        <v>1178</v>
      </c>
      <c r="M735" t="s">
        <v>1192</v>
      </c>
      <c r="N735" t="s">
        <v>599</v>
      </c>
      <c r="O735" t="s">
        <v>1193</v>
      </c>
      <c r="P735" t="s">
        <v>1330</v>
      </c>
      <c r="Q735" t="s">
        <v>599</v>
      </c>
      <c r="R735" t="s">
        <v>3294</v>
      </c>
      <c r="S735" t="s">
        <v>3295</v>
      </c>
      <c r="T735">
        <v>1875</v>
      </c>
      <c r="U735">
        <v>1875</v>
      </c>
      <c r="V735" t="s">
        <v>3296</v>
      </c>
      <c r="W735" t="s">
        <v>1185</v>
      </c>
      <c r="X735" t="s">
        <v>599</v>
      </c>
      <c r="Y735" t="s">
        <v>599</v>
      </c>
      <c r="Z735" t="s">
        <v>3297</v>
      </c>
      <c r="AA735" t="s">
        <v>599</v>
      </c>
      <c r="AB735" t="s">
        <v>599</v>
      </c>
      <c r="AC735" t="s">
        <v>3298</v>
      </c>
      <c r="AD735" t="s">
        <v>1188</v>
      </c>
      <c r="AE735" t="s">
        <v>3299</v>
      </c>
      <c r="AF735" t="s">
        <v>1190</v>
      </c>
    </row>
    <row r="736" spans="1:32" ht="75" x14ac:dyDescent="0.25">
      <c r="A736" s="10">
        <v>784624</v>
      </c>
      <c r="B736" s="10">
        <v>1</v>
      </c>
      <c r="C736" s="9">
        <v>333</v>
      </c>
      <c r="D736" s="56" t="s">
        <v>3768</v>
      </c>
      <c r="E736" s="12" t="s">
        <v>531</v>
      </c>
      <c r="F736" s="45"/>
      <c r="G736" s="45"/>
      <c r="H736" s="45"/>
      <c r="I736">
        <v>784624</v>
      </c>
      <c r="J736" t="s">
        <v>530</v>
      </c>
      <c r="K736" t="s">
        <v>3293</v>
      </c>
      <c r="L736" t="s">
        <v>1178</v>
      </c>
      <c r="M736" t="s">
        <v>1192</v>
      </c>
      <c r="N736" t="s">
        <v>599</v>
      </c>
      <c r="O736" t="s">
        <v>1193</v>
      </c>
      <c r="P736" t="s">
        <v>1330</v>
      </c>
      <c r="Q736" t="s">
        <v>599</v>
      </c>
      <c r="R736" t="s">
        <v>3294</v>
      </c>
      <c r="S736" t="s">
        <v>3295</v>
      </c>
      <c r="T736">
        <v>1875</v>
      </c>
      <c r="U736">
        <v>1875</v>
      </c>
      <c r="V736" t="s">
        <v>3296</v>
      </c>
      <c r="W736" t="s">
        <v>1185</v>
      </c>
      <c r="X736" t="s">
        <v>599</v>
      </c>
      <c r="Y736" t="s">
        <v>599</v>
      </c>
      <c r="Z736" t="s">
        <v>3297</v>
      </c>
      <c r="AA736" t="s">
        <v>599</v>
      </c>
      <c r="AB736" t="s">
        <v>599</v>
      </c>
      <c r="AC736" t="s">
        <v>3298</v>
      </c>
      <c r="AD736" t="s">
        <v>1188</v>
      </c>
      <c r="AE736" t="s">
        <v>3299</v>
      </c>
      <c r="AF736" t="s">
        <v>1190</v>
      </c>
    </row>
    <row r="737" spans="1:32" ht="75" x14ac:dyDescent="0.25">
      <c r="A737" s="10">
        <v>784624</v>
      </c>
      <c r="B737" s="10">
        <v>1</v>
      </c>
      <c r="C737" s="9">
        <v>369</v>
      </c>
      <c r="D737" s="56" t="s">
        <v>3769</v>
      </c>
      <c r="E737" s="12" t="s">
        <v>531</v>
      </c>
      <c r="F737" s="45"/>
      <c r="G737" s="45"/>
      <c r="H737" s="45"/>
      <c r="I737">
        <v>784624</v>
      </c>
      <c r="J737" t="s">
        <v>530</v>
      </c>
      <c r="K737" t="s">
        <v>3293</v>
      </c>
      <c r="L737" t="s">
        <v>1178</v>
      </c>
      <c r="M737" t="s">
        <v>1192</v>
      </c>
      <c r="N737" t="s">
        <v>599</v>
      </c>
      <c r="O737" t="s">
        <v>1193</v>
      </c>
      <c r="P737" t="s">
        <v>1330</v>
      </c>
      <c r="Q737" t="s">
        <v>599</v>
      </c>
      <c r="R737" t="s">
        <v>3294</v>
      </c>
      <c r="S737" t="s">
        <v>3295</v>
      </c>
      <c r="T737">
        <v>1875</v>
      </c>
      <c r="U737">
        <v>1875</v>
      </c>
      <c r="V737" t="s">
        <v>3296</v>
      </c>
      <c r="W737" t="s">
        <v>1185</v>
      </c>
      <c r="X737" t="s">
        <v>599</v>
      </c>
      <c r="Y737" t="s">
        <v>599</v>
      </c>
      <c r="Z737" t="s">
        <v>3297</v>
      </c>
      <c r="AA737" t="s">
        <v>599</v>
      </c>
      <c r="AB737" t="s">
        <v>599</v>
      </c>
      <c r="AC737" t="s">
        <v>3298</v>
      </c>
      <c r="AD737" t="s">
        <v>1188</v>
      </c>
      <c r="AE737" t="s">
        <v>3299</v>
      </c>
      <c r="AF737" t="s">
        <v>1190</v>
      </c>
    </row>
    <row r="738" spans="1:32" ht="75" x14ac:dyDescent="0.25">
      <c r="A738" s="10">
        <v>784624</v>
      </c>
      <c r="B738" s="10">
        <v>1</v>
      </c>
      <c r="C738" s="9">
        <v>405</v>
      </c>
      <c r="D738" s="56" t="s">
        <v>3770</v>
      </c>
      <c r="E738" s="12" t="s">
        <v>531</v>
      </c>
      <c r="F738" s="45"/>
      <c r="G738" s="45"/>
      <c r="H738" s="45"/>
      <c r="I738">
        <v>784624</v>
      </c>
      <c r="J738" t="s">
        <v>530</v>
      </c>
      <c r="K738" t="s">
        <v>3293</v>
      </c>
      <c r="L738" t="s">
        <v>1178</v>
      </c>
      <c r="M738" t="s">
        <v>1192</v>
      </c>
      <c r="N738" t="s">
        <v>599</v>
      </c>
      <c r="O738" t="s">
        <v>1193</v>
      </c>
      <c r="P738" t="s">
        <v>1330</v>
      </c>
      <c r="Q738" t="s">
        <v>599</v>
      </c>
      <c r="R738" t="s">
        <v>3294</v>
      </c>
      <c r="S738" t="s">
        <v>3295</v>
      </c>
      <c r="T738">
        <v>1875</v>
      </c>
      <c r="U738">
        <v>1875</v>
      </c>
      <c r="V738" t="s">
        <v>3296</v>
      </c>
      <c r="W738" t="s">
        <v>1185</v>
      </c>
      <c r="X738" t="s">
        <v>599</v>
      </c>
      <c r="Y738" t="s">
        <v>599</v>
      </c>
      <c r="Z738" t="s">
        <v>3297</v>
      </c>
      <c r="AA738" t="s">
        <v>599</v>
      </c>
      <c r="AB738" t="s">
        <v>599</v>
      </c>
      <c r="AC738" t="s">
        <v>3298</v>
      </c>
      <c r="AD738" t="s">
        <v>1188</v>
      </c>
      <c r="AE738" t="s">
        <v>3299</v>
      </c>
      <c r="AF738" t="s">
        <v>1190</v>
      </c>
    </row>
    <row r="739" spans="1:32" ht="45" x14ac:dyDescent="0.25">
      <c r="A739" s="10">
        <v>789264</v>
      </c>
      <c r="B739" s="10">
        <v>1</v>
      </c>
      <c r="C739" s="9">
        <v>22</v>
      </c>
      <c r="D739" s="56" t="s">
        <v>3771</v>
      </c>
      <c r="E739" s="12" t="s">
        <v>534</v>
      </c>
      <c r="F739" s="45"/>
      <c r="G739" s="45"/>
      <c r="H739" s="45"/>
      <c r="I739">
        <v>789264</v>
      </c>
      <c r="J739" t="s">
        <v>533</v>
      </c>
      <c r="K739" t="s">
        <v>3300</v>
      </c>
      <c r="L739" t="s">
        <v>1178</v>
      </c>
      <c r="M739" t="s">
        <v>1192</v>
      </c>
      <c r="N739" t="s">
        <v>599</v>
      </c>
      <c r="O739" t="s">
        <v>3301</v>
      </c>
      <c r="P739" t="s">
        <v>599</v>
      </c>
      <c r="Q739" t="s">
        <v>599</v>
      </c>
      <c r="R739" t="s">
        <v>1182</v>
      </c>
      <c r="S739" t="s">
        <v>3302</v>
      </c>
      <c r="T739">
        <v>1885</v>
      </c>
      <c r="U739">
        <v>1885</v>
      </c>
      <c r="V739" t="s">
        <v>1463</v>
      </c>
      <c r="W739" t="s">
        <v>3303</v>
      </c>
      <c r="X739" t="s">
        <v>599</v>
      </c>
      <c r="Y739" t="s">
        <v>599</v>
      </c>
      <c r="Z739" t="s">
        <v>599</v>
      </c>
      <c r="AA739" t="s">
        <v>599</v>
      </c>
      <c r="AB739" t="s">
        <v>599</v>
      </c>
      <c r="AC739" t="s">
        <v>3304</v>
      </c>
      <c r="AD739" t="s">
        <v>1188</v>
      </c>
      <c r="AE739" t="s">
        <v>3305</v>
      </c>
      <c r="AF739" t="s">
        <v>1190</v>
      </c>
    </row>
    <row r="740" spans="1:32" ht="45" x14ac:dyDescent="0.25">
      <c r="A740" s="10">
        <v>789264</v>
      </c>
      <c r="B740" s="10">
        <v>1</v>
      </c>
      <c r="C740" s="9">
        <v>24</v>
      </c>
      <c r="D740" s="56" t="s">
        <v>3772</v>
      </c>
      <c r="E740" s="12" t="s">
        <v>534</v>
      </c>
      <c r="F740" s="45"/>
      <c r="G740" s="45"/>
      <c r="H740" s="45"/>
      <c r="I740">
        <v>789264</v>
      </c>
      <c r="J740" t="s">
        <v>533</v>
      </c>
      <c r="K740" t="s">
        <v>3300</v>
      </c>
      <c r="L740" t="s">
        <v>1178</v>
      </c>
      <c r="M740" t="s">
        <v>1192</v>
      </c>
      <c r="N740" t="s">
        <v>599</v>
      </c>
      <c r="O740" t="s">
        <v>3301</v>
      </c>
      <c r="P740" t="s">
        <v>599</v>
      </c>
      <c r="Q740" t="s">
        <v>599</v>
      </c>
      <c r="R740" t="s">
        <v>1182</v>
      </c>
      <c r="S740" t="s">
        <v>3302</v>
      </c>
      <c r="T740">
        <v>1885</v>
      </c>
      <c r="U740">
        <v>1885</v>
      </c>
      <c r="V740" t="s">
        <v>1463</v>
      </c>
      <c r="W740" t="s">
        <v>3303</v>
      </c>
      <c r="X740" t="s">
        <v>599</v>
      </c>
      <c r="Y740" t="s">
        <v>599</v>
      </c>
      <c r="Z740" t="s">
        <v>599</v>
      </c>
      <c r="AA740" t="s">
        <v>599</v>
      </c>
      <c r="AB740" t="s">
        <v>599</v>
      </c>
      <c r="AC740" t="s">
        <v>3304</v>
      </c>
      <c r="AD740" t="s">
        <v>1188</v>
      </c>
      <c r="AE740" t="s">
        <v>3305</v>
      </c>
      <c r="AF740" t="s">
        <v>1190</v>
      </c>
    </row>
    <row r="741" spans="1:32" ht="45" x14ac:dyDescent="0.25">
      <c r="A741" s="10">
        <v>798873</v>
      </c>
      <c r="B741" s="10">
        <v>1</v>
      </c>
      <c r="C741" s="9">
        <v>5</v>
      </c>
      <c r="D741" s="56" t="s">
        <v>3773</v>
      </c>
      <c r="E741" s="12" t="s">
        <v>536</v>
      </c>
      <c r="F741" s="45"/>
      <c r="G741" s="45"/>
      <c r="H741" s="45"/>
      <c r="I741">
        <v>798873</v>
      </c>
      <c r="J741" t="s">
        <v>535</v>
      </c>
      <c r="K741" t="s">
        <v>3306</v>
      </c>
      <c r="L741" t="s">
        <v>1178</v>
      </c>
      <c r="M741" t="s">
        <v>1192</v>
      </c>
      <c r="N741" t="s">
        <v>599</v>
      </c>
      <c r="O741" t="s">
        <v>3307</v>
      </c>
      <c r="P741" t="s">
        <v>3308</v>
      </c>
      <c r="Q741" t="s">
        <v>599</v>
      </c>
      <c r="R741" t="s">
        <v>1182</v>
      </c>
      <c r="S741" t="s">
        <v>3309</v>
      </c>
      <c r="T741">
        <v>1880</v>
      </c>
      <c r="U741">
        <v>1880</v>
      </c>
      <c r="V741" t="s">
        <v>3310</v>
      </c>
      <c r="W741" t="s">
        <v>3311</v>
      </c>
      <c r="X741" t="s">
        <v>599</v>
      </c>
      <c r="Y741" t="s">
        <v>599</v>
      </c>
      <c r="Z741" t="s">
        <v>599</v>
      </c>
      <c r="AA741" t="s">
        <v>599</v>
      </c>
      <c r="AB741" t="s">
        <v>599</v>
      </c>
      <c r="AC741" t="s">
        <v>3312</v>
      </c>
      <c r="AD741" t="s">
        <v>1188</v>
      </c>
      <c r="AE741" t="s">
        <v>3313</v>
      </c>
      <c r="AF741" t="s">
        <v>1190</v>
      </c>
    </row>
    <row r="742" spans="1:32" ht="45" x14ac:dyDescent="0.25">
      <c r="A742" s="10">
        <v>798873</v>
      </c>
      <c r="B742" s="10">
        <v>1</v>
      </c>
      <c r="C742" s="9">
        <v>7</v>
      </c>
      <c r="D742" s="56" t="s">
        <v>3774</v>
      </c>
      <c r="E742" s="12" t="s">
        <v>536</v>
      </c>
      <c r="F742" s="45"/>
      <c r="G742" s="45"/>
      <c r="H742" s="45"/>
      <c r="I742">
        <v>798873</v>
      </c>
      <c r="J742" t="s">
        <v>535</v>
      </c>
      <c r="K742" t="s">
        <v>3306</v>
      </c>
      <c r="L742" t="s">
        <v>1178</v>
      </c>
      <c r="M742" t="s">
        <v>1192</v>
      </c>
      <c r="N742" t="s">
        <v>599</v>
      </c>
      <c r="O742" t="s">
        <v>3307</v>
      </c>
      <c r="P742" t="s">
        <v>3308</v>
      </c>
      <c r="Q742" t="s">
        <v>599</v>
      </c>
      <c r="R742" t="s">
        <v>1182</v>
      </c>
      <c r="S742" t="s">
        <v>3309</v>
      </c>
      <c r="T742">
        <v>1880</v>
      </c>
      <c r="U742">
        <v>1880</v>
      </c>
      <c r="V742" t="s">
        <v>3310</v>
      </c>
      <c r="W742" t="s">
        <v>3311</v>
      </c>
      <c r="X742" t="s">
        <v>599</v>
      </c>
      <c r="Y742" t="s">
        <v>599</v>
      </c>
      <c r="Z742" t="s">
        <v>599</v>
      </c>
      <c r="AA742" t="s">
        <v>599</v>
      </c>
      <c r="AB742" t="s">
        <v>599</v>
      </c>
      <c r="AC742" t="s">
        <v>3312</v>
      </c>
      <c r="AD742" t="s">
        <v>1188</v>
      </c>
      <c r="AE742" t="s">
        <v>3313</v>
      </c>
      <c r="AF742" t="s">
        <v>1190</v>
      </c>
    </row>
    <row r="743" spans="1:32" ht="45" x14ac:dyDescent="0.25">
      <c r="A743" s="10">
        <v>874191</v>
      </c>
      <c r="B743" s="10">
        <v>1</v>
      </c>
      <c r="C743" s="9">
        <v>9</v>
      </c>
      <c r="D743" s="56" t="s">
        <v>3775</v>
      </c>
      <c r="E743" s="12" t="s">
        <v>538</v>
      </c>
      <c r="F743" s="45"/>
      <c r="G743" s="45"/>
      <c r="H743" s="45"/>
      <c r="I743">
        <v>874191</v>
      </c>
      <c r="J743" t="s">
        <v>537</v>
      </c>
      <c r="K743" t="s">
        <v>3314</v>
      </c>
      <c r="L743" t="s">
        <v>1178</v>
      </c>
      <c r="M743" t="s">
        <v>1362</v>
      </c>
      <c r="N743" t="s">
        <v>599</v>
      </c>
      <c r="O743" t="s">
        <v>3315</v>
      </c>
      <c r="P743" t="s">
        <v>3316</v>
      </c>
      <c r="Q743" t="s">
        <v>599</v>
      </c>
      <c r="R743" t="s">
        <v>1182</v>
      </c>
      <c r="S743" t="s">
        <v>3317</v>
      </c>
      <c r="T743">
        <v>1892</v>
      </c>
      <c r="U743">
        <v>1892</v>
      </c>
      <c r="V743" t="s">
        <v>3318</v>
      </c>
      <c r="W743" t="s">
        <v>3319</v>
      </c>
      <c r="X743" t="s">
        <v>599</v>
      </c>
      <c r="Y743" t="s">
        <v>599</v>
      </c>
      <c r="Z743" t="s">
        <v>3320</v>
      </c>
      <c r="AA743" t="s">
        <v>599</v>
      </c>
      <c r="AB743" t="s">
        <v>599</v>
      </c>
      <c r="AC743" t="s">
        <v>3321</v>
      </c>
      <c r="AD743" t="s">
        <v>1188</v>
      </c>
      <c r="AE743" t="s">
        <v>3322</v>
      </c>
      <c r="AF743" t="s">
        <v>1190</v>
      </c>
    </row>
    <row r="744" spans="1:32" ht="45" x14ac:dyDescent="0.25">
      <c r="A744" s="10">
        <v>224027</v>
      </c>
      <c r="B744" s="10">
        <v>1</v>
      </c>
      <c r="C744" s="9">
        <v>7</v>
      </c>
      <c r="D744" s="56" t="s">
        <v>3533</v>
      </c>
      <c r="E744" s="12">
        <v>7</v>
      </c>
      <c r="F744" s="45"/>
      <c r="G744" s="45"/>
      <c r="H744" s="45"/>
      <c r="I744">
        <v>224027</v>
      </c>
      <c r="J744" t="s">
        <v>417</v>
      </c>
      <c r="K744" t="s">
        <v>2903</v>
      </c>
      <c r="L744" t="s">
        <v>1178</v>
      </c>
      <c r="M744" t="s">
        <v>1209</v>
      </c>
      <c r="N744" t="s">
        <v>1192</v>
      </c>
      <c r="O744" t="s">
        <v>2904</v>
      </c>
      <c r="P744" t="s">
        <v>599</v>
      </c>
      <c r="Q744" t="s">
        <v>599</v>
      </c>
      <c r="R744" t="s">
        <v>1182</v>
      </c>
      <c r="S744" t="s">
        <v>2905</v>
      </c>
      <c r="T744">
        <v>1580</v>
      </c>
      <c r="U744">
        <v>1580</v>
      </c>
      <c r="V744" t="s">
        <v>2906</v>
      </c>
      <c r="W744" t="s">
        <v>1185</v>
      </c>
      <c r="X744" t="s">
        <v>599</v>
      </c>
      <c r="Y744" t="s">
        <v>599</v>
      </c>
      <c r="Z744" t="s">
        <v>2907</v>
      </c>
      <c r="AA744" t="s">
        <v>599</v>
      </c>
      <c r="AB744" t="s">
        <v>599</v>
      </c>
      <c r="AC744" t="s">
        <v>2908</v>
      </c>
      <c r="AD744" t="s">
        <v>599</v>
      </c>
      <c r="AE744" t="s">
        <v>2909</v>
      </c>
      <c r="AF744" t="s">
        <v>1190</v>
      </c>
    </row>
    <row r="745" spans="1:32" ht="120" x14ac:dyDescent="0.25">
      <c r="A745" s="10">
        <v>9413</v>
      </c>
      <c r="B745" s="10">
        <v>1</v>
      </c>
      <c r="C745" s="9">
        <v>1</v>
      </c>
      <c r="D745" s="56" t="s">
        <v>3776</v>
      </c>
      <c r="E745" s="12" t="s">
        <v>540</v>
      </c>
      <c r="F745" s="45"/>
      <c r="G745" s="45"/>
      <c r="H745" s="45"/>
      <c r="I745">
        <v>9413</v>
      </c>
      <c r="J745" t="s">
        <v>539</v>
      </c>
      <c r="K745" t="s">
        <v>3323</v>
      </c>
      <c r="L745" t="s">
        <v>1226</v>
      </c>
      <c r="M745" t="s">
        <v>1192</v>
      </c>
      <c r="N745" t="s">
        <v>599</v>
      </c>
      <c r="O745" t="s">
        <v>1105</v>
      </c>
      <c r="P745" t="s">
        <v>599</v>
      </c>
      <c r="Q745" t="s">
        <v>599</v>
      </c>
      <c r="R745" t="s">
        <v>1182</v>
      </c>
      <c r="S745" t="s">
        <v>3324</v>
      </c>
      <c r="T745">
        <v>1980</v>
      </c>
      <c r="U745">
        <v>1980</v>
      </c>
      <c r="V745" t="s">
        <v>599</v>
      </c>
      <c r="W745" t="s">
        <v>599</v>
      </c>
      <c r="X745" t="s">
        <v>599</v>
      </c>
      <c r="Y745" t="s">
        <v>599</v>
      </c>
      <c r="Z745" t="s">
        <v>3325</v>
      </c>
      <c r="AA745" t="s">
        <v>599</v>
      </c>
      <c r="AB745" t="s">
        <v>599</v>
      </c>
      <c r="AC745" t="s">
        <v>3326</v>
      </c>
      <c r="AD745" t="s">
        <v>599</v>
      </c>
      <c r="AE745" t="s">
        <v>3327</v>
      </c>
      <c r="AF745" t="s">
        <v>1319</v>
      </c>
    </row>
    <row r="746" spans="1:32" ht="120" x14ac:dyDescent="0.25">
      <c r="A746" s="10">
        <v>9413</v>
      </c>
      <c r="B746" s="10">
        <v>1</v>
      </c>
      <c r="C746" s="9">
        <v>9</v>
      </c>
      <c r="D746" s="56" t="s">
        <v>3777</v>
      </c>
      <c r="E746" s="12" t="s">
        <v>540</v>
      </c>
      <c r="F746" s="45"/>
      <c r="G746" s="45"/>
      <c r="H746" s="45"/>
      <c r="I746">
        <v>9413</v>
      </c>
      <c r="J746" t="s">
        <v>539</v>
      </c>
      <c r="K746" t="s">
        <v>3323</v>
      </c>
      <c r="L746" t="s">
        <v>1226</v>
      </c>
      <c r="M746" t="s">
        <v>1192</v>
      </c>
      <c r="N746" t="s">
        <v>599</v>
      </c>
      <c r="O746" t="s">
        <v>1105</v>
      </c>
      <c r="P746" t="s">
        <v>599</v>
      </c>
      <c r="Q746" t="s">
        <v>599</v>
      </c>
      <c r="R746" t="s">
        <v>1182</v>
      </c>
      <c r="S746" t="s">
        <v>3324</v>
      </c>
      <c r="T746">
        <v>1980</v>
      </c>
      <c r="U746">
        <v>1980</v>
      </c>
      <c r="V746" t="s">
        <v>599</v>
      </c>
      <c r="W746" t="s">
        <v>599</v>
      </c>
      <c r="X746" t="s">
        <v>599</v>
      </c>
      <c r="Y746" t="s">
        <v>599</v>
      </c>
      <c r="Z746" t="s">
        <v>3325</v>
      </c>
      <c r="AA746" t="s">
        <v>599</v>
      </c>
      <c r="AB746" t="s">
        <v>599</v>
      </c>
      <c r="AC746" t="s">
        <v>3326</v>
      </c>
      <c r="AD746" t="s">
        <v>599</v>
      </c>
      <c r="AE746" t="s">
        <v>3327</v>
      </c>
      <c r="AF746" t="s">
        <v>1319</v>
      </c>
    </row>
    <row r="747" spans="1:32" ht="120" x14ac:dyDescent="0.25">
      <c r="A747" s="10">
        <v>9413</v>
      </c>
      <c r="B747" s="10">
        <v>1</v>
      </c>
      <c r="C747" s="9">
        <v>14</v>
      </c>
      <c r="D747" s="56" t="s">
        <v>3778</v>
      </c>
      <c r="E747" s="12" t="s">
        <v>540</v>
      </c>
      <c r="F747" s="45"/>
      <c r="G747" s="45"/>
      <c r="H747" s="45"/>
      <c r="I747">
        <v>9413</v>
      </c>
      <c r="J747" t="s">
        <v>539</v>
      </c>
      <c r="K747" t="s">
        <v>3323</v>
      </c>
      <c r="L747" t="s">
        <v>1226</v>
      </c>
      <c r="M747" t="s">
        <v>1192</v>
      </c>
      <c r="N747" t="s">
        <v>599</v>
      </c>
      <c r="O747" t="s">
        <v>1105</v>
      </c>
      <c r="P747" t="s">
        <v>599</v>
      </c>
      <c r="Q747" t="s">
        <v>599</v>
      </c>
      <c r="R747" t="s">
        <v>1182</v>
      </c>
      <c r="S747" t="s">
        <v>3324</v>
      </c>
      <c r="T747">
        <v>1980</v>
      </c>
      <c r="U747">
        <v>1980</v>
      </c>
      <c r="V747" t="s">
        <v>599</v>
      </c>
      <c r="W747" t="s">
        <v>599</v>
      </c>
      <c r="X747" t="s">
        <v>599</v>
      </c>
      <c r="Y747" t="s">
        <v>599</v>
      </c>
      <c r="Z747" t="s">
        <v>3325</v>
      </c>
      <c r="AA747" t="s">
        <v>599</v>
      </c>
      <c r="AB747" t="s">
        <v>599</v>
      </c>
      <c r="AC747" t="s">
        <v>3326</v>
      </c>
      <c r="AD747" t="s">
        <v>599</v>
      </c>
      <c r="AE747" t="s">
        <v>3327</v>
      </c>
      <c r="AF747" t="s">
        <v>1319</v>
      </c>
    </row>
    <row r="748" spans="1:32" ht="120" x14ac:dyDescent="0.25">
      <c r="A748" s="10">
        <v>9413</v>
      </c>
      <c r="B748" s="10">
        <v>1</v>
      </c>
      <c r="C748" s="9">
        <v>19</v>
      </c>
      <c r="D748" s="56" t="s">
        <v>3779</v>
      </c>
      <c r="E748" s="12" t="s">
        <v>540</v>
      </c>
      <c r="F748" s="45"/>
      <c r="G748" s="45"/>
      <c r="H748" s="45"/>
      <c r="I748">
        <v>9413</v>
      </c>
      <c r="J748" t="s">
        <v>539</v>
      </c>
      <c r="K748" t="s">
        <v>3323</v>
      </c>
      <c r="L748" t="s">
        <v>1226</v>
      </c>
      <c r="M748" t="s">
        <v>1192</v>
      </c>
      <c r="N748" t="s">
        <v>599</v>
      </c>
      <c r="O748" t="s">
        <v>1105</v>
      </c>
      <c r="P748" t="s">
        <v>599</v>
      </c>
      <c r="Q748" t="s">
        <v>599</v>
      </c>
      <c r="R748" t="s">
        <v>1182</v>
      </c>
      <c r="S748" t="s">
        <v>3324</v>
      </c>
      <c r="T748">
        <v>1980</v>
      </c>
      <c r="U748">
        <v>1980</v>
      </c>
      <c r="V748" t="s">
        <v>599</v>
      </c>
      <c r="W748" t="s">
        <v>599</v>
      </c>
      <c r="X748" t="s">
        <v>599</v>
      </c>
      <c r="Y748" t="s">
        <v>599</v>
      </c>
      <c r="Z748" t="s">
        <v>3325</v>
      </c>
      <c r="AA748" t="s">
        <v>599</v>
      </c>
      <c r="AB748" t="s">
        <v>599</v>
      </c>
      <c r="AC748" t="s">
        <v>3326</v>
      </c>
      <c r="AD748" t="s">
        <v>599</v>
      </c>
      <c r="AE748" t="s">
        <v>3327</v>
      </c>
      <c r="AF748" t="s">
        <v>1319</v>
      </c>
    </row>
    <row r="749" spans="1:32" ht="120" x14ac:dyDescent="0.25">
      <c r="A749" s="10">
        <v>9413</v>
      </c>
      <c r="B749" s="10">
        <v>1</v>
      </c>
      <c r="C749" s="9">
        <v>20</v>
      </c>
      <c r="D749" s="56" t="s">
        <v>3780</v>
      </c>
      <c r="E749" s="12" t="s">
        <v>540</v>
      </c>
      <c r="F749" s="45"/>
      <c r="G749" s="45"/>
      <c r="H749" s="45"/>
      <c r="I749">
        <v>9413</v>
      </c>
      <c r="J749" t="s">
        <v>539</v>
      </c>
      <c r="K749" t="s">
        <v>3323</v>
      </c>
      <c r="L749" t="s">
        <v>1226</v>
      </c>
      <c r="M749" t="s">
        <v>1192</v>
      </c>
      <c r="N749" t="s">
        <v>599</v>
      </c>
      <c r="O749" t="s">
        <v>1105</v>
      </c>
      <c r="P749" t="s">
        <v>599</v>
      </c>
      <c r="Q749" t="s">
        <v>599</v>
      </c>
      <c r="R749" t="s">
        <v>1182</v>
      </c>
      <c r="S749" t="s">
        <v>3324</v>
      </c>
      <c r="T749">
        <v>1980</v>
      </c>
      <c r="U749">
        <v>1980</v>
      </c>
      <c r="V749" t="s">
        <v>599</v>
      </c>
      <c r="W749" t="s">
        <v>599</v>
      </c>
      <c r="X749" t="s">
        <v>599</v>
      </c>
      <c r="Y749" t="s">
        <v>599</v>
      </c>
      <c r="Z749" t="s">
        <v>3325</v>
      </c>
      <c r="AA749" t="s">
        <v>599</v>
      </c>
      <c r="AB749" t="s">
        <v>599</v>
      </c>
      <c r="AC749" t="s">
        <v>3326</v>
      </c>
      <c r="AD749" t="s">
        <v>599</v>
      </c>
      <c r="AE749" t="s">
        <v>3327</v>
      </c>
      <c r="AF749" t="s">
        <v>1319</v>
      </c>
    </row>
    <row r="750" spans="1:32" ht="120" x14ac:dyDescent="0.25">
      <c r="A750" s="10">
        <v>9413</v>
      </c>
      <c r="B750" s="10">
        <v>1</v>
      </c>
      <c r="C750" s="9">
        <v>39</v>
      </c>
      <c r="D750" s="56" t="s">
        <v>3781</v>
      </c>
      <c r="E750" s="12" t="s">
        <v>540</v>
      </c>
      <c r="F750" s="45"/>
      <c r="G750" s="45"/>
      <c r="H750" s="45"/>
      <c r="I750">
        <v>9413</v>
      </c>
      <c r="J750" t="s">
        <v>539</v>
      </c>
      <c r="K750" t="s">
        <v>3323</v>
      </c>
      <c r="L750" t="s">
        <v>1226</v>
      </c>
      <c r="M750" t="s">
        <v>1192</v>
      </c>
      <c r="N750" t="s">
        <v>599</v>
      </c>
      <c r="O750" t="s">
        <v>1105</v>
      </c>
      <c r="P750" t="s">
        <v>599</v>
      </c>
      <c r="Q750" t="s">
        <v>599</v>
      </c>
      <c r="R750" t="s">
        <v>1182</v>
      </c>
      <c r="S750" t="s">
        <v>3324</v>
      </c>
      <c r="T750">
        <v>1980</v>
      </c>
      <c r="U750">
        <v>1980</v>
      </c>
      <c r="V750" t="s">
        <v>599</v>
      </c>
      <c r="W750" t="s">
        <v>599</v>
      </c>
      <c r="X750" t="s">
        <v>599</v>
      </c>
      <c r="Y750" t="s">
        <v>599</v>
      </c>
      <c r="Z750" t="s">
        <v>3325</v>
      </c>
      <c r="AA750" t="s">
        <v>599</v>
      </c>
      <c r="AB750" t="s">
        <v>599</v>
      </c>
      <c r="AC750" t="s">
        <v>3326</v>
      </c>
      <c r="AD750" t="s">
        <v>599</v>
      </c>
      <c r="AE750" t="s">
        <v>3327</v>
      </c>
      <c r="AF750" t="s">
        <v>1319</v>
      </c>
    </row>
    <row r="751" spans="1:32" ht="120" x14ac:dyDescent="0.25">
      <c r="A751" s="10">
        <v>9413</v>
      </c>
      <c r="B751" s="10">
        <v>1</v>
      </c>
      <c r="C751" s="9">
        <v>42</v>
      </c>
      <c r="D751" s="56" t="s">
        <v>3782</v>
      </c>
      <c r="E751" s="12" t="s">
        <v>540</v>
      </c>
      <c r="F751" s="45"/>
      <c r="G751" s="45"/>
      <c r="H751" s="45"/>
      <c r="I751">
        <v>9413</v>
      </c>
      <c r="J751" t="s">
        <v>539</v>
      </c>
      <c r="K751" t="s">
        <v>3323</v>
      </c>
      <c r="L751" t="s">
        <v>1226</v>
      </c>
      <c r="M751" t="s">
        <v>1192</v>
      </c>
      <c r="N751" t="s">
        <v>599</v>
      </c>
      <c r="O751" t="s">
        <v>1105</v>
      </c>
      <c r="P751" t="s">
        <v>599</v>
      </c>
      <c r="Q751" t="s">
        <v>599</v>
      </c>
      <c r="R751" t="s">
        <v>1182</v>
      </c>
      <c r="S751" t="s">
        <v>3324</v>
      </c>
      <c r="T751">
        <v>1980</v>
      </c>
      <c r="U751">
        <v>1980</v>
      </c>
      <c r="V751" t="s">
        <v>599</v>
      </c>
      <c r="W751" t="s">
        <v>599</v>
      </c>
      <c r="X751" t="s">
        <v>599</v>
      </c>
      <c r="Y751" t="s">
        <v>599</v>
      </c>
      <c r="Z751" t="s">
        <v>3325</v>
      </c>
      <c r="AA751" t="s">
        <v>599</v>
      </c>
      <c r="AB751" t="s">
        <v>599</v>
      </c>
      <c r="AC751" t="s">
        <v>3326</v>
      </c>
      <c r="AD751" t="s">
        <v>599</v>
      </c>
      <c r="AE751" t="s">
        <v>3327</v>
      </c>
      <c r="AF751" t="s">
        <v>1319</v>
      </c>
    </row>
    <row r="752" spans="1:32" ht="120" x14ac:dyDescent="0.25">
      <c r="A752" s="10">
        <v>9413</v>
      </c>
      <c r="B752" s="10">
        <v>1</v>
      </c>
      <c r="C752" s="9">
        <v>45</v>
      </c>
      <c r="D752" s="56" t="s">
        <v>3783</v>
      </c>
      <c r="E752" s="12" t="s">
        <v>540</v>
      </c>
      <c r="F752" s="45"/>
      <c r="G752" s="45"/>
      <c r="H752" s="45"/>
      <c r="I752">
        <v>9413</v>
      </c>
      <c r="J752" t="s">
        <v>539</v>
      </c>
      <c r="K752" t="s">
        <v>3323</v>
      </c>
      <c r="L752" t="s">
        <v>1226</v>
      </c>
      <c r="M752" t="s">
        <v>1192</v>
      </c>
      <c r="N752" t="s">
        <v>599</v>
      </c>
      <c r="O752" t="s">
        <v>1105</v>
      </c>
      <c r="P752" t="s">
        <v>599</v>
      </c>
      <c r="Q752" t="s">
        <v>599</v>
      </c>
      <c r="R752" t="s">
        <v>1182</v>
      </c>
      <c r="S752" t="s">
        <v>3324</v>
      </c>
      <c r="T752">
        <v>1980</v>
      </c>
      <c r="U752">
        <v>1980</v>
      </c>
      <c r="V752" t="s">
        <v>599</v>
      </c>
      <c r="W752" t="s">
        <v>599</v>
      </c>
      <c r="X752" t="s">
        <v>599</v>
      </c>
      <c r="Y752" t="s">
        <v>599</v>
      </c>
      <c r="Z752" t="s">
        <v>3325</v>
      </c>
      <c r="AA752" t="s">
        <v>599</v>
      </c>
      <c r="AB752" t="s">
        <v>599</v>
      </c>
      <c r="AC752" t="s">
        <v>3326</v>
      </c>
      <c r="AD752" t="s">
        <v>599</v>
      </c>
      <c r="AE752" t="s">
        <v>3327</v>
      </c>
      <c r="AF752" t="s">
        <v>1319</v>
      </c>
    </row>
    <row r="753" spans="1:32" ht="120" x14ac:dyDescent="0.25">
      <c r="A753" s="10">
        <v>9413</v>
      </c>
      <c r="B753" s="10">
        <v>1</v>
      </c>
      <c r="C753" s="9">
        <v>48</v>
      </c>
      <c r="D753" s="56" t="s">
        <v>3784</v>
      </c>
      <c r="E753" s="12" t="s">
        <v>540</v>
      </c>
      <c r="F753" s="45"/>
      <c r="G753" s="45"/>
      <c r="H753" s="45"/>
      <c r="I753">
        <v>9413</v>
      </c>
      <c r="J753" t="s">
        <v>539</v>
      </c>
      <c r="K753" t="s">
        <v>3323</v>
      </c>
      <c r="L753" t="s">
        <v>1226</v>
      </c>
      <c r="M753" t="s">
        <v>1192</v>
      </c>
      <c r="N753" t="s">
        <v>599</v>
      </c>
      <c r="O753" t="s">
        <v>1105</v>
      </c>
      <c r="P753" t="s">
        <v>599</v>
      </c>
      <c r="Q753" t="s">
        <v>599</v>
      </c>
      <c r="R753" t="s">
        <v>1182</v>
      </c>
      <c r="S753" t="s">
        <v>3324</v>
      </c>
      <c r="T753">
        <v>1980</v>
      </c>
      <c r="U753">
        <v>1980</v>
      </c>
      <c r="V753" t="s">
        <v>599</v>
      </c>
      <c r="W753" t="s">
        <v>599</v>
      </c>
      <c r="X753" t="s">
        <v>599</v>
      </c>
      <c r="Y753" t="s">
        <v>599</v>
      </c>
      <c r="Z753" t="s">
        <v>3325</v>
      </c>
      <c r="AA753" t="s">
        <v>599</v>
      </c>
      <c r="AB753" t="s">
        <v>599</v>
      </c>
      <c r="AC753" t="s">
        <v>3326</v>
      </c>
      <c r="AD753" t="s">
        <v>599</v>
      </c>
      <c r="AE753" t="s">
        <v>3327</v>
      </c>
      <c r="AF753" t="s">
        <v>1319</v>
      </c>
    </row>
    <row r="754" spans="1:32" ht="120" x14ac:dyDescent="0.25">
      <c r="A754" s="10">
        <v>9413</v>
      </c>
      <c r="B754" s="10">
        <v>1</v>
      </c>
      <c r="C754" s="9">
        <v>59</v>
      </c>
      <c r="D754" s="56" t="s">
        <v>3785</v>
      </c>
      <c r="E754" s="12" t="s">
        <v>540</v>
      </c>
      <c r="F754" s="45"/>
      <c r="G754" s="45"/>
      <c r="H754" s="45"/>
      <c r="I754">
        <v>9413</v>
      </c>
      <c r="J754" t="s">
        <v>539</v>
      </c>
      <c r="K754" t="s">
        <v>3323</v>
      </c>
      <c r="L754" t="s">
        <v>1226</v>
      </c>
      <c r="M754" t="s">
        <v>1192</v>
      </c>
      <c r="N754" t="s">
        <v>599</v>
      </c>
      <c r="O754" t="s">
        <v>1105</v>
      </c>
      <c r="P754" t="s">
        <v>599</v>
      </c>
      <c r="Q754" t="s">
        <v>599</v>
      </c>
      <c r="R754" t="s">
        <v>1182</v>
      </c>
      <c r="S754" t="s">
        <v>3324</v>
      </c>
      <c r="T754">
        <v>1980</v>
      </c>
      <c r="U754">
        <v>1980</v>
      </c>
      <c r="V754" t="s">
        <v>599</v>
      </c>
      <c r="W754" t="s">
        <v>599</v>
      </c>
      <c r="X754" t="s">
        <v>599</v>
      </c>
      <c r="Y754" t="s">
        <v>599</v>
      </c>
      <c r="Z754" t="s">
        <v>3325</v>
      </c>
      <c r="AA754" t="s">
        <v>599</v>
      </c>
      <c r="AB754" t="s">
        <v>599</v>
      </c>
      <c r="AC754" t="s">
        <v>3326</v>
      </c>
      <c r="AD754" t="s">
        <v>599</v>
      </c>
      <c r="AE754" t="s">
        <v>3327</v>
      </c>
      <c r="AF754" t="s">
        <v>1319</v>
      </c>
    </row>
    <row r="755" spans="1:32" ht="120" x14ac:dyDescent="0.25">
      <c r="A755" s="10">
        <v>9413</v>
      </c>
      <c r="B755" s="10">
        <v>1</v>
      </c>
      <c r="C755" s="9">
        <v>66</v>
      </c>
      <c r="D755" s="56" t="s">
        <v>3786</v>
      </c>
      <c r="E755" s="12" t="s">
        <v>540</v>
      </c>
      <c r="F755" s="45"/>
      <c r="G755" s="45"/>
      <c r="H755" s="45"/>
      <c r="I755">
        <v>9413</v>
      </c>
      <c r="J755" t="s">
        <v>539</v>
      </c>
      <c r="K755" t="s">
        <v>3323</v>
      </c>
      <c r="L755" t="s">
        <v>1226</v>
      </c>
      <c r="M755" t="s">
        <v>1192</v>
      </c>
      <c r="N755" t="s">
        <v>599</v>
      </c>
      <c r="O755" t="s">
        <v>1105</v>
      </c>
      <c r="P755" t="s">
        <v>599</v>
      </c>
      <c r="Q755" t="s">
        <v>599</v>
      </c>
      <c r="R755" t="s">
        <v>1182</v>
      </c>
      <c r="S755" t="s">
        <v>3324</v>
      </c>
      <c r="T755">
        <v>1980</v>
      </c>
      <c r="U755">
        <v>1980</v>
      </c>
      <c r="V755" t="s">
        <v>599</v>
      </c>
      <c r="W755" t="s">
        <v>599</v>
      </c>
      <c r="X755" t="s">
        <v>599</v>
      </c>
      <c r="Y755" t="s">
        <v>599</v>
      </c>
      <c r="Z755" t="s">
        <v>3325</v>
      </c>
      <c r="AA755" t="s">
        <v>599</v>
      </c>
      <c r="AB755" t="s">
        <v>599</v>
      </c>
      <c r="AC755" t="s">
        <v>3326</v>
      </c>
      <c r="AD755" t="s">
        <v>599</v>
      </c>
      <c r="AE755" t="s">
        <v>3327</v>
      </c>
      <c r="AF755" t="s">
        <v>1319</v>
      </c>
    </row>
    <row r="756" spans="1:32" ht="45" x14ac:dyDescent="0.25">
      <c r="A756" s="10">
        <v>51530</v>
      </c>
      <c r="B756" s="10">
        <v>1</v>
      </c>
      <c r="C756" s="9">
        <v>9</v>
      </c>
      <c r="D756" s="56" t="s">
        <v>3787</v>
      </c>
      <c r="E756" s="12" t="s">
        <v>168</v>
      </c>
      <c r="F756" s="45"/>
      <c r="G756" s="45"/>
      <c r="H756" s="45"/>
      <c r="I756">
        <v>51530</v>
      </c>
      <c r="J756" t="s">
        <v>542</v>
      </c>
      <c r="K756" t="s">
        <v>3329</v>
      </c>
      <c r="L756" t="s">
        <v>1178</v>
      </c>
      <c r="M756" t="s">
        <v>1192</v>
      </c>
      <c r="N756" t="s">
        <v>599</v>
      </c>
      <c r="O756" t="s">
        <v>3330</v>
      </c>
      <c r="P756" t="s">
        <v>599</v>
      </c>
      <c r="Q756" t="s">
        <v>599</v>
      </c>
      <c r="R756" t="s">
        <v>3331</v>
      </c>
      <c r="S756" t="s">
        <v>3332</v>
      </c>
      <c r="T756">
        <v>1587</v>
      </c>
      <c r="U756">
        <v>1587</v>
      </c>
      <c r="V756" t="s">
        <v>3333</v>
      </c>
      <c r="W756" t="s">
        <v>599</v>
      </c>
      <c r="X756" t="s">
        <v>599</v>
      </c>
      <c r="Y756" t="s">
        <v>3334</v>
      </c>
      <c r="Z756" t="s">
        <v>3335</v>
      </c>
      <c r="AA756" t="s">
        <v>599</v>
      </c>
      <c r="AB756" t="s">
        <v>599</v>
      </c>
      <c r="AC756" t="s">
        <v>3336</v>
      </c>
      <c r="AD756" t="s">
        <v>599</v>
      </c>
      <c r="AE756" t="s">
        <v>3337</v>
      </c>
      <c r="AF756" t="s">
        <v>1190</v>
      </c>
    </row>
    <row r="757" spans="1:32" ht="45" x14ac:dyDescent="0.25">
      <c r="A757" s="10">
        <v>289933</v>
      </c>
      <c r="B757" s="10">
        <v>1</v>
      </c>
      <c r="C757" s="9">
        <v>2</v>
      </c>
      <c r="D757" s="56" t="s">
        <v>3788</v>
      </c>
      <c r="E757" s="12" t="s">
        <v>544</v>
      </c>
      <c r="F757" s="45"/>
      <c r="G757" s="45"/>
      <c r="H757" s="45"/>
      <c r="I757">
        <v>289933</v>
      </c>
      <c r="J757" t="s">
        <v>543</v>
      </c>
      <c r="K757" t="s">
        <v>3339</v>
      </c>
      <c r="L757" t="s">
        <v>1178</v>
      </c>
      <c r="M757" t="s">
        <v>1192</v>
      </c>
      <c r="N757" t="s">
        <v>599</v>
      </c>
      <c r="O757" t="s">
        <v>3340</v>
      </c>
      <c r="P757" t="s">
        <v>599</v>
      </c>
      <c r="Q757" t="s">
        <v>599</v>
      </c>
      <c r="R757" t="s">
        <v>1182</v>
      </c>
      <c r="S757" t="s">
        <v>3341</v>
      </c>
      <c r="T757">
        <v>1972</v>
      </c>
      <c r="U757">
        <v>1972</v>
      </c>
      <c r="V757" t="s">
        <v>3342</v>
      </c>
      <c r="W757" t="s">
        <v>599</v>
      </c>
      <c r="X757" t="s">
        <v>599</v>
      </c>
      <c r="Y757" t="s">
        <v>599</v>
      </c>
      <c r="Z757" t="s">
        <v>599</v>
      </c>
      <c r="AA757" t="s">
        <v>599</v>
      </c>
      <c r="AB757" t="s">
        <v>599</v>
      </c>
      <c r="AC757" t="s">
        <v>3343</v>
      </c>
      <c r="AD757" t="s">
        <v>599</v>
      </c>
      <c r="AE757" t="s">
        <v>3344</v>
      </c>
      <c r="AF757" t="s">
        <v>1319</v>
      </c>
    </row>
    <row r="758" spans="1:32" ht="45" x14ac:dyDescent="0.25">
      <c r="A758" s="10">
        <v>289933</v>
      </c>
      <c r="B758" s="10">
        <v>1</v>
      </c>
      <c r="C758" s="9">
        <v>3</v>
      </c>
      <c r="D758" s="56" t="s">
        <v>3789</v>
      </c>
      <c r="E758" s="12" t="s">
        <v>544</v>
      </c>
      <c r="F758" s="45"/>
      <c r="G758" s="45"/>
      <c r="H758" s="45"/>
      <c r="I758">
        <v>289933</v>
      </c>
      <c r="J758" t="s">
        <v>543</v>
      </c>
      <c r="K758" t="s">
        <v>3339</v>
      </c>
      <c r="L758" t="s">
        <v>1178</v>
      </c>
      <c r="M758" t="s">
        <v>1192</v>
      </c>
      <c r="N758" t="s">
        <v>599</v>
      </c>
      <c r="O758" t="s">
        <v>3340</v>
      </c>
      <c r="P758" t="s">
        <v>599</v>
      </c>
      <c r="Q758" t="s">
        <v>599</v>
      </c>
      <c r="R758" t="s">
        <v>1182</v>
      </c>
      <c r="S758" t="s">
        <v>3341</v>
      </c>
      <c r="T758">
        <v>1972</v>
      </c>
      <c r="U758">
        <v>1972</v>
      </c>
      <c r="V758" t="s">
        <v>3342</v>
      </c>
      <c r="W758" t="s">
        <v>599</v>
      </c>
      <c r="X758" t="s">
        <v>599</v>
      </c>
      <c r="Y758" t="s">
        <v>599</v>
      </c>
      <c r="Z758" t="s">
        <v>599</v>
      </c>
      <c r="AA758" t="s">
        <v>599</v>
      </c>
      <c r="AB758" t="s">
        <v>599</v>
      </c>
      <c r="AC758" t="s">
        <v>3343</v>
      </c>
      <c r="AD758" t="s">
        <v>599</v>
      </c>
      <c r="AE758" t="s">
        <v>3344</v>
      </c>
      <c r="AF758" t="s">
        <v>1319</v>
      </c>
    </row>
    <row r="759" spans="1:32" ht="45" x14ac:dyDescent="0.25">
      <c r="A759" s="10">
        <v>289933</v>
      </c>
      <c r="B759" s="10">
        <v>1</v>
      </c>
      <c r="C759" s="9">
        <v>4</v>
      </c>
      <c r="D759" s="56" t="s">
        <v>3790</v>
      </c>
      <c r="E759" s="12" t="s">
        <v>544</v>
      </c>
      <c r="F759" s="45"/>
      <c r="G759" s="45"/>
      <c r="H759" s="45"/>
      <c r="I759">
        <v>289933</v>
      </c>
      <c r="J759" t="s">
        <v>543</v>
      </c>
      <c r="K759" t="s">
        <v>3339</v>
      </c>
      <c r="L759" t="s">
        <v>1178</v>
      </c>
      <c r="M759" t="s">
        <v>1192</v>
      </c>
      <c r="N759" t="s">
        <v>599</v>
      </c>
      <c r="O759" t="s">
        <v>3340</v>
      </c>
      <c r="P759" t="s">
        <v>599</v>
      </c>
      <c r="Q759" t="s">
        <v>599</v>
      </c>
      <c r="R759" t="s">
        <v>1182</v>
      </c>
      <c r="S759" t="s">
        <v>3341</v>
      </c>
      <c r="T759">
        <v>1972</v>
      </c>
      <c r="U759">
        <v>1972</v>
      </c>
      <c r="V759" t="s">
        <v>3342</v>
      </c>
      <c r="W759" t="s">
        <v>599</v>
      </c>
      <c r="X759" t="s">
        <v>599</v>
      </c>
      <c r="Y759" t="s">
        <v>599</v>
      </c>
      <c r="Z759" t="s">
        <v>599</v>
      </c>
      <c r="AA759" t="s">
        <v>599</v>
      </c>
      <c r="AB759" t="s">
        <v>599</v>
      </c>
      <c r="AC759" t="s">
        <v>3343</v>
      </c>
      <c r="AD759" t="s">
        <v>599</v>
      </c>
      <c r="AE759" t="s">
        <v>3344</v>
      </c>
      <c r="AF759" t="s">
        <v>1319</v>
      </c>
    </row>
    <row r="760" spans="1:32" ht="45" x14ac:dyDescent="0.25">
      <c r="A760" s="10">
        <v>321765</v>
      </c>
      <c r="B760" s="10">
        <v>1</v>
      </c>
      <c r="C760" s="9">
        <v>1</v>
      </c>
      <c r="D760" s="56" t="s">
        <v>3791</v>
      </c>
      <c r="E760" s="12" t="s">
        <v>449</v>
      </c>
      <c r="F760" s="45"/>
      <c r="G760" s="45"/>
      <c r="H760" s="45"/>
      <c r="I760">
        <v>321765</v>
      </c>
      <c r="J760" t="s">
        <v>546</v>
      </c>
      <c r="K760" t="s">
        <v>3346</v>
      </c>
      <c r="L760" t="s">
        <v>1178</v>
      </c>
      <c r="M760" t="s">
        <v>1192</v>
      </c>
      <c r="N760" t="s">
        <v>599</v>
      </c>
      <c r="O760" t="s">
        <v>3347</v>
      </c>
      <c r="P760" t="s">
        <v>599</v>
      </c>
      <c r="Q760" t="s">
        <v>599</v>
      </c>
      <c r="R760" t="s">
        <v>1182</v>
      </c>
      <c r="S760" t="s">
        <v>3348</v>
      </c>
      <c r="T760">
        <v>1888</v>
      </c>
      <c r="U760">
        <v>1888</v>
      </c>
      <c r="V760" t="s">
        <v>3349</v>
      </c>
      <c r="W760" t="s">
        <v>599</v>
      </c>
      <c r="X760" t="s">
        <v>599</v>
      </c>
      <c r="Y760" t="s">
        <v>599</v>
      </c>
      <c r="Z760" t="s">
        <v>3350</v>
      </c>
      <c r="AA760" t="s">
        <v>599</v>
      </c>
      <c r="AB760" t="s">
        <v>599</v>
      </c>
      <c r="AC760" t="s">
        <v>3351</v>
      </c>
      <c r="AD760" t="s">
        <v>599</v>
      </c>
      <c r="AE760" t="s">
        <v>3352</v>
      </c>
      <c r="AF760" t="s">
        <v>1190</v>
      </c>
    </row>
    <row r="761" spans="1:32" ht="45" x14ac:dyDescent="0.25">
      <c r="A761" s="10">
        <v>330274</v>
      </c>
      <c r="B761" s="10">
        <v>1</v>
      </c>
      <c r="C761" s="9">
        <v>10</v>
      </c>
      <c r="D761" s="56" t="s">
        <v>3792</v>
      </c>
      <c r="E761" s="12" t="s">
        <v>178</v>
      </c>
      <c r="F761" s="45"/>
      <c r="G761" s="45"/>
      <c r="H761" s="45"/>
      <c r="I761">
        <v>330274</v>
      </c>
      <c r="J761" t="s">
        <v>547</v>
      </c>
      <c r="K761" t="s">
        <v>3355</v>
      </c>
      <c r="L761" t="s">
        <v>1178</v>
      </c>
      <c r="M761" t="s">
        <v>1362</v>
      </c>
      <c r="N761" t="s">
        <v>599</v>
      </c>
      <c r="O761" t="s">
        <v>3356</v>
      </c>
      <c r="P761" t="s">
        <v>3357</v>
      </c>
      <c r="Q761" t="s">
        <v>599</v>
      </c>
      <c r="R761" t="s">
        <v>1182</v>
      </c>
      <c r="S761" t="s">
        <v>3358</v>
      </c>
      <c r="T761">
        <v>1890</v>
      </c>
      <c r="U761">
        <v>1890</v>
      </c>
      <c r="V761" t="s">
        <v>3359</v>
      </c>
      <c r="W761" t="s">
        <v>2766</v>
      </c>
      <c r="X761" t="s">
        <v>599</v>
      </c>
      <c r="Y761" t="s">
        <v>599</v>
      </c>
      <c r="Z761" t="s">
        <v>599</v>
      </c>
      <c r="AA761" t="s">
        <v>599</v>
      </c>
      <c r="AB761" t="s">
        <v>599</v>
      </c>
      <c r="AC761" t="s">
        <v>3360</v>
      </c>
      <c r="AD761" t="s">
        <v>599</v>
      </c>
      <c r="AE761" t="s">
        <v>3361</v>
      </c>
      <c r="AF761" t="s">
        <v>1190</v>
      </c>
    </row>
    <row r="762" spans="1:32" ht="45" x14ac:dyDescent="0.25">
      <c r="A762" s="10">
        <v>347365</v>
      </c>
      <c r="B762" s="10">
        <v>1</v>
      </c>
      <c r="C762" s="9">
        <v>75</v>
      </c>
      <c r="D762" s="56" t="s">
        <v>3793</v>
      </c>
      <c r="E762" s="12" t="s">
        <v>549</v>
      </c>
      <c r="F762" s="45"/>
      <c r="G762" s="45"/>
      <c r="H762" s="45"/>
      <c r="I762">
        <v>347365</v>
      </c>
      <c r="J762" t="s">
        <v>548</v>
      </c>
      <c r="K762" t="s">
        <v>3362</v>
      </c>
      <c r="L762" t="s">
        <v>1178</v>
      </c>
      <c r="M762" t="s">
        <v>1192</v>
      </c>
      <c r="N762" t="s">
        <v>599</v>
      </c>
      <c r="O762" t="s">
        <v>3363</v>
      </c>
      <c r="P762" t="s">
        <v>599</v>
      </c>
      <c r="Q762" t="s">
        <v>599</v>
      </c>
      <c r="R762" t="s">
        <v>1182</v>
      </c>
      <c r="S762" t="s">
        <v>3364</v>
      </c>
      <c r="T762">
        <v>1974</v>
      </c>
      <c r="U762">
        <v>1974</v>
      </c>
      <c r="V762" t="s">
        <v>3365</v>
      </c>
      <c r="W762" t="s">
        <v>3366</v>
      </c>
      <c r="X762" t="s">
        <v>599</v>
      </c>
      <c r="Y762" t="s">
        <v>599</v>
      </c>
      <c r="Z762" t="s">
        <v>599</v>
      </c>
      <c r="AA762" t="s">
        <v>599</v>
      </c>
      <c r="AB762" t="s">
        <v>599</v>
      </c>
      <c r="AC762" t="s">
        <v>3367</v>
      </c>
      <c r="AD762" t="s">
        <v>599</v>
      </c>
      <c r="AE762" t="s">
        <v>3368</v>
      </c>
      <c r="AF762" t="s">
        <v>1319</v>
      </c>
    </row>
    <row r="763" spans="1:32" ht="45" x14ac:dyDescent="0.25">
      <c r="A763" s="10">
        <v>347365</v>
      </c>
      <c r="B763" s="10">
        <v>1</v>
      </c>
      <c r="C763" s="9">
        <v>76</v>
      </c>
      <c r="D763" s="56" t="s">
        <v>3794</v>
      </c>
      <c r="E763" s="12" t="s">
        <v>549</v>
      </c>
      <c r="F763" s="45"/>
      <c r="G763" s="45"/>
      <c r="H763" s="45"/>
      <c r="I763">
        <v>347365</v>
      </c>
      <c r="J763" t="s">
        <v>548</v>
      </c>
      <c r="K763" t="s">
        <v>3362</v>
      </c>
      <c r="L763" t="s">
        <v>1178</v>
      </c>
      <c r="M763" t="s">
        <v>1192</v>
      </c>
      <c r="N763" t="s">
        <v>599</v>
      </c>
      <c r="O763" t="s">
        <v>3363</v>
      </c>
      <c r="P763" t="s">
        <v>599</v>
      </c>
      <c r="Q763" t="s">
        <v>599</v>
      </c>
      <c r="R763" t="s">
        <v>1182</v>
      </c>
      <c r="S763" t="s">
        <v>3364</v>
      </c>
      <c r="T763">
        <v>1974</v>
      </c>
      <c r="U763">
        <v>1974</v>
      </c>
      <c r="V763" t="s">
        <v>3365</v>
      </c>
      <c r="W763" t="s">
        <v>3366</v>
      </c>
      <c r="X763" t="s">
        <v>599</v>
      </c>
      <c r="Y763" t="s">
        <v>599</v>
      </c>
      <c r="Z763" t="s">
        <v>599</v>
      </c>
      <c r="AA763" t="s">
        <v>599</v>
      </c>
      <c r="AB763" t="s">
        <v>599</v>
      </c>
      <c r="AC763" t="s">
        <v>3367</v>
      </c>
      <c r="AD763" t="s">
        <v>599</v>
      </c>
      <c r="AE763" t="s">
        <v>3368</v>
      </c>
      <c r="AF763" t="s">
        <v>1319</v>
      </c>
    </row>
    <row r="764" spans="1:32" ht="45" x14ac:dyDescent="0.25">
      <c r="A764" s="10">
        <v>347365</v>
      </c>
      <c r="B764" s="10">
        <v>1</v>
      </c>
      <c r="C764" s="9">
        <v>77</v>
      </c>
      <c r="D764" s="56" t="s">
        <v>3795</v>
      </c>
      <c r="E764" s="12" t="s">
        <v>549</v>
      </c>
      <c r="F764" s="45"/>
      <c r="G764" s="45"/>
      <c r="H764" s="45"/>
      <c r="I764">
        <v>347365</v>
      </c>
      <c r="J764" t="s">
        <v>548</v>
      </c>
      <c r="K764" t="s">
        <v>3362</v>
      </c>
      <c r="L764" t="s">
        <v>1178</v>
      </c>
      <c r="M764" t="s">
        <v>1192</v>
      </c>
      <c r="N764" t="s">
        <v>599</v>
      </c>
      <c r="O764" t="s">
        <v>3363</v>
      </c>
      <c r="P764" t="s">
        <v>599</v>
      </c>
      <c r="Q764" t="s">
        <v>599</v>
      </c>
      <c r="R764" t="s">
        <v>1182</v>
      </c>
      <c r="S764" t="s">
        <v>3364</v>
      </c>
      <c r="T764">
        <v>1974</v>
      </c>
      <c r="U764">
        <v>1974</v>
      </c>
      <c r="V764" t="s">
        <v>3365</v>
      </c>
      <c r="W764" t="s">
        <v>3366</v>
      </c>
      <c r="X764" t="s">
        <v>599</v>
      </c>
      <c r="Y764" t="s">
        <v>599</v>
      </c>
      <c r="Z764" t="s">
        <v>599</v>
      </c>
      <c r="AA764" t="s">
        <v>599</v>
      </c>
      <c r="AB764" t="s">
        <v>599</v>
      </c>
      <c r="AC764" t="s">
        <v>3367</v>
      </c>
      <c r="AD764" t="s">
        <v>599</v>
      </c>
      <c r="AE764" t="s">
        <v>3368</v>
      </c>
      <c r="AF764" t="s">
        <v>1319</v>
      </c>
    </row>
    <row r="765" spans="1:32" ht="45" x14ac:dyDescent="0.25">
      <c r="A765" s="10">
        <v>347365</v>
      </c>
      <c r="B765" s="10">
        <v>1</v>
      </c>
      <c r="C765" s="9">
        <v>78</v>
      </c>
      <c r="D765" s="56" t="s">
        <v>3796</v>
      </c>
      <c r="E765" s="12" t="s">
        <v>549</v>
      </c>
      <c r="F765" s="45"/>
      <c r="G765" s="45"/>
      <c r="H765" s="45"/>
      <c r="I765">
        <v>347365</v>
      </c>
      <c r="J765" t="s">
        <v>548</v>
      </c>
      <c r="K765" t="s">
        <v>3362</v>
      </c>
      <c r="L765" t="s">
        <v>1178</v>
      </c>
      <c r="M765" t="s">
        <v>1192</v>
      </c>
      <c r="N765" t="s">
        <v>599</v>
      </c>
      <c r="O765" t="s">
        <v>3363</v>
      </c>
      <c r="P765" t="s">
        <v>599</v>
      </c>
      <c r="Q765" t="s">
        <v>599</v>
      </c>
      <c r="R765" t="s">
        <v>1182</v>
      </c>
      <c r="S765" t="s">
        <v>3364</v>
      </c>
      <c r="T765">
        <v>1974</v>
      </c>
      <c r="U765">
        <v>1974</v>
      </c>
      <c r="V765" t="s">
        <v>3365</v>
      </c>
      <c r="W765" t="s">
        <v>3366</v>
      </c>
      <c r="X765" t="s">
        <v>599</v>
      </c>
      <c r="Y765" t="s">
        <v>599</v>
      </c>
      <c r="Z765" t="s">
        <v>599</v>
      </c>
      <c r="AA765" t="s">
        <v>599</v>
      </c>
      <c r="AB765" t="s">
        <v>599</v>
      </c>
      <c r="AC765" t="s">
        <v>3367</v>
      </c>
      <c r="AD765" t="s">
        <v>599</v>
      </c>
      <c r="AE765" t="s">
        <v>3368</v>
      </c>
      <c r="AF765" t="s">
        <v>1319</v>
      </c>
    </row>
    <row r="766" spans="1:32" ht="45" x14ac:dyDescent="0.25">
      <c r="A766" s="10">
        <v>354066</v>
      </c>
      <c r="B766" s="10">
        <v>1</v>
      </c>
      <c r="C766" s="9">
        <v>133</v>
      </c>
      <c r="D766" s="56" t="s">
        <v>3797</v>
      </c>
      <c r="E766" s="12" t="s">
        <v>552</v>
      </c>
      <c r="F766" s="45"/>
      <c r="G766" s="45"/>
      <c r="H766" s="45"/>
      <c r="I766">
        <v>354066</v>
      </c>
      <c r="J766" t="s">
        <v>551</v>
      </c>
      <c r="K766" t="s">
        <v>3369</v>
      </c>
      <c r="L766" t="s">
        <v>1178</v>
      </c>
      <c r="M766" t="s">
        <v>1192</v>
      </c>
      <c r="N766" t="s">
        <v>599</v>
      </c>
      <c r="O766" t="s">
        <v>1551</v>
      </c>
      <c r="P766" t="s">
        <v>599</v>
      </c>
      <c r="Q766" t="s">
        <v>599</v>
      </c>
      <c r="R766" t="s">
        <v>1182</v>
      </c>
      <c r="S766" t="s">
        <v>3370</v>
      </c>
      <c r="T766">
        <v>1663</v>
      </c>
      <c r="U766">
        <v>1663</v>
      </c>
      <c r="V766" t="s">
        <v>3371</v>
      </c>
      <c r="W766" t="s">
        <v>1185</v>
      </c>
      <c r="X766" t="s">
        <v>599</v>
      </c>
      <c r="Y766" t="s">
        <v>599</v>
      </c>
      <c r="Z766" t="s">
        <v>3372</v>
      </c>
      <c r="AA766" t="s">
        <v>599</v>
      </c>
      <c r="AB766" t="s">
        <v>599</v>
      </c>
      <c r="AC766" t="s">
        <v>3373</v>
      </c>
      <c r="AD766" t="s">
        <v>2967</v>
      </c>
      <c r="AE766" t="s">
        <v>3374</v>
      </c>
      <c r="AF766" t="s">
        <v>1190</v>
      </c>
    </row>
    <row r="767" spans="1:32" ht="45" x14ac:dyDescent="0.25">
      <c r="A767" s="10">
        <v>354066</v>
      </c>
      <c r="B767" s="10">
        <v>1</v>
      </c>
      <c r="C767" s="9">
        <v>257</v>
      </c>
      <c r="D767" s="56" t="s">
        <v>3798</v>
      </c>
      <c r="E767" s="12" t="s">
        <v>552</v>
      </c>
      <c r="F767" s="45"/>
      <c r="G767" s="45"/>
      <c r="H767" s="45"/>
      <c r="I767">
        <v>354066</v>
      </c>
      <c r="J767" t="s">
        <v>551</v>
      </c>
      <c r="K767" t="s">
        <v>3369</v>
      </c>
      <c r="L767" t="s">
        <v>1178</v>
      </c>
      <c r="M767" t="s">
        <v>1192</v>
      </c>
      <c r="N767" t="s">
        <v>599</v>
      </c>
      <c r="O767" t="s">
        <v>1551</v>
      </c>
      <c r="P767" t="s">
        <v>599</v>
      </c>
      <c r="Q767" t="s">
        <v>599</v>
      </c>
      <c r="R767" t="s">
        <v>1182</v>
      </c>
      <c r="S767" t="s">
        <v>3370</v>
      </c>
      <c r="T767">
        <v>1663</v>
      </c>
      <c r="U767">
        <v>1663</v>
      </c>
      <c r="V767" t="s">
        <v>3371</v>
      </c>
      <c r="W767" t="s">
        <v>1185</v>
      </c>
      <c r="X767" t="s">
        <v>599</v>
      </c>
      <c r="Y767" t="s">
        <v>599</v>
      </c>
      <c r="Z767" t="s">
        <v>3372</v>
      </c>
      <c r="AA767" t="s">
        <v>599</v>
      </c>
      <c r="AB767" t="s">
        <v>599</v>
      </c>
      <c r="AC767" t="s">
        <v>3373</v>
      </c>
      <c r="AD767" t="s">
        <v>2967</v>
      </c>
      <c r="AE767" t="s">
        <v>3374</v>
      </c>
      <c r="AF767" t="s">
        <v>1190</v>
      </c>
    </row>
    <row r="768" spans="1:32" ht="45" x14ac:dyDescent="0.25">
      <c r="A768" s="10">
        <v>354069</v>
      </c>
      <c r="B768" s="10">
        <v>1</v>
      </c>
      <c r="C768" s="9">
        <v>136</v>
      </c>
      <c r="D768" s="56" t="s">
        <v>3799</v>
      </c>
      <c r="E768" s="12" t="s">
        <v>554</v>
      </c>
      <c r="F768" s="45"/>
      <c r="G768" s="45"/>
      <c r="H768" s="45"/>
      <c r="I768">
        <v>354069</v>
      </c>
      <c r="J768" t="s">
        <v>553</v>
      </c>
      <c r="K768" t="s">
        <v>3376</v>
      </c>
      <c r="L768" t="s">
        <v>1178</v>
      </c>
      <c r="M768" t="s">
        <v>1192</v>
      </c>
      <c r="N768" t="s">
        <v>599</v>
      </c>
      <c r="O768" t="s">
        <v>3377</v>
      </c>
      <c r="P768" t="s">
        <v>599</v>
      </c>
      <c r="Q768" t="s">
        <v>599</v>
      </c>
      <c r="R768" t="s">
        <v>1182</v>
      </c>
      <c r="S768" t="s">
        <v>3378</v>
      </c>
      <c r="T768">
        <v>1669</v>
      </c>
      <c r="U768">
        <v>1669</v>
      </c>
      <c r="V768" t="s">
        <v>3379</v>
      </c>
      <c r="W768" t="s">
        <v>1185</v>
      </c>
      <c r="X768" t="s">
        <v>599</v>
      </c>
      <c r="Y768" t="s">
        <v>599</v>
      </c>
      <c r="Z768" t="s">
        <v>3380</v>
      </c>
      <c r="AA768" t="s">
        <v>599</v>
      </c>
      <c r="AB768" t="s">
        <v>599</v>
      </c>
      <c r="AC768" t="s">
        <v>3381</v>
      </c>
      <c r="AD768" t="s">
        <v>2967</v>
      </c>
      <c r="AE768" t="s">
        <v>3382</v>
      </c>
      <c r="AF768" t="s">
        <v>1190</v>
      </c>
    </row>
    <row r="769" spans="1:32" ht="45" x14ac:dyDescent="0.25">
      <c r="A769" s="10">
        <v>371694</v>
      </c>
      <c r="B769" s="10">
        <v>1</v>
      </c>
      <c r="C769" s="9">
        <v>1</v>
      </c>
      <c r="D769" s="56" t="s">
        <v>3800</v>
      </c>
      <c r="E769" s="12" t="s">
        <v>556</v>
      </c>
      <c r="F769" s="45"/>
      <c r="G769" s="45"/>
      <c r="H769" s="45"/>
      <c r="I769">
        <v>371694</v>
      </c>
      <c r="J769" t="s">
        <v>555</v>
      </c>
      <c r="K769" t="s">
        <v>3383</v>
      </c>
      <c r="L769" t="s">
        <v>1178</v>
      </c>
      <c r="M769" t="s">
        <v>1192</v>
      </c>
      <c r="N769" t="s">
        <v>599</v>
      </c>
      <c r="O769" t="s">
        <v>2655</v>
      </c>
      <c r="P769" t="s">
        <v>599</v>
      </c>
      <c r="Q769" t="s">
        <v>599</v>
      </c>
      <c r="R769" t="s">
        <v>1182</v>
      </c>
      <c r="S769" t="s">
        <v>3384</v>
      </c>
      <c r="T769">
        <v>1913</v>
      </c>
      <c r="U769">
        <v>1913</v>
      </c>
      <c r="V769" t="s">
        <v>3385</v>
      </c>
      <c r="W769" t="s">
        <v>1185</v>
      </c>
      <c r="X769" t="s">
        <v>599</v>
      </c>
      <c r="Y769" t="s">
        <v>599</v>
      </c>
      <c r="Z769" t="s">
        <v>2515</v>
      </c>
      <c r="AA769" t="s">
        <v>599</v>
      </c>
      <c r="AB769" t="s">
        <v>599</v>
      </c>
      <c r="AC769" t="s">
        <v>3386</v>
      </c>
      <c r="AD769" t="s">
        <v>599</v>
      </c>
      <c r="AE769" t="s">
        <v>3387</v>
      </c>
      <c r="AF769" t="s">
        <v>1190</v>
      </c>
    </row>
    <row r="770" spans="1:32" ht="45" x14ac:dyDescent="0.25">
      <c r="A770" s="10">
        <v>371694</v>
      </c>
      <c r="B770" s="10">
        <v>1</v>
      </c>
      <c r="C770" s="9">
        <v>21</v>
      </c>
      <c r="D770" s="56" t="s">
        <v>3801</v>
      </c>
      <c r="E770" s="12" t="s">
        <v>556</v>
      </c>
      <c r="F770" s="45"/>
      <c r="G770" s="45"/>
      <c r="H770" s="45"/>
      <c r="I770">
        <v>371694</v>
      </c>
      <c r="J770" t="s">
        <v>555</v>
      </c>
      <c r="K770" t="s">
        <v>3383</v>
      </c>
      <c r="L770" t="s">
        <v>1178</v>
      </c>
      <c r="M770" t="s">
        <v>1192</v>
      </c>
      <c r="N770" t="s">
        <v>599</v>
      </c>
      <c r="O770" t="s">
        <v>2655</v>
      </c>
      <c r="P770" t="s">
        <v>599</v>
      </c>
      <c r="Q770" t="s">
        <v>599</v>
      </c>
      <c r="R770" t="s">
        <v>1182</v>
      </c>
      <c r="S770" t="s">
        <v>3384</v>
      </c>
      <c r="T770">
        <v>1913</v>
      </c>
      <c r="U770">
        <v>1913</v>
      </c>
      <c r="V770" t="s">
        <v>3385</v>
      </c>
      <c r="W770" t="s">
        <v>1185</v>
      </c>
      <c r="X770" t="s">
        <v>599</v>
      </c>
      <c r="Y770" t="s">
        <v>599</v>
      </c>
      <c r="Z770" t="s">
        <v>2515</v>
      </c>
      <c r="AA770" t="s">
        <v>599</v>
      </c>
      <c r="AB770" t="s">
        <v>599</v>
      </c>
      <c r="AC770" t="s">
        <v>3386</v>
      </c>
      <c r="AD770" t="s">
        <v>599</v>
      </c>
      <c r="AE770" t="s">
        <v>3387</v>
      </c>
      <c r="AF770" t="s">
        <v>1190</v>
      </c>
    </row>
    <row r="771" spans="1:32" ht="45" x14ac:dyDescent="0.25">
      <c r="A771" s="10">
        <v>371694</v>
      </c>
      <c r="B771" s="10">
        <v>1</v>
      </c>
      <c r="C771" s="9">
        <v>39</v>
      </c>
      <c r="D771" s="56" t="s">
        <v>3802</v>
      </c>
      <c r="E771" s="12" t="s">
        <v>556</v>
      </c>
      <c r="F771" s="45"/>
      <c r="G771" s="45"/>
      <c r="H771" s="45"/>
      <c r="I771">
        <v>371694</v>
      </c>
      <c r="J771" t="s">
        <v>555</v>
      </c>
      <c r="K771" t="s">
        <v>3383</v>
      </c>
      <c r="L771" t="s">
        <v>1178</v>
      </c>
      <c r="M771" t="s">
        <v>1192</v>
      </c>
      <c r="N771" t="s">
        <v>599</v>
      </c>
      <c r="O771" t="s">
        <v>2655</v>
      </c>
      <c r="P771" t="s">
        <v>599</v>
      </c>
      <c r="Q771" t="s">
        <v>599</v>
      </c>
      <c r="R771" t="s">
        <v>1182</v>
      </c>
      <c r="S771" t="s">
        <v>3384</v>
      </c>
      <c r="T771">
        <v>1913</v>
      </c>
      <c r="U771">
        <v>1913</v>
      </c>
      <c r="V771" t="s">
        <v>3385</v>
      </c>
      <c r="W771" t="s">
        <v>1185</v>
      </c>
      <c r="X771" t="s">
        <v>599</v>
      </c>
      <c r="Y771" t="s">
        <v>599</v>
      </c>
      <c r="Z771" t="s">
        <v>2515</v>
      </c>
      <c r="AA771" t="s">
        <v>599</v>
      </c>
      <c r="AB771" t="s">
        <v>599</v>
      </c>
      <c r="AC771" t="s">
        <v>3386</v>
      </c>
      <c r="AD771" t="s">
        <v>599</v>
      </c>
      <c r="AE771" t="s">
        <v>3387</v>
      </c>
      <c r="AF771" t="s">
        <v>1190</v>
      </c>
    </row>
    <row r="772" spans="1:32" ht="45" x14ac:dyDescent="0.25">
      <c r="A772" s="10">
        <v>371694</v>
      </c>
      <c r="B772" s="10">
        <v>1</v>
      </c>
      <c r="C772" s="9">
        <v>57</v>
      </c>
      <c r="D772" s="56" t="s">
        <v>3803</v>
      </c>
      <c r="E772" s="12" t="s">
        <v>556</v>
      </c>
      <c r="F772" s="45"/>
      <c r="G772" s="45"/>
      <c r="H772" s="45"/>
      <c r="I772">
        <v>371694</v>
      </c>
      <c r="J772" t="s">
        <v>555</v>
      </c>
      <c r="K772" t="s">
        <v>3383</v>
      </c>
      <c r="L772" t="s">
        <v>1178</v>
      </c>
      <c r="M772" t="s">
        <v>1192</v>
      </c>
      <c r="N772" t="s">
        <v>599</v>
      </c>
      <c r="O772" t="s">
        <v>2655</v>
      </c>
      <c r="P772" t="s">
        <v>599</v>
      </c>
      <c r="Q772" t="s">
        <v>599</v>
      </c>
      <c r="R772" t="s">
        <v>1182</v>
      </c>
      <c r="S772" t="s">
        <v>3384</v>
      </c>
      <c r="T772">
        <v>1913</v>
      </c>
      <c r="U772">
        <v>1913</v>
      </c>
      <c r="V772" t="s">
        <v>3385</v>
      </c>
      <c r="W772" t="s">
        <v>1185</v>
      </c>
      <c r="X772" t="s">
        <v>599</v>
      </c>
      <c r="Y772" t="s">
        <v>599</v>
      </c>
      <c r="Z772" t="s">
        <v>2515</v>
      </c>
      <c r="AA772" t="s">
        <v>599</v>
      </c>
      <c r="AB772" t="s">
        <v>599</v>
      </c>
      <c r="AC772" t="s">
        <v>3386</v>
      </c>
      <c r="AD772" t="s">
        <v>599</v>
      </c>
      <c r="AE772" t="s">
        <v>3387</v>
      </c>
      <c r="AF772" t="s">
        <v>1190</v>
      </c>
    </row>
    <row r="773" spans="1:32" ht="210" x14ac:dyDescent="0.25">
      <c r="A773" s="10">
        <v>381189</v>
      </c>
      <c r="B773" s="10">
        <v>1</v>
      </c>
      <c r="C773" s="9">
        <v>7</v>
      </c>
      <c r="D773" s="56" t="s">
        <v>3804</v>
      </c>
      <c r="E773" s="12" t="s">
        <v>559</v>
      </c>
      <c r="F773" s="45"/>
      <c r="G773" s="45"/>
      <c r="H773" s="45"/>
      <c r="I773">
        <v>381189</v>
      </c>
      <c r="J773" t="s">
        <v>558</v>
      </c>
      <c r="K773" t="s">
        <v>3389</v>
      </c>
      <c r="L773" t="s">
        <v>1178</v>
      </c>
      <c r="M773" t="s">
        <v>1192</v>
      </c>
      <c r="N773" t="s">
        <v>599</v>
      </c>
      <c r="O773" t="s">
        <v>3390</v>
      </c>
      <c r="P773" t="s">
        <v>3391</v>
      </c>
      <c r="Q773" t="s">
        <v>599</v>
      </c>
      <c r="R773" t="s">
        <v>1182</v>
      </c>
      <c r="S773" t="s">
        <v>3392</v>
      </c>
      <c r="T773">
        <v>1880</v>
      </c>
      <c r="U773">
        <v>1880</v>
      </c>
      <c r="V773" t="s">
        <v>3393</v>
      </c>
      <c r="W773" t="s">
        <v>1185</v>
      </c>
      <c r="X773" t="s">
        <v>599</v>
      </c>
      <c r="Y773" t="s">
        <v>3394</v>
      </c>
      <c r="Z773" t="s">
        <v>3395</v>
      </c>
      <c r="AA773" t="s">
        <v>599</v>
      </c>
      <c r="AB773" t="s">
        <v>3396</v>
      </c>
      <c r="AC773" t="s">
        <v>3397</v>
      </c>
      <c r="AD773" t="s">
        <v>599</v>
      </c>
      <c r="AE773" t="s">
        <v>3398</v>
      </c>
      <c r="AF773" t="s">
        <v>1190</v>
      </c>
    </row>
    <row r="774" spans="1:32" ht="210" x14ac:dyDescent="0.25">
      <c r="A774" s="10">
        <v>381189</v>
      </c>
      <c r="B774" s="10">
        <v>1</v>
      </c>
      <c r="C774" s="9">
        <v>10</v>
      </c>
      <c r="D774" s="56" t="s">
        <v>3805</v>
      </c>
      <c r="E774" s="12" t="s">
        <v>559</v>
      </c>
      <c r="F774" s="45"/>
      <c r="G774" s="45"/>
      <c r="H774" s="45"/>
      <c r="I774">
        <v>381189</v>
      </c>
      <c r="J774" t="s">
        <v>558</v>
      </c>
      <c r="K774" t="s">
        <v>3389</v>
      </c>
      <c r="L774" t="s">
        <v>1178</v>
      </c>
      <c r="M774" t="s">
        <v>1192</v>
      </c>
      <c r="N774" t="s">
        <v>599</v>
      </c>
      <c r="O774" t="s">
        <v>3390</v>
      </c>
      <c r="P774" t="s">
        <v>3391</v>
      </c>
      <c r="Q774" t="s">
        <v>599</v>
      </c>
      <c r="R774" t="s">
        <v>1182</v>
      </c>
      <c r="S774" t="s">
        <v>3392</v>
      </c>
      <c r="T774">
        <v>1880</v>
      </c>
      <c r="U774">
        <v>1880</v>
      </c>
      <c r="V774" t="s">
        <v>3393</v>
      </c>
      <c r="W774" t="s">
        <v>1185</v>
      </c>
      <c r="X774" t="s">
        <v>599</v>
      </c>
      <c r="Y774" t="s">
        <v>3394</v>
      </c>
      <c r="Z774" t="s">
        <v>3395</v>
      </c>
      <c r="AA774" t="s">
        <v>599</v>
      </c>
      <c r="AB774" t="s">
        <v>3396</v>
      </c>
      <c r="AC774" t="s">
        <v>3397</v>
      </c>
      <c r="AD774" t="s">
        <v>599</v>
      </c>
      <c r="AE774" t="s">
        <v>3398</v>
      </c>
      <c r="AF774" t="s">
        <v>1190</v>
      </c>
    </row>
    <row r="775" spans="1:32" ht="210" x14ac:dyDescent="0.25">
      <c r="A775" s="10">
        <v>381189</v>
      </c>
      <c r="B775" s="10">
        <v>1</v>
      </c>
      <c r="C775" s="9">
        <v>19</v>
      </c>
      <c r="D775" s="56" t="s">
        <v>3806</v>
      </c>
      <c r="E775" s="12" t="s">
        <v>559</v>
      </c>
      <c r="F775" s="45"/>
      <c r="G775" s="45"/>
      <c r="H775" s="45"/>
      <c r="I775">
        <v>381189</v>
      </c>
      <c r="J775" t="s">
        <v>558</v>
      </c>
      <c r="K775" t="s">
        <v>3389</v>
      </c>
      <c r="L775" t="s">
        <v>1178</v>
      </c>
      <c r="M775" t="s">
        <v>1192</v>
      </c>
      <c r="N775" t="s">
        <v>599</v>
      </c>
      <c r="O775" t="s">
        <v>3390</v>
      </c>
      <c r="P775" t="s">
        <v>3391</v>
      </c>
      <c r="Q775" t="s">
        <v>599</v>
      </c>
      <c r="R775" t="s">
        <v>1182</v>
      </c>
      <c r="S775" t="s">
        <v>3392</v>
      </c>
      <c r="T775">
        <v>1880</v>
      </c>
      <c r="U775">
        <v>1880</v>
      </c>
      <c r="V775" t="s">
        <v>3393</v>
      </c>
      <c r="W775" t="s">
        <v>1185</v>
      </c>
      <c r="X775" t="s">
        <v>599</v>
      </c>
      <c r="Y775" t="s">
        <v>3394</v>
      </c>
      <c r="Z775" t="s">
        <v>3395</v>
      </c>
      <c r="AA775" t="s">
        <v>599</v>
      </c>
      <c r="AB775" t="s">
        <v>3396</v>
      </c>
      <c r="AC775" t="s">
        <v>3397</v>
      </c>
      <c r="AD775" t="s">
        <v>599</v>
      </c>
      <c r="AE775" t="s">
        <v>3398</v>
      </c>
      <c r="AF775" t="s">
        <v>1190</v>
      </c>
    </row>
    <row r="776" spans="1:32" ht="210" x14ac:dyDescent="0.25">
      <c r="A776" s="10">
        <v>381189</v>
      </c>
      <c r="B776" s="10">
        <v>1</v>
      </c>
      <c r="C776" s="9">
        <v>75</v>
      </c>
      <c r="D776" s="56" t="s">
        <v>3807</v>
      </c>
      <c r="E776" s="12" t="s">
        <v>559</v>
      </c>
      <c r="F776" s="45"/>
      <c r="G776" s="45"/>
      <c r="H776" s="45"/>
      <c r="I776">
        <v>381189</v>
      </c>
      <c r="J776" t="s">
        <v>558</v>
      </c>
      <c r="K776" t="s">
        <v>3389</v>
      </c>
      <c r="L776" t="s">
        <v>1178</v>
      </c>
      <c r="M776" t="s">
        <v>1192</v>
      </c>
      <c r="N776" t="s">
        <v>599</v>
      </c>
      <c r="O776" t="s">
        <v>3390</v>
      </c>
      <c r="P776" t="s">
        <v>3391</v>
      </c>
      <c r="Q776" t="s">
        <v>599</v>
      </c>
      <c r="R776" t="s">
        <v>1182</v>
      </c>
      <c r="S776" t="s">
        <v>3392</v>
      </c>
      <c r="T776">
        <v>1880</v>
      </c>
      <c r="U776">
        <v>1880</v>
      </c>
      <c r="V776" t="s">
        <v>3393</v>
      </c>
      <c r="W776" t="s">
        <v>1185</v>
      </c>
      <c r="X776" t="s">
        <v>599</v>
      </c>
      <c r="Y776" t="s">
        <v>3394</v>
      </c>
      <c r="Z776" t="s">
        <v>3395</v>
      </c>
      <c r="AA776" t="s">
        <v>599</v>
      </c>
      <c r="AB776" t="s">
        <v>3396</v>
      </c>
      <c r="AC776" t="s">
        <v>3397</v>
      </c>
      <c r="AD776" t="s">
        <v>599</v>
      </c>
      <c r="AE776" t="s">
        <v>3398</v>
      </c>
      <c r="AF776" t="s">
        <v>1190</v>
      </c>
    </row>
    <row r="777" spans="1:32" ht="210" x14ac:dyDescent="0.25">
      <c r="A777" s="10">
        <v>381189</v>
      </c>
      <c r="B777" s="10">
        <v>1</v>
      </c>
      <c r="C777" s="9">
        <v>79</v>
      </c>
      <c r="D777" s="56" t="s">
        <v>3808</v>
      </c>
      <c r="E777" s="12" t="s">
        <v>559</v>
      </c>
      <c r="F777" s="45"/>
      <c r="G777" s="45"/>
      <c r="H777" s="45"/>
      <c r="I777">
        <v>381189</v>
      </c>
      <c r="J777" t="s">
        <v>558</v>
      </c>
      <c r="K777" t="s">
        <v>3389</v>
      </c>
      <c r="L777" t="s">
        <v>1178</v>
      </c>
      <c r="M777" t="s">
        <v>1192</v>
      </c>
      <c r="N777" t="s">
        <v>599</v>
      </c>
      <c r="O777" t="s">
        <v>3390</v>
      </c>
      <c r="P777" t="s">
        <v>3391</v>
      </c>
      <c r="Q777" t="s">
        <v>599</v>
      </c>
      <c r="R777" t="s">
        <v>1182</v>
      </c>
      <c r="S777" t="s">
        <v>3392</v>
      </c>
      <c r="T777">
        <v>1880</v>
      </c>
      <c r="U777">
        <v>1880</v>
      </c>
      <c r="V777" t="s">
        <v>3393</v>
      </c>
      <c r="W777" t="s">
        <v>1185</v>
      </c>
      <c r="X777" t="s">
        <v>599</v>
      </c>
      <c r="Y777" t="s">
        <v>3394</v>
      </c>
      <c r="Z777" t="s">
        <v>3395</v>
      </c>
      <c r="AA777" t="s">
        <v>599</v>
      </c>
      <c r="AB777" t="s">
        <v>3396</v>
      </c>
      <c r="AC777" t="s">
        <v>3397</v>
      </c>
      <c r="AD777" t="s">
        <v>599</v>
      </c>
      <c r="AE777" t="s">
        <v>3398</v>
      </c>
      <c r="AF777" t="s">
        <v>1190</v>
      </c>
    </row>
    <row r="778" spans="1:32" ht="210" x14ac:dyDescent="0.25">
      <c r="A778" s="10">
        <v>381189</v>
      </c>
      <c r="B778" s="10">
        <v>1</v>
      </c>
      <c r="C778" s="9">
        <v>90</v>
      </c>
      <c r="D778" s="56" t="s">
        <v>3809</v>
      </c>
      <c r="E778" s="12" t="s">
        <v>559</v>
      </c>
      <c r="F778" s="45"/>
      <c r="G778" s="45"/>
      <c r="H778" s="45"/>
      <c r="I778">
        <v>381189</v>
      </c>
      <c r="J778" t="s">
        <v>558</v>
      </c>
      <c r="K778" t="s">
        <v>3389</v>
      </c>
      <c r="L778" t="s">
        <v>1178</v>
      </c>
      <c r="M778" t="s">
        <v>1192</v>
      </c>
      <c r="N778" t="s">
        <v>599</v>
      </c>
      <c r="O778" t="s">
        <v>3390</v>
      </c>
      <c r="P778" t="s">
        <v>3391</v>
      </c>
      <c r="Q778" t="s">
        <v>599</v>
      </c>
      <c r="R778" t="s">
        <v>1182</v>
      </c>
      <c r="S778" t="s">
        <v>3392</v>
      </c>
      <c r="T778">
        <v>1880</v>
      </c>
      <c r="U778">
        <v>1880</v>
      </c>
      <c r="V778" t="s">
        <v>3393</v>
      </c>
      <c r="W778" t="s">
        <v>1185</v>
      </c>
      <c r="X778" t="s">
        <v>599</v>
      </c>
      <c r="Y778" t="s">
        <v>3394</v>
      </c>
      <c r="Z778" t="s">
        <v>3395</v>
      </c>
      <c r="AA778" t="s">
        <v>599</v>
      </c>
      <c r="AB778" t="s">
        <v>3396</v>
      </c>
      <c r="AC778" t="s">
        <v>3397</v>
      </c>
      <c r="AD778" t="s">
        <v>599</v>
      </c>
      <c r="AE778" t="s">
        <v>3398</v>
      </c>
      <c r="AF778" t="s">
        <v>1190</v>
      </c>
    </row>
    <row r="779" spans="1:32" ht="210" x14ac:dyDescent="0.25">
      <c r="A779" s="10">
        <v>381189</v>
      </c>
      <c r="B779" s="10">
        <v>1</v>
      </c>
      <c r="C779" s="9">
        <v>110</v>
      </c>
      <c r="D779" s="56" t="s">
        <v>3810</v>
      </c>
      <c r="E779" s="12" t="s">
        <v>559</v>
      </c>
      <c r="F779" s="45"/>
      <c r="G779" s="45"/>
      <c r="H779" s="45"/>
      <c r="I779">
        <v>381189</v>
      </c>
      <c r="J779" t="s">
        <v>558</v>
      </c>
      <c r="K779" t="s">
        <v>3389</v>
      </c>
      <c r="L779" t="s">
        <v>1178</v>
      </c>
      <c r="M779" t="s">
        <v>1192</v>
      </c>
      <c r="N779" t="s">
        <v>599</v>
      </c>
      <c r="O779" t="s">
        <v>3390</v>
      </c>
      <c r="P779" t="s">
        <v>3391</v>
      </c>
      <c r="Q779" t="s">
        <v>599</v>
      </c>
      <c r="R779" t="s">
        <v>1182</v>
      </c>
      <c r="S779" t="s">
        <v>3392</v>
      </c>
      <c r="T779">
        <v>1880</v>
      </c>
      <c r="U779">
        <v>1880</v>
      </c>
      <c r="V779" t="s">
        <v>3393</v>
      </c>
      <c r="W779" t="s">
        <v>1185</v>
      </c>
      <c r="X779" t="s">
        <v>599</v>
      </c>
      <c r="Y779" t="s">
        <v>3394</v>
      </c>
      <c r="Z779" t="s">
        <v>3395</v>
      </c>
      <c r="AA779" t="s">
        <v>599</v>
      </c>
      <c r="AB779" t="s">
        <v>3396</v>
      </c>
      <c r="AC779" t="s">
        <v>3397</v>
      </c>
      <c r="AD779" t="s">
        <v>599</v>
      </c>
      <c r="AE779" t="s">
        <v>3398</v>
      </c>
      <c r="AF779" t="s">
        <v>1190</v>
      </c>
    </row>
    <row r="780" spans="1:32" ht="210" x14ac:dyDescent="0.25">
      <c r="A780" s="10">
        <v>381189</v>
      </c>
      <c r="B780" s="10">
        <v>1</v>
      </c>
      <c r="C780" s="9">
        <v>118</v>
      </c>
      <c r="D780" s="56" t="s">
        <v>3811</v>
      </c>
      <c r="E780" s="12" t="s">
        <v>559</v>
      </c>
      <c r="F780" s="45"/>
      <c r="G780" s="45"/>
      <c r="H780" s="45"/>
      <c r="I780">
        <v>381189</v>
      </c>
      <c r="J780" t="s">
        <v>558</v>
      </c>
      <c r="K780" t="s">
        <v>3389</v>
      </c>
      <c r="L780" t="s">
        <v>1178</v>
      </c>
      <c r="M780" t="s">
        <v>1192</v>
      </c>
      <c r="N780" t="s">
        <v>599</v>
      </c>
      <c r="O780" t="s">
        <v>3390</v>
      </c>
      <c r="P780" t="s">
        <v>3391</v>
      </c>
      <c r="Q780" t="s">
        <v>599</v>
      </c>
      <c r="R780" t="s">
        <v>1182</v>
      </c>
      <c r="S780" t="s">
        <v>3392</v>
      </c>
      <c r="T780">
        <v>1880</v>
      </c>
      <c r="U780">
        <v>1880</v>
      </c>
      <c r="V780" t="s">
        <v>3393</v>
      </c>
      <c r="W780" t="s">
        <v>1185</v>
      </c>
      <c r="X780" t="s">
        <v>599</v>
      </c>
      <c r="Y780" t="s">
        <v>3394</v>
      </c>
      <c r="Z780" t="s">
        <v>3395</v>
      </c>
      <c r="AA780" t="s">
        <v>599</v>
      </c>
      <c r="AB780" t="s">
        <v>3396</v>
      </c>
      <c r="AC780" t="s">
        <v>3397</v>
      </c>
      <c r="AD780" t="s">
        <v>599</v>
      </c>
      <c r="AE780" t="s">
        <v>3398</v>
      </c>
      <c r="AF780" t="s">
        <v>1190</v>
      </c>
    </row>
    <row r="781" spans="1:32" ht="210" x14ac:dyDescent="0.25">
      <c r="A781" s="10">
        <v>381189</v>
      </c>
      <c r="B781" s="10">
        <v>1</v>
      </c>
      <c r="C781" s="9">
        <v>120</v>
      </c>
      <c r="D781" s="56" t="s">
        <v>3812</v>
      </c>
      <c r="E781" s="12" t="s">
        <v>559</v>
      </c>
      <c r="F781" s="45"/>
      <c r="G781" s="45"/>
      <c r="H781" s="45"/>
      <c r="I781">
        <v>381189</v>
      </c>
      <c r="J781" t="s">
        <v>558</v>
      </c>
      <c r="K781" t="s">
        <v>3389</v>
      </c>
      <c r="L781" t="s">
        <v>1178</v>
      </c>
      <c r="M781" t="s">
        <v>1192</v>
      </c>
      <c r="N781" t="s">
        <v>599</v>
      </c>
      <c r="O781" t="s">
        <v>3390</v>
      </c>
      <c r="P781" t="s">
        <v>3391</v>
      </c>
      <c r="Q781" t="s">
        <v>599</v>
      </c>
      <c r="R781" t="s">
        <v>1182</v>
      </c>
      <c r="S781" t="s">
        <v>3392</v>
      </c>
      <c r="T781">
        <v>1880</v>
      </c>
      <c r="U781">
        <v>1880</v>
      </c>
      <c r="V781" t="s">
        <v>3393</v>
      </c>
      <c r="W781" t="s">
        <v>1185</v>
      </c>
      <c r="X781" t="s">
        <v>599</v>
      </c>
      <c r="Y781" t="s">
        <v>3394</v>
      </c>
      <c r="Z781" t="s">
        <v>3395</v>
      </c>
      <c r="AA781" t="s">
        <v>599</v>
      </c>
      <c r="AB781" t="s">
        <v>3396</v>
      </c>
      <c r="AC781" t="s">
        <v>3397</v>
      </c>
      <c r="AD781" t="s">
        <v>599</v>
      </c>
      <c r="AE781" t="s">
        <v>3398</v>
      </c>
      <c r="AF781" t="s">
        <v>1190</v>
      </c>
    </row>
    <row r="782" spans="1:32" ht="210" x14ac:dyDescent="0.25">
      <c r="A782" s="10">
        <v>381189</v>
      </c>
      <c r="B782" s="10">
        <v>1</v>
      </c>
      <c r="C782" s="9">
        <v>134</v>
      </c>
      <c r="D782" s="56" t="s">
        <v>3813</v>
      </c>
      <c r="E782" s="12" t="s">
        <v>559</v>
      </c>
      <c r="F782" s="45"/>
      <c r="G782" s="45"/>
      <c r="H782" s="45"/>
      <c r="I782">
        <v>381189</v>
      </c>
      <c r="J782" t="s">
        <v>558</v>
      </c>
      <c r="K782" t="s">
        <v>3389</v>
      </c>
      <c r="L782" t="s">
        <v>1178</v>
      </c>
      <c r="M782" t="s">
        <v>1192</v>
      </c>
      <c r="N782" t="s">
        <v>599</v>
      </c>
      <c r="O782" t="s">
        <v>3390</v>
      </c>
      <c r="P782" t="s">
        <v>3391</v>
      </c>
      <c r="Q782" t="s">
        <v>599</v>
      </c>
      <c r="R782" t="s">
        <v>1182</v>
      </c>
      <c r="S782" t="s">
        <v>3392</v>
      </c>
      <c r="T782">
        <v>1880</v>
      </c>
      <c r="U782">
        <v>1880</v>
      </c>
      <c r="V782" t="s">
        <v>3393</v>
      </c>
      <c r="W782" t="s">
        <v>1185</v>
      </c>
      <c r="X782" t="s">
        <v>599</v>
      </c>
      <c r="Y782" t="s">
        <v>3394</v>
      </c>
      <c r="Z782" t="s">
        <v>3395</v>
      </c>
      <c r="AA782" t="s">
        <v>599</v>
      </c>
      <c r="AB782" t="s">
        <v>3396</v>
      </c>
      <c r="AC782" t="s">
        <v>3397</v>
      </c>
      <c r="AD782" t="s">
        <v>599</v>
      </c>
      <c r="AE782" t="s">
        <v>3398</v>
      </c>
      <c r="AF782" t="s">
        <v>1190</v>
      </c>
    </row>
    <row r="783" spans="1:32" ht="210" x14ac:dyDescent="0.25">
      <c r="A783" s="10">
        <v>381189</v>
      </c>
      <c r="B783" s="10">
        <v>1</v>
      </c>
      <c r="C783" s="9">
        <v>156</v>
      </c>
      <c r="D783" s="56" t="s">
        <v>3814</v>
      </c>
      <c r="E783" s="12" t="s">
        <v>559</v>
      </c>
      <c r="F783" s="45"/>
      <c r="G783" s="45"/>
      <c r="H783" s="45"/>
      <c r="I783">
        <v>381189</v>
      </c>
      <c r="J783" t="s">
        <v>558</v>
      </c>
      <c r="K783" t="s">
        <v>3389</v>
      </c>
      <c r="L783" t="s">
        <v>1178</v>
      </c>
      <c r="M783" t="s">
        <v>1192</v>
      </c>
      <c r="N783" t="s">
        <v>599</v>
      </c>
      <c r="O783" t="s">
        <v>3390</v>
      </c>
      <c r="P783" t="s">
        <v>3391</v>
      </c>
      <c r="Q783" t="s">
        <v>599</v>
      </c>
      <c r="R783" t="s">
        <v>1182</v>
      </c>
      <c r="S783" t="s">
        <v>3392</v>
      </c>
      <c r="T783">
        <v>1880</v>
      </c>
      <c r="U783">
        <v>1880</v>
      </c>
      <c r="V783" t="s">
        <v>3393</v>
      </c>
      <c r="W783" t="s">
        <v>1185</v>
      </c>
      <c r="X783" t="s">
        <v>599</v>
      </c>
      <c r="Y783" t="s">
        <v>3394</v>
      </c>
      <c r="Z783" t="s">
        <v>3395</v>
      </c>
      <c r="AA783" t="s">
        <v>599</v>
      </c>
      <c r="AB783" t="s">
        <v>3396</v>
      </c>
      <c r="AC783" t="s">
        <v>3397</v>
      </c>
      <c r="AD783" t="s">
        <v>599</v>
      </c>
      <c r="AE783" t="s">
        <v>3398</v>
      </c>
      <c r="AF783" t="s">
        <v>1190</v>
      </c>
    </row>
    <row r="784" spans="1:32" ht="210" x14ac:dyDescent="0.25">
      <c r="A784" s="10">
        <v>381189</v>
      </c>
      <c r="B784" s="10">
        <v>1</v>
      </c>
      <c r="C784" s="9">
        <v>162</v>
      </c>
      <c r="D784" s="56" t="s">
        <v>3815</v>
      </c>
      <c r="E784" s="12" t="s">
        <v>559</v>
      </c>
      <c r="F784" s="45"/>
      <c r="G784" s="45"/>
      <c r="H784" s="45"/>
      <c r="I784">
        <v>381189</v>
      </c>
      <c r="J784" t="s">
        <v>558</v>
      </c>
      <c r="K784" t="s">
        <v>3389</v>
      </c>
      <c r="L784" t="s">
        <v>1178</v>
      </c>
      <c r="M784" t="s">
        <v>1192</v>
      </c>
      <c r="N784" t="s">
        <v>599</v>
      </c>
      <c r="O784" t="s">
        <v>3390</v>
      </c>
      <c r="P784" t="s">
        <v>3391</v>
      </c>
      <c r="Q784" t="s">
        <v>599</v>
      </c>
      <c r="R784" t="s">
        <v>1182</v>
      </c>
      <c r="S784" t="s">
        <v>3392</v>
      </c>
      <c r="T784">
        <v>1880</v>
      </c>
      <c r="U784">
        <v>1880</v>
      </c>
      <c r="V784" t="s">
        <v>3393</v>
      </c>
      <c r="W784" t="s">
        <v>1185</v>
      </c>
      <c r="X784" t="s">
        <v>599</v>
      </c>
      <c r="Y784" t="s">
        <v>3394</v>
      </c>
      <c r="Z784" t="s">
        <v>3395</v>
      </c>
      <c r="AA784" t="s">
        <v>599</v>
      </c>
      <c r="AB784" t="s">
        <v>3396</v>
      </c>
      <c r="AC784" t="s">
        <v>3397</v>
      </c>
      <c r="AD784" t="s">
        <v>599</v>
      </c>
      <c r="AE784" t="s">
        <v>3398</v>
      </c>
      <c r="AF784" t="s">
        <v>1190</v>
      </c>
    </row>
    <row r="785" spans="1:32" ht="210" x14ac:dyDescent="0.25">
      <c r="A785" s="10">
        <v>381189</v>
      </c>
      <c r="B785" s="10">
        <v>1</v>
      </c>
      <c r="C785" s="9">
        <v>164</v>
      </c>
      <c r="D785" s="56" t="s">
        <v>3816</v>
      </c>
      <c r="E785" s="12" t="s">
        <v>559</v>
      </c>
      <c r="F785" s="45"/>
      <c r="G785" s="45"/>
      <c r="H785" s="45"/>
      <c r="I785">
        <v>381189</v>
      </c>
      <c r="J785" t="s">
        <v>558</v>
      </c>
      <c r="K785" t="s">
        <v>3389</v>
      </c>
      <c r="L785" t="s">
        <v>1178</v>
      </c>
      <c r="M785" t="s">
        <v>1192</v>
      </c>
      <c r="N785" t="s">
        <v>599</v>
      </c>
      <c r="O785" t="s">
        <v>3390</v>
      </c>
      <c r="P785" t="s">
        <v>3391</v>
      </c>
      <c r="Q785" t="s">
        <v>599</v>
      </c>
      <c r="R785" t="s">
        <v>1182</v>
      </c>
      <c r="S785" t="s">
        <v>3392</v>
      </c>
      <c r="T785">
        <v>1880</v>
      </c>
      <c r="U785">
        <v>1880</v>
      </c>
      <c r="V785" t="s">
        <v>3393</v>
      </c>
      <c r="W785" t="s">
        <v>1185</v>
      </c>
      <c r="X785" t="s">
        <v>599</v>
      </c>
      <c r="Y785" t="s">
        <v>3394</v>
      </c>
      <c r="Z785" t="s">
        <v>3395</v>
      </c>
      <c r="AA785" t="s">
        <v>599</v>
      </c>
      <c r="AB785" t="s">
        <v>3396</v>
      </c>
      <c r="AC785" t="s">
        <v>3397</v>
      </c>
      <c r="AD785" t="s">
        <v>599</v>
      </c>
      <c r="AE785" t="s">
        <v>3398</v>
      </c>
      <c r="AF785" t="s">
        <v>1190</v>
      </c>
    </row>
    <row r="786" spans="1:32" ht="210" x14ac:dyDescent="0.25">
      <c r="A786" s="10">
        <v>381189</v>
      </c>
      <c r="B786" s="10">
        <v>1</v>
      </c>
      <c r="C786" s="9">
        <v>205</v>
      </c>
      <c r="D786" s="56" t="s">
        <v>3817</v>
      </c>
      <c r="E786" s="12" t="s">
        <v>559</v>
      </c>
      <c r="F786" s="45"/>
      <c r="G786" s="45"/>
      <c r="H786" s="45"/>
      <c r="I786">
        <v>381189</v>
      </c>
      <c r="J786" t="s">
        <v>558</v>
      </c>
      <c r="K786" t="s">
        <v>3389</v>
      </c>
      <c r="L786" t="s">
        <v>1178</v>
      </c>
      <c r="M786" t="s">
        <v>1192</v>
      </c>
      <c r="N786" t="s">
        <v>599</v>
      </c>
      <c r="O786" t="s">
        <v>3390</v>
      </c>
      <c r="P786" t="s">
        <v>3391</v>
      </c>
      <c r="Q786" t="s">
        <v>599</v>
      </c>
      <c r="R786" t="s">
        <v>1182</v>
      </c>
      <c r="S786" t="s">
        <v>3392</v>
      </c>
      <c r="T786">
        <v>1880</v>
      </c>
      <c r="U786">
        <v>1880</v>
      </c>
      <c r="V786" t="s">
        <v>3393</v>
      </c>
      <c r="W786" t="s">
        <v>1185</v>
      </c>
      <c r="X786" t="s">
        <v>599</v>
      </c>
      <c r="Y786" t="s">
        <v>3394</v>
      </c>
      <c r="Z786" t="s">
        <v>3395</v>
      </c>
      <c r="AA786" t="s">
        <v>599</v>
      </c>
      <c r="AB786" t="s">
        <v>3396</v>
      </c>
      <c r="AC786" t="s">
        <v>3397</v>
      </c>
      <c r="AD786" t="s">
        <v>599</v>
      </c>
      <c r="AE786" t="s">
        <v>3398</v>
      </c>
      <c r="AF786" t="s">
        <v>1190</v>
      </c>
    </row>
    <row r="787" spans="1:32" ht="210" x14ac:dyDescent="0.25">
      <c r="A787" s="10">
        <v>381189</v>
      </c>
      <c r="B787" s="10">
        <v>1</v>
      </c>
      <c r="C787" s="9">
        <v>215</v>
      </c>
      <c r="D787" s="56" t="s">
        <v>3818</v>
      </c>
      <c r="E787" s="12" t="s">
        <v>559</v>
      </c>
      <c r="F787" s="45"/>
      <c r="G787" s="45"/>
      <c r="H787" s="45"/>
      <c r="I787">
        <v>381189</v>
      </c>
      <c r="J787" t="s">
        <v>558</v>
      </c>
      <c r="K787" t="s">
        <v>3389</v>
      </c>
      <c r="L787" t="s">
        <v>1178</v>
      </c>
      <c r="M787" t="s">
        <v>1192</v>
      </c>
      <c r="N787" t="s">
        <v>599</v>
      </c>
      <c r="O787" t="s">
        <v>3390</v>
      </c>
      <c r="P787" t="s">
        <v>3391</v>
      </c>
      <c r="Q787" t="s">
        <v>599</v>
      </c>
      <c r="R787" t="s">
        <v>1182</v>
      </c>
      <c r="S787" t="s">
        <v>3392</v>
      </c>
      <c r="T787">
        <v>1880</v>
      </c>
      <c r="U787">
        <v>1880</v>
      </c>
      <c r="V787" t="s">
        <v>3393</v>
      </c>
      <c r="W787" t="s">
        <v>1185</v>
      </c>
      <c r="X787" t="s">
        <v>599</v>
      </c>
      <c r="Y787" t="s">
        <v>3394</v>
      </c>
      <c r="Z787" t="s">
        <v>3395</v>
      </c>
      <c r="AA787" t="s">
        <v>599</v>
      </c>
      <c r="AB787" t="s">
        <v>3396</v>
      </c>
      <c r="AC787" t="s">
        <v>3397</v>
      </c>
      <c r="AD787" t="s">
        <v>599</v>
      </c>
      <c r="AE787" t="s">
        <v>3398</v>
      </c>
      <c r="AF787" t="s">
        <v>1190</v>
      </c>
    </row>
    <row r="788" spans="1:32" ht="210" x14ac:dyDescent="0.25">
      <c r="A788" s="10">
        <v>381189</v>
      </c>
      <c r="B788" s="10">
        <v>1</v>
      </c>
      <c r="C788" s="9">
        <v>217</v>
      </c>
      <c r="D788" s="56" t="s">
        <v>3819</v>
      </c>
      <c r="E788" s="12" t="s">
        <v>559</v>
      </c>
      <c r="F788" s="45"/>
      <c r="G788" s="45"/>
      <c r="H788" s="45"/>
      <c r="I788">
        <v>381189</v>
      </c>
      <c r="J788" t="s">
        <v>558</v>
      </c>
      <c r="K788" t="s">
        <v>3389</v>
      </c>
      <c r="L788" t="s">
        <v>1178</v>
      </c>
      <c r="M788" t="s">
        <v>1192</v>
      </c>
      <c r="N788" t="s">
        <v>599</v>
      </c>
      <c r="O788" t="s">
        <v>3390</v>
      </c>
      <c r="P788" t="s">
        <v>3391</v>
      </c>
      <c r="Q788" t="s">
        <v>599</v>
      </c>
      <c r="R788" t="s">
        <v>1182</v>
      </c>
      <c r="S788" t="s">
        <v>3392</v>
      </c>
      <c r="T788">
        <v>1880</v>
      </c>
      <c r="U788">
        <v>1880</v>
      </c>
      <c r="V788" t="s">
        <v>3393</v>
      </c>
      <c r="W788" t="s">
        <v>1185</v>
      </c>
      <c r="X788" t="s">
        <v>599</v>
      </c>
      <c r="Y788" t="s">
        <v>3394</v>
      </c>
      <c r="Z788" t="s">
        <v>3395</v>
      </c>
      <c r="AA788" t="s">
        <v>599</v>
      </c>
      <c r="AB788" t="s">
        <v>3396</v>
      </c>
      <c r="AC788" t="s">
        <v>3397</v>
      </c>
      <c r="AD788" t="s">
        <v>599</v>
      </c>
      <c r="AE788" t="s">
        <v>3398</v>
      </c>
      <c r="AF788" t="s">
        <v>1190</v>
      </c>
    </row>
    <row r="789" spans="1:32" ht="210" x14ac:dyDescent="0.25">
      <c r="A789" s="10">
        <v>381189</v>
      </c>
      <c r="B789" s="10">
        <v>1</v>
      </c>
      <c r="C789" s="9">
        <v>242</v>
      </c>
      <c r="D789" s="56" t="s">
        <v>3820</v>
      </c>
      <c r="E789" s="12" t="s">
        <v>559</v>
      </c>
      <c r="F789" s="45"/>
      <c r="G789" s="45"/>
      <c r="H789" s="45"/>
      <c r="I789">
        <v>381189</v>
      </c>
      <c r="J789" t="s">
        <v>558</v>
      </c>
      <c r="K789" t="s">
        <v>3389</v>
      </c>
      <c r="L789" t="s">
        <v>1178</v>
      </c>
      <c r="M789" t="s">
        <v>1192</v>
      </c>
      <c r="N789" t="s">
        <v>599</v>
      </c>
      <c r="O789" t="s">
        <v>3390</v>
      </c>
      <c r="P789" t="s">
        <v>3391</v>
      </c>
      <c r="Q789" t="s">
        <v>599</v>
      </c>
      <c r="R789" t="s">
        <v>1182</v>
      </c>
      <c r="S789" t="s">
        <v>3392</v>
      </c>
      <c r="T789">
        <v>1880</v>
      </c>
      <c r="U789">
        <v>1880</v>
      </c>
      <c r="V789" t="s">
        <v>3393</v>
      </c>
      <c r="W789" t="s">
        <v>1185</v>
      </c>
      <c r="X789" t="s">
        <v>599</v>
      </c>
      <c r="Y789" t="s">
        <v>3394</v>
      </c>
      <c r="Z789" t="s">
        <v>3395</v>
      </c>
      <c r="AA789" t="s">
        <v>599</v>
      </c>
      <c r="AB789" t="s">
        <v>3396</v>
      </c>
      <c r="AC789" t="s">
        <v>3397</v>
      </c>
      <c r="AD789" t="s">
        <v>599</v>
      </c>
      <c r="AE789" t="s">
        <v>3398</v>
      </c>
      <c r="AF789" t="s">
        <v>1190</v>
      </c>
    </row>
    <row r="790" spans="1:32" ht="210" x14ac:dyDescent="0.25">
      <c r="A790" s="10">
        <v>381189</v>
      </c>
      <c r="B790" s="10">
        <v>1</v>
      </c>
      <c r="C790" s="9">
        <v>252</v>
      </c>
      <c r="D790" s="56" t="s">
        <v>3821</v>
      </c>
      <c r="E790" s="12" t="s">
        <v>559</v>
      </c>
      <c r="F790" s="45"/>
      <c r="G790" s="45"/>
      <c r="H790" s="45"/>
      <c r="I790">
        <v>381189</v>
      </c>
      <c r="J790" t="s">
        <v>558</v>
      </c>
      <c r="K790" t="s">
        <v>3389</v>
      </c>
      <c r="L790" t="s">
        <v>1178</v>
      </c>
      <c r="M790" t="s">
        <v>1192</v>
      </c>
      <c r="N790" t="s">
        <v>599</v>
      </c>
      <c r="O790" t="s">
        <v>3390</v>
      </c>
      <c r="P790" t="s">
        <v>3391</v>
      </c>
      <c r="Q790" t="s">
        <v>599</v>
      </c>
      <c r="R790" t="s">
        <v>1182</v>
      </c>
      <c r="S790" t="s">
        <v>3392</v>
      </c>
      <c r="T790">
        <v>1880</v>
      </c>
      <c r="U790">
        <v>1880</v>
      </c>
      <c r="V790" t="s">
        <v>3393</v>
      </c>
      <c r="W790" t="s">
        <v>1185</v>
      </c>
      <c r="X790" t="s">
        <v>599</v>
      </c>
      <c r="Y790" t="s">
        <v>3394</v>
      </c>
      <c r="Z790" t="s">
        <v>3395</v>
      </c>
      <c r="AA790" t="s">
        <v>599</v>
      </c>
      <c r="AB790" t="s">
        <v>3396</v>
      </c>
      <c r="AC790" t="s">
        <v>3397</v>
      </c>
      <c r="AD790" t="s">
        <v>599</v>
      </c>
      <c r="AE790" t="s">
        <v>3398</v>
      </c>
      <c r="AF790" t="s">
        <v>1190</v>
      </c>
    </row>
    <row r="791" spans="1:32" ht="210" x14ac:dyDescent="0.25">
      <c r="A791" s="10">
        <v>381189</v>
      </c>
      <c r="B791" s="10">
        <v>1</v>
      </c>
      <c r="C791" s="9">
        <v>258</v>
      </c>
      <c r="D791" s="56" t="s">
        <v>3822</v>
      </c>
      <c r="E791" s="12" t="s">
        <v>559</v>
      </c>
      <c r="F791" s="45"/>
      <c r="G791" s="45"/>
      <c r="H791" s="45"/>
      <c r="I791">
        <v>381189</v>
      </c>
      <c r="J791" t="s">
        <v>558</v>
      </c>
      <c r="K791" t="s">
        <v>3389</v>
      </c>
      <c r="L791" t="s">
        <v>1178</v>
      </c>
      <c r="M791" t="s">
        <v>1192</v>
      </c>
      <c r="N791" t="s">
        <v>599</v>
      </c>
      <c r="O791" t="s">
        <v>3390</v>
      </c>
      <c r="P791" t="s">
        <v>3391</v>
      </c>
      <c r="Q791" t="s">
        <v>599</v>
      </c>
      <c r="R791" t="s">
        <v>1182</v>
      </c>
      <c r="S791" t="s">
        <v>3392</v>
      </c>
      <c r="T791">
        <v>1880</v>
      </c>
      <c r="U791">
        <v>1880</v>
      </c>
      <c r="V791" t="s">
        <v>3393</v>
      </c>
      <c r="W791" t="s">
        <v>1185</v>
      </c>
      <c r="X791" t="s">
        <v>599</v>
      </c>
      <c r="Y791" t="s">
        <v>3394</v>
      </c>
      <c r="Z791" t="s">
        <v>3395</v>
      </c>
      <c r="AA791" t="s">
        <v>599</v>
      </c>
      <c r="AB791" t="s">
        <v>3396</v>
      </c>
      <c r="AC791" t="s">
        <v>3397</v>
      </c>
      <c r="AD791" t="s">
        <v>599</v>
      </c>
      <c r="AE791" t="s">
        <v>3398</v>
      </c>
      <c r="AF791" t="s">
        <v>1190</v>
      </c>
    </row>
    <row r="792" spans="1:32" ht="210" x14ac:dyDescent="0.25">
      <c r="A792" s="10">
        <v>381189</v>
      </c>
      <c r="B792" s="10">
        <v>1</v>
      </c>
      <c r="C792" s="9">
        <v>260</v>
      </c>
      <c r="D792" s="56" t="s">
        <v>3823</v>
      </c>
      <c r="E792" s="12" t="s">
        <v>559</v>
      </c>
      <c r="F792" s="45"/>
      <c r="G792" s="45"/>
      <c r="H792" s="45"/>
      <c r="I792">
        <v>381189</v>
      </c>
      <c r="J792" t="s">
        <v>558</v>
      </c>
      <c r="K792" t="s">
        <v>3389</v>
      </c>
      <c r="L792" t="s">
        <v>1178</v>
      </c>
      <c r="M792" t="s">
        <v>1192</v>
      </c>
      <c r="N792" t="s">
        <v>599</v>
      </c>
      <c r="O792" t="s">
        <v>3390</v>
      </c>
      <c r="P792" t="s">
        <v>3391</v>
      </c>
      <c r="Q792" t="s">
        <v>599</v>
      </c>
      <c r="R792" t="s">
        <v>1182</v>
      </c>
      <c r="S792" t="s">
        <v>3392</v>
      </c>
      <c r="T792">
        <v>1880</v>
      </c>
      <c r="U792">
        <v>1880</v>
      </c>
      <c r="V792" t="s">
        <v>3393</v>
      </c>
      <c r="W792" t="s">
        <v>1185</v>
      </c>
      <c r="X792" t="s">
        <v>599</v>
      </c>
      <c r="Y792" t="s">
        <v>3394</v>
      </c>
      <c r="Z792" t="s">
        <v>3395</v>
      </c>
      <c r="AA792" t="s">
        <v>599</v>
      </c>
      <c r="AB792" t="s">
        <v>3396</v>
      </c>
      <c r="AC792" t="s">
        <v>3397</v>
      </c>
      <c r="AD792" t="s">
        <v>599</v>
      </c>
      <c r="AE792" t="s">
        <v>3398</v>
      </c>
      <c r="AF792" t="s">
        <v>1190</v>
      </c>
    </row>
    <row r="793" spans="1:32" ht="210" x14ac:dyDescent="0.25">
      <c r="A793" s="10">
        <v>381189</v>
      </c>
      <c r="B793" s="10">
        <v>1</v>
      </c>
      <c r="C793" s="9">
        <v>277</v>
      </c>
      <c r="D793" s="56" t="s">
        <v>3824</v>
      </c>
      <c r="E793" s="12" t="s">
        <v>559</v>
      </c>
      <c r="F793" s="45"/>
      <c r="G793" s="45"/>
      <c r="H793" s="45"/>
      <c r="I793">
        <v>381189</v>
      </c>
      <c r="J793" t="s">
        <v>558</v>
      </c>
      <c r="K793" t="s">
        <v>3389</v>
      </c>
      <c r="L793" t="s">
        <v>1178</v>
      </c>
      <c r="M793" t="s">
        <v>1192</v>
      </c>
      <c r="N793" t="s">
        <v>599</v>
      </c>
      <c r="O793" t="s">
        <v>3390</v>
      </c>
      <c r="P793" t="s">
        <v>3391</v>
      </c>
      <c r="Q793" t="s">
        <v>599</v>
      </c>
      <c r="R793" t="s">
        <v>1182</v>
      </c>
      <c r="S793" t="s">
        <v>3392</v>
      </c>
      <c r="T793">
        <v>1880</v>
      </c>
      <c r="U793">
        <v>1880</v>
      </c>
      <c r="V793" t="s">
        <v>3393</v>
      </c>
      <c r="W793" t="s">
        <v>1185</v>
      </c>
      <c r="X793" t="s">
        <v>599</v>
      </c>
      <c r="Y793" t="s">
        <v>3394</v>
      </c>
      <c r="Z793" t="s">
        <v>3395</v>
      </c>
      <c r="AA793" t="s">
        <v>599</v>
      </c>
      <c r="AB793" t="s">
        <v>3396</v>
      </c>
      <c r="AC793" t="s">
        <v>3397</v>
      </c>
      <c r="AD793" t="s">
        <v>599</v>
      </c>
      <c r="AE793" t="s">
        <v>3398</v>
      </c>
      <c r="AF793" t="s">
        <v>1190</v>
      </c>
    </row>
    <row r="794" spans="1:32" ht="210" x14ac:dyDescent="0.25">
      <c r="A794" s="10">
        <v>381189</v>
      </c>
      <c r="B794" s="10">
        <v>1</v>
      </c>
      <c r="C794" s="9">
        <v>291</v>
      </c>
      <c r="D794" s="56" t="s">
        <v>3825</v>
      </c>
      <c r="E794" s="12" t="s">
        <v>559</v>
      </c>
      <c r="F794" s="45"/>
      <c r="G794" s="45"/>
      <c r="H794" s="45"/>
      <c r="I794">
        <v>381189</v>
      </c>
      <c r="J794" t="s">
        <v>558</v>
      </c>
      <c r="K794" t="s">
        <v>3389</v>
      </c>
      <c r="L794" t="s">
        <v>1178</v>
      </c>
      <c r="M794" t="s">
        <v>1192</v>
      </c>
      <c r="N794" t="s">
        <v>599</v>
      </c>
      <c r="O794" t="s">
        <v>3390</v>
      </c>
      <c r="P794" t="s">
        <v>3391</v>
      </c>
      <c r="Q794" t="s">
        <v>599</v>
      </c>
      <c r="R794" t="s">
        <v>1182</v>
      </c>
      <c r="S794" t="s">
        <v>3392</v>
      </c>
      <c r="T794">
        <v>1880</v>
      </c>
      <c r="U794">
        <v>1880</v>
      </c>
      <c r="V794" t="s">
        <v>3393</v>
      </c>
      <c r="W794" t="s">
        <v>1185</v>
      </c>
      <c r="X794" t="s">
        <v>599</v>
      </c>
      <c r="Y794" t="s">
        <v>3394</v>
      </c>
      <c r="Z794" t="s">
        <v>3395</v>
      </c>
      <c r="AA794" t="s">
        <v>599</v>
      </c>
      <c r="AB794" t="s">
        <v>3396</v>
      </c>
      <c r="AC794" t="s">
        <v>3397</v>
      </c>
      <c r="AD794" t="s">
        <v>599</v>
      </c>
      <c r="AE794" t="s">
        <v>3398</v>
      </c>
      <c r="AF794" t="s">
        <v>1190</v>
      </c>
    </row>
    <row r="795" spans="1:32" ht="210" x14ac:dyDescent="0.25">
      <c r="A795" s="10">
        <v>381189</v>
      </c>
      <c r="B795" s="10">
        <v>1</v>
      </c>
      <c r="C795" s="9">
        <v>299</v>
      </c>
      <c r="D795" s="56" t="s">
        <v>3826</v>
      </c>
      <c r="E795" s="12" t="s">
        <v>559</v>
      </c>
      <c r="F795" s="45"/>
      <c r="G795" s="45"/>
      <c r="H795" s="45"/>
      <c r="I795">
        <v>381189</v>
      </c>
      <c r="J795" t="s">
        <v>558</v>
      </c>
      <c r="K795" t="s">
        <v>3389</v>
      </c>
      <c r="L795" t="s">
        <v>1178</v>
      </c>
      <c r="M795" t="s">
        <v>1192</v>
      </c>
      <c r="N795" t="s">
        <v>599</v>
      </c>
      <c r="O795" t="s">
        <v>3390</v>
      </c>
      <c r="P795" t="s">
        <v>3391</v>
      </c>
      <c r="Q795" t="s">
        <v>599</v>
      </c>
      <c r="R795" t="s">
        <v>1182</v>
      </c>
      <c r="S795" t="s">
        <v>3392</v>
      </c>
      <c r="T795">
        <v>1880</v>
      </c>
      <c r="U795">
        <v>1880</v>
      </c>
      <c r="V795" t="s">
        <v>3393</v>
      </c>
      <c r="W795" t="s">
        <v>1185</v>
      </c>
      <c r="X795" t="s">
        <v>599</v>
      </c>
      <c r="Y795" t="s">
        <v>3394</v>
      </c>
      <c r="Z795" t="s">
        <v>3395</v>
      </c>
      <c r="AA795" t="s">
        <v>599</v>
      </c>
      <c r="AB795" t="s">
        <v>3396</v>
      </c>
      <c r="AC795" t="s">
        <v>3397</v>
      </c>
      <c r="AD795" t="s">
        <v>599</v>
      </c>
      <c r="AE795" t="s">
        <v>3398</v>
      </c>
      <c r="AF795" t="s">
        <v>1190</v>
      </c>
    </row>
    <row r="796" spans="1:32" ht="210" x14ac:dyDescent="0.25">
      <c r="A796" s="10">
        <v>381189</v>
      </c>
      <c r="B796" s="10">
        <v>1</v>
      </c>
      <c r="C796" s="9">
        <v>301</v>
      </c>
      <c r="D796" s="56" t="s">
        <v>3827</v>
      </c>
      <c r="E796" s="12" t="s">
        <v>559</v>
      </c>
      <c r="F796" s="45"/>
      <c r="G796" s="45"/>
      <c r="H796" s="45"/>
      <c r="I796">
        <v>381189</v>
      </c>
      <c r="J796" t="s">
        <v>558</v>
      </c>
      <c r="K796" t="s">
        <v>3389</v>
      </c>
      <c r="L796" t="s">
        <v>1178</v>
      </c>
      <c r="M796" t="s">
        <v>1192</v>
      </c>
      <c r="N796" t="s">
        <v>599</v>
      </c>
      <c r="O796" t="s">
        <v>3390</v>
      </c>
      <c r="P796" t="s">
        <v>3391</v>
      </c>
      <c r="Q796" t="s">
        <v>599</v>
      </c>
      <c r="R796" t="s">
        <v>1182</v>
      </c>
      <c r="S796" t="s">
        <v>3392</v>
      </c>
      <c r="T796">
        <v>1880</v>
      </c>
      <c r="U796">
        <v>1880</v>
      </c>
      <c r="V796" t="s">
        <v>3393</v>
      </c>
      <c r="W796" t="s">
        <v>1185</v>
      </c>
      <c r="X796" t="s">
        <v>599</v>
      </c>
      <c r="Y796" t="s">
        <v>3394</v>
      </c>
      <c r="Z796" t="s">
        <v>3395</v>
      </c>
      <c r="AA796" t="s">
        <v>599</v>
      </c>
      <c r="AB796" t="s">
        <v>3396</v>
      </c>
      <c r="AC796" t="s">
        <v>3397</v>
      </c>
      <c r="AD796" t="s">
        <v>599</v>
      </c>
      <c r="AE796" t="s">
        <v>3398</v>
      </c>
      <c r="AF796" t="s">
        <v>1190</v>
      </c>
    </row>
    <row r="797" spans="1:32" ht="210" x14ac:dyDescent="0.25">
      <c r="A797" s="10">
        <v>381189</v>
      </c>
      <c r="B797" s="10">
        <v>1</v>
      </c>
      <c r="C797" s="9">
        <v>311</v>
      </c>
      <c r="D797" s="56" t="s">
        <v>3828</v>
      </c>
      <c r="E797" s="12" t="s">
        <v>559</v>
      </c>
      <c r="F797" s="45"/>
      <c r="G797" s="45"/>
      <c r="H797" s="45"/>
      <c r="I797">
        <v>381189</v>
      </c>
      <c r="J797" t="s">
        <v>558</v>
      </c>
      <c r="K797" t="s">
        <v>3389</v>
      </c>
      <c r="L797" t="s">
        <v>1178</v>
      </c>
      <c r="M797" t="s">
        <v>1192</v>
      </c>
      <c r="N797" t="s">
        <v>599</v>
      </c>
      <c r="O797" t="s">
        <v>3390</v>
      </c>
      <c r="P797" t="s">
        <v>3391</v>
      </c>
      <c r="Q797" t="s">
        <v>599</v>
      </c>
      <c r="R797" t="s">
        <v>1182</v>
      </c>
      <c r="S797" t="s">
        <v>3392</v>
      </c>
      <c r="T797">
        <v>1880</v>
      </c>
      <c r="U797">
        <v>1880</v>
      </c>
      <c r="V797" t="s">
        <v>3393</v>
      </c>
      <c r="W797" t="s">
        <v>1185</v>
      </c>
      <c r="X797" t="s">
        <v>599</v>
      </c>
      <c r="Y797" t="s">
        <v>3394</v>
      </c>
      <c r="Z797" t="s">
        <v>3395</v>
      </c>
      <c r="AA797" t="s">
        <v>599</v>
      </c>
      <c r="AB797" t="s">
        <v>3396</v>
      </c>
      <c r="AC797" t="s">
        <v>3397</v>
      </c>
      <c r="AD797" t="s">
        <v>599</v>
      </c>
      <c r="AE797" t="s">
        <v>3398</v>
      </c>
      <c r="AF797" t="s">
        <v>1190</v>
      </c>
    </row>
    <row r="798" spans="1:32" ht="210" x14ac:dyDescent="0.25">
      <c r="A798" s="10">
        <v>381189</v>
      </c>
      <c r="B798" s="10">
        <v>1</v>
      </c>
      <c r="C798" s="9">
        <v>334</v>
      </c>
      <c r="D798" s="56" t="s">
        <v>3829</v>
      </c>
      <c r="E798" s="12" t="s">
        <v>559</v>
      </c>
      <c r="F798" s="45"/>
      <c r="G798" s="45"/>
      <c r="H798" s="45"/>
      <c r="I798">
        <v>381189</v>
      </c>
      <c r="J798" t="s">
        <v>558</v>
      </c>
      <c r="K798" t="s">
        <v>3389</v>
      </c>
      <c r="L798" t="s">
        <v>1178</v>
      </c>
      <c r="M798" t="s">
        <v>1192</v>
      </c>
      <c r="N798" t="s">
        <v>599</v>
      </c>
      <c r="O798" t="s">
        <v>3390</v>
      </c>
      <c r="P798" t="s">
        <v>3391</v>
      </c>
      <c r="Q798" t="s">
        <v>599</v>
      </c>
      <c r="R798" t="s">
        <v>1182</v>
      </c>
      <c r="S798" t="s">
        <v>3392</v>
      </c>
      <c r="T798">
        <v>1880</v>
      </c>
      <c r="U798">
        <v>1880</v>
      </c>
      <c r="V798" t="s">
        <v>3393</v>
      </c>
      <c r="W798" t="s">
        <v>1185</v>
      </c>
      <c r="X798" t="s">
        <v>599</v>
      </c>
      <c r="Y798" t="s">
        <v>3394</v>
      </c>
      <c r="Z798" t="s">
        <v>3395</v>
      </c>
      <c r="AA798" t="s">
        <v>599</v>
      </c>
      <c r="AB798" t="s">
        <v>3396</v>
      </c>
      <c r="AC798" t="s">
        <v>3397</v>
      </c>
      <c r="AD798" t="s">
        <v>599</v>
      </c>
      <c r="AE798" t="s">
        <v>3398</v>
      </c>
      <c r="AF798" t="s">
        <v>1190</v>
      </c>
    </row>
    <row r="799" spans="1:32" ht="210" x14ac:dyDescent="0.25">
      <c r="A799" s="10">
        <v>381189</v>
      </c>
      <c r="B799" s="10">
        <v>1</v>
      </c>
      <c r="C799" s="9">
        <v>340</v>
      </c>
      <c r="D799" s="56" t="s">
        <v>3830</v>
      </c>
      <c r="E799" s="12" t="s">
        <v>559</v>
      </c>
      <c r="F799" s="45"/>
      <c r="G799" s="45"/>
      <c r="H799" s="45"/>
      <c r="I799">
        <v>381189</v>
      </c>
      <c r="J799" t="s">
        <v>558</v>
      </c>
      <c r="K799" t="s">
        <v>3389</v>
      </c>
      <c r="L799" t="s">
        <v>1178</v>
      </c>
      <c r="M799" t="s">
        <v>1192</v>
      </c>
      <c r="N799" t="s">
        <v>599</v>
      </c>
      <c r="O799" t="s">
        <v>3390</v>
      </c>
      <c r="P799" t="s">
        <v>3391</v>
      </c>
      <c r="Q799" t="s">
        <v>599</v>
      </c>
      <c r="R799" t="s">
        <v>1182</v>
      </c>
      <c r="S799" t="s">
        <v>3392</v>
      </c>
      <c r="T799">
        <v>1880</v>
      </c>
      <c r="U799">
        <v>1880</v>
      </c>
      <c r="V799" t="s">
        <v>3393</v>
      </c>
      <c r="W799" t="s">
        <v>1185</v>
      </c>
      <c r="X799" t="s">
        <v>599</v>
      </c>
      <c r="Y799" t="s">
        <v>3394</v>
      </c>
      <c r="Z799" t="s">
        <v>3395</v>
      </c>
      <c r="AA799" t="s">
        <v>599</v>
      </c>
      <c r="AB799" t="s">
        <v>3396</v>
      </c>
      <c r="AC799" t="s">
        <v>3397</v>
      </c>
      <c r="AD799" t="s">
        <v>599</v>
      </c>
      <c r="AE799" t="s">
        <v>3398</v>
      </c>
      <c r="AF799" t="s">
        <v>1190</v>
      </c>
    </row>
    <row r="800" spans="1:32" ht="210" x14ac:dyDescent="0.25">
      <c r="A800" s="10">
        <v>381189</v>
      </c>
      <c r="B800" s="10">
        <v>1</v>
      </c>
      <c r="C800" s="9">
        <v>342</v>
      </c>
      <c r="D800" s="56" t="s">
        <v>3831</v>
      </c>
      <c r="E800" s="12" t="s">
        <v>559</v>
      </c>
      <c r="F800" s="45"/>
      <c r="G800" s="45"/>
      <c r="H800" s="45"/>
      <c r="I800">
        <v>381189</v>
      </c>
      <c r="J800" t="s">
        <v>558</v>
      </c>
      <c r="K800" t="s">
        <v>3389</v>
      </c>
      <c r="L800" t="s">
        <v>1178</v>
      </c>
      <c r="M800" t="s">
        <v>1192</v>
      </c>
      <c r="N800" t="s">
        <v>599</v>
      </c>
      <c r="O800" t="s">
        <v>3390</v>
      </c>
      <c r="P800" t="s">
        <v>3391</v>
      </c>
      <c r="Q800" t="s">
        <v>599</v>
      </c>
      <c r="R800" t="s">
        <v>1182</v>
      </c>
      <c r="S800" t="s">
        <v>3392</v>
      </c>
      <c r="T800">
        <v>1880</v>
      </c>
      <c r="U800">
        <v>1880</v>
      </c>
      <c r="V800" t="s">
        <v>3393</v>
      </c>
      <c r="W800" t="s">
        <v>1185</v>
      </c>
      <c r="X800" t="s">
        <v>599</v>
      </c>
      <c r="Y800" t="s">
        <v>3394</v>
      </c>
      <c r="Z800" t="s">
        <v>3395</v>
      </c>
      <c r="AA800" t="s">
        <v>599</v>
      </c>
      <c r="AB800" t="s">
        <v>3396</v>
      </c>
      <c r="AC800" t="s">
        <v>3397</v>
      </c>
      <c r="AD800" t="s">
        <v>599</v>
      </c>
      <c r="AE800" t="s">
        <v>3398</v>
      </c>
      <c r="AF800" t="s">
        <v>1190</v>
      </c>
    </row>
    <row r="801" spans="1:32" ht="210" x14ac:dyDescent="0.25">
      <c r="A801" s="10">
        <v>381189</v>
      </c>
      <c r="B801" s="10">
        <v>1</v>
      </c>
      <c r="C801" s="9">
        <v>357</v>
      </c>
      <c r="D801" s="56" t="s">
        <v>3832</v>
      </c>
      <c r="E801" s="12" t="s">
        <v>559</v>
      </c>
      <c r="F801" s="45"/>
      <c r="G801" s="45"/>
      <c r="H801" s="45"/>
      <c r="I801">
        <v>381189</v>
      </c>
      <c r="J801" t="s">
        <v>558</v>
      </c>
      <c r="K801" t="s">
        <v>3389</v>
      </c>
      <c r="L801" t="s">
        <v>1178</v>
      </c>
      <c r="M801" t="s">
        <v>1192</v>
      </c>
      <c r="N801" t="s">
        <v>599</v>
      </c>
      <c r="O801" t="s">
        <v>3390</v>
      </c>
      <c r="P801" t="s">
        <v>3391</v>
      </c>
      <c r="Q801" t="s">
        <v>599</v>
      </c>
      <c r="R801" t="s">
        <v>1182</v>
      </c>
      <c r="S801" t="s">
        <v>3392</v>
      </c>
      <c r="T801">
        <v>1880</v>
      </c>
      <c r="U801">
        <v>1880</v>
      </c>
      <c r="V801" t="s">
        <v>3393</v>
      </c>
      <c r="W801" t="s">
        <v>1185</v>
      </c>
      <c r="X801" t="s">
        <v>599</v>
      </c>
      <c r="Y801" t="s">
        <v>3394</v>
      </c>
      <c r="Z801" t="s">
        <v>3395</v>
      </c>
      <c r="AA801" t="s">
        <v>599</v>
      </c>
      <c r="AB801" t="s">
        <v>3396</v>
      </c>
      <c r="AC801" t="s">
        <v>3397</v>
      </c>
      <c r="AD801" t="s">
        <v>599</v>
      </c>
      <c r="AE801" t="s">
        <v>3398</v>
      </c>
      <c r="AF801" t="s">
        <v>1190</v>
      </c>
    </row>
    <row r="802" spans="1:32" ht="210" x14ac:dyDescent="0.25">
      <c r="A802" s="10">
        <v>381189</v>
      </c>
      <c r="B802" s="10">
        <v>1</v>
      </c>
      <c r="C802" s="9">
        <v>371</v>
      </c>
      <c r="D802" s="56" t="s">
        <v>3833</v>
      </c>
      <c r="E802" s="12" t="s">
        <v>559</v>
      </c>
      <c r="F802" s="45"/>
      <c r="G802" s="45"/>
      <c r="H802" s="45"/>
      <c r="I802">
        <v>381189</v>
      </c>
      <c r="J802" t="s">
        <v>558</v>
      </c>
      <c r="K802" t="s">
        <v>3389</v>
      </c>
      <c r="L802" t="s">
        <v>1178</v>
      </c>
      <c r="M802" t="s">
        <v>1192</v>
      </c>
      <c r="N802" t="s">
        <v>599</v>
      </c>
      <c r="O802" t="s">
        <v>3390</v>
      </c>
      <c r="P802" t="s">
        <v>3391</v>
      </c>
      <c r="Q802" t="s">
        <v>599</v>
      </c>
      <c r="R802" t="s">
        <v>1182</v>
      </c>
      <c r="S802" t="s">
        <v>3392</v>
      </c>
      <c r="T802">
        <v>1880</v>
      </c>
      <c r="U802">
        <v>1880</v>
      </c>
      <c r="V802" t="s">
        <v>3393</v>
      </c>
      <c r="W802" t="s">
        <v>1185</v>
      </c>
      <c r="X802" t="s">
        <v>599</v>
      </c>
      <c r="Y802" t="s">
        <v>3394</v>
      </c>
      <c r="Z802" t="s">
        <v>3395</v>
      </c>
      <c r="AA802" t="s">
        <v>599</v>
      </c>
      <c r="AB802" t="s">
        <v>3396</v>
      </c>
      <c r="AC802" t="s">
        <v>3397</v>
      </c>
      <c r="AD802" t="s">
        <v>599</v>
      </c>
      <c r="AE802" t="s">
        <v>3398</v>
      </c>
      <c r="AF802" t="s">
        <v>1190</v>
      </c>
    </row>
    <row r="803" spans="1:32" ht="210" x14ac:dyDescent="0.25">
      <c r="A803" s="10">
        <v>381189</v>
      </c>
      <c r="B803" s="10">
        <v>1</v>
      </c>
      <c r="C803" s="9">
        <v>377</v>
      </c>
      <c r="D803" s="56" t="s">
        <v>3834</v>
      </c>
      <c r="E803" s="12" t="s">
        <v>559</v>
      </c>
      <c r="F803" s="45"/>
      <c r="G803" s="45"/>
      <c r="H803" s="45"/>
      <c r="I803">
        <v>381189</v>
      </c>
      <c r="J803" t="s">
        <v>558</v>
      </c>
      <c r="K803" t="s">
        <v>3389</v>
      </c>
      <c r="L803" t="s">
        <v>1178</v>
      </c>
      <c r="M803" t="s">
        <v>1192</v>
      </c>
      <c r="N803" t="s">
        <v>599</v>
      </c>
      <c r="O803" t="s">
        <v>3390</v>
      </c>
      <c r="P803" t="s">
        <v>3391</v>
      </c>
      <c r="Q803" t="s">
        <v>599</v>
      </c>
      <c r="R803" t="s">
        <v>1182</v>
      </c>
      <c r="S803" t="s">
        <v>3392</v>
      </c>
      <c r="T803">
        <v>1880</v>
      </c>
      <c r="U803">
        <v>1880</v>
      </c>
      <c r="V803" t="s">
        <v>3393</v>
      </c>
      <c r="W803" t="s">
        <v>1185</v>
      </c>
      <c r="X803" t="s">
        <v>599</v>
      </c>
      <c r="Y803" t="s">
        <v>3394</v>
      </c>
      <c r="Z803" t="s">
        <v>3395</v>
      </c>
      <c r="AA803" t="s">
        <v>599</v>
      </c>
      <c r="AB803" t="s">
        <v>3396</v>
      </c>
      <c r="AC803" t="s">
        <v>3397</v>
      </c>
      <c r="AD803" t="s">
        <v>599</v>
      </c>
      <c r="AE803" t="s">
        <v>3398</v>
      </c>
      <c r="AF803" t="s">
        <v>1190</v>
      </c>
    </row>
    <row r="804" spans="1:32" ht="210" x14ac:dyDescent="0.25">
      <c r="A804" s="10">
        <v>381189</v>
      </c>
      <c r="B804" s="10">
        <v>1</v>
      </c>
      <c r="C804" s="9">
        <v>379</v>
      </c>
      <c r="D804" s="56" t="s">
        <v>3835</v>
      </c>
      <c r="E804" s="12" t="s">
        <v>559</v>
      </c>
      <c r="F804" s="45"/>
      <c r="G804" s="45"/>
      <c r="H804" s="45"/>
      <c r="I804">
        <v>381189</v>
      </c>
      <c r="J804" t="s">
        <v>558</v>
      </c>
      <c r="K804" t="s">
        <v>3389</v>
      </c>
      <c r="L804" t="s">
        <v>1178</v>
      </c>
      <c r="M804" t="s">
        <v>1192</v>
      </c>
      <c r="N804" t="s">
        <v>599</v>
      </c>
      <c r="O804" t="s">
        <v>3390</v>
      </c>
      <c r="P804" t="s">
        <v>3391</v>
      </c>
      <c r="Q804" t="s">
        <v>599</v>
      </c>
      <c r="R804" t="s">
        <v>1182</v>
      </c>
      <c r="S804" t="s">
        <v>3392</v>
      </c>
      <c r="T804">
        <v>1880</v>
      </c>
      <c r="U804">
        <v>1880</v>
      </c>
      <c r="V804" t="s">
        <v>3393</v>
      </c>
      <c r="W804" t="s">
        <v>1185</v>
      </c>
      <c r="X804" t="s">
        <v>599</v>
      </c>
      <c r="Y804" t="s">
        <v>3394</v>
      </c>
      <c r="Z804" t="s">
        <v>3395</v>
      </c>
      <c r="AA804" t="s">
        <v>599</v>
      </c>
      <c r="AB804" t="s">
        <v>3396</v>
      </c>
      <c r="AC804" t="s">
        <v>3397</v>
      </c>
      <c r="AD804" t="s">
        <v>599</v>
      </c>
      <c r="AE804" t="s">
        <v>3398</v>
      </c>
      <c r="AF804" t="s">
        <v>1190</v>
      </c>
    </row>
    <row r="805" spans="1:32" ht="210" x14ac:dyDescent="0.25">
      <c r="A805" s="10">
        <v>381189</v>
      </c>
      <c r="B805" s="10">
        <v>1</v>
      </c>
      <c r="C805" s="9">
        <v>381</v>
      </c>
      <c r="D805" s="56" t="s">
        <v>3836</v>
      </c>
      <c r="E805" s="12" t="s">
        <v>559</v>
      </c>
      <c r="F805" s="45"/>
      <c r="G805" s="45"/>
      <c r="H805" s="45"/>
      <c r="I805">
        <v>381189</v>
      </c>
      <c r="J805" t="s">
        <v>558</v>
      </c>
      <c r="K805" t="s">
        <v>3389</v>
      </c>
      <c r="L805" t="s">
        <v>1178</v>
      </c>
      <c r="M805" t="s">
        <v>1192</v>
      </c>
      <c r="N805" t="s">
        <v>599</v>
      </c>
      <c r="O805" t="s">
        <v>3390</v>
      </c>
      <c r="P805" t="s">
        <v>3391</v>
      </c>
      <c r="Q805" t="s">
        <v>599</v>
      </c>
      <c r="R805" t="s">
        <v>1182</v>
      </c>
      <c r="S805" t="s">
        <v>3392</v>
      </c>
      <c r="T805">
        <v>1880</v>
      </c>
      <c r="U805">
        <v>1880</v>
      </c>
      <c r="V805" t="s">
        <v>3393</v>
      </c>
      <c r="W805" t="s">
        <v>1185</v>
      </c>
      <c r="X805" t="s">
        <v>599</v>
      </c>
      <c r="Y805" t="s">
        <v>3394</v>
      </c>
      <c r="Z805" t="s">
        <v>3395</v>
      </c>
      <c r="AA805" t="s">
        <v>599</v>
      </c>
      <c r="AB805" t="s">
        <v>3396</v>
      </c>
      <c r="AC805" t="s">
        <v>3397</v>
      </c>
      <c r="AD805" t="s">
        <v>599</v>
      </c>
      <c r="AE805" t="s">
        <v>3398</v>
      </c>
      <c r="AF805" t="s">
        <v>1190</v>
      </c>
    </row>
    <row r="806" spans="1:32" ht="210" x14ac:dyDescent="0.25">
      <c r="A806" s="10">
        <v>381189</v>
      </c>
      <c r="B806" s="10">
        <v>1</v>
      </c>
      <c r="C806" s="9">
        <v>402</v>
      </c>
      <c r="D806" s="56" t="s">
        <v>3837</v>
      </c>
      <c r="E806" s="12" t="s">
        <v>559</v>
      </c>
      <c r="F806" s="45"/>
      <c r="G806" s="45"/>
      <c r="H806" s="45"/>
      <c r="I806">
        <v>381189</v>
      </c>
      <c r="J806" t="s">
        <v>558</v>
      </c>
      <c r="K806" t="s">
        <v>3389</v>
      </c>
      <c r="L806" t="s">
        <v>1178</v>
      </c>
      <c r="M806" t="s">
        <v>1192</v>
      </c>
      <c r="N806" t="s">
        <v>599</v>
      </c>
      <c r="O806" t="s">
        <v>3390</v>
      </c>
      <c r="P806" t="s">
        <v>3391</v>
      </c>
      <c r="Q806" t="s">
        <v>599</v>
      </c>
      <c r="R806" t="s">
        <v>1182</v>
      </c>
      <c r="S806" t="s">
        <v>3392</v>
      </c>
      <c r="T806">
        <v>1880</v>
      </c>
      <c r="U806">
        <v>1880</v>
      </c>
      <c r="V806" t="s">
        <v>3393</v>
      </c>
      <c r="W806" t="s">
        <v>1185</v>
      </c>
      <c r="X806" t="s">
        <v>599</v>
      </c>
      <c r="Y806" t="s">
        <v>3394</v>
      </c>
      <c r="Z806" t="s">
        <v>3395</v>
      </c>
      <c r="AA806" t="s">
        <v>599</v>
      </c>
      <c r="AB806" t="s">
        <v>3396</v>
      </c>
      <c r="AC806" t="s">
        <v>3397</v>
      </c>
      <c r="AD806" t="s">
        <v>599</v>
      </c>
      <c r="AE806" t="s">
        <v>3398</v>
      </c>
      <c r="AF806" t="s">
        <v>1190</v>
      </c>
    </row>
    <row r="807" spans="1:32" ht="210" x14ac:dyDescent="0.25">
      <c r="A807" s="10">
        <v>381189</v>
      </c>
      <c r="B807" s="10">
        <v>1</v>
      </c>
      <c r="C807" s="9">
        <v>418</v>
      </c>
      <c r="D807" s="56" t="s">
        <v>3838</v>
      </c>
      <c r="E807" s="12" t="s">
        <v>559</v>
      </c>
      <c r="F807" s="45"/>
      <c r="G807" s="45"/>
      <c r="H807" s="45"/>
      <c r="I807">
        <v>381189</v>
      </c>
      <c r="J807" t="s">
        <v>558</v>
      </c>
      <c r="K807" t="s">
        <v>3389</v>
      </c>
      <c r="L807" t="s">
        <v>1178</v>
      </c>
      <c r="M807" t="s">
        <v>1192</v>
      </c>
      <c r="N807" t="s">
        <v>599</v>
      </c>
      <c r="O807" t="s">
        <v>3390</v>
      </c>
      <c r="P807" t="s">
        <v>3391</v>
      </c>
      <c r="Q807" t="s">
        <v>599</v>
      </c>
      <c r="R807" t="s">
        <v>1182</v>
      </c>
      <c r="S807" t="s">
        <v>3392</v>
      </c>
      <c r="T807">
        <v>1880</v>
      </c>
      <c r="U807">
        <v>1880</v>
      </c>
      <c r="V807" t="s">
        <v>3393</v>
      </c>
      <c r="W807" t="s">
        <v>1185</v>
      </c>
      <c r="X807" t="s">
        <v>599</v>
      </c>
      <c r="Y807" t="s">
        <v>3394</v>
      </c>
      <c r="Z807" t="s">
        <v>3395</v>
      </c>
      <c r="AA807" t="s">
        <v>599</v>
      </c>
      <c r="AB807" t="s">
        <v>3396</v>
      </c>
      <c r="AC807" t="s">
        <v>3397</v>
      </c>
      <c r="AD807" t="s">
        <v>599</v>
      </c>
      <c r="AE807" t="s">
        <v>3398</v>
      </c>
      <c r="AF807" t="s">
        <v>1190</v>
      </c>
    </row>
    <row r="808" spans="1:32" ht="210" x14ac:dyDescent="0.25">
      <c r="A808" s="10">
        <v>381189</v>
      </c>
      <c r="B808" s="10">
        <v>1</v>
      </c>
      <c r="C808" s="9">
        <v>420</v>
      </c>
      <c r="D808" s="56" t="s">
        <v>3839</v>
      </c>
      <c r="E808" s="12" t="s">
        <v>559</v>
      </c>
      <c r="F808" s="45"/>
      <c r="G808" s="45"/>
      <c r="H808" s="45"/>
      <c r="I808">
        <v>381189</v>
      </c>
      <c r="J808" t="s">
        <v>558</v>
      </c>
      <c r="K808" t="s">
        <v>3389</v>
      </c>
      <c r="L808" t="s">
        <v>1178</v>
      </c>
      <c r="M808" t="s">
        <v>1192</v>
      </c>
      <c r="N808" t="s">
        <v>599</v>
      </c>
      <c r="O808" t="s">
        <v>3390</v>
      </c>
      <c r="P808" t="s">
        <v>3391</v>
      </c>
      <c r="Q808" t="s">
        <v>599</v>
      </c>
      <c r="R808" t="s">
        <v>1182</v>
      </c>
      <c r="S808" t="s">
        <v>3392</v>
      </c>
      <c r="T808">
        <v>1880</v>
      </c>
      <c r="U808">
        <v>1880</v>
      </c>
      <c r="V808" t="s">
        <v>3393</v>
      </c>
      <c r="W808" t="s">
        <v>1185</v>
      </c>
      <c r="X808" t="s">
        <v>599</v>
      </c>
      <c r="Y808" t="s">
        <v>3394</v>
      </c>
      <c r="Z808" t="s">
        <v>3395</v>
      </c>
      <c r="AA808" t="s">
        <v>599</v>
      </c>
      <c r="AB808" t="s">
        <v>3396</v>
      </c>
      <c r="AC808" t="s">
        <v>3397</v>
      </c>
      <c r="AD808" t="s">
        <v>599</v>
      </c>
      <c r="AE808" t="s">
        <v>3398</v>
      </c>
      <c r="AF808" t="s">
        <v>1190</v>
      </c>
    </row>
    <row r="809" spans="1:32" ht="210" x14ac:dyDescent="0.25">
      <c r="A809" s="10">
        <v>381189</v>
      </c>
      <c r="B809" s="10">
        <v>1</v>
      </c>
      <c r="C809" s="9">
        <v>436</v>
      </c>
      <c r="D809" s="56" t="s">
        <v>3840</v>
      </c>
      <c r="E809" s="12" t="s">
        <v>559</v>
      </c>
      <c r="F809" s="45"/>
      <c r="G809" s="45"/>
      <c r="H809" s="45"/>
      <c r="I809">
        <v>381189</v>
      </c>
      <c r="J809" t="s">
        <v>558</v>
      </c>
      <c r="K809" t="s">
        <v>3389</v>
      </c>
      <c r="L809" t="s">
        <v>1178</v>
      </c>
      <c r="M809" t="s">
        <v>1192</v>
      </c>
      <c r="N809" t="s">
        <v>599</v>
      </c>
      <c r="O809" t="s">
        <v>3390</v>
      </c>
      <c r="P809" t="s">
        <v>3391</v>
      </c>
      <c r="Q809" t="s">
        <v>599</v>
      </c>
      <c r="R809" t="s">
        <v>1182</v>
      </c>
      <c r="S809" t="s">
        <v>3392</v>
      </c>
      <c r="T809">
        <v>1880</v>
      </c>
      <c r="U809">
        <v>1880</v>
      </c>
      <c r="V809" t="s">
        <v>3393</v>
      </c>
      <c r="W809" t="s">
        <v>1185</v>
      </c>
      <c r="X809" t="s">
        <v>599</v>
      </c>
      <c r="Y809" t="s">
        <v>3394</v>
      </c>
      <c r="Z809" t="s">
        <v>3395</v>
      </c>
      <c r="AA809" t="s">
        <v>599</v>
      </c>
      <c r="AB809" t="s">
        <v>3396</v>
      </c>
      <c r="AC809" t="s">
        <v>3397</v>
      </c>
      <c r="AD809" t="s">
        <v>599</v>
      </c>
      <c r="AE809" t="s">
        <v>3398</v>
      </c>
      <c r="AF809" t="s">
        <v>1190</v>
      </c>
    </row>
    <row r="810" spans="1:32" ht="210" x14ac:dyDescent="0.25">
      <c r="A810" s="10">
        <v>381189</v>
      </c>
      <c r="B810" s="10">
        <v>1</v>
      </c>
      <c r="C810" s="9">
        <v>444</v>
      </c>
      <c r="D810" s="56" t="s">
        <v>3841</v>
      </c>
      <c r="E810" s="12" t="s">
        <v>559</v>
      </c>
      <c r="F810" s="45"/>
      <c r="G810" s="45"/>
      <c r="H810" s="45"/>
      <c r="I810">
        <v>381189</v>
      </c>
      <c r="J810" t="s">
        <v>558</v>
      </c>
      <c r="K810" t="s">
        <v>3389</v>
      </c>
      <c r="L810" t="s">
        <v>1178</v>
      </c>
      <c r="M810" t="s">
        <v>1192</v>
      </c>
      <c r="N810" t="s">
        <v>599</v>
      </c>
      <c r="O810" t="s">
        <v>3390</v>
      </c>
      <c r="P810" t="s">
        <v>3391</v>
      </c>
      <c r="Q810" t="s">
        <v>599</v>
      </c>
      <c r="R810" t="s">
        <v>1182</v>
      </c>
      <c r="S810" t="s">
        <v>3392</v>
      </c>
      <c r="T810">
        <v>1880</v>
      </c>
      <c r="U810">
        <v>1880</v>
      </c>
      <c r="V810" t="s">
        <v>3393</v>
      </c>
      <c r="W810" t="s">
        <v>1185</v>
      </c>
      <c r="X810" t="s">
        <v>599</v>
      </c>
      <c r="Y810" t="s">
        <v>3394</v>
      </c>
      <c r="Z810" t="s">
        <v>3395</v>
      </c>
      <c r="AA810" t="s">
        <v>599</v>
      </c>
      <c r="AB810" t="s">
        <v>3396</v>
      </c>
      <c r="AC810" t="s">
        <v>3397</v>
      </c>
      <c r="AD810" t="s">
        <v>599</v>
      </c>
      <c r="AE810" t="s">
        <v>3398</v>
      </c>
      <c r="AF810" t="s">
        <v>1190</v>
      </c>
    </row>
    <row r="811" spans="1:32" ht="210" x14ac:dyDescent="0.25">
      <c r="A811" s="10">
        <v>381189</v>
      </c>
      <c r="B811" s="10">
        <v>1</v>
      </c>
      <c r="C811" s="9">
        <v>453</v>
      </c>
      <c r="D811" s="56" t="s">
        <v>3842</v>
      </c>
      <c r="E811" s="12" t="s">
        <v>559</v>
      </c>
      <c r="F811" s="45"/>
      <c r="G811" s="45"/>
      <c r="H811" s="45"/>
      <c r="I811">
        <v>381189</v>
      </c>
      <c r="J811" t="s">
        <v>558</v>
      </c>
      <c r="K811" t="s">
        <v>3389</v>
      </c>
      <c r="L811" t="s">
        <v>1178</v>
      </c>
      <c r="M811" t="s">
        <v>1192</v>
      </c>
      <c r="N811" t="s">
        <v>599</v>
      </c>
      <c r="O811" t="s">
        <v>3390</v>
      </c>
      <c r="P811" t="s">
        <v>3391</v>
      </c>
      <c r="Q811" t="s">
        <v>599</v>
      </c>
      <c r="R811" t="s">
        <v>1182</v>
      </c>
      <c r="S811" t="s">
        <v>3392</v>
      </c>
      <c r="T811">
        <v>1880</v>
      </c>
      <c r="U811">
        <v>1880</v>
      </c>
      <c r="V811" t="s">
        <v>3393</v>
      </c>
      <c r="W811" t="s">
        <v>1185</v>
      </c>
      <c r="X811" t="s">
        <v>599</v>
      </c>
      <c r="Y811" t="s">
        <v>3394</v>
      </c>
      <c r="Z811" t="s">
        <v>3395</v>
      </c>
      <c r="AA811" t="s">
        <v>599</v>
      </c>
      <c r="AB811" t="s">
        <v>3396</v>
      </c>
      <c r="AC811" t="s">
        <v>3397</v>
      </c>
      <c r="AD811" t="s">
        <v>599</v>
      </c>
      <c r="AE811" t="s">
        <v>3398</v>
      </c>
      <c r="AF811" t="s">
        <v>1190</v>
      </c>
    </row>
    <row r="812" spans="1:32" ht="210" x14ac:dyDescent="0.25">
      <c r="A812" s="10">
        <v>381189</v>
      </c>
      <c r="B812" s="10">
        <v>1</v>
      </c>
      <c r="C812" s="9">
        <v>459</v>
      </c>
      <c r="D812" s="56" t="s">
        <v>3843</v>
      </c>
      <c r="E812" s="12" t="s">
        <v>559</v>
      </c>
      <c r="F812" s="45"/>
      <c r="G812" s="45"/>
      <c r="H812" s="45"/>
      <c r="I812">
        <v>381189</v>
      </c>
      <c r="J812" t="s">
        <v>558</v>
      </c>
      <c r="K812" t="s">
        <v>3389</v>
      </c>
      <c r="L812" t="s">
        <v>1178</v>
      </c>
      <c r="M812" t="s">
        <v>1192</v>
      </c>
      <c r="N812" t="s">
        <v>599</v>
      </c>
      <c r="O812" t="s">
        <v>3390</v>
      </c>
      <c r="P812" t="s">
        <v>3391</v>
      </c>
      <c r="Q812" t="s">
        <v>599</v>
      </c>
      <c r="R812" t="s">
        <v>1182</v>
      </c>
      <c r="S812" t="s">
        <v>3392</v>
      </c>
      <c r="T812">
        <v>1880</v>
      </c>
      <c r="U812">
        <v>1880</v>
      </c>
      <c r="V812" t="s">
        <v>3393</v>
      </c>
      <c r="W812" t="s">
        <v>1185</v>
      </c>
      <c r="X812" t="s">
        <v>599</v>
      </c>
      <c r="Y812" t="s">
        <v>3394</v>
      </c>
      <c r="Z812" t="s">
        <v>3395</v>
      </c>
      <c r="AA812" t="s">
        <v>599</v>
      </c>
      <c r="AB812" t="s">
        <v>3396</v>
      </c>
      <c r="AC812" t="s">
        <v>3397</v>
      </c>
      <c r="AD812" t="s">
        <v>599</v>
      </c>
      <c r="AE812" t="s">
        <v>3398</v>
      </c>
      <c r="AF812" t="s">
        <v>1190</v>
      </c>
    </row>
    <row r="813" spans="1:32" ht="210" x14ac:dyDescent="0.25">
      <c r="A813" s="10">
        <v>381189</v>
      </c>
      <c r="B813" s="10">
        <v>1</v>
      </c>
      <c r="C813" s="9">
        <v>461</v>
      </c>
      <c r="D813" s="56" t="s">
        <v>3844</v>
      </c>
      <c r="E813" s="12" t="s">
        <v>559</v>
      </c>
      <c r="F813" s="45"/>
      <c r="G813" s="45"/>
      <c r="H813" s="45"/>
      <c r="I813">
        <v>381189</v>
      </c>
      <c r="J813" t="s">
        <v>558</v>
      </c>
      <c r="K813" t="s">
        <v>3389</v>
      </c>
      <c r="L813" t="s">
        <v>1178</v>
      </c>
      <c r="M813" t="s">
        <v>1192</v>
      </c>
      <c r="N813" t="s">
        <v>599</v>
      </c>
      <c r="O813" t="s">
        <v>3390</v>
      </c>
      <c r="P813" t="s">
        <v>3391</v>
      </c>
      <c r="Q813" t="s">
        <v>599</v>
      </c>
      <c r="R813" t="s">
        <v>1182</v>
      </c>
      <c r="S813" t="s">
        <v>3392</v>
      </c>
      <c r="T813">
        <v>1880</v>
      </c>
      <c r="U813">
        <v>1880</v>
      </c>
      <c r="V813" t="s">
        <v>3393</v>
      </c>
      <c r="W813" t="s">
        <v>1185</v>
      </c>
      <c r="X813" t="s">
        <v>599</v>
      </c>
      <c r="Y813" t="s">
        <v>3394</v>
      </c>
      <c r="Z813" t="s">
        <v>3395</v>
      </c>
      <c r="AA813" t="s">
        <v>599</v>
      </c>
      <c r="AB813" t="s">
        <v>3396</v>
      </c>
      <c r="AC813" t="s">
        <v>3397</v>
      </c>
      <c r="AD813" t="s">
        <v>599</v>
      </c>
      <c r="AE813" t="s">
        <v>3398</v>
      </c>
      <c r="AF813" t="s">
        <v>1190</v>
      </c>
    </row>
    <row r="814" spans="1:32" ht="210" x14ac:dyDescent="0.25">
      <c r="A814" s="10">
        <v>381189</v>
      </c>
      <c r="B814" s="10">
        <v>1</v>
      </c>
      <c r="C814" s="9">
        <v>463</v>
      </c>
      <c r="D814" s="56" t="s">
        <v>3845</v>
      </c>
      <c r="E814" s="12" t="s">
        <v>559</v>
      </c>
      <c r="F814" s="45"/>
      <c r="G814" s="45"/>
      <c r="H814" s="45"/>
      <c r="I814">
        <v>381189</v>
      </c>
      <c r="J814" t="s">
        <v>558</v>
      </c>
      <c r="K814" t="s">
        <v>3389</v>
      </c>
      <c r="L814" t="s">
        <v>1178</v>
      </c>
      <c r="M814" t="s">
        <v>1192</v>
      </c>
      <c r="N814" t="s">
        <v>599</v>
      </c>
      <c r="O814" t="s">
        <v>3390</v>
      </c>
      <c r="P814" t="s">
        <v>3391</v>
      </c>
      <c r="Q814" t="s">
        <v>599</v>
      </c>
      <c r="R814" t="s">
        <v>1182</v>
      </c>
      <c r="S814" t="s">
        <v>3392</v>
      </c>
      <c r="T814">
        <v>1880</v>
      </c>
      <c r="U814">
        <v>1880</v>
      </c>
      <c r="V814" t="s">
        <v>3393</v>
      </c>
      <c r="W814" t="s">
        <v>1185</v>
      </c>
      <c r="X814" t="s">
        <v>599</v>
      </c>
      <c r="Y814" t="s">
        <v>3394</v>
      </c>
      <c r="Z814" t="s">
        <v>3395</v>
      </c>
      <c r="AA814" t="s">
        <v>599</v>
      </c>
      <c r="AB814" t="s">
        <v>3396</v>
      </c>
      <c r="AC814" t="s">
        <v>3397</v>
      </c>
      <c r="AD814" t="s">
        <v>599</v>
      </c>
      <c r="AE814" t="s">
        <v>3398</v>
      </c>
      <c r="AF814" t="s">
        <v>1190</v>
      </c>
    </row>
    <row r="815" spans="1:32" ht="210" x14ac:dyDescent="0.25">
      <c r="A815" s="10">
        <v>381189</v>
      </c>
      <c r="B815" s="10">
        <v>1</v>
      </c>
      <c r="C815" s="9">
        <v>512</v>
      </c>
      <c r="D815" s="56" t="s">
        <v>3846</v>
      </c>
      <c r="E815" s="12" t="s">
        <v>559</v>
      </c>
      <c r="F815" s="45"/>
      <c r="G815" s="45"/>
      <c r="H815" s="45"/>
      <c r="I815">
        <v>381189</v>
      </c>
      <c r="J815" t="s">
        <v>558</v>
      </c>
      <c r="K815" t="s">
        <v>3389</v>
      </c>
      <c r="L815" t="s">
        <v>1178</v>
      </c>
      <c r="M815" t="s">
        <v>1192</v>
      </c>
      <c r="N815" t="s">
        <v>599</v>
      </c>
      <c r="O815" t="s">
        <v>3390</v>
      </c>
      <c r="P815" t="s">
        <v>3391</v>
      </c>
      <c r="Q815" t="s">
        <v>599</v>
      </c>
      <c r="R815" t="s">
        <v>1182</v>
      </c>
      <c r="S815" t="s">
        <v>3392</v>
      </c>
      <c r="T815">
        <v>1880</v>
      </c>
      <c r="U815">
        <v>1880</v>
      </c>
      <c r="V815" t="s">
        <v>3393</v>
      </c>
      <c r="W815" t="s">
        <v>1185</v>
      </c>
      <c r="X815" t="s">
        <v>599</v>
      </c>
      <c r="Y815" t="s">
        <v>3394</v>
      </c>
      <c r="Z815" t="s">
        <v>3395</v>
      </c>
      <c r="AA815" t="s">
        <v>599</v>
      </c>
      <c r="AB815" t="s">
        <v>3396</v>
      </c>
      <c r="AC815" t="s">
        <v>3397</v>
      </c>
      <c r="AD815" t="s">
        <v>599</v>
      </c>
      <c r="AE815" t="s">
        <v>3398</v>
      </c>
      <c r="AF815" t="s">
        <v>1190</v>
      </c>
    </row>
    <row r="816" spans="1:32" ht="150" x14ac:dyDescent="0.25">
      <c r="A816" s="10">
        <v>381297</v>
      </c>
      <c r="B816" s="10">
        <v>1</v>
      </c>
      <c r="C816" s="9">
        <v>10</v>
      </c>
      <c r="D816" s="56" t="s">
        <v>3847</v>
      </c>
      <c r="E816" s="12" t="s">
        <v>562</v>
      </c>
      <c r="F816" s="45"/>
      <c r="G816" s="45"/>
      <c r="H816" s="45"/>
      <c r="I816">
        <v>381297</v>
      </c>
      <c r="J816" t="s">
        <v>561</v>
      </c>
      <c r="K816" t="s">
        <v>3400</v>
      </c>
      <c r="L816" t="s">
        <v>1178</v>
      </c>
      <c r="M816" t="s">
        <v>1192</v>
      </c>
      <c r="N816" t="s">
        <v>599</v>
      </c>
      <c r="O816" t="s">
        <v>1193</v>
      </c>
      <c r="P816" t="s">
        <v>3401</v>
      </c>
      <c r="Q816" t="s">
        <v>599</v>
      </c>
      <c r="R816" t="s">
        <v>3402</v>
      </c>
      <c r="S816" t="s">
        <v>3403</v>
      </c>
      <c r="T816">
        <v>1817</v>
      </c>
      <c r="U816">
        <v>1817</v>
      </c>
      <c r="V816" t="s">
        <v>3404</v>
      </c>
      <c r="W816" t="s">
        <v>1185</v>
      </c>
      <c r="X816" t="s">
        <v>599</v>
      </c>
      <c r="Y816" t="s">
        <v>599</v>
      </c>
      <c r="Z816" t="s">
        <v>3405</v>
      </c>
      <c r="AA816" t="s">
        <v>599</v>
      </c>
      <c r="AB816" t="s">
        <v>599</v>
      </c>
      <c r="AC816" t="s">
        <v>3406</v>
      </c>
      <c r="AD816" t="s">
        <v>599</v>
      </c>
      <c r="AE816" t="s">
        <v>3407</v>
      </c>
      <c r="AF816" t="s">
        <v>1190</v>
      </c>
    </row>
    <row r="817" spans="1:32" ht="150" x14ac:dyDescent="0.25">
      <c r="A817" s="10">
        <v>381297</v>
      </c>
      <c r="B817" s="10">
        <v>1</v>
      </c>
      <c r="C817" s="9">
        <v>69</v>
      </c>
      <c r="D817" s="56" t="s">
        <v>3848</v>
      </c>
      <c r="E817" s="12" t="s">
        <v>562</v>
      </c>
      <c r="F817" s="45"/>
      <c r="G817" s="45"/>
      <c r="H817" s="45"/>
      <c r="I817">
        <v>381297</v>
      </c>
      <c r="J817" t="s">
        <v>561</v>
      </c>
      <c r="K817" t="s">
        <v>3400</v>
      </c>
      <c r="L817" t="s">
        <v>1178</v>
      </c>
      <c r="M817" t="s">
        <v>1192</v>
      </c>
      <c r="N817" t="s">
        <v>599</v>
      </c>
      <c r="O817" t="s">
        <v>1193</v>
      </c>
      <c r="P817" t="s">
        <v>3401</v>
      </c>
      <c r="Q817" t="s">
        <v>599</v>
      </c>
      <c r="R817" t="s">
        <v>3402</v>
      </c>
      <c r="S817" t="s">
        <v>3403</v>
      </c>
      <c r="T817">
        <v>1817</v>
      </c>
      <c r="U817">
        <v>1817</v>
      </c>
      <c r="V817" t="s">
        <v>3404</v>
      </c>
      <c r="W817" t="s">
        <v>1185</v>
      </c>
      <c r="X817" t="s">
        <v>599</v>
      </c>
      <c r="Y817" t="s">
        <v>599</v>
      </c>
      <c r="Z817" t="s">
        <v>3405</v>
      </c>
      <c r="AA817" t="s">
        <v>599</v>
      </c>
      <c r="AB817" t="s">
        <v>599</v>
      </c>
      <c r="AC817" t="s">
        <v>3406</v>
      </c>
      <c r="AD817" t="s">
        <v>599</v>
      </c>
      <c r="AE817" t="s">
        <v>3407</v>
      </c>
      <c r="AF817" t="s">
        <v>1190</v>
      </c>
    </row>
    <row r="818" spans="1:32" ht="150" x14ac:dyDescent="0.25">
      <c r="A818" s="10">
        <v>381297</v>
      </c>
      <c r="B818" s="10">
        <v>1</v>
      </c>
      <c r="C818" s="9">
        <v>156</v>
      </c>
      <c r="D818" s="56" t="s">
        <v>3849</v>
      </c>
      <c r="E818" s="12" t="s">
        <v>562</v>
      </c>
      <c r="F818" s="45"/>
      <c r="G818" s="45"/>
      <c r="H818" s="45"/>
      <c r="I818">
        <v>381297</v>
      </c>
      <c r="J818" t="s">
        <v>561</v>
      </c>
      <c r="K818" t="s">
        <v>3400</v>
      </c>
      <c r="L818" t="s">
        <v>1178</v>
      </c>
      <c r="M818" t="s">
        <v>1192</v>
      </c>
      <c r="N818" t="s">
        <v>599</v>
      </c>
      <c r="O818" t="s">
        <v>1193</v>
      </c>
      <c r="P818" t="s">
        <v>3401</v>
      </c>
      <c r="Q818" t="s">
        <v>599</v>
      </c>
      <c r="R818" t="s">
        <v>3402</v>
      </c>
      <c r="S818" t="s">
        <v>3403</v>
      </c>
      <c r="T818">
        <v>1817</v>
      </c>
      <c r="U818">
        <v>1817</v>
      </c>
      <c r="V818" t="s">
        <v>3404</v>
      </c>
      <c r="W818" t="s">
        <v>1185</v>
      </c>
      <c r="X818" t="s">
        <v>599</v>
      </c>
      <c r="Y818" t="s">
        <v>599</v>
      </c>
      <c r="Z818" t="s">
        <v>3405</v>
      </c>
      <c r="AA818" t="s">
        <v>599</v>
      </c>
      <c r="AB818" t="s">
        <v>599</v>
      </c>
      <c r="AC818" t="s">
        <v>3406</v>
      </c>
      <c r="AD818" t="s">
        <v>599</v>
      </c>
      <c r="AE818" t="s">
        <v>3407</v>
      </c>
      <c r="AF818" t="s">
        <v>1190</v>
      </c>
    </row>
    <row r="819" spans="1:32" ht="150" x14ac:dyDescent="0.25">
      <c r="A819" s="10">
        <v>381297</v>
      </c>
      <c r="B819" s="10">
        <v>1</v>
      </c>
      <c r="C819" s="9">
        <v>196</v>
      </c>
      <c r="D819" s="56" t="s">
        <v>3850</v>
      </c>
      <c r="E819" s="12" t="s">
        <v>562</v>
      </c>
      <c r="F819" s="45"/>
      <c r="G819" s="45"/>
      <c r="H819" s="45"/>
      <c r="I819">
        <v>381297</v>
      </c>
      <c r="J819" t="s">
        <v>561</v>
      </c>
      <c r="K819" t="s">
        <v>3400</v>
      </c>
      <c r="L819" t="s">
        <v>1178</v>
      </c>
      <c r="M819" t="s">
        <v>1192</v>
      </c>
      <c r="N819" t="s">
        <v>599</v>
      </c>
      <c r="O819" t="s">
        <v>1193</v>
      </c>
      <c r="P819" t="s">
        <v>3401</v>
      </c>
      <c r="Q819" t="s">
        <v>599</v>
      </c>
      <c r="R819" t="s">
        <v>3402</v>
      </c>
      <c r="S819" t="s">
        <v>3403</v>
      </c>
      <c r="T819">
        <v>1817</v>
      </c>
      <c r="U819">
        <v>1817</v>
      </c>
      <c r="V819" t="s">
        <v>3404</v>
      </c>
      <c r="W819" t="s">
        <v>1185</v>
      </c>
      <c r="X819" t="s">
        <v>599</v>
      </c>
      <c r="Y819" t="s">
        <v>599</v>
      </c>
      <c r="Z819" t="s">
        <v>3405</v>
      </c>
      <c r="AA819" t="s">
        <v>599</v>
      </c>
      <c r="AB819" t="s">
        <v>599</v>
      </c>
      <c r="AC819" t="s">
        <v>3406</v>
      </c>
      <c r="AD819" t="s">
        <v>599</v>
      </c>
      <c r="AE819" t="s">
        <v>3407</v>
      </c>
      <c r="AF819" t="s">
        <v>1190</v>
      </c>
    </row>
    <row r="820" spans="1:32" ht="150" x14ac:dyDescent="0.25">
      <c r="A820" s="10">
        <v>381297</v>
      </c>
      <c r="B820" s="10">
        <v>1</v>
      </c>
      <c r="C820" s="9">
        <v>238</v>
      </c>
      <c r="D820" s="56" t="s">
        <v>3851</v>
      </c>
      <c r="E820" s="12" t="s">
        <v>562</v>
      </c>
      <c r="F820" s="45"/>
      <c r="G820" s="45"/>
      <c r="H820" s="45"/>
      <c r="I820">
        <v>381297</v>
      </c>
      <c r="J820" t="s">
        <v>561</v>
      </c>
      <c r="K820" t="s">
        <v>3400</v>
      </c>
      <c r="L820" t="s">
        <v>1178</v>
      </c>
      <c r="M820" t="s">
        <v>1192</v>
      </c>
      <c r="N820" t="s">
        <v>599</v>
      </c>
      <c r="O820" t="s">
        <v>1193</v>
      </c>
      <c r="P820" t="s">
        <v>3401</v>
      </c>
      <c r="Q820" t="s">
        <v>599</v>
      </c>
      <c r="R820" t="s">
        <v>3402</v>
      </c>
      <c r="S820" t="s">
        <v>3403</v>
      </c>
      <c r="T820">
        <v>1817</v>
      </c>
      <c r="U820">
        <v>1817</v>
      </c>
      <c r="V820" t="s">
        <v>3404</v>
      </c>
      <c r="W820" t="s">
        <v>1185</v>
      </c>
      <c r="X820" t="s">
        <v>599</v>
      </c>
      <c r="Y820" t="s">
        <v>599</v>
      </c>
      <c r="Z820" t="s">
        <v>3405</v>
      </c>
      <c r="AA820" t="s">
        <v>599</v>
      </c>
      <c r="AB820" t="s">
        <v>599</v>
      </c>
      <c r="AC820" t="s">
        <v>3406</v>
      </c>
      <c r="AD820" t="s">
        <v>599</v>
      </c>
      <c r="AE820" t="s">
        <v>3407</v>
      </c>
      <c r="AF820" t="s">
        <v>1190</v>
      </c>
    </row>
    <row r="821" spans="1:32" ht="150" x14ac:dyDescent="0.25">
      <c r="A821" s="10">
        <v>381297</v>
      </c>
      <c r="B821" s="10">
        <v>1</v>
      </c>
      <c r="C821" s="9">
        <v>290</v>
      </c>
      <c r="D821" s="56" t="s">
        <v>3852</v>
      </c>
      <c r="E821" s="12" t="s">
        <v>562</v>
      </c>
      <c r="F821" s="45"/>
      <c r="G821" s="45"/>
      <c r="H821" s="45"/>
      <c r="I821">
        <v>381297</v>
      </c>
      <c r="J821" t="s">
        <v>561</v>
      </c>
      <c r="K821" t="s">
        <v>3400</v>
      </c>
      <c r="L821" t="s">
        <v>1178</v>
      </c>
      <c r="M821" t="s">
        <v>1192</v>
      </c>
      <c r="N821" t="s">
        <v>599</v>
      </c>
      <c r="O821" t="s">
        <v>1193</v>
      </c>
      <c r="P821" t="s">
        <v>3401</v>
      </c>
      <c r="Q821" t="s">
        <v>599</v>
      </c>
      <c r="R821" t="s">
        <v>3402</v>
      </c>
      <c r="S821" t="s">
        <v>3403</v>
      </c>
      <c r="T821">
        <v>1817</v>
      </c>
      <c r="U821">
        <v>1817</v>
      </c>
      <c r="V821" t="s">
        <v>3404</v>
      </c>
      <c r="W821" t="s">
        <v>1185</v>
      </c>
      <c r="X821" t="s">
        <v>599</v>
      </c>
      <c r="Y821" t="s">
        <v>599</v>
      </c>
      <c r="Z821" t="s">
        <v>3405</v>
      </c>
      <c r="AA821" t="s">
        <v>599</v>
      </c>
      <c r="AB821" t="s">
        <v>599</v>
      </c>
      <c r="AC821" t="s">
        <v>3406</v>
      </c>
      <c r="AD821" t="s">
        <v>599</v>
      </c>
      <c r="AE821" t="s">
        <v>3407</v>
      </c>
      <c r="AF821" t="s">
        <v>1190</v>
      </c>
    </row>
    <row r="822" spans="1:32" ht="150" x14ac:dyDescent="0.25">
      <c r="A822" s="10">
        <v>381297</v>
      </c>
      <c r="B822" s="10">
        <v>1</v>
      </c>
      <c r="C822" s="9">
        <v>330</v>
      </c>
      <c r="D822" s="56" t="s">
        <v>3853</v>
      </c>
      <c r="E822" s="12" t="s">
        <v>562</v>
      </c>
      <c r="F822" s="45"/>
      <c r="G822" s="45"/>
      <c r="H822" s="45"/>
      <c r="I822">
        <v>381297</v>
      </c>
      <c r="J822" t="s">
        <v>561</v>
      </c>
      <c r="K822" t="s">
        <v>3400</v>
      </c>
      <c r="L822" t="s">
        <v>1178</v>
      </c>
      <c r="M822" t="s">
        <v>1192</v>
      </c>
      <c r="N822" t="s">
        <v>599</v>
      </c>
      <c r="O822" t="s">
        <v>1193</v>
      </c>
      <c r="P822" t="s">
        <v>3401</v>
      </c>
      <c r="Q822" t="s">
        <v>599</v>
      </c>
      <c r="R822" t="s">
        <v>3402</v>
      </c>
      <c r="S822" t="s">
        <v>3403</v>
      </c>
      <c r="T822">
        <v>1817</v>
      </c>
      <c r="U822">
        <v>1817</v>
      </c>
      <c r="V822" t="s">
        <v>3404</v>
      </c>
      <c r="W822" t="s">
        <v>1185</v>
      </c>
      <c r="X822" t="s">
        <v>599</v>
      </c>
      <c r="Y822" t="s">
        <v>599</v>
      </c>
      <c r="Z822" t="s">
        <v>3405</v>
      </c>
      <c r="AA822" t="s">
        <v>599</v>
      </c>
      <c r="AB822" t="s">
        <v>599</v>
      </c>
      <c r="AC822" t="s">
        <v>3406</v>
      </c>
      <c r="AD822" t="s">
        <v>599</v>
      </c>
      <c r="AE822" t="s">
        <v>3407</v>
      </c>
      <c r="AF822" t="s">
        <v>1190</v>
      </c>
    </row>
    <row r="823" spans="1:32" ht="150" x14ac:dyDescent="0.25">
      <c r="A823" s="10">
        <v>381297</v>
      </c>
      <c r="B823" s="10">
        <v>1</v>
      </c>
      <c r="C823" s="9">
        <v>368</v>
      </c>
      <c r="D823" s="56" t="s">
        <v>3854</v>
      </c>
      <c r="E823" s="12" t="s">
        <v>562</v>
      </c>
      <c r="F823" s="45"/>
      <c r="G823" s="45"/>
      <c r="H823" s="45"/>
      <c r="I823">
        <v>381297</v>
      </c>
      <c r="J823" t="s">
        <v>561</v>
      </c>
      <c r="K823" t="s">
        <v>3400</v>
      </c>
      <c r="L823" t="s">
        <v>1178</v>
      </c>
      <c r="M823" t="s">
        <v>1192</v>
      </c>
      <c r="N823" t="s">
        <v>599</v>
      </c>
      <c r="O823" t="s">
        <v>1193</v>
      </c>
      <c r="P823" t="s">
        <v>3401</v>
      </c>
      <c r="Q823" t="s">
        <v>599</v>
      </c>
      <c r="R823" t="s">
        <v>3402</v>
      </c>
      <c r="S823" t="s">
        <v>3403</v>
      </c>
      <c r="T823">
        <v>1817</v>
      </c>
      <c r="U823">
        <v>1817</v>
      </c>
      <c r="V823" t="s">
        <v>3404</v>
      </c>
      <c r="W823" t="s">
        <v>1185</v>
      </c>
      <c r="X823" t="s">
        <v>599</v>
      </c>
      <c r="Y823" t="s">
        <v>599</v>
      </c>
      <c r="Z823" t="s">
        <v>3405</v>
      </c>
      <c r="AA823" t="s">
        <v>599</v>
      </c>
      <c r="AB823" t="s">
        <v>599</v>
      </c>
      <c r="AC823" t="s">
        <v>3406</v>
      </c>
      <c r="AD823" t="s">
        <v>599</v>
      </c>
      <c r="AE823" t="s">
        <v>3407</v>
      </c>
      <c r="AF823" t="s">
        <v>1190</v>
      </c>
    </row>
    <row r="824" spans="1:32" ht="150" x14ac:dyDescent="0.25">
      <c r="A824" s="10">
        <v>381297</v>
      </c>
      <c r="B824" s="10">
        <v>1</v>
      </c>
      <c r="C824" s="9">
        <v>406</v>
      </c>
      <c r="D824" s="56" t="s">
        <v>3855</v>
      </c>
      <c r="E824" s="12" t="s">
        <v>562</v>
      </c>
      <c r="F824" s="45"/>
      <c r="G824" s="45"/>
      <c r="H824" s="45"/>
      <c r="I824">
        <v>381297</v>
      </c>
      <c r="J824" t="s">
        <v>561</v>
      </c>
      <c r="K824" t="s">
        <v>3400</v>
      </c>
      <c r="L824" t="s">
        <v>1178</v>
      </c>
      <c r="M824" t="s">
        <v>1192</v>
      </c>
      <c r="N824" t="s">
        <v>599</v>
      </c>
      <c r="O824" t="s">
        <v>1193</v>
      </c>
      <c r="P824" t="s">
        <v>3401</v>
      </c>
      <c r="Q824" t="s">
        <v>599</v>
      </c>
      <c r="R824" t="s">
        <v>3402</v>
      </c>
      <c r="S824" t="s">
        <v>3403</v>
      </c>
      <c r="T824">
        <v>1817</v>
      </c>
      <c r="U824">
        <v>1817</v>
      </c>
      <c r="V824" t="s">
        <v>3404</v>
      </c>
      <c r="W824" t="s">
        <v>1185</v>
      </c>
      <c r="X824" t="s">
        <v>599</v>
      </c>
      <c r="Y824" t="s">
        <v>599</v>
      </c>
      <c r="Z824" t="s">
        <v>3405</v>
      </c>
      <c r="AA824" t="s">
        <v>599</v>
      </c>
      <c r="AB824" t="s">
        <v>599</v>
      </c>
      <c r="AC824" t="s">
        <v>3406</v>
      </c>
      <c r="AD824" t="s">
        <v>599</v>
      </c>
      <c r="AE824" t="s">
        <v>3407</v>
      </c>
      <c r="AF824" t="s">
        <v>1190</v>
      </c>
    </row>
    <row r="825" spans="1:32" ht="150" x14ac:dyDescent="0.25">
      <c r="A825" s="10">
        <v>381297</v>
      </c>
      <c r="B825" s="10">
        <v>1</v>
      </c>
      <c r="C825" s="9">
        <v>440</v>
      </c>
      <c r="D825" s="56" t="s">
        <v>3856</v>
      </c>
      <c r="E825" s="12" t="s">
        <v>562</v>
      </c>
      <c r="F825" s="45"/>
      <c r="G825" s="45"/>
      <c r="H825" s="45"/>
      <c r="I825">
        <v>381297</v>
      </c>
      <c r="J825" t="s">
        <v>561</v>
      </c>
      <c r="K825" t="s">
        <v>3400</v>
      </c>
      <c r="L825" t="s">
        <v>1178</v>
      </c>
      <c r="M825" t="s">
        <v>1192</v>
      </c>
      <c r="N825" t="s">
        <v>599</v>
      </c>
      <c r="O825" t="s">
        <v>1193</v>
      </c>
      <c r="P825" t="s">
        <v>3401</v>
      </c>
      <c r="Q825" t="s">
        <v>599</v>
      </c>
      <c r="R825" t="s">
        <v>3402</v>
      </c>
      <c r="S825" t="s">
        <v>3403</v>
      </c>
      <c r="T825">
        <v>1817</v>
      </c>
      <c r="U825">
        <v>1817</v>
      </c>
      <c r="V825" t="s">
        <v>3404</v>
      </c>
      <c r="W825" t="s">
        <v>1185</v>
      </c>
      <c r="X825" t="s">
        <v>599</v>
      </c>
      <c r="Y825" t="s">
        <v>599</v>
      </c>
      <c r="Z825" t="s">
        <v>3405</v>
      </c>
      <c r="AA825" t="s">
        <v>599</v>
      </c>
      <c r="AB825" t="s">
        <v>599</v>
      </c>
      <c r="AC825" t="s">
        <v>3406</v>
      </c>
      <c r="AD825" t="s">
        <v>599</v>
      </c>
      <c r="AE825" t="s">
        <v>3407</v>
      </c>
      <c r="AF825" t="s">
        <v>1190</v>
      </c>
    </row>
    <row r="826" spans="1:32" ht="150" x14ac:dyDescent="0.25">
      <c r="A826" s="10">
        <v>381297</v>
      </c>
      <c r="B826" s="10">
        <v>1</v>
      </c>
      <c r="C826" s="9">
        <v>478</v>
      </c>
      <c r="D826" s="56" t="s">
        <v>3857</v>
      </c>
      <c r="E826" s="12" t="s">
        <v>562</v>
      </c>
      <c r="F826" s="45"/>
      <c r="G826" s="45"/>
      <c r="H826" s="45"/>
      <c r="I826">
        <v>381297</v>
      </c>
      <c r="J826" t="s">
        <v>561</v>
      </c>
      <c r="K826" t="s">
        <v>3400</v>
      </c>
      <c r="L826" t="s">
        <v>1178</v>
      </c>
      <c r="M826" t="s">
        <v>1192</v>
      </c>
      <c r="N826" t="s">
        <v>599</v>
      </c>
      <c r="O826" t="s">
        <v>1193</v>
      </c>
      <c r="P826" t="s">
        <v>3401</v>
      </c>
      <c r="Q826" t="s">
        <v>599</v>
      </c>
      <c r="R826" t="s">
        <v>3402</v>
      </c>
      <c r="S826" t="s">
        <v>3403</v>
      </c>
      <c r="T826">
        <v>1817</v>
      </c>
      <c r="U826">
        <v>1817</v>
      </c>
      <c r="V826" t="s">
        <v>3404</v>
      </c>
      <c r="W826" t="s">
        <v>1185</v>
      </c>
      <c r="X826" t="s">
        <v>599</v>
      </c>
      <c r="Y826" t="s">
        <v>599</v>
      </c>
      <c r="Z826" t="s">
        <v>3405</v>
      </c>
      <c r="AA826" t="s">
        <v>599</v>
      </c>
      <c r="AB826" t="s">
        <v>599</v>
      </c>
      <c r="AC826" t="s">
        <v>3406</v>
      </c>
      <c r="AD826" t="s">
        <v>599</v>
      </c>
      <c r="AE826" t="s">
        <v>3407</v>
      </c>
      <c r="AF826" t="s">
        <v>1190</v>
      </c>
    </row>
    <row r="827" spans="1:32" ht="150" x14ac:dyDescent="0.25">
      <c r="A827" s="10">
        <v>381297</v>
      </c>
      <c r="B827" s="10">
        <v>1</v>
      </c>
      <c r="C827" s="9">
        <v>514</v>
      </c>
      <c r="D827" s="56" t="s">
        <v>3858</v>
      </c>
      <c r="E827" s="12" t="s">
        <v>562</v>
      </c>
      <c r="F827" s="45"/>
      <c r="G827" s="45"/>
      <c r="H827" s="45"/>
      <c r="I827">
        <v>381297</v>
      </c>
      <c r="J827" t="s">
        <v>561</v>
      </c>
      <c r="K827" t="s">
        <v>3400</v>
      </c>
      <c r="L827" t="s">
        <v>1178</v>
      </c>
      <c r="M827" t="s">
        <v>1192</v>
      </c>
      <c r="N827" t="s">
        <v>599</v>
      </c>
      <c r="O827" t="s">
        <v>1193</v>
      </c>
      <c r="P827" t="s">
        <v>3401</v>
      </c>
      <c r="Q827" t="s">
        <v>599</v>
      </c>
      <c r="R827" t="s">
        <v>3402</v>
      </c>
      <c r="S827" t="s">
        <v>3403</v>
      </c>
      <c r="T827">
        <v>1817</v>
      </c>
      <c r="U827">
        <v>1817</v>
      </c>
      <c r="V827" t="s">
        <v>3404</v>
      </c>
      <c r="W827" t="s">
        <v>1185</v>
      </c>
      <c r="X827" t="s">
        <v>599</v>
      </c>
      <c r="Y827" t="s">
        <v>599</v>
      </c>
      <c r="Z827" t="s">
        <v>3405</v>
      </c>
      <c r="AA827" t="s">
        <v>599</v>
      </c>
      <c r="AB827" t="s">
        <v>599</v>
      </c>
      <c r="AC827" t="s">
        <v>3406</v>
      </c>
      <c r="AD827" t="s">
        <v>599</v>
      </c>
      <c r="AE827" t="s">
        <v>3407</v>
      </c>
      <c r="AF827" t="s">
        <v>1190</v>
      </c>
    </row>
    <row r="828" spans="1:32" ht="45" x14ac:dyDescent="0.25">
      <c r="A828" s="10">
        <v>381496</v>
      </c>
      <c r="B828" s="10">
        <v>1</v>
      </c>
      <c r="C828" s="9">
        <v>10</v>
      </c>
      <c r="D828" s="56" t="s">
        <v>3859</v>
      </c>
      <c r="E828" s="12" t="s">
        <v>565</v>
      </c>
      <c r="F828" s="45"/>
      <c r="G828" s="45"/>
      <c r="H828" s="45"/>
      <c r="I828">
        <v>381496</v>
      </c>
      <c r="J828" t="s">
        <v>564</v>
      </c>
      <c r="K828" t="s">
        <v>3408</v>
      </c>
      <c r="L828" t="s">
        <v>1178</v>
      </c>
      <c r="M828" t="s">
        <v>1321</v>
      </c>
      <c r="N828" t="s">
        <v>599</v>
      </c>
      <c r="O828" t="s">
        <v>1193</v>
      </c>
      <c r="P828" t="s">
        <v>3409</v>
      </c>
      <c r="Q828" t="s">
        <v>599</v>
      </c>
      <c r="R828" t="s">
        <v>1182</v>
      </c>
      <c r="S828" t="s">
        <v>1221</v>
      </c>
      <c r="T828">
        <v>1878</v>
      </c>
      <c r="U828">
        <v>1878</v>
      </c>
      <c r="V828" t="s">
        <v>3410</v>
      </c>
      <c r="W828" t="s">
        <v>1185</v>
      </c>
      <c r="X828" t="s">
        <v>599</v>
      </c>
      <c r="Y828" t="s">
        <v>599</v>
      </c>
      <c r="Z828" t="s">
        <v>3411</v>
      </c>
      <c r="AA828" t="s">
        <v>599</v>
      </c>
      <c r="AB828" t="s">
        <v>599</v>
      </c>
      <c r="AC828" t="s">
        <v>3412</v>
      </c>
      <c r="AD828" t="s">
        <v>599</v>
      </c>
      <c r="AE828" t="s">
        <v>3413</v>
      </c>
      <c r="AF828" t="s">
        <v>1190</v>
      </c>
    </row>
    <row r="829" spans="1:32" ht="45" x14ac:dyDescent="0.25">
      <c r="A829" s="10">
        <v>381496</v>
      </c>
      <c r="B829" s="10">
        <v>1</v>
      </c>
      <c r="C829" s="9">
        <v>49</v>
      </c>
      <c r="D829" s="56" t="s">
        <v>3860</v>
      </c>
      <c r="E829" s="12" t="s">
        <v>565</v>
      </c>
      <c r="F829" s="45"/>
      <c r="G829" s="45"/>
      <c r="H829" s="45"/>
      <c r="I829">
        <v>381496</v>
      </c>
      <c r="J829" t="s">
        <v>564</v>
      </c>
      <c r="K829" t="s">
        <v>3408</v>
      </c>
      <c r="L829" t="s">
        <v>1178</v>
      </c>
      <c r="M829" t="s">
        <v>1321</v>
      </c>
      <c r="N829" t="s">
        <v>599</v>
      </c>
      <c r="O829" t="s">
        <v>1193</v>
      </c>
      <c r="P829" t="s">
        <v>3409</v>
      </c>
      <c r="Q829" t="s">
        <v>599</v>
      </c>
      <c r="R829" t="s">
        <v>1182</v>
      </c>
      <c r="S829" t="s">
        <v>1221</v>
      </c>
      <c r="T829">
        <v>1878</v>
      </c>
      <c r="U829">
        <v>1878</v>
      </c>
      <c r="V829" t="s">
        <v>3410</v>
      </c>
      <c r="W829" t="s">
        <v>1185</v>
      </c>
      <c r="X829" t="s">
        <v>599</v>
      </c>
      <c r="Y829" t="s">
        <v>599</v>
      </c>
      <c r="Z829" t="s">
        <v>3411</v>
      </c>
      <c r="AA829" t="s">
        <v>599</v>
      </c>
      <c r="AB829" t="s">
        <v>599</v>
      </c>
      <c r="AC829" t="s">
        <v>3412</v>
      </c>
      <c r="AD829" t="s">
        <v>599</v>
      </c>
      <c r="AE829" t="s">
        <v>3413</v>
      </c>
      <c r="AF829" t="s">
        <v>1190</v>
      </c>
    </row>
    <row r="830" spans="1:32" ht="45" x14ac:dyDescent="0.25">
      <c r="A830" s="10">
        <v>381496</v>
      </c>
      <c r="B830" s="10">
        <v>1</v>
      </c>
      <c r="C830" s="9">
        <v>83</v>
      </c>
      <c r="D830" s="56" t="s">
        <v>3861</v>
      </c>
      <c r="E830" s="12" t="s">
        <v>565</v>
      </c>
      <c r="F830" s="45"/>
      <c r="G830" s="45"/>
      <c r="H830" s="45"/>
      <c r="I830">
        <v>381496</v>
      </c>
      <c r="J830" t="s">
        <v>564</v>
      </c>
      <c r="K830" t="s">
        <v>3408</v>
      </c>
      <c r="L830" t="s">
        <v>1178</v>
      </c>
      <c r="M830" t="s">
        <v>1321</v>
      </c>
      <c r="N830" t="s">
        <v>599</v>
      </c>
      <c r="O830" t="s">
        <v>1193</v>
      </c>
      <c r="P830" t="s">
        <v>3409</v>
      </c>
      <c r="Q830" t="s">
        <v>599</v>
      </c>
      <c r="R830" t="s">
        <v>1182</v>
      </c>
      <c r="S830" t="s">
        <v>1221</v>
      </c>
      <c r="T830">
        <v>1878</v>
      </c>
      <c r="U830">
        <v>1878</v>
      </c>
      <c r="V830" t="s">
        <v>3410</v>
      </c>
      <c r="W830" t="s">
        <v>1185</v>
      </c>
      <c r="X830" t="s">
        <v>599</v>
      </c>
      <c r="Y830" t="s">
        <v>599</v>
      </c>
      <c r="Z830" t="s">
        <v>3411</v>
      </c>
      <c r="AA830" t="s">
        <v>599</v>
      </c>
      <c r="AB830" t="s">
        <v>599</v>
      </c>
      <c r="AC830" t="s">
        <v>3412</v>
      </c>
      <c r="AD830" t="s">
        <v>599</v>
      </c>
      <c r="AE830" t="s">
        <v>3413</v>
      </c>
      <c r="AF830" t="s">
        <v>1190</v>
      </c>
    </row>
    <row r="831" spans="1:32" ht="45" x14ac:dyDescent="0.25">
      <c r="A831" s="10">
        <v>381496</v>
      </c>
      <c r="B831" s="10">
        <v>1</v>
      </c>
      <c r="C831" s="9">
        <v>119</v>
      </c>
      <c r="D831" s="56" t="s">
        <v>3862</v>
      </c>
      <c r="E831" s="12" t="s">
        <v>565</v>
      </c>
      <c r="F831" s="45"/>
      <c r="G831" s="45"/>
      <c r="H831" s="45"/>
      <c r="I831">
        <v>381496</v>
      </c>
      <c r="J831" t="s">
        <v>564</v>
      </c>
      <c r="K831" t="s">
        <v>3408</v>
      </c>
      <c r="L831" t="s">
        <v>1178</v>
      </c>
      <c r="M831" t="s">
        <v>1321</v>
      </c>
      <c r="N831" t="s">
        <v>599</v>
      </c>
      <c r="O831" t="s">
        <v>1193</v>
      </c>
      <c r="P831" t="s">
        <v>3409</v>
      </c>
      <c r="Q831" t="s">
        <v>599</v>
      </c>
      <c r="R831" t="s">
        <v>1182</v>
      </c>
      <c r="S831" t="s">
        <v>1221</v>
      </c>
      <c r="T831">
        <v>1878</v>
      </c>
      <c r="U831">
        <v>1878</v>
      </c>
      <c r="V831" t="s">
        <v>3410</v>
      </c>
      <c r="W831" t="s">
        <v>1185</v>
      </c>
      <c r="X831" t="s">
        <v>599</v>
      </c>
      <c r="Y831" t="s">
        <v>599</v>
      </c>
      <c r="Z831" t="s">
        <v>3411</v>
      </c>
      <c r="AA831" t="s">
        <v>599</v>
      </c>
      <c r="AB831" t="s">
        <v>599</v>
      </c>
      <c r="AC831" t="s">
        <v>3412</v>
      </c>
      <c r="AD831" t="s">
        <v>599</v>
      </c>
      <c r="AE831" t="s">
        <v>3413</v>
      </c>
      <c r="AF831" t="s">
        <v>1190</v>
      </c>
    </row>
    <row r="832" spans="1:32" ht="45" x14ac:dyDescent="0.25">
      <c r="A832" s="10">
        <v>381496</v>
      </c>
      <c r="B832" s="10">
        <v>1</v>
      </c>
      <c r="C832" s="9">
        <v>161</v>
      </c>
      <c r="D832" s="56" t="s">
        <v>3863</v>
      </c>
      <c r="E832" s="12" t="s">
        <v>565</v>
      </c>
      <c r="F832" s="45"/>
      <c r="G832" s="45"/>
      <c r="H832" s="45"/>
      <c r="I832">
        <v>381496</v>
      </c>
      <c r="J832" t="s">
        <v>564</v>
      </c>
      <c r="K832" t="s">
        <v>3408</v>
      </c>
      <c r="L832" t="s">
        <v>1178</v>
      </c>
      <c r="M832" t="s">
        <v>1321</v>
      </c>
      <c r="N832" t="s">
        <v>599</v>
      </c>
      <c r="O832" t="s">
        <v>1193</v>
      </c>
      <c r="P832" t="s">
        <v>3409</v>
      </c>
      <c r="Q832" t="s">
        <v>599</v>
      </c>
      <c r="R832" t="s">
        <v>1182</v>
      </c>
      <c r="S832" t="s">
        <v>1221</v>
      </c>
      <c r="T832">
        <v>1878</v>
      </c>
      <c r="U832">
        <v>1878</v>
      </c>
      <c r="V832" t="s">
        <v>3410</v>
      </c>
      <c r="W832" t="s">
        <v>1185</v>
      </c>
      <c r="X832" t="s">
        <v>599</v>
      </c>
      <c r="Y832" t="s">
        <v>599</v>
      </c>
      <c r="Z832" t="s">
        <v>3411</v>
      </c>
      <c r="AA832" t="s">
        <v>599</v>
      </c>
      <c r="AB832" t="s">
        <v>599</v>
      </c>
      <c r="AC832" t="s">
        <v>3412</v>
      </c>
      <c r="AD832" t="s">
        <v>599</v>
      </c>
      <c r="AE832" t="s">
        <v>3413</v>
      </c>
      <c r="AF832" t="s">
        <v>1190</v>
      </c>
    </row>
    <row r="833" spans="1:32" ht="45" x14ac:dyDescent="0.25">
      <c r="A833" s="10">
        <v>381496</v>
      </c>
      <c r="B833" s="10">
        <v>1</v>
      </c>
      <c r="C833" s="9">
        <v>195</v>
      </c>
      <c r="D833" s="56" t="s">
        <v>3864</v>
      </c>
      <c r="E833" s="12" t="s">
        <v>565</v>
      </c>
      <c r="F833" s="45"/>
      <c r="G833" s="45"/>
      <c r="H833" s="45"/>
      <c r="I833">
        <v>381496</v>
      </c>
      <c r="J833" t="s">
        <v>564</v>
      </c>
      <c r="K833" t="s">
        <v>3408</v>
      </c>
      <c r="L833" t="s">
        <v>1178</v>
      </c>
      <c r="M833" t="s">
        <v>1321</v>
      </c>
      <c r="N833" t="s">
        <v>599</v>
      </c>
      <c r="O833" t="s">
        <v>1193</v>
      </c>
      <c r="P833" t="s">
        <v>3409</v>
      </c>
      <c r="Q833" t="s">
        <v>599</v>
      </c>
      <c r="R833" t="s">
        <v>1182</v>
      </c>
      <c r="S833" t="s">
        <v>1221</v>
      </c>
      <c r="T833">
        <v>1878</v>
      </c>
      <c r="U833">
        <v>1878</v>
      </c>
      <c r="V833" t="s">
        <v>3410</v>
      </c>
      <c r="W833" t="s">
        <v>1185</v>
      </c>
      <c r="X833" t="s">
        <v>599</v>
      </c>
      <c r="Y833" t="s">
        <v>599</v>
      </c>
      <c r="Z833" t="s">
        <v>3411</v>
      </c>
      <c r="AA833" t="s">
        <v>599</v>
      </c>
      <c r="AB833" t="s">
        <v>599</v>
      </c>
      <c r="AC833" t="s">
        <v>3412</v>
      </c>
      <c r="AD833" t="s">
        <v>599</v>
      </c>
      <c r="AE833" t="s">
        <v>3413</v>
      </c>
      <c r="AF833" t="s">
        <v>1190</v>
      </c>
    </row>
    <row r="834" spans="1:32" ht="45" x14ac:dyDescent="0.25">
      <c r="A834" s="10">
        <v>381496</v>
      </c>
      <c r="B834" s="10">
        <v>1</v>
      </c>
      <c r="C834" s="9">
        <v>227</v>
      </c>
      <c r="D834" s="56" t="s">
        <v>3865</v>
      </c>
      <c r="E834" s="12" t="s">
        <v>565</v>
      </c>
      <c r="F834" s="45"/>
      <c r="G834" s="45"/>
      <c r="H834" s="45"/>
      <c r="I834">
        <v>381496</v>
      </c>
      <c r="J834" t="s">
        <v>564</v>
      </c>
      <c r="K834" t="s">
        <v>3408</v>
      </c>
      <c r="L834" t="s">
        <v>1178</v>
      </c>
      <c r="M834" t="s">
        <v>1321</v>
      </c>
      <c r="N834" t="s">
        <v>599</v>
      </c>
      <c r="O834" t="s">
        <v>1193</v>
      </c>
      <c r="P834" t="s">
        <v>3409</v>
      </c>
      <c r="Q834" t="s">
        <v>599</v>
      </c>
      <c r="R834" t="s">
        <v>1182</v>
      </c>
      <c r="S834" t="s">
        <v>1221</v>
      </c>
      <c r="T834">
        <v>1878</v>
      </c>
      <c r="U834">
        <v>1878</v>
      </c>
      <c r="V834" t="s">
        <v>3410</v>
      </c>
      <c r="W834" t="s">
        <v>1185</v>
      </c>
      <c r="X834" t="s">
        <v>599</v>
      </c>
      <c r="Y834" t="s">
        <v>599</v>
      </c>
      <c r="Z834" t="s">
        <v>3411</v>
      </c>
      <c r="AA834" t="s">
        <v>599</v>
      </c>
      <c r="AB834" t="s">
        <v>599</v>
      </c>
      <c r="AC834" t="s">
        <v>3412</v>
      </c>
      <c r="AD834" t="s">
        <v>599</v>
      </c>
      <c r="AE834" t="s">
        <v>3413</v>
      </c>
      <c r="AF834" t="s">
        <v>1190</v>
      </c>
    </row>
    <row r="835" spans="1:32" ht="45" x14ac:dyDescent="0.25">
      <c r="A835" s="10">
        <v>381496</v>
      </c>
      <c r="B835" s="10">
        <v>1</v>
      </c>
      <c r="C835" s="9">
        <v>259</v>
      </c>
      <c r="D835" s="56" t="s">
        <v>3866</v>
      </c>
      <c r="E835" s="12" t="s">
        <v>565</v>
      </c>
      <c r="F835" s="45"/>
      <c r="G835" s="45"/>
      <c r="H835" s="45"/>
      <c r="I835">
        <v>381496</v>
      </c>
      <c r="J835" t="s">
        <v>564</v>
      </c>
      <c r="K835" t="s">
        <v>3408</v>
      </c>
      <c r="L835" t="s">
        <v>1178</v>
      </c>
      <c r="M835" t="s">
        <v>1321</v>
      </c>
      <c r="N835" t="s">
        <v>599</v>
      </c>
      <c r="O835" t="s">
        <v>1193</v>
      </c>
      <c r="P835" t="s">
        <v>3409</v>
      </c>
      <c r="Q835" t="s">
        <v>599</v>
      </c>
      <c r="R835" t="s">
        <v>1182</v>
      </c>
      <c r="S835" t="s">
        <v>1221</v>
      </c>
      <c r="T835">
        <v>1878</v>
      </c>
      <c r="U835">
        <v>1878</v>
      </c>
      <c r="V835" t="s">
        <v>3410</v>
      </c>
      <c r="W835" t="s">
        <v>1185</v>
      </c>
      <c r="X835" t="s">
        <v>599</v>
      </c>
      <c r="Y835" t="s">
        <v>599</v>
      </c>
      <c r="Z835" t="s">
        <v>3411</v>
      </c>
      <c r="AA835" t="s">
        <v>599</v>
      </c>
      <c r="AB835" t="s">
        <v>599</v>
      </c>
      <c r="AC835" t="s">
        <v>3412</v>
      </c>
      <c r="AD835" t="s">
        <v>599</v>
      </c>
      <c r="AE835" t="s">
        <v>3413</v>
      </c>
      <c r="AF835" t="s">
        <v>1190</v>
      </c>
    </row>
    <row r="836" spans="1:32" ht="45" x14ac:dyDescent="0.25">
      <c r="A836" s="10">
        <v>381496</v>
      </c>
      <c r="B836" s="10">
        <v>1</v>
      </c>
      <c r="C836" s="9">
        <v>287</v>
      </c>
      <c r="D836" s="56" t="s">
        <v>3867</v>
      </c>
      <c r="E836" s="12" t="s">
        <v>565</v>
      </c>
      <c r="F836" s="45"/>
      <c r="G836" s="45"/>
      <c r="H836" s="45"/>
      <c r="I836">
        <v>381496</v>
      </c>
      <c r="J836" t="s">
        <v>564</v>
      </c>
      <c r="K836" t="s">
        <v>3408</v>
      </c>
      <c r="L836" t="s">
        <v>1178</v>
      </c>
      <c r="M836" t="s">
        <v>1321</v>
      </c>
      <c r="N836" t="s">
        <v>599</v>
      </c>
      <c r="O836" t="s">
        <v>1193</v>
      </c>
      <c r="P836" t="s">
        <v>3409</v>
      </c>
      <c r="Q836" t="s">
        <v>599</v>
      </c>
      <c r="R836" t="s">
        <v>1182</v>
      </c>
      <c r="S836" t="s">
        <v>1221</v>
      </c>
      <c r="T836">
        <v>1878</v>
      </c>
      <c r="U836">
        <v>1878</v>
      </c>
      <c r="V836" t="s">
        <v>3410</v>
      </c>
      <c r="W836" t="s">
        <v>1185</v>
      </c>
      <c r="X836" t="s">
        <v>599</v>
      </c>
      <c r="Y836" t="s">
        <v>599</v>
      </c>
      <c r="Z836" t="s">
        <v>3411</v>
      </c>
      <c r="AA836" t="s">
        <v>599</v>
      </c>
      <c r="AB836" t="s">
        <v>599</v>
      </c>
      <c r="AC836" t="s">
        <v>3412</v>
      </c>
      <c r="AD836" t="s">
        <v>599</v>
      </c>
      <c r="AE836" t="s">
        <v>3413</v>
      </c>
      <c r="AF836" t="s">
        <v>1190</v>
      </c>
    </row>
    <row r="837" spans="1:32" ht="45" x14ac:dyDescent="0.25">
      <c r="A837" s="10">
        <v>381496</v>
      </c>
      <c r="B837" s="10">
        <v>1</v>
      </c>
      <c r="C837" s="9">
        <v>319</v>
      </c>
      <c r="D837" s="56" t="s">
        <v>3868</v>
      </c>
      <c r="E837" s="12" t="s">
        <v>565</v>
      </c>
      <c r="F837" s="45"/>
      <c r="G837" s="45"/>
      <c r="H837" s="45"/>
      <c r="I837">
        <v>381496</v>
      </c>
      <c r="J837" t="s">
        <v>564</v>
      </c>
      <c r="K837" t="s">
        <v>3408</v>
      </c>
      <c r="L837" t="s">
        <v>1178</v>
      </c>
      <c r="M837" t="s">
        <v>1321</v>
      </c>
      <c r="N837" t="s">
        <v>599</v>
      </c>
      <c r="O837" t="s">
        <v>1193</v>
      </c>
      <c r="P837" t="s">
        <v>3409</v>
      </c>
      <c r="Q837" t="s">
        <v>599</v>
      </c>
      <c r="R837" t="s">
        <v>1182</v>
      </c>
      <c r="S837" t="s">
        <v>1221</v>
      </c>
      <c r="T837">
        <v>1878</v>
      </c>
      <c r="U837">
        <v>1878</v>
      </c>
      <c r="V837" t="s">
        <v>3410</v>
      </c>
      <c r="W837" t="s">
        <v>1185</v>
      </c>
      <c r="X837" t="s">
        <v>599</v>
      </c>
      <c r="Y837" t="s">
        <v>599</v>
      </c>
      <c r="Z837" t="s">
        <v>3411</v>
      </c>
      <c r="AA837" t="s">
        <v>599</v>
      </c>
      <c r="AB837" t="s">
        <v>599</v>
      </c>
      <c r="AC837" t="s">
        <v>3412</v>
      </c>
      <c r="AD837" t="s">
        <v>599</v>
      </c>
      <c r="AE837" t="s">
        <v>3413</v>
      </c>
      <c r="AF837" t="s">
        <v>1190</v>
      </c>
    </row>
    <row r="838" spans="1:32" ht="45" x14ac:dyDescent="0.25">
      <c r="A838" s="10">
        <v>381496</v>
      </c>
      <c r="B838" s="10">
        <v>1</v>
      </c>
      <c r="C838" s="9">
        <v>349</v>
      </c>
      <c r="D838" s="56" t="s">
        <v>3869</v>
      </c>
      <c r="E838" s="12" t="s">
        <v>565</v>
      </c>
      <c r="F838" s="45"/>
      <c r="G838" s="45"/>
      <c r="H838" s="45"/>
      <c r="I838">
        <v>381496</v>
      </c>
      <c r="J838" t="s">
        <v>564</v>
      </c>
      <c r="K838" t="s">
        <v>3408</v>
      </c>
      <c r="L838" t="s">
        <v>1178</v>
      </c>
      <c r="M838" t="s">
        <v>1321</v>
      </c>
      <c r="N838" t="s">
        <v>599</v>
      </c>
      <c r="O838" t="s">
        <v>1193</v>
      </c>
      <c r="P838" t="s">
        <v>3409</v>
      </c>
      <c r="Q838" t="s">
        <v>599</v>
      </c>
      <c r="R838" t="s">
        <v>1182</v>
      </c>
      <c r="S838" t="s">
        <v>1221</v>
      </c>
      <c r="T838">
        <v>1878</v>
      </c>
      <c r="U838">
        <v>1878</v>
      </c>
      <c r="V838" t="s">
        <v>3410</v>
      </c>
      <c r="W838" t="s">
        <v>1185</v>
      </c>
      <c r="X838" t="s">
        <v>599</v>
      </c>
      <c r="Y838" t="s">
        <v>599</v>
      </c>
      <c r="Z838" t="s">
        <v>3411</v>
      </c>
      <c r="AA838" t="s">
        <v>599</v>
      </c>
      <c r="AB838" t="s">
        <v>599</v>
      </c>
      <c r="AC838" t="s">
        <v>3412</v>
      </c>
      <c r="AD838" t="s">
        <v>599</v>
      </c>
      <c r="AE838" t="s">
        <v>3413</v>
      </c>
      <c r="AF838" t="s">
        <v>1190</v>
      </c>
    </row>
    <row r="839" spans="1:32" ht="45" x14ac:dyDescent="0.25">
      <c r="A839" s="10">
        <v>384309</v>
      </c>
      <c r="B839" s="10">
        <v>1</v>
      </c>
      <c r="C839" s="9">
        <v>1</v>
      </c>
      <c r="D839" s="56" t="s">
        <v>3870</v>
      </c>
      <c r="E839" s="12" t="s">
        <v>568</v>
      </c>
      <c r="F839" s="45"/>
      <c r="G839" s="45"/>
      <c r="H839" s="45"/>
      <c r="I839">
        <v>384309</v>
      </c>
      <c r="J839" t="s">
        <v>567</v>
      </c>
      <c r="K839" t="s">
        <v>3414</v>
      </c>
      <c r="L839" t="s">
        <v>1178</v>
      </c>
      <c r="M839" t="s">
        <v>1209</v>
      </c>
      <c r="N839" t="s">
        <v>599</v>
      </c>
      <c r="O839" t="s">
        <v>3415</v>
      </c>
      <c r="P839" t="s">
        <v>599</v>
      </c>
      <c r="Q839" t="s">
        <v>599</v>
      </c>
      <c r="R839" t="s">
        <v>1182</v>
      </c>
      <c r="S839" t="s">
        <v>3416</v>
      </c>
      <c r="T839">
        <v>1880</v>
      </c>
      <c r="U839">
        <v>1880</v>
      </c>
      <c r="V839" t="s">
        <v>3417</v>
      </c>
      <c r="W839" t="s">
        <v>599</v>
      </c>
      <c r="X839" t="s">
        <v>599</v>
      </c>
      <c r="Y839" t="s">
        <v>599</v>
      </c>
      <c r="Z839" t="s">
        <v>599</v>
      </c>
      <c r="AA839" t="s">
        <v>599</v>
      </c>
      <c r="AB839" t="s">
        <v>599</v>
      </c>
      <c r="AC839" t="s">
        <v>3418</v>
      </c>
      <c r="AD839" t="s">
        <v>599</v>
      </c>
      <c r="AE839" t="s">
        <v>3419</v>
      </c>
      <c r="AF839" t="s">
        <v>1190</v>
      </c>
    </row>
    <row r="840" spans="1:32" ht="45" x14ac:dyDescent="0.25">
      <c r="A840" s="10">
        <v>384309</v>
      </c>
      <c r="B840" s="10">
        <v>1</v>
      </c>
      <c r="C840" s="9">
        <v>3</v>
      </c>
      <c r="D840" s="56" t="s">
        <v>3871</v>
      </c>
      <c r="E840" s="12" t="s">
        <v>568</v>
      </c>
      <c r="F840" s="45"/>
      <c r="G840" s="45"/>
      <c r="H840" s="45"/>
      <c r="I840">
        <v>384309</v>
      </c>
      <c r="J840" t="s">
        <v>567</v>
      </c>
      <c r="K840" t="s">
        <v>3414</v>
      </c>
      <c r="L840" t="s">
        <v>1178</v>
      </c>
      <c r="M840" t="s">
        <v>1209</v>
      </c>
      <c r="N840" t="s">
        <v>599</v>
      </c>
      <c r="O840" t="s">
        <v>3415</v>
      </c>
      <c r="P840" t="s">
        <v>599</v>
      </c>
      <c r="Q840" t="s">
        <v>599</v>
      </c>
      <c r="R840" t="s">
        <v>1182</v>
      </c>
      <c r="S840" t="s">
        <v>3416</v>
      </c>
      <c r="T840">
        <v>1880</v>
      </c>
      <c r="U840">
        <v>1880</v>
      </c>
      <c r="V840" t="s">
        <v>3417</v>
      </c>
      <c r="W840" t="s">
        <v>599</v>
      </c>
      <c r="X840" t="s">
        <v>599</v>
      </c>
      <c r="Y840" t="s">
        <v>599</v>
      </c>
      <c r="Z840" t="s">
        <v>599</v>
      </c>
      <c r="AA840" t="s">
        <v>599</v>
      </c>
      <c r="AB840" t="s">
        <v>599</v>
      </c>
      <c r="AC840" t="s">
        <v>3418</v>
      </c>
      <c r="AD840" t="s">
        <v>599</v>
      </c>
      <c r="AE840" t="s">
        <v>3419</v>
      </c>
      <c r="AF840" t="s">
        <v>1190</v>
      </c>
    </row>
    <row r="841" spans="1:32" ht="45" x14ac:dyDescent="0.25">
      <c r="A841" s="10">
        <v>384309</v>
      </c>
      <c r="B841" s="10">
        <v>1</v>
      </c>
      <c r="C841" s="9">
        <v>7</v>
      </c>
      <c r="D841" s="56" t="s">
        <v>3872</v>
      </c>
      <c r="E841" s="12" t="s">
        <v>568</v>
      </c>
      <c r="F841" s="45"/>
      <c r="G841" s="45"/>
      <c r="H841" s="45"/>
      <c r="I841">
        <v>384309</v>
      </c>
      <c r="J841" t="s">
        <v>567</v>
      </c>
      <c r="K841" t="s">
        <v>3414</v>
      </c>
      <c r="L841" t="s">
        <v>1178</v>
      </c>
      <c r="M841" t="s">
        <v>1209</v>
      </c>
      <c r="N841" t="s">
        <v>599</v>
      </c>
      <c r="O841" t="s">
        <v>3415</v>
      </c>
      <c r="P841" t="s">
        <v>599</v>
      </c>
      <c r="Q841" t="s">
        <v>599</v>
      </c>
      <c r="R841" t="s">
        <v>1182</v>
      </c>
      <c r="S841" t="s">
        <v>3416</v>
      </c>
      <c r="T841">
        <v>1880</v>
      </c>
      <c r="U841">
        <v>1880</v>
      </c>
      <c r="V841" t="s">
        <v>3417</v>
      </c>
      <c r="W841" t="s">
        <v>599</v>
      </c>
      <c r="X841" t="s">
        <v>599</v>
      </c>
      <c r="Y841" t="s">
        <v>599</v>
      </c>
      <c r="Z841" t="s">
        <v>599</v>
      </c>
      <c r="AA841" t="s">
        <v>599</v>
      </c>
      <c r="AB841" t="s">
        <v>599</v>
      </c>
      <c r="AC841" t="s">
        <v>3418</v>
      </c>
      <c r="AD841" t="s">
        <v>599</v>
      </c>
      <c r="AE841" t="s">
        <v>3419</v>
      </c>
      <c r="AF841" t="s">
        <v>1190</v>
      </c>
    </row>
    <row r="842" spans="1:32" ht="45" x14ac:dyDescent="0.25">
      <c r="A842" s="10">
        <v>410603</v>
      </c>
      <c r="B842" s="10">
        <v>1</v>
      </c>
      <c r="C842" s="9">
        <v>13</v>
      </c>
      <c r="D842" s="56" t="s">
        <v>3873</v>
      </c>
      <c r="E842" s="12">
        <v>13</v>
      </c>
      <c r="F842" s="45"/>
      <c r="G842" s="45"/>
      <c r="H842" s="45"/>
      <c r="I842">
        <v>410603</v>
      </c>
      <c r="J842" t="s">
        <v>570</v>
      </c>
      <c r="K842" t="s">
        <v>3420</v>
      </c>
      <c r="L842" t="s">
        <v>1178</v>
      </c>
      <c r="M842" t="s">
        <v>1192</v>
      </c>
      <c r="N842" t="s">
        <v>599</v>
      </c>
      <c r="O842" t="s">
        <v>3421</v>
      </c>
      <c r="P842" t="s">
        <v>599</v>
      </c>
      <c r="Q842" t="s">
        <v>599</v>
      </c>
      <c r="R842" t="s">
        <v>1182</v>
      </c>
      <c r="S842" t="s">
        <v>1275</v>
      </c>
      <c r="T842">
        <v>1880</v>
      </c>
      <c r="U842">
        <v>1880</v>
      </c>
      <c r="V842" t="s">
        <v>1276</v>
      </c>
      <c r="W842" t="s">
        <v>599</v>
      </c>
      <c r="X842" t="s">
        <v>599</v>
      </c>
      <c r="Y842" t="s">
        <v>599</v>
      </c>
      <c r="Z842" t="s">
        <v>599</v>
      </c>
      <c r="AA842" t="s">
        <v>599</v>
      </c>
      <c r="AB842" t="s">
        <v>599</v>
      </c>
      <c r="AC842" t="s">
        <v>3422</v>
      </c>
      <c r="AD842" t="s">
        <v>599</v>
      </c>
      <c r="AE842" t="s">
        <v>3423</v>
      </c>
      <c r="AF842" t="s">
        <v>1190</v>
      </c>
    </row>
    <row r="843" spans="1:32" ht="45" x14ac:dyDescent="0.25">
      <c r="A843" s="10">
        <v>475467</v>
      </c>
      <c r="B843" s="10">
        <v>1</v>
      </c>
      <c r="C843" s="9">
        <v>1</v>
      </c>
      <c r="D843" s="56" t="s">
        <v>3874</v>
      </c>
      <c r="E843" s="12">
        <v>1</v>
      </c>
      <c r="F843" s="45"/>
      <c r="G843" s="45"/>
      <c r="H843" s="45"/>
      <c r="I843">
        <v>475467</v>
      </c>
      <c r="J843" t="s">
        <v>571</v>
      </c>
      <c r="K843" t="s">
        <v>3424</v>
      </c>
      <c r="L843" t="s">
        <v>1178</v>
      </c>
      <c r="M843" t="s">
        <v>1192</v>
      </c>
      <c r="N843" t="s">
        <v>599</v>
      </c>
      <c r="O843" t="s">
        <v>3425</v>
      </c>
      <c r="P843" t="s">
        <v>3426</v>
      </c>
      <c r="Q843" t="s">
        <v>599</v>
      </c>
      <c r="R843" t="s">
        <v>1182</v>
      </c>
      <c r="S843" t="s">
        <v>1909</v>
      </c>
      <c r="T843">
        <v>1881</v>
      </c>
      <c r="U843">
        <v>1881</v>
      </c>
      <c r="V843" t="s">
        <v>1872</v>
      </c>
      <c r="W843" t="s">
        <v>3427</v>
      </c>
      <c r="X843" t="s">
        <v>599</v>
      </c>
      <c r="Y843" t="s">
        <v>1185</v>
      </c>
      <c r="Z843" t="s">
        <v>599</v>
      </c>
      <c r="AA843" t="s">
        <v>599</v>
      </c>
      <c r="AB843" t="s">
        <v>599</v>
      </c>
      <c r="AC843" t="s">
        <v>3428</v>
      </c>
      <c r="AD843" t="s">
        <v>599</v>
      </c>
      <c r="AE843" t="s">
        <v>3429</v>
      </c>
      <c r="AF843" t="s">
        <v>1190</v>
      </c>
    </row>
    <row r="844" spans="1:32" ht="45" x14ac:dyDescent="0.25">
      <c r="A844" s="10">
        <v>640093</v>
      </c>
      <c r="B844" s="10">
        <v>1</v>
      </c>
      <c r="C844" s="9">
        <v>1</v>
      </c>
      <c r="D844" s="56" t="s">
        <v>3875</v>
      </c>
      <c r="E844" s="12">
        <v>1</v>
      </c>
      <c r="F844" s="45"/>
      <c r="G844" s="45"/>
      <c r="H844" s="45"/>
      <c r="I844">
        <v>640093</v>
      </c>
      <c r="J844" t="s">
        <v>572</v>
      </c>
      <c r="K844" t="s">
        <v>3430</v>
      </c>
      <c r="L844" t="s">
        <v>1312</v>
      </c>
      <c r="M844" t="s">
        <v>1192</v>
      </c>
      <c r="N844" t="s">
        <v>599</v>
      </c>
      <c r="O844" t="s">
        <v>3431</v>
      </c>
      <c r="P844" t="s">
        <v>599</v>
      </c>
      <c r="Q844" t="s">
        <v>599</v>
      </c>
      <c r="R844" t="s">
        <v>1182</v>
      </c>
      <c r="S844" t="s">
        <v>1453</v>
      </c>
      <c r="T844">
        <v>1937</v>
      </c>
      <c r="U844">
        <v>1937</v>
      </c>
      <c r="V844" t="s">
        <v>1454</v>
      </c>
      <c r="W844" t="s">
        <v>3432</v>
      </c>
      <c r="X844" t="s">
        <v>599</v>
      </c>
      <c r="Y844" t="s">
        <v>599</v>
      </c>
      <c r="Z844" t="s">
        <v>599</v>
      </c>
      <c r="AA844" t="s">
        <v>599</v>
      </c>
      <c r="AB844" t="s">
        <v>599</v>
      </c>
      <c r="AC844" t="s">
        <v>3433</v>
      </c>
      <c r="AD844" t="s">
        <v>599</v>
      </c>
      <c r="AE844" t="s">
        <v>3434</v>
      </c>
      <c r="AF844" t="s">
        <v>1319</v>
      </c>
    </row>
    <row r="845" spans="1:32" ht="45" x14ac:dyDescent="0.25">
      <c r="A845" s="10">
        <v>765484</v>
      </c>
      <c r="B845" s="10">
        <v>1</v>
      </c>
      <c r="C845" s="9">
        <v>5</v>
      </c>
      <c r="D845" s="56" t="s">
        <v>3876</v>
      </c>
      <c r="E845" s="12" t="s">
        <v>574</v>
      </c>
      <c r="F845" s="45"/>
      <c r="G845" s="45"/>
      <c r="H845" s="45"/>
      <c r="I845">
        <v>765484</v>
      </c>
      <c r="J845" t="s">
        <v>573</v>
      </c>
      <c r="K845" t="s">
        <v>3435</v>
      </c>
      <c r="L845" t="s">
        <v>1178</v>
      </c>
      <c r="M845" t="s">
        <v>1192</v>
      </c>
      <c r="N845" t="s">
        <v>599</v>
      </c>
      <c r="O845" t="s">
        <v>2478</v>
      </c>
      <c r="P845" t="s">
        <v>599</v>
      </c>
      <c r="Q845" t="s">
        <v>599</v>
      </c>
      <c r="R845" t="s">
        <v>3436</v>
      </c>
      <c r="S845" t="s">
        <v>3437</v>
      </c>
      <c r="T845">
        <v>1632</v>
      </c>
      <c r="U845">
        <v>1632</v>
      </c>
      <c r="V845" t="s">
        <v>3438</v>
      </c>
      <c r="W845" t="s">
        <v>1185</v>
      </c>
      <c r="X845" t="s">
        <v>599</v>
      </c>
      <c r="Y845" t="s">
        <v>599</v>
      </c>
      <c r="Z845" t="s">
        <v>3439</v>
      </c>
      <c r="AA845" t="s">
        <v>599</v>
      </c>
      <c r="AB845" t="s">
        <v>599</v>
      </c>
      <c r="AC845" t="s">
        <v>3440</v>
      </c>
      <c r="AD845" t="s">
        <v>2967</v>
      </c>
      <c r="AE845" t="s">
        <v>3441</v>
      </c>
      <c r="AF845" t="s">
        <v>1190</v>
      </c>
    </row>
    <row r="846" spans="1:32" ht="45" x14ac:dyDescent="0.25">
      <c r="A846" s="10">
        <v>765484</v>
      </c>
      <c r="B846" s="10">
        <v>2</v>
      </c>
      <c r="C846" s="9">
        <v>2</v>
      </c>
      <c r="D846" s="56" t="s">
        <v>3877</v>
      </c>
      <c r="E846" s="12" t="s">
        <v>574</v>
      </c>
      <c r="F846" s="45"/>
      <c r="G846" s="45"/>
      <c r="H846" s="45"/>
      <c r="I846">
        <v>765484</v>
      </c>
      <c r="J846" t="s">
        <v>573</v>
      </c>
      <c r="K846" t="s">
        <v>3435</v>
      </c>
      <c r="L846" t="s">
        <v>1178</v>
      </c>
      <c r="M846" t="s">
        <v>1192</v>
      </c>
      <c r="N846" t="s">
        <v>599</v>
      </c>
      <c r="O846" t="s">
        <v>2478</v>
      </c>
      <c r="P846" t="s">
        <v>599</v>
      </c>
      <c r="Q846" t="s">
        <v>599</v>
      </c>
      <c r="R846" t="s">
        <v>3436</v>
      </c>
      <c r="S846" t="s">
        <v>3437</v>
      </c>
      <c r="T846">
        <v>1632</v>
      </c>
      <c r="U846">
        <v>1632</v>
      </c>
      <c r="V846" t="s">
        <v>3438</v>
      </c>
      <c r="W846" t="s">
        <v>1185</v>
      </c>
      <c r="X846" t="s">
        <v>599</v>
      </c>
      <c r="Y846" t="s">
        <v>599</v>
      </c>
      <c r="Z846" t="s">
        <v>3439</v>
      </c>
      <c r="AA846" t="s">
        <v>599</v>
      </c>
      <c r="AB846" t="s">
        <v>599</v>
      </c>
      <c r="AC846" t="s">
        <v>3440</v>
      </c>
      <c r="AD846" t="s">
        <v>2967</v>
      </c>
      <c r="AE846" t="s">
        <v>3441</v>
      </c>
      <c r="AF846" t="s">
        <v>1190</v>
      </c>
    </row>
    <row r="847" spans="1:32" ht="45" x14ac:dyDescent="0.25">
      <c r="A847" s="29">
        <v>808818</v>
      </c>
      <c r="B847" s="29">
        <v>1</v>
      </c>
      <c r="C847" s="28">
        <v>8</v>
      </c>
      <c r="D847" s="57" t="s">
        <v>3878</v>
      </c>
      <c r="E847" s="31" t="s">
        <v>576</v>
      </c>
      <c r="F847" s="45"/>
      <c r="G847" s="45"/>
      <c r="H847" s="45"/>
      <c r="I847">
        <v>808818</v>
      </c>
      <c r="J847" t="s">
        <v>575</v>
      </c>
      <c r="K847" t="s">
        <v>3443</v>
      </c>
      <c r="L847" t="s">
        <v>1178</v>
      </c>
      <c r="M847" t="s">
        <v>1192</v>
      </c>
      <c r="N847" t="s">
        <v>599</v>
      </c>
      <c r="O847" t="s">
        <v>1219</v>
      </c>
      <c r="P847" t="s">
        <v>3444</v>
      </c>
      <c r="Q847" t="s">
        <v>599</v>
      </c>
      <c r="R847" t="s">
        <v>1182</v>
      </c>
      <c r="S847" t="s">
        <v>3445</v>
      </c>
      <c r="T847">
        <v>1880</v>
      </c>
      <c r="U847">
        <v>1880</v>
      </c>
      <c r="V847" t="s">
        <v>3446</v>
      </c>
      <c r="W847" t="s">
        <v>1967</v>
      </c>
      <c r="X847" t="s">
        <v>599</v>
      </c>
      <c r="Y847" t="s">
        <v>599</v>
      </c>
      <c r="Z847" t="s">
        <v>3447</v>
      </c>
      <c r="AA847" t="s">
        <v>599</v>
      </c>
      <c r="AB847" t="s">
        <v>599</v>
      </c>
      <c r="AC847" t="s">
        <v>3448</v>
      </c>
      <c r="AD847" t="s">
        <v>599</v>
      </c>
      <c r="AE847" t="s">
        <v>3449</v>
      </c>
      <c r="AF847" t="s">
        <v>1190</v>
      </c>
    </row>
    <row r="848" spans="1:32" ht="45" x14ac:dyDescent="0.25">
      <c r="A848" s="29">
        <v>808818</v>
      </c>
      <c r="B848" s="29">
        <v>1</v>
      </c>
      <c r="C848" s="28">
        <v>9</v>
      </c>
      <c r="D848" s="57" t="s">
        <v>3879</v>
      </c>
      <c r="E848" s="31" t="s">
        <v>576</v>
      </c>
      <c r="F848" s="45"/>
      <c r="G848" s="45"/>
      <c r="H848" s="45"/>
      <c r="I848">
        <v>808818</v>
      </c>
      <c r="J848" t="s">
        <v>575</v>
      </c>
      <c r="K848" t="s">
        <v>3443</v>
      </c>
      <c r="L848" t="s">
        <v>1178</v>
      </c>
      <c r="M848" t="s">
        <v>1192</v>
      </c>
      <c r="N848" t="s">
        <v>599</v>
      </c>
      <c r="O848" t="s">
        <v>1219</v>
      </c>
      <c r="P848" t="s">
        <v>3444</v>
      </c>
      <c r="Q848" t="s">
        <v>599</v>
      </c>
      <c r="R848" t="s">
        <v>1182</v>
      </c>
      <c r="S848" t="s">
        <v>3445</v>
      </c>
      <c r="T848">
        <v>1880</v>
      </c>
      <c r="U848">
        <v>1880</v>
      </c>
      <c r="V848" t="s">
        <v>3446</v>
      </c>
      <c r="W848" t="s">
        <v>1967</v>
      </c>
      <c r="X848" t="s">
        <v>599</v>
      </c>
      <c r="Y848" t="s">
        <v>599</v>
      </c>
      <c r="Z848" t="s">
        <v>3447</v>
      </c>
      <c r="AA848" t="s">
        <v>599</v>
      </c>
      <c r="AB848" t="s">
        <v>599</v>
      </c>
      <c r="AC848" t="s">
        <v>3448</v>
      </c>
      <c r="AD848" t="s">
        <v>599</v>
      </c>
      <c r="AE848" t="s">
        <v>3449</v>
      </c>
      <c r="AF848" t="s">
        <v>1190</v>
      </c>
    </row>
    <row r="849" spans="1:32" ht="45" x14ac:dyDescent="0.25">
      <c r="A849" s="29">
        <v>808818</v>
      </c>
      <c r="B849" s="29">
        <v>1</v>
      </c>
      <c r="C849" s="28">
        <v>39</v>
      </c>
      <c r="D849" s="57" t="s">
        <v>3880</v>
      </c>
      <c r="E849" s="31" t="s">
        <v>576</v>
      </c>
      <c r="F849" s="45"/>
      <c r="G849" s="45"/>
      <c r="H849" s="45"/>
      <c r="I849">
        <v>808818</v>
      </c>
      <c r="J849" t="s">
        <v>575</v>
      </c>
      <c r="K849" t="s">
        <v>3443</v>
      </c>
      <c r="L849" t="s">
        <v>1178</v>
      </c>
      <c r="M849" t="s">
        <v>1192</v>
      </c>
      <c r="N849" t="s">
        <v>599</v>
      </c>
      <c r="O849" t="s">
        <v>1219</v>
      </c>
      <c r="P849" t="s">
        <v>3444</v>
      </c>
      <c r="Q849" t="s">
        <v>599</v>
      </c>
      <c r="R849" t="s">
        <v>1182</v>
      </c>
      <c r="S849" t="s">
        <v>3445</v>
      </c>
      <c r="T849">
        <v>1880</v>
      </c>
      <c r="U849">
        <v>1880</v>
      </c>
      <c r="V849" t="s">
        <v>3446</v>
      </c>
      <c r="W849" t="s">
        <v>1967</v>
      </c>
      <c r="X849" t="s">
        <v>599</v>
      </c>
      <c r="Y849" t="s">
        <v>599</v>
      </c>
      <c r="Z849" t="s">
        <v>3447</v>
      </c>
      <c r="AA849" t="s">
        <v>599</v>
      </c>
      <c r="AB849" t="s">
        <v>599</v>
      </c>
      <c r="AC849" t="s">
        <v>3448</v>
      </c>
      <c r="AD849" t="s">
        <v>599</v>
      </c>
      <c r="AE849" t="s">
        <v>3449</v>
      </c>
      <c r="AF849" t="s">
        <v>1190</v>
      </c>
    </row>
    <row r="850" spans="1:32" ht="45" x14ac:dyDescent="0.25">
      <c r="A850" s="18">
        <v>865343</v>
      </c>
      <c r="B850" s="18">
        <v>1</v>
      </c>
      <c r="C850" s="17">
        <v>120</v>
      </c>
      <c r="D850" s="58" t="s">
        <v>3881</v>
      </c>
      <c r="E850" s="20" t="s">
        <v>579</v>
      </c>
      <c r="F850" s="45"/>
      <c r="G850" s="45"/>
      <c r="H850" s="45"/>
      <c r="I850">
        <v>865343</v>
      </c>
      <c r="J850" t="s">
        <v>578</v>
      </c>
      <c r="K850" t="s">
        <v>3450</v>
      </c>
      <c r="L850" t="s">
        <v>1226</v>
      </c>
      <c r="M850" t="s">
        <v>1192</v>
      </c>
      <c r="N850" t="s">
        <v>599</v>
      </c>
      <c r="O850" t="s">
        <v>3451</v>
      </c>
      <c r="P850" t="s">
        <v>3452</v>
      </c>
      <c r="Q850" t="s">
        <v>599</v>
      </c>
      <c r="R850" t="s">
        <v>1182</v>
      </c>
      <c r="S850" t="s">
        <v>3453</v>
      </c>
      <c r="T850">
        <v>1838</v>
      </c>
      <c r="U850">
        <v>1838</v>
      </c>
      <c r="V850" t="s">
        <v>599</v>
      </c>
      <c r="W850" t="s">
        <v>599</v>
      </c>
      <c r="X850" t="s">
        <v>599</v>
      </c>
      <c r="Y850" t="s">
        <v>599</v>
      </c>
      <c r="Z850" t="s">
        <v>599</v>
      </c>
      <c r="AA850" t="s">
        <v>599</v>
      </c>
      <c r="AB850" t="s">
        <v>599</v>
      </c>
      <c r="AC850" t="s">
        <v>3454</v>
      </c>
      <c r="AD850" t="s">
        <v>599</v>
      </c>
      <c r="AE850" t="s">
        <v>3455</v>
      </c>
      <c r="AF850" t="s">
        <v>1190</v>
      </c>
    </row>
    <row r="851" spans="1:32" ht="45" x14ac:dyDescent="0.25">
      <c r="A851" s="10">
        <v>2194758</v>
      </c>
      <c r="B851" s="10">
        <v>1</v>
      </c>
      <c r="C851" s="9">
        <v>1</v>
      </c>
      <c r="D851" s="56" t="s">
        <v>703</v>
      </c>
      <c r="E851" s="12" t="s">
        <v>581</v>
      </c>
      <c r="F851" s="45"/>
      <c r="G851" s="45"/>
      <c r="H851" s="45"/>
      <c r="I851">
        <v>2194758</v>
      </c>
      <c r="J851" t="s">
        <v>580</v>
      </c>
      <c r="K851" t="s">
        <v>3456</v>
      </c>
      <c r="L851" t="s">
        <v>1178</v>
      </c>
      <c r="M851" t="s">
        <v>1192</v>
      </c>
      <c r="N851" t="s">
        <v>599</v>
      </c>
      <c r="O851" t="s">
        <v>3457</v>
      </c>
      <c r="P851" t="s">
        <v>3458</v>
      </c>
      <c r="Q851" t="s">
        <v>599</v>
      </c>
      <c r="R851" t="s">
        <v>1182</v>
      </c>
      <c r="S851" t="s">
        <v>3459</v>
      </c>
      <c r="T851">
        <v>1880</v>
      </c>
      <c r="U851">
        <v>1880</v>
      </c>
      <c r="V851" t="s">
        <v>1872</v>
      </c>
      <c r="W851" t="s">
        <v>599</v>
      </c>
      <c r="X851" t="s">
        <v>599</v>
      </c>
      <c r="Y851" t="s">
        <v>599</v>
      </c>
      <c r="Z851" t="s">
        <v>599</v>
      </c>
      <c r="AA851" t="s">
        <v>599</v>
      </c>
      <c r="AB851" t="s">
        <v>599</v>
      </c>
      <c r="AC851" t="s">
        <v>3460</v>
      </c>
      <c r="AD851" t="s">
        <v>599</v>
      </c>
      <c r="AE851" t="s">
        <v>3461</v>
      </c>
      <c r="AF851" t="s">
        <v>1190</v>
      </c>
    </row>
    <row r="852" spans="1:32" ht="45" x14ac:dyDescent="0.25">
      <c r="A852" s="10">
        <v>2194758</v>
      </c>
      <c r="B852" s="10">
        <v>1</v>
      </c>
      <c r="C852" s="9">
        <v>2</v>
      </c>
      <c r="D852" s="56" t="s">
        <v>3882</v>
      </c>
      <c r="E852" s="12" t="s">
        <v>581</v>
      </c>
      <c r="F852" s="45"/>
      <c r="G852" s="45"/>
      <c r="H852" s="45"/>
      <c r="I852">
        <v>2194758</v>
      </c>
      <c r="J852" t="s">
        <v>580</v>
      </c>
      <c r="K852" t="s">
        <v>3456</v>
      </c>
      <c r="L852" t="s">
        <v>1178</v>
      </c>
      <c r="M852" t="s">
        <v>1192</v>
      </c>
      <c r="N852" t="s">
        <v>599</v>
      </c>
      <c r="O852" t="s">
        <v>3457</v>
      </c>
      <c r="P852" t="s">
        <v>3458</v>
      </c>
      <c r="Q852" t="s">
        <v>599</v>
      </c>
      <c r="R852" t="s">
        <v>1182</v>
      </c>
      <c r="S852" t="s">
        <v>3459</v>
      </c>
      <c r="T852">
        <v>1880</v>
      </c>
      <c r="U852">
        <v>1880</v>
      </c>
      <c r="V852" t="s">
        <v>1872</v>
      </c>
      <c r="W852" t="s">
        <v>599</v>
      </c>
      <c r="X852" t="s">
        <v>599</v>
      </c>
      <c r="Y852" t="s">
        <v>599</v>
      </c>
      <c r="Z852" t="s">
        <v>599</v>
      </c>
      <c r="AA852" t="s">
        <v>599</v>
      </c>
      <c r="AB852" t="s">
        <v>599</v>
      </c>
      <c r="AC852" t="s">
        <v>3460</v>
      </c>
      <c r="AD852" t="s">
        <v>599</v>
      </c>
      <c r="AE852" t="s">
        <v>3461</v>
      </c>
      <c r="AF852" t="s">
        <v>1190</v>
      </c>
    </row>
    <row r="853" spans="1:32" ht="45" x14ac:dyDescent="0.25">
      <c r="A853" s="10">
        <v>2194758</v>
      </c>
      <c r="B853" s="10">
        <v>1</v>
      </c>
      <c r="C853" s="9">
        <v>3</v>
      </c>
      <c r="D853" s="56" t="s">
        <v>3883</v>
      </c>
      <c r="E853" s="12" t="s">
        <v>581</v>
      </c>
      <c r="F853" s="45"/>
      <c r="G853" s="45"/>
      <c r="H853" s="45"/>
      <c r="I853">
        <v>2194758</v>
      </c>
      <c r="J853" t="s">
        <v>580</v>
      </c>
      <c r="K853" t="s">
        <v>3456</v>
      </c>
      <c r="L853" t="s">
        <v>1178</v>
      </c>
      <c r="M853" t="s">
        <v>1192</v>
      </c>
      <c r="N853" t="s">
        <v>599</v>
      </c>
      <c r="O853" t="s">
        <v>3457</v>
      </c>
      <c r="P853" t="s">
        <v>3458</v>
      </c>
      <c r="Q853" t="s">
        <v>599</v>
      </c>
      <c r="R853" t="s">
        <v>1182</v>
      </c>
      <c r="S853" t="s">
        <v>3459</v>
      </c>
      <c r="T853">
        <v>1880</v>
      </c>
      <c r="U853">
        <v>1880</v>
      </c>
      <c r="V853" t="s">
        <v>1872</v>
      </c>
      <c r="W853" t="s">
        <v>599</v>
      </c>
      <c r="X853" t="s">
        <v>599</v>
      </c>
      <c r="Y853" t="s">
        <v>599</v>
      </c>
      <c r="Z853" t="s">
        <v>599</v>
      </c>
      <c r="AA853" t="s">
        <v>599</v>
      </c>
      <c r="AB853" t="s">
        <v>599</v>
      </c>
      <c r="AC853" t="s">
        <v>3460</v>
      </c>
      <c r="AD853" t="s">
        <v>599</v>
      </c>
      <c r="AE853" t="s">
        <v>3461</v>
      </c>
      <c r="AF853" t="s">
        <v>1190</v>
      </c>
    </row>
    <row r="854" spans="1:32" ht="45" x14ac:dyDescent="0.25">
      <c r="A854" s="10">
        <v>2194827</v>
      </c>
      <c r="B854" s="10">
        <v>1</v>
      </c>
      <c r="C854" s="9">
        <v>1</v>
      </c>
      <c r="D854" s="56" t="s">
        <v>3884</v>
      </c>
      <c r="E854" s="12" t="s">
        <v>584</v>
      </c>
      <c r="F854" s="45"/>
      <c r="G854" s="45"/>
      <c r="H854" s="45"/>
      <c r="I854">
        <v>2194827</v>
      </c>
      <c r="J854" t="s">
        <v>583</v>
      </c>
      <c r="K854" t="s">
        <v>3462</v>
      </c>
      <c r="L854" t="s">
        <v>1178</v>
      </c>
      <c r="M854" t="s">
        <v>1192</v>
      </c>
      <c r="N854" t="s">
        <v>599</v>
      </c>
      <c r="O854" t="s">
        <v>1293</v>
      </c>
      <c r="P854" t="s">
        <v>3463</v>
      </c>
      <c r="Q854" t="s">
        <v>599</v>
      </c>
      <c r="R854" t="s">
        <v>1182</v>
      </c>
      <c r="S854" t="s">
        <v>3464</v>
      </c>
      <c r="T854">
        <v>1880</v>
      </c>
      <c r="U854">
        <v>1880</v>
      </c>
      <c r="V854" t="s">
        <v>1872</v>
      </c>
      <c r="W854" t="s">
        <v>599</v>
      </c>
      <c r="X854" t="s">
        <v>599</v>
      </c>
      <c r="Y854" t="s">
        <v>599</v>
      </c>
      <c r="Z854" t="s">
        <v>599</v>
      </c>
      <c r="AA854" t="s">
        <v>599</v>
      </c>
      <c r="AB854" t="s">
        <v>599</v>
      </c>
      <c r="AC854" t="s">
        <v>3465</v>
      </c>
      <c r="AD854" t="s">
        <v>599</v>
      </c>
      <c r="AE854" t="s">
        <v>3466</v>
      </c>
      <c r="AF854" t="s">
        <v>1190</v>
      </c>
    </row>
    <row r="855" spans="1:32" ht="45" x14ac:dyDescent="0.25">
      <c r="A855" s="10">
        <v>2194848</v>
      </c>
      <c r="B855" s="10">
        <v>1</v>
      </c>
      <c r="C855" s="9">
        <v>1</v>
      </c>
      <c r="D855" s="56" t="s">
        <v>3885</v>
      </c>
      <c r="E855" s="12" t="s">
        <v>586</v>
      </c>
      <c r="F855" s="45"/>
      <c r="G855" s="45"/>
      <c r="H855" s="45"/>
      <c r="I855">
        <v>2194848</v>
      </c>
      <c r="J855" t="s">
        <v>585</v>
      </c>
      <c r="K855" t="s">
        <v>3467</v>
      </c>
      <c r="L855" t="s">
        <v>1178</v>
      </c>
      <c r="M855" t="s">
        <v>1192</v>
      </c>
      <c r="N855" t="s">
        <v>599</v>
      </c>
      <c r="O855" t="s">
        <v>1654</v>
      </c>
      <c r="P855" t="s">
        <v>3468</v>
      </c>
      <c r="Q855" t="s">
        <v>599</v>
      </c>
      <c r="R855" t="s">
        <v>1182</v>
      </c>
      <c r="S855" t="s">
        <v>3469</v>
      </c>
      <c r="T855">
        <v>1880</v>
      </c>
      <c r="U855">
        <v>1880</v>
      </c>
      <c r="V855" t="s">
        <v>1872</v>
      </c>
      <c r="W855" t="s">
        <v>599</v>
      </c>
      <c r="X855" t="s">
        <v>599</v>
      </c>
      <c r="Y855" t="s">
        <v>599</v>
      </c>
      <c r="Z855" t="s">
        <v>599</v>
      </c>
      <c r="AA855" t="s">
        <v>599</v>
      </c>
      <c r="AB855" t="s">
        <v>599</v>
      </c>
      <c r="AC855" t="s">
        <v>3470</v>
      </c>
      <c r="AD855" t="s">
        <v>599</v>
      </c>
      <c r="AE855" t="s">
        <v>3471</v>
      </c>
      <c r="AF855" t="s">
        <v>1190</v>
      </c>
    </row>
    <row r="856" spans="1:32" ht="45" x14ac:dyDescent="0.25">
      <c r="A856" s="10">
        <v>2194859</v>
      </c>
      <c r="B856" s="10">
        <v>1</v>
      </c>
      <c r="C856" s="9">
        <v>1</v>
      </c>
      <c r="D856" s="56" t="s">
        <v>3886</v>
      </c>
      <c r="E856" s="12" t="s">
        <v>449</v>
      </c>
      <c r="F856" s="45"/>
      <c r="G856" s="45"/>
      <c r="H856" s="45"/>
      <c r="I856">
        <v>2194859</v>
      </c>
      <c r="J856" t="s">
        <v>587</v>
      </c>
      <c r="K856" t="s">
        <v>3472</v>
      </c>
      <c r="L856" t="s">
        <v>1178</v>
      </c>
      <c r="M856" t="s">
        <v>1192</v>
      </c>
      <c r="N856" t="s">
        <v>599</v>
      </c>
      <c r="O856" t="s">
        <v>1821</v>
      </c>
      <c r="P856" t="s">
        <v>3473</v>
      </c>
      <c r="Q856" t="s">
        <v>599</v>
      </c>
      <c r="R856" t="s">
        <v>1182</v>
      </c>
      <c r="S856" t="s">
        <v>3474</v>
      </c>
      <c r="T856">
        <v>1880</v>
      </c>
      <c r="U856">
        <v>1880</v>
      </c>
      <c r="V856" t="s">
        <v>1872</v>
      </c>
      <c r="W856" t="s">
        <v>599</v>
      </c>
      <c r="X856" t="s">
        <v>599</v>
      </c>
      <c r="Y856" t="s">
        <v>599</v>
      </c>
      <c r="Z856" t="s">
        <v>599</v>
      </c>
      <c r="AA856" t="s">
        <v>599</v>
      </c>
      <c r="AB856" t="s">
        <v>599</v>
      </c>
      <c r="AC856" t="s">
        <v>3475</v>
      </c>
      <c r="AD856" t="s">
        <v>599</v>
      </c>
      <c r="AE856" t="s">
        <v>3476</v>
      </c>
      <c r="AF856" t="s">
        <v>1190</v>
      </c>
    </row>
    <row r="857" spans="1:32" ht="45" x14ac:dyDescent="0.25">
      <c r="A857" s="10">
        <v>2195077</v>
      </c>
      <c r="B857" s="10">
        <v>1</v>
      </c>
      <c r="C857" s="9">
        <v>9</v>
      </c>
      <c r="D857" s="56" t="s">
        <v>650</v>
      </c>
      <c r="E857" s="12">
        <v>9</v>
      </c>
      <c r="F857" s="45"/>
      <c r="G857" s="45"/>
      <c r="H857" s="45"/>
      <c r="I857">
        <v>2195077</v>
      </c>
      <c r="J857" t="s">
        <v>588</v>
      </c>
      <c r="K857" t="s">
        <v>3477</v>
      </c>
      <c r="L857" t="s">
        <v>1178</v>
      </c>
      <c r="M857" t="s">
        <v>1192</v>
      </c>
      <c r="N857" t="s">
        <v>599</v>
      </c>
      <c r="O857" t="s">
        <v>3478</v>
      </c>
      <c r="P857" t="s">
        <v>3479</v>
      </c>
      <c r="Q857" t="s">
        <v>599</v>
      </c>
      <c r="R857" t="s">
        <v>1182</v>
      </c>
      <c r="S857" t="s">
        <v>3480</v>
      </c>
      <c r="T857">
        <v>1880</v>
      </c>
      <c r="U857">
        <v>1880</v>
      </c>
      <c r="V857" t="s">
        <v>3481</v>
      </c>
      <c r="W857" t="s">
        <v>599</v>
      </c>
      <c r="X857" t="s">
        <v>599</v>
      </c>
      <c r="Y857" t="s">
        <v>599</v>
      </c>
      <c r="Z857" t="s">
        <v>599</v>
      </c>
      <c r="AA857" t="s">
        <v>599</v>
      </c>
      <c r="AB857" t="s">
        <v>599</v>
      </c>
      <c r="AC857" t="s">
        <v>3482</v>
      </c>
      <c r="AD857" t="s">
        <v>599</v>
      </c>
      <c r="AE857" t="s">
        <v>3483</v>
      </c>
      <c r="AF857" t="s">
        <v>1190</v>
      </c>
    </row>
    <row r="858" spans="1:32" ht="45" x14ac:dyDescent="0.25">
      <c r="A858" s="10">
        <v>2195085</v>
      </c>
      <c r="B858" s="10">
        <v>1</v>
      </c>
      <c r="C858" s="9">
        <v>1</v>
      </c>
      <c r="D858" s="56" t="s">
        <v>3887</v>
      </c>
      <c r="E858" s="12" t="s">
        <v>449</v>
      </c>
      <c r="F858" s="45"/>
      <c r="G858" s="45"/>
      <c r="H858" s="45"/>
      <c r="I858">
        <v>2195085</v>
      </c>
      <c r="J858" t="s">
        <v>589</v>
      </c>
      <c r="K858" t="s">
        <v>3484</v>
      </c>
      <c r="L858" t="s">
        <v>1178</v>
      </c>
      <c r="M858" t="s">
        <v>1192</v>
      </c>
      <c r="N858" t="s">
        <v>599</v>
      </c>
      <c r="O858" t="s">
        <v>1654</v>
      </c>
      <c r="P858" t="s">
        <v>599</v>
      </c>
      <c r="Q858" t="s">
        <v>599</v>
      </c>
      <c r="R858" t="s">
        <v>1182</v>
      </c>
      <c r="S858" t="s">
        <v>3485</v>
      </c>
      <c r="T858">
        <v>1880</v>
      </c>
      <c r="U858">
        <v>1880</v>
      </c>
      <c r="V858" t="s">
        <v>1391</v>
      </c>
      <c r="W858" t="s">
        <v>599</v>
      </c>
      <c r="X858" t="s">
        <v>599</v>
      </c>
      <c r="Y858" t="s">
        <v>599</v>
      </c>
      <c r="Z858" t="s">
        <v>599</v>
      </c>
      <c r="AA858" t="s">
        <v>599</v>
      </c>
      <c r="AB858" t="s">
        <v>599</v>
      </c>
      <c r="AC858" t="s">
        <v>3486</v>
      </c>
      <c r="AD858" t="s">
        <v>599</v>
      </c>
      <c r="AE858" t="s">
        <v>3487</v>
      </c>
      <c r="AF858" t="s">
        <v>1190</v>
      </c>
    </row>
    <row r="859" spans="1:32" ht="45" x14ac:dyDescent="0.25">
      <c r="A859" s="10">
        <v>2195086</v>
      </c>
      <c r="B859" s="10">
        <v>1</v>
      </c>
      <c r="C859" s="9">
        <v>1</v>
      </c>
      <c r="D859" s="56" t="s">
        <v>3888</v>
      </c>
      <c r="E859" s="12" t="s">
        <v>449</v>
      </c>
      <c r="F859" s="45"/>
      <c r="G859" s="45"/>
      <c r="H859" s="45"/>
      <c r="I859">
        <v>2195086</v>
      </c>
      <c r="J859" t="s">
        <v>590</v>
      </c>
      <c r="K859" t="s">
        <v>3488</v>
      </c>
      <c r="L859" t="s">
        <v>1178</v>
      </c>
      <c r="M859" t="s">
        <v>1192</v>
      </c>
      <c r="N859" t="s">
        <v>599</v>
      </c>
      <c r="O859" t="s">
        <v>1603</v>
      </c>
      <c r="P859" t="s">
        <v>3489</v>
      </c>
      <c r="Q859" t="s">
        <v>599</v>
      </c>
      <c r="R859" t="s">
        <v>1182</v>
      </c>
      <c r="S859" t="s">
        <v>3490</v>
      </c>
      <c r="T859">
        <v>1880</v>
      </c>
      <c r="U859">
        <v>1880</v>
      </c>
      <c r="V859" t="s">
        <v>1391</v>
      </c>
      <c r="W859" t="s">
        <v>599</v>
      </c>
      <c r="X859" t="s">
        <v>599</v>
      </c>
      <c r="Y859" t="s">
        <v>599</v>
      </c>
      <c r="Z859" t="s">
        <v>599</v>
      </c>
      <c r="AA859" t="s">
        <v>599</v>
      </c>
      <c r="AB859" t="s">
        <v>599</v>
      </c>
      <c r="AC859" t="s">
        <v>3491</v>
      </c>
      <c r="AD859" t="s">
        <v>599</v>
      </c>
      <c r="AE859" t="s">
        <v>3492</v>
      </c>
      <c r="AF859" t="s">
        <v>1190</v>
      </c>
    </row>
    <row r="860" spans="1:32" ht="60" x14ac:dyDescent="0.25">
      <c r="A860" s="10">
        <v>2195089</v>
      </c>
      <c r="B860" s="10">
        <v>1</v>
      </c>
      <c r="C860" s="9">
        <v>5</v>
      </c>
      <c r="D860" s="56" t="s">
        <v>3889</v>
      </c>
      <c r="E860" s="12" t="s">
        <v>592</v>
      </c>
      <c r="F860" s="45"/>
      <c r="G860" s="45"/>
      <c r="H860" s="45"/>
      <c r="I860">
        <v>2195089</v>
      </c>
      <c r="J860" t="s">
        <v>591</v>
      </c>
      <c r="K860" t="s">
        <v>3493</v>
      </c>
      <c r="L860" t="s">
        <v>1178</v>
      </c>
      <c r="M860" t="s">
        <v>1192</v>
      </c>
      <c r="N860" t="s">
        <v>599</v>
      </c>
      <c r="O860" t="s">
        <v>3494</v>
      </c>
      <c r="P860" t="s">
        <v>599</v>
      </c>
      <c r="Q860" t="s">
        <v>599</v>
      </c>
      <c r="R860" t="s">
        <v>1182</v>
      </c>
      <c r="S860" t="s">
        <v>3495</v>
      </c>
      <c r="T860">
        <v>1880</v>
      </c>
      <c r="U860">
        <v>1880</v>
      </c>
      <c r="V860" t="s">
        <v>1802</v>
      </c>
      <c r="W860" t="s">
        <v>599</v>
      </c>
      <c r="X860" t="s">
        <v>599</v>
      </c>
      <c r="Y860" t="s">
        <v>599</v>
      </c>
      <c r="Z860" t="s">
        <v>3496</v>
      </c>
      <c r="AA860" t="s">
        <v>599</v>
      </c>
      <c r="AB860" t="s">
        <v>599</v>
      </c>
      <c r="AC860" t="s">
        <v>3497</v>
      </c>
      <c r="AD860" t="s">
        <v>599</v>
      </c>
      <c r="AE860" t="s">
        <v>3498</v>
      </c>
      <c r="AF860" t="s">
        <v>1190</v>
      </c>
    </row>
    <row r="861" spans="1:32" ht="60" x14ac:dyDescent="0.25">
      <c r="A861" s="10">
        <v>2195089</v>
      </c>
      <c r="B861" s="10">
        <v>1</v>
      </c>
      <c r="C861" s="9">
        <v>7</v>
      </c>
      <c r="D861" s="56" t="s">
        <v>3890</v>
      </c>
      <c r="E861" s="12" t="s">
        <v>592</v>
      </c>
      <c r="F861" s="45"/>
      <c r="G861" s="45"/>
      <c r="H861" s="45"/>
      <c r="I861">
        <v>2195089</v>
      </c>
      <c r="J861" t="s">
        <v>591</v>
      </c>
      <c r="K861" t="s">
        <v>3493</v>
      </c>
      <c r="L861" t="s">
        <v>1178</v>
      </c>
      <c r="M861" t="s">
        <v>1192</v>
      </c>
      <c r="N861" t="s">
        <v>599</v>
      </c>
      <c r="O861" t="s">
        <v>3494</v>
      </c>
      <c r="P861" t="s">
        <v>599</v>
      </c>
      <c r="Q861" t="s">
        <v>599</v>
      </c>
      <c r="R861" t="s">
        <v>1182</v>
      </c>
      <c r="S861" t="s">
        <v>3495</v>
      </c>
      <c r="T861">
        <v>1880</v>
      </c>
      <c r="U861">
        <v>1880</v>
      </c>
      <c r="V861" t="s">
        <v>1802</v>
      </c>
      <c r="W861" t="s">
        <v>599</v>
      </c>
      <c r="X861" t="s">
        <v>599</v>
      </c>
      <c r="Y861" t="s">
        <v>599</v>
      </c>
      <c r="Z861" t="s">
        <v>3496</v>
      </c>
      <c r="AA861" t="s">
        <v>599</v>
      </c>
      <c r="AB861" t="s">
        <v>599</v>
      </c>
      <c r="AC861" t="s">
        <v>3497</v>
      </c>
      <c r="AD861" t="s">
        <v>599</v>
      </c>
      <c r="AE861" t="s">
        <v>3498</v>
      </c>
      <c r="AF861" t="s">
        <v>1190</v>
      </c>
    </row>
    <row r="862" spans="1:32" ht="60" x14ac:dyDescent="0.25">
      <c r="A862" s="10">
        <v>2195089</v>
      </c>
      <c r="B862" s="10">
        <v>1</v>
      </c>
      <c r="C862" s="9">
        <v>8</v>
      </c>
      <c r="D862" s="56" t="s">
        <v>3891</v>
      </c>
      <c r="E862" s="12" t="s">
        <v>592</v>
      </c>
      <c r="F862" s="45"/>
      <c r="G862" s="45"/>
      <c r="H862" s="45"/>
      <c r="I862">
        <v>2195089</v>
      </c>
      <c r="J862" t="s">
        <v>591</v>
      </c>
      <c r="K862" t="s">
        <v>3493</v>
      </c>
      <c r="L862" t="s">
        <v>1178</v>
      </c>
      <c r="M862" t="s">
        <v>1192</v>
      </c>
      <c r="N862" t="s">
        <v>599</v>
      </c>
      <c r="O862" t="s">
        <v>3494</v>
      </c>
      <c r="P862" t="s">
        <v>599</v>
      </c>
      <c r="Q862" t="s">
        <v>599</v>
      </c>
      <c r="R862" t="s">
        <v>1182</v>
      </c>
      <c r="S862" t="s">
        <v>3495</v>
      </c>
      <c r="T862">
        <v>1880</v>
      </c>
      <c r="U862">
        <v>1880</v>
      </c>
      <c r="V862" t="s">
        <v>1802</v>
      </c>
      <c r="W862" t="s">
        <v>599</v>
      </c>
      <c r="X862" t="s">
        <v>599</v>
      </c>
      <c r="Y862" t="s">
        <v>599</v>
      </c>
      <c r="Z862" t="s">
        <v>3496</v>
      </c>
      <c r="AA862" t="s">
        <v>599</v>
      </c>
      <c r="AB862" t="s">
        <v>599</v>
      </c>
      <c r="AC862" t="s">
        <v>3497</v>
      </c>
      <c r="AD862" t="s">
        <v>599</v>
      </c>
      <c r="AE862" t="s">
        <v>3498</v>
      </c>
      <c r="AF862" t="s">
        <v>1190</v>
      </c>
    </row>
    <row r="863" spans="1:32" ht="60" x14ac:dyDescent="0.25">
      <c r="A863" s="10">
        <v>2195089</v>
      </c>
      <c r="B863" s="10">
        <v>1</v>
      </c>
      <c r="C863" s="9">
        <v>9</v>
      </c>
      <c r="D863" s="56" t="s">
        <v>3892</v>
      </c>
      <c r="E863" s="12" t="s">
        <v>592</v>
      </c>
      <c r="F863" s="45"/>
      <c r="G863" s="45"/>
      <c r="H863" s="45"/>
      <c r="I863">
        <v>2195089</v>
      </c>
      <c r="J863" t="s">
        <v>591</v>
      </c>
      <c r="K863" t="s">
        <v>3493</v>
      </c>
      <c r="L863" t="s">
        <v>1178</v>
      </c>
      <c r="M863" t="s">
        <v>1192</v>
      </c>
      <c r="N863" t="s">
        <v>599</v>
      </c>
      <c r="O863" t="s">
        <v>3494</v>
      </c>
      <c r="P863" t="s">
        <v>599</v>
      </c>
      <c r="Q863" t="s">
        <v>599</v>
      </c>
      <c r="R863" t="s">
        <v>1182</v>
      </c>
      <c r="S863" t="s">
        <v>3495</v>
      </c>
      <c r="T863">
        <v>1880</v>
      </c>
      <c r="U863">
        <v>1880</v>
      </c>
      <c r="V863" t="s">
        <v>1802</v>
      </c>
      <c r="W863" t="s">
        <v>599</v>
      </c>
      <c r="X863" t="s">
        <v>599</v>
      </c>
      <c r="Y863" t="s">
        <v>599</v>
      </c>
      <c r="Z863" t="s">
        <v>3496</v>
      </c>
      <c r="AA863" t="s">
        <v>599</v>
      </c>
      <c r="AB863" t="s">
        <v>599</v>
      </c>
      <c r="AC863" t="s">
        <v>3497</v>
      </c>
      <c r="AD863" t="s">
        <v>599</v>
      </c>
      <c r="AE863" t="s">
        <v>3498</v>
      </c>
      <c r="AF863" t="s">
        <v>1190</v>
      </c>
    </row>
    <row r="864" spans="1:32" ht="60" x14ac:dyDescent="0.25">
      <c r="A864" s="10">
        <v>2195089</v>
      </c>
      <c r="B864" s="10">
        <v>1</v>
      </c>
      <c r="C864" s="9">
        <v>10</v>
      </c>
      <c r="D864" s="56" t="s">
        <v>3893</v>
      </c>
      <c r="E864" s="12" t="s">
        <v>592</v>
      </c>
      <c r="F864" s="45"/>
      <c r="G864" s="45"/>
      <c r="H864" s="45"/>
      <c r="I864">
        <v>2195089</v>
      </c>
      <c r="J864" t="s">
        <v>591</v>
      </c>
      <c r="K864" t="s">
        <v>3493</v>
      </c>
      <c r="L864" t="s">
        <v>1178</v>
      </c>
      <c r="M864" t="s">
        <v>1192</v>
      </c>
      <c r="N864" t="s">
        <v>599</v>
      </c>
      <c r="O864" t="s">
        <v>3494</v>
      </c>
      <c r="P864" t="s">
        <v>599</v>
      </c>
      <c r="Q864" t="s">
        <v>599</v>
      </c>
      <c r="R864" t="s">
        <v>1182</v>
      </c>
      <c r="S864" t="s">
        <v>3495</v>
      </c>
      <c r="T864">
        <v>1880</v>
      </c>
      <c r="U864">
        <v>1880</v>
      </c>
      <c r="V864" t="s">
        <v>1802</v>
      </c>
      <c r="W864" t="s">
        <v>599</v>
      </c>
      <c r="X864" t="s">
        <v>599</v>
      </c>
      <c r="Y864" t="s">
        <v>599</v>
      </c>
      <c r="Z864" t="s">
        <v>3496</v>
      </c>
      <c r="AA864" t="s">
        <v>599</v>
      </c>
      <c r="AB864" t="s">
        <v>599</v>
      </c>
      <c r="AC864" t="s">
        <v>3497</v>
      </c>
      <c r="AD864" t="s">
        <v>599</v>
      </c>
      <c r="AE864" t="s">
        <v>3498</v>
      </c>
      <c r="AF864" t="s">
        <v>1190</v>
      </c>
    </row>
    <row r="865" spans="1:32" ht="60" x14ac:dyDescent="0.25">
      <c r="A865" s="10">
        <v>2195089</v>
      </c>
      <c r="B865" s="10">
        <v>1</v>
      </c>
      <c r="C865" s="9">
        <v>11</v>
      </c>
      <c r="D865" s="56" t="s">
        <v>3894</v>
      </c>
      <c r="E865" s="12" t="s">
        <v>592</v>
      </c>
      <c r="F865" s="45"/>
      <c r="G865" s="45"/>
      <c r="H865" s="45"/>
      <c r="I865">
        <v>2195089</v>
      </c>
      <c r="J865" t="s">
        <v>591</v>
      </c>
      <c r="K865" t="s">
        <v>3493</v>
      </c>
      <c r="L865" t="s">
        <v>1178</v>
      </c>
      <c r="M865" t="s">
        <v>1192</v>
      </c>
      <c r="N865" t="s">
        <v>599</v>
      </c>
      <c r="O865" t="s">
        <v>3494</v>
      </c>
      <c r="P865" t="s">
        <v>599</v>
      </c>
      <c r="Q865" t="s">
        <v>599</v>
      </c>
      <c r="R865" t="s">
        <v>1182</v>
      </c>
      <c r="S865" t="s">
        <v>3495</v>
      </c>
      <c r="T865">
        <v>1880</v>
      </c>
      <c r="U865">
        <v>1880</v>
      </c>
      <c r="V865" t="s">
        <v>1802</v>
      </c>
      <c r="W865" t="s">
        <v>599</v>
      </c>
      <c r="X865" t="s">
        <v>599</v>
      </c>
      <c r="Y865" t="s">
        <v>599</v>
      </c>
      <c r="Z865" t="s">
        <v>3496</v>
      </c>
      <c r="AA865" t="s">
        <v>599</v>
      </c>
      <c r="AB865" t="s">
        <v>599</v>
      </c>
      <c r="AC865" t="s">
        <v>3497</v>
      </c>
      <c r="AD865" t="s">
        <v>599</v>
      </c>
      <c r="AE865" t="s">
        <v>3498</v>
      </c>
      <c r="AF865" t="s">
        <v>1190</v>
      </c>
    </row>
    <row r="866" spans="1:32" ht="45" x14ac:dyDescent="0.25">
      <c r="A866" s="10">
        <v>2195091</v>
      </c>
      <c r="B866" s="10">
        <v>1</v>
      </c>
      <c r="C866" s="9">
        <v>5</v>
      </c>
      <c r="D866" s="56" t="s">
        <v>3895</v>
      </c>
      <c r="E866" s="12" t="s">
        <v>529</v>
      </c>
      <c r="F866" s="45"/>
      <c r="G866" s="45"/>
      <c r="H866" s="45"/>
      <c r="I866">
        <v>2195091</v>
      </c>
      <c r="J866" t="s">
        <v>594</v>
      </c>
      <c r="K866" t="s">
        <v>3499</v>
      </c>
      <c r="L866" t="s">
        <v>1178</v>
      </c>
      <c r="M866" t="s">
        <v>1192</v>
      </c>
      <c r="N866" t="s">
        <v>599</v>
      </c>
      <c r="O866" t="s">
        <v>3500</v>
      </c>
      <c r="P866" t="s">
        <v>3501</v>
      </c>
      <c r="Q866" t="s">
        <v>599</v>
      </c>
      <c r="R866" t="s">
        <v>1182</v>
      </c>
      <c r="S866" t="s">
        <v>3502</v>
      </c>
      <c r="T866">
        <v>1880</v>
      </c>
      <c r="U866">
        <v>1880</v>
      </c>
      <c r="V866" t="s">
        <v>1872</v>
      </c>
      <c r="W866" t="s">
        <v>599</v>
      </c>
      <c r="X866" t="s">
        <v>599</v>
      </c>
      <c r="Y866" t="s">
        <v>599</v>
      </c>
      <c r="Z866" t="s">
        <v>599</v>
      </c>
      <c r="AA866" t="s">
        <v>599</v>
      </c>
      <c r="AB866" t="s">
        <v>599</v>
      </c>
      <c r="AC866" t="s">
        <v>3503</v>
      </c>
      <c r="AD866" t="s">
        <v>599</v>
      </c>
      <c r="AE866" t="s">
        <v>3504</v>
      </c>
      <c r="AF866" t="s">
        <v>1190</v>
      </c>
    </row>
    <row r="867" spans="1:32" ht="45" x14ac:dyDescent="0.25">
      <c r="A867" s="10">
        <v>2195211</v>
      </c>
      <c r="B867" s="10">
        <v>1</v>
      </c>
      <c r="C867" s="9">
        <v>11</v>
      </c>
      <c r="D867" s="56" t="s">
        <v>3896</v>
      </c>
      <c r="E867" s="12" t="s">
        <v>596</v>
      </c>
      <c r="F867" s="45"/>
      <c r="G867" s="45"/>
      <c r="H867" s="45"/>
      <c r="I867">
        <v>2195211</v>
      </c>
      <c r="J867" t="s">
        <v>595</v>
      </c>
      <c r="K867" t="s">
        <v>3505</v>
      </c>
      <c r="L867" t="s">
        <v>1178</v>
      </c>
      <c r="M867" t="s">
        <v>1192</v>
      </c>
      <c r="N867" t="s">
        <v>599</v>
      </c>
      <c r="O867" t="s">
        <v>3506</v>
      </c>
      <c r="P867" t="s">
        <v>599</v>
      </c>
      <c r="Q867" t="s">
        <v>599</v>
      </c>
      <c r="R867" t="s">
        <v>1182</v>
      </c>
      <c r="S867" t="s">
        <v>3507</v>
      </c>
      <c r="T867">
        <v>1880</v>
      </c>
      <c r="U867">
        <v>1880</v>
      </c>
      <c r="V867" t="s">
        <v>3508</v>
      </c>
      <c r="W867" t="s">
        <v>599</v>
      </c>
      <c r="X867" t="s">
        <v>599</v>
      </c>
      <c r="Y867" t="s">
        <v>599</v>
      </c>
      <c r="Z867" t="s">
        <v>599</v>
      </c>
      <c r="AA867" t="s">
        <v>599</v>
      </c>
      <c r="AB867" t="s">
        <v>599</v>
      </c>
      <c r="AC867" t="s">
        <v>3509</v>
      </c>
      <c r="AD867" t="s">
        <v>599</v>
      </c>
      <c r="AE867" t="s">
        <v>3510</v>
      </c>
      <c r="AF867" t="s">
        <v>1190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588320-49A3-45AD-AD32-73AAC00E3693}">
          <x14:formula1>
            <xm:f>categorias!$D$1:$D$28</xm:f>
          </x14:formula1>
          <xm:sqref>F2:H867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AD96-50DB-473C-AC5D-50F24E69C957}">
  <dimension ref="A1:AT867"/>
  <sheetViews>
    <sheetView topLeftCell="B1" workbookViewId="0">
      <selection activeCell="F1" sqref="F1:F1048576"/>
    </sheetView>
  </sheetViews>
  <sheetFormatPr defaultRowHeight="15" x14ac:dyDescent="0.25"/>
  <cols>
    <col min="1" max="1" width="0" hidden="1" customWidth="1"/>
    <col min="2" max="2" width="18.42578125" style="4" bestFit="1" customWidth="1"/>
    <col min="3" max="3" width="17.140625" style="4" bestFit="1" customWidth="1"/>
    <col min="4" max="4" width="10.28515625" bestFit="1" customWidth="1"/>
    <col min="5" max="5" width="26" customWidth="1"/>
    <col min="6" max="6" width="59.7109375" style="8" customWidth="1"/>
    <col min="7" max="7" width="75.7109375" style="8" customWidth="1"/>
    <col min="8" max="8" width="25.85546875" style="8" customWidth="1"/>
    <col min="9" max="9" width="84.28515625" style="8" customWidth="1"/>
    <col min="13" max="13" width="34.7109375" customWidth="1"/>
    <col min="15" max="15" width="99.85546875" bestFit="1" customWidth="1"/>
  </cols>
  <sheetData>
    <row r="1" spans="1:46" ht="18.75" x14ac:dyDescent="0.3">
      <c r="A1" s="1" t="s">
        <v>0</v>
      </c>
      <c r="B1" s="5" t="s">
        <v>598</v>
      </c>
      <c r="C1" s="5" t="s">
        <v>597</v>
      </c>
      <c r="D1" s="6" t="s">
        <v>4</v>
      </c>
      <c r="E1" s="6" t="s">
        <v>1</v>
      </c>
      <c r="F1" s="7" t="s">
        <v>2</v>
      </c>
      <c r="G1" s="6" t="s">
        <v>3</v>
      </c>
      <c r="H1" s="37" t="s">
        <v>1143</v>
      </c>
      <c r="I1" s="51" t="s">
        <v>3512</v>
      </c>
      <c r="J1" s="44" t="s">
        <v>1132</v>
      </c>
      <c r="K1" s="44" t="s">
        <v>1133</v>
      </c>
      <c r="L1" s="44" t="s">
        <v>1134</v>
      </c>
      <c r="M1" t="s">
        <v>1146</v>
      </c>
      <c r="N1" t="s">
        <v>1144</v>
      </c>
      <c r="O1" t="s">
        <v>1145</v>
      </c>
      <c r="P1" t="s">
        <v>1147</v>
      </c>
      <c r="Q1" t="s">
        <v>1</v>
      </c>
      <c r="R1" t="s">
        <v>1148</v>
      </c>
      <c r="S1" t="s">
        <v>1149</v>
      </c>
      <c r="T1" t="s">
        <v>1150</v>
      </c>
      <c r="U1" t="s">
        <v>1151</v>
      </c>
      <c r="V1" t="s">
        <v>1152</v>
      </c>
      <c r="W1" t="s">
        <v>1153</v>
      </c>
      <c r="X1" t="s">
        <v>1154</v>
      </c>
      <c r="Y1" t="s">
        <v>1155</v>
      </c>
      <c r="Z1" t="s">
        <v>1156</v>
      </c>
      <c r="AA1" t="s">
        <v>1157</v>
      </c>
      <c r="AB1" t="s">
        <v>1158</v>
      </c>
      <c r="AC1" t="s">
        <v>1159</v>
      </c>
      <c r="AD1" t="s">
        <v>1160</v>
      </c>
      <c r="AE1" t="s">
        <v>1161</v>
      </c>
      <c r="AF1" t="s">
        <v>1162</v>
      </c>
      <c r="AG1" t="s">
        <v>1163</v>
      </c>
      <c r="AH1" t="s">
        <v>1164</v>
      </c>
      <c r="AI1" t="s">
        <v>1165</v>
      </c>
      <c r="AJ1" t="s">
        <v>1166</v>
      </c>
      <c r="AK1" t="s">
        <v>1167</v>
      </c>
      <c r="AL1" t="s">
        <v>1168</v>
      </c>
      <c r="AM1" t="s">
        <v>1169</v>
      </c>
      <c r="AN1" t="s">
        <v>1170</v>
      </c>
      <c r="AO1" t="s">
        <v>1171</v>
      </c>
      <c r="AP1" t="s">
        <v>1172</v>
      </c>
      <c r="AQ1" t="s">
        <v>1173</v>
      </c>
      <c r="AR1" t="s">
        <v>1174</v>
      </c>
      <c r="AS1" t="s">
        <v>1175</v>
      </c>
      <c r="AT1" t="s">
        <v>1176</v>
      </c>
    </row>
    <row r="2" spans="1:46" s="13" customFormat="1" ht="30" x14ac:dyDescent="0.25">
      <c r="A2" s="9">
        <v>9951</v>
      </c>
      <c r="B2" s="10">
        <v>367428</v>
      </c>
      <c r="C2" s="10">
        <v>1</v>
      </c>
      <c r="D2" s="9">
        <v>1</v>
      </c>
      <c r="E2" s="11" t="s">
        <v>6</v>
      </c>
      <c r="F2" s="12">
        <v>1</v>
      </c>
      <c r="G2" s="9">
        <v>1</v>
      </c>
      <c r="H2" s="38"/>
      <c r="I2" s="55" t="str">
        <f>HYPERLINK(O2)</f>
        <v>https://permalinkbnd.bnportugal.gov.pt/viewer/272369/?offset=#page=1&amp;viewer=picture&amp;o=info&amp;n=0&amp;q=</v>
      </c>
      <c r="J2" s="45"/>
      <c r="K2" s="45"/>
      <c r="L2" s="45"/>
      <c r="M2" t="s">
        <v>6</v>
      </c>
      <c r="N2">
        <v>272369</v>
      </c>
      <c r="O2" t="str">
        <f t="shared" ref="O2:O65" si="0">CONCATENATE("https://permalinkbnd.bnportugal.gov.pt/viewer/",N2,"/?offset=#page=",D2,"&amp;viewer=picture&amp;o=info&amp;n=0&amp;q=")</f>
        <v>https://permalinkbnd.bnportugal.gov.pt/viewer/272369/?offset=#page=1&amp;viewer=picture&amp;o=info&amp;n=0&amp;q=</v>
      </c>
      <c r="P2">
        <v>367428</v>
      </c>
      <c r="Q2" t="s">
        <v>6</v>
      </c>
      <c r="R2" t="s">
        <v>1177</v>
      </c>
      <c r="S2" t="s">
        <v>1178</v>
      </c>
      <c r="T2" t="s">
        <v>1179</v>
      </c>
      <c r="U2" t="s">
        <v>599</v>
      </c>
      <c r="V2" t="s">
        <v>1180</v>
      </c>
      <c r="W2" t="s">
        <v>1181</v>
      </c>
      <c r="X2" t="s">
        <v>599</v>
      </c>
      <c r="Y2" t="s">
        <v>1182</v>
      </c>
      <c r="Z2" t="s">
        <v>1183</v>
      </c>
      <c r="AA2">
        <v>1882</v>
      </c>
      <c r="AB2">
        <v>1882</v>
      </c>
      <c r="AC2" t="s">
        <v>1184</v>
      </c>
      <c r="AD2" t="s">
        <v>1185</v>
      </c>
      <c r="AE2" t="s">
        <v>599</v>
      </c>
      <c r="AF2" t="s">
        <v>599</v>
      </c>
      <c r="AG2" t="s">
        <v>1186</v>
      </c>
      <c r="AH2" t="s">
        <v>599</v>
      </c>
      <c r="AI2" t="s">
        <v>599</v>
      </c>
      <c r="AJ2" t="s">
        <v>1187</v>
      </c>
      <c r="AK2" t="s">
        <v>1188</v>
      </c>
      <c r="AL2" t="s">
        <v>1189</v>
      </c>
      <c r="AM2" t="s">
        <v>1190</v>
      </c>
      <c r="AN2" t="s">
        <v>599</v>
      </c>
      <c r="AO2" t="s">
        <v>599</v>
      </c>
      <c r="AP2" t="s">
        <v>599</v>
      </c>
      <c r="AQ2" t="s">
        <v>599</v>
      </c>
      <c r="AR2" t="s">
        <v>599</v>
      </c>
      <c r="AS2" t="s">
        <v>599</v>
      </c>
      <c r="AT2" t="s">
        <v>599</v>
      </c>
    </row>
    <row r="3" spans="1:46" s="13" customFormat="1" ht="75" x14ac:dyDescent="0.25">
      <c r="A3" s="9">
        <v>9968</v>
      </c>
      <c r="B3" s="10">
        <v>381074</v>
      </c>
      <c r="C3" s="10">
        <v>1</v>
      </c>
      <c r="D3" s="9">
        <v>499</v>
      </c>
      <c r="E3" s="11" t="s">
        <v>8</v>
      </c>
      <c r="F3" s="12" t="s">
        <v>9</v>
      </c>
      <c r="G3" s="9" t="s">
        <v>10</v>
      </c>
      <c r="H3" s="38"/>
      <c r="I3" s="55" t="str">
        <f t="shared" ref="I3:I66" si="1">HYPERLINK(O3)</f>
        <v>https://permalinkbnd.bnportugal.gov.pt/viewer/274089/?offset=#page=499&amp;viewer=picture&amp;o=info&amp;n=0&amp;q=</v>
      </c>
      <c r="J3" s="45"/>
      <c r="K3" s="45"/>
      <c r="L3" s="45"/>
      <c r="M3" t="s">
        <v>8</v>
      </c>
      <c r="N3">
        <v>274089</v>
      </c>
      <c r="O3" t="str">
        <f t="shared" si="0"/>
        <v>https://permalinkbnd.bnportugal.gov.pt/viewer/274089/?offset=#page=499&amp;viewer=picture&amp;o=info&amp;n=0&amp;q=</v>
      </c>
      <c r="P3">
        <v>381074</v>
      </c>
      <c r="Q3" t="s">
        <v>8</v>
      </c>
      <c r="R3" t="s">
        <v>1191</v>
      </c>
      <c r="S3" t="s">
        <v>1178</v>
      </c>
      <c r="T3" t="s">
        <v>1192</v>
      </c>
      <c r="U3" t="s">
        <v>599</v>
      </c>
      <c r="V3" t="s">
        <v>1193</v>
      </c>
      <c r="W3" t="s">
        <v>1194</v>
      </c>
      <c r="X3" t="s">
        <v>599</v>
      </c>
      <c r="Y3" t="s">
        <v>1182</v>
      </c>
      <c r="Z3" t="s">
        <v>1195</v>
      </c>
      <c r="AA3">
        <v>1880</v>
      </c>
      <c r="AB3">
        <v>1880</v>
      </c>
      <c r="AC3" t="s">
        <v>1196</v>
      </c>
      <c r="AD3" t="s">
        <v>1185</v>
      </c>
      <c r="AE3" t="s">
        <v>599</v>
      </c>
      <c r="AF3" t="s">
        <v>599</v>
      </c>
      <c r="AG3" t="s">
        <v>1197</v>
      </c>
      <c r="AH3" t="s">
        <v>599</v>
      </c>
      <c r="AI3" t="s">
        <v>1198</v>
      </c>
      <c r="AJ3" t="s">
        <v>1199</v>
      </c>
      <c r="AK3" t="s">
        <v>1188</v>
      </c>
      <c r="AL3" t="s">
        <v>1200</v>
      </c>
      <c r="AM3" t="s">
        <v>1190</v>
      </c>
      <c r="AN3" t="s">
        <v>599</v>
      </c>
      <c r="AO3" t="s">
        <v>599</v>
      </c>
      <c r="AP3" t="s">
        <v>599</v>
      </c>
      <c r="AQ3" t="s">
        <v>599</v>
      </c>
      <c r="AR3" t="s">
        <v>599</v>
      </c>
      <c r="AS3" t="s">
        <v>599</v>
      </c>
      <c r="AT3" t="s">
        <v>599</v>
      </c>
    </row>
    <row r="4" spans="1:46" s="13" customFormat="1" ht="90" x14ac:dyDescent="0.25">
      <c r="A4" s="9">
        <v>9993</v>
      </c>
      <c r="B4" s="10">
        <v>381465</v>
      </c>
      <c r="C4" s="10">
        <v>1</v>
      </c>
      <c r="D4" s="9">
        <v>644</v>
      </c>
      <c r="E4" s="11" t="s">
        <v>11</v>
      </c>
      <c r="F4" s="12" t="s">
        <v>12</v>
      </c>
      <c r="G4" s="9" t="s">
        <v>13</v>
      </c>
      <c r="H4" s="38"/>
      <c r="I4" s="55" t="str">
        <f t="shared" si="1"/>
        <v>https://permalinkbnd.bnportugal.gov.pt/viewer/271573/?offset=#page=644&amp;viewer=picture&amp;o=info&amp;n=0&amp;q=</v>
      </c>
      <c r="J4" s="45"/>
      <c r="K4" s="45"/>
      <c r="L4" s="45"/>
      <c r="M4" t="s">
        <v>11</v>
      </c>
      <c r="N4">
        <v>271573</v>
      </c>
      <c r="O4" t="str">
        <f t="shared" si="0"/>
        <v>https://permalinkbnd.bnportugal.gov.pt/viewer/271573/?offset=#page=644&amp;viewer=picture&amp;o=info&amp;n=0&amp;q=</v>
      </c>
      <c r="P4">
        <v>381465</v>
      </c>
      <c r="Q4" t="s">
        <v>11</v>
      </c>
      <c r="R4" t="s">
        <v>1201</v>
      </c>
      <c r="S4" t="s">
        <v>1178</v>
      </c>
      <c r="T4" t="s">
        <v>1192</v>
      </c>
      <c r="U4" t="s">
        <v>599</v>
      </c>
      <c r="V4" t="s">
        <v>1193</v>
      </c>
      <c r="W4" t="s">
        <v>1202</v>
      </c>
      <c r="X4" t="s">
        <v>599</v>
      </c>
      <c r="Y4" t="s">
        <v>1182</v>
      </c>
      <c r="Z4" t="s">
        <v>1203</v>
      </c>
      <c r="AA4">
        <v>1898</v>
      </c>
      <c r="AB4">
        <v>1898</v>
      </c>
      <c r="AC4" t="s">
        <v>1204</v>
      </c>
      <c r="AD4" t="s">
        <v>1185</v>
      </c>
      <c r="AE4" t="s">
        <v>599</v>
      </c>
      <c r="AF4" t="s">
        <v>599</v>
      </c>
      <c r="AG4" t="s">
        <v>1205</v>
      </c>
      <c r="AH4" t="s">
        <v>599</v>
      </c>
      <c r="AI4" t="s">
        <v>599</v>
      </c>
      <c r="AJ4" t="s">
        <v>1206</v>
      </c>
      <c r="AK4" t="s">
        <v>1188</v>
      </c>
      <c r="AL4" t="s">
        <v>1207</v>
      </c>
      <c r="AM4" t="s">
        <v>1190</v>
      </c>
      <c r="AN4" t="s">
        <v>599</v>
      </c>
      <c r="AO4" t="s">
        <v>599</v>
      </c>
      <c r="AP4" t="s">
        <v>599</v>
      </c>
      <c r="AQ4" t="s">
        <v>599</v>
      </c>
      <c r="AR4" t="s">
        <v>599</v>
      </c>
      <c r="AS4" t="s">
        <v>599</v>
      </c>
      <c r="AT4" t="s">
        <v>599</v>
      </c>
    </row>
    <row r="5" spans="1:46" s="13" customFormat="1" ht="30" x14ac:dyDescent="0.25">
      <c r="A5" s="9">
        <v>9994</v>
      </c>
      <c r="B5" s="10">
        <v>381468</v>
      </c>
      <c r="C5" s="10">
        <v>1</v>
      </c>
      <c r="D5" s="9">
        <v>8</v>
      </c>
      <c r="E5" s="11" t="s">
        <v>14</v>
      </c>
      <c r="F5" s="12" t="s">
        <v>15</v>
      </c>
      <c r="G5" s="9">
        <v>8</v>
      </c>
      <c r="H5" s="38"/>
      <c r="I5" s="55" t="str">
        <f t="shared" si="1"/>
        <v>https://permalinkbnd.bnportugal.gov.pt/viewer/274087/?offset=#page=8&amp;viewer=picture&amp;o=info&amp;n=0&amp;q=</v>
      </c>
      <c r="J5" s="45"/>
      <c r="K5" s="45"/>
      <c r="L5" s="45"/>
      <c r="M5" t="s">
        <v>14</v>
      </c>
      <c r="N5">
        <v>274087</v>
      </c>
      <c r="O5" t="str">
        <f t="shared" si="0"/>
        <v>https://permalinkbnd.bnportugal.gov.pt/viewer/274087/?offset=#page=8&amp;viewer=picture&amp;o=info&amp;n=0&amp;q=</v>
      </c>
      <c r="P5">
        <v>381468</v>
      </c>
      <c r="Q5" t="s">
        <v>14</v>
      </c>
      <c r="R5" t="s">
        <v>1208</v>
      </c>
      <c r="S5" t="s">
        <v>1178</v>
      </c>
      <c r="T5" t="s">
        <v>1209</v>
      </c>
      <c r="U5" t="s">
        <v>1192</v>
      </c>
      <c r="V5" t="s">
        <v>1210</v>
      </c>
      <c r="W5" t="s">
        <v>599</v>
      </c>
      <c r="X5" t="s">
        <v>599</v>
      </c>
      <c r="Y5" t="s">
        <v>1211</v>
      </c>
      <c r="Z5" t="s">
        <v>1212</v>
      </c>
      <c r="AA5">
        <v>1873</v>
      </c>
      <c r="AB5">
        <v>1873</v>
      </c>
      <c r="AC5" t="s">
        <v>1213</v>
      </c>
      <c r="AD5" t="s">
        <v>1185</v>
      </c>
      <c r="AE5" t="s">
        <v>599</v>
      </c>
      <c r="AF5" t="s">
        <v>599</v>
      </c>
      <c r="AG5" t="s">
        <v>1214</v>
      </c>
      <c r="AH5" t="s">
        <v>599</v>
      </c>
      <c r="AI5" t="s">
        <v>599</v>
      </c>
      <c r="AJ5" t="s">
        <v>1215</v>
      </c>
      <c r="AK5" t="s">
        <v>1188</v>
      </c>
      <c r="AL5" t="s">
        <v>1216</v>
      </c>
      <c r="AM5" t="s">
        <v>1190</v>
      </c>
      <c r="AN5" t="s">
        <v>599</v>
      </c>
      <c r="AO5" t="s">
        <v>599</v>
      </c>
      <c r="AP5" t="s">
        <v>599</v>
      </c>
      <c r="AQ5" t="s">
        <v>599</v>
      </c>
      <c r="AR5" t="s">
        <v>599</v>
      </c>
      <c r="AS5" t="s">
        <v>599</v>
      </c>
      <c r="AT5" t="s">
        <v>599</v>
      </c>
    </row>
    <row r="6" spans="1:46" s="13" customFormat="1" ht="30" x14ac:dyDescent="0.25">
      <c r="A6" s="9">
        <v>9995</v>
      </c>
      <c r="B6" s="10">
        <v>381701</v>
      </c>
      <c r="C6" s="10">
        <v>1</v>
      </c>
      <c r="D6" s="9">
        <v>11</v>
      </c>
      <c r="E6" s="11" t="s">
        <v>16</v>
      </c>
      <c r="F6" s="12">
        <v>11</v>
      </c>
      <c r="G6" s="9">
        <v>11</v>
      </c>
      <c r="H6" s="38"/>
      <c r="I6" s="55" t="str">
        <f t="shared" si="1"/>
        <v>https://permalinkbnd.bnportugal.gov.pt/viewer/281141/?offset=#page=11&amp;viewer=picture&amp;o=info&amp;n=0&amp;q=</v>
      </c>
      <c r="J6" s="45"/>
      <c r="K6" s="45"/>
      <c r="L6" s="45"/>
      <c r="M6" t="s">
        <v>16</v>
      </c>
      <c r="N6">
        <v>281141</v>
      </c>
      <c r="O6" t="str">
        <f t="shared" si="0"/>
        <v>https://permalinkbnd.bnportugal.gov.pt/viewer/281141/?offset=#page=11&amp;viewer=picture&amp;o=info&amp;n=0&amp;q=</v>
      </c>
      <c r="P6">
        <v>381701</v>
      </c>
      <c r="Q6" t="s">
        <v>16</v>
      </c>
      <c r="R6" t="s">
        <v>1217</v>
      </c>
      <c r="S6" t="s">
        <v>1178</v>
      </c>
      <c r="T6" t="s">
        <v>1218</v>
      </c>
      <c r="U6" t="s">
        <v>1192</v>
      </c>
      <c r="V6" t="s">
        <v>1219</v>
      </c>
      <c r="W6" t="s">
        <v>1220</v>
      </c>
      <c r="X6" t="s">
        <v>599</v>
      </c>
      <c r="Y6" t="s">
        <v>1182</v>
      </c>
      <c r="Z6" t="s">
        <v>1221</v>
      </c>
      <c r="AA6">
        <v>1873</v>
      </c>
      <c r="AB6">
        <v>1873</v>
      </c>
      <c r="AC6" t="s">
        <v>1222</v>
      </c>
      <c r="AD6" t="s">
        <v>1185</v>
      </c>
      <c r="AE6" t="s">
        <v>599</v>
      </c>
      <c r="AF6" t="s">
        <v>599</v>
      </c>
      <c r="AG6" t="s">
        <v>599</v>
      </c>
      <c r="AH6" t="s">
        <v>599</v>
      </c>
      <c r="AI6" t="s">
        <v>599</v>
      </c>
      <c r="AJ6" t="s">
        <v>1223</v>
      </c>
      <c r="AK6" t="s">
        <v>1188</v>
      </c>
      <c r="AL6" t="s">
        <v>1224</v>
      </c>
      <c r="AM6" t="s">
        <v>1190</v>
      </c>
      <c r="AN6" t="s">
        <v>599</v>
      </c>
      <c r="AO6" t="s">
        <v>599</v>
      </c>
      <c r="AP6" t="s">
        <v>599</v>
      </c>
      <c r="AQ6" t="s">
        <v>599</v>
      </c>
      <c r="AR6" t="s">
        <v>599</v>
      </c>
      <c r="AS6" t="s">
        <v>599</v>
      </c>
      <c r="AT6" t="s">
        <v>599</v>
      </c>
    </row>
    <row r="7" spans="1:46" s="13" customFormat="1" ht="30" x14ac:dyDescent="0.25">
      <c r="A7" s="9">
        <v>9998</v>
      </c>
      <c r="B7" s="10">
        <v>381889</v>
      </c>
      <c r="C7" s="10">
        <v>1</v>
      </c>
      <c r="D7" s="9">
        <v>1</v>
      </c>
      <c r="E7" s="11" t="s">
        <v>17</v>
      </c>
      <c r="F7" s="12" t="s">
        <v>18</v>
      </c>
      <c r="G7" s="9">
        <v>1</v>
      </c>
      <c r="H7" s="34"/>
      <c r="I7" s="55" t="str">
        <f t="shared" si="1"/>
        <v>https://permalinkbnd.bnportugal.gov.pt/viewer/273118/?offset=#page=1&amp;viewer=picture&amp;o=info&amp;n=0&amp;q=</v>
      </c>
      <c r="J7" s="45"/>
      <c r="K7" s="45"/>
      <c r="L7" s="45"/>
      <c r="M7" t="s">
        <v>17</v>
      </c>
      <c r="N7">
        <v>273118</v>
      </c>
      <c r="O7" t="str">
        <f t="shared" si="0"/>
        <v>https://permalinkbnd.bnportugal.gov.pt/viewer/273118/?offset=#page=1&amp;viewer=picture&amp;o=info&amp;n=0&amp;q=</v>
      </c>
      <c r="P7">
        <v>381889</v>
      </c>
      <c r="Q7" t="s">
        <v>17</v>
      </c>
      <c r="R7" t="s">
        <v>1225</v>
      </c>
      <c r="S7" t="s">
        <v>1226</v>
      </c>
      <c r="T7" t="s">
        <v>1192</v>
      </c>
      <c r="U7" t="s">
        <v>599</v>
      </c>
      <c r="V7" t="s">
        <v>1227</v>
      </c>
      <c r="W7" t="s">
        <v>1228</v>
      </c>
      <c r="X7" t="s">
        <v>599</v>
      </c>
      <c r="Y7" t="s">
        <v>1182</v>
      </c>
      <c r="Z7" t="s">
        <v>1229</v>
      </c>
      <c r="AA7">
        <v>1880</v>
      </c>
      <c r="AB7">
        <v>1880</v>
      </c>
      <c r="AC7" t="s">
        <v>599</v>
      </c>
      <c r="AD7" t="s">
        <v>599</v>
      </c>
      <c r="AE7" t="s">
        <v>599</v>
      </c>
      <c r="AF7" t="s">
        <v>599</v>
      </c>
      <c r="AG7" t="s">
        <v>599</v>
      </c>
      <c r="AH7" t="s">
        <v>599</v>
      </c>
      <c r="AI7" t="s">
        <v>1230</v>
      </c>
      <c r="AJ7" t="s">
        <v>1231</v>
      </c>
      <c r="AK7" t="s">
        <v>1188</v>
      </c>
      <c r="AL7" t="s">
        <v>1232</v>
      </c>
      <c r="AM7" t="s">
        <v>1190</v>
      </c>
      <c r="AN7" t="s">
        <v>599</v>
      </c>
      <c r="AO7" t="s">
        <v>599</v>
      </c>
      <c r="AP7" t="s">
        <v>599</v>
      </c>
      <c r="AQ7" t="s">
        <v>599</v>
      </c>
      <c r="AR7" t="s">
        <v>599</v>
      </c>
      <c r="AS7" t="s">
        <v>599</v>
      </c>
      <c r="AT7" t="s">
        <v>599</v>
      </c>
    </row>
    <row r="8" spans="1:46" s="13" customFormat="1" ht="30" x14ac:dyDescent="0.25">
      <c r="A8" s="9">
        <v>9999</v>
      </c>
      <c r="B8" s="10">
        <v>381903</v>
      </c>
      <c r="C8" s="10">
        <v>1</v>
      </c>
      <c r="D8" s="9">
        <v>5</v>
      </c>
      <c r="E8" s="11" t="s">
        <v>19</v>
      </c>
      <c r="F8" s="12" t="s">
        <v>20</v>
      </c>
      <c r="G8" s="9">
        <v>5</v>
      </c>
      <c r="H8" s="34"/>
      <c r="I8" s="55" t="str">
        <f t="shared" si="1"/>
        <v>https://permalinkbnd.bnportugal.gov.pt/viewer/270037/?offset=#page=5&amp;viewer=picture&amp;o=info&amp;n=0&amp;q=</v>
      </c>
      <c r="J8" s="45"/>
      <c r="K8" s="45"/>
      <c r="L8" s="45"/>
      <c r="M8" t="s">
        <v>19</v>
      </c>
      <c r="N8">
        <v>270037</v>
      </c>
      <c r="O8" t="str">
        <f t="shared" si="0"/>
        <v>https://permalinkbnd.bnportugal.gov.pt/viewer/270037/?offset=#page=5&amp;viewer=picture&amp;o=info&amp;n=0&amp;q=</v>
      </c>
      <c r="P8">
        <v>381903</v>
      </c>
      <c r="Q8" t="s">
        <v>19</v>
      </c>
      <c r="R8" t="s">
        <v>1233</v>
      </c>
      <c r="S8" t="s">
        <v>1226</v>
      </c>
      <c r="T8" t="s">
        <v>1234</v>
      </c>
      <c r="U8" t="s">
        <v>599</v>
      </c>
      <c r="V8" t="s">
        <v>1235</v>
      </c>
      <c r="W8" t="s">
        <v>599</v>
      </c>
      <c r="X8" t="s">
        <v>599</v>
      </c>
      <c r="Y8" t="s">
        <v>1182</v>
      </c>
      <c r="Z8" t="s">
        <v>599</v>
      </c>
      <c r="AA8">
        <v>1880</v>
      </c>
      <c r="AB8">
        <v>1880</v>
      </c>
      <c r="AC8" t="s">
        <v>599</v>
      </c>
      <c r="AD8" t="s">
        <v>599</v>
      </c>
      <c r="AE8" t="s">
        <v>599</v>
      </c>
      <c r="AF8" t="s">
        <v>599</v>
      </c>
      <c r="AG8" t="s">
        <v>599</v>
      </c>
      <c r="AH8" t="s">
        <v>599</v>
      </c>
      <c r="AI8" t="s">
        <v>599</v>
      </c>
      <c r="AJ8" t="s">
        <v>1236</v>
      </c>
      <c r="AK8" t="s">
        <v>1188</v>
      </c>
      <c r="AL8" t="s">
        <v>1237</v>
      </c>
      <c r="AM8" t="s">
        <v>1190</v>
      </c>
      <c r="AN8" t="s">
        <v>599</v>
      </c>
      <c r="AO8" t="s">
        <v>599</v>
      </c>
      <c r="AP8" t="s">
        <v>599</v>
      </c>
      <c r="AQ8" t="s">
        <v>599</v>
      </c>
      <c r="AR8" t="s">
        <v>599</v>
      </c>
      <c r="AS8" t="s">
        <v>599</v>
      </c>
      <c r="AT8" t="s">
        <v>599</v>
      </c>
    </row>
    <row r="9" spans="1:46" s="13" customFormat="1" ht="30" x14ac:dyDescent="0.25">
      <c r="A9" s="9">
        <v>10000</v>
      </c>
      <c r="B9" s="10">
        <v>382749</v>
      </c>
      <c r="C9" s="10">
        <v>1</v>
      </c>
      <c r="D9" s="9">
        <v>7</v>
      </c>
      <c r="E9" s="11" t="s">
        <v>21</v>
      </c>
      <c r="F9" s="12" t="s">
        <v>22</v>
      </c>
      <c r="G9" s="9"/>
      <c r="H9" s="34"/>
      <c r="I9" s="55" t="str">
        <f t="shared" si="1"/>
        <v>https://permalinkbnd.bnportugal.gov.pt/viewer/270109/?offset=#page=7&amp;viewer=picture&amp;o=info&amp;n=0&amp;q=</v>
      </c>
      <c r="J9" s="45"/>
      <c r="K9" s="45"/>
      <c r="L9" s="45"/>
      <c r="M9" t="s">
        <v>21</v>
      </c>
      <c r="N9">
        <v>270109</v>
      </c>
      <c r="O9" t="str">
        <f t="shared" si="0"/>
        <v>https://permalinkbnd.bnportugal.gov.pt/viewer/270109/?offset=#page=7&amp;viewer=picture&amp;o=info&amp;n=0&amp;q=</v>
      </c>
      <c r="P9">
        <v>382749</v>
      </c>
      <c r="Q9" t="s">
        <v>21</v>
      </c>
      <c r="R9" t="s">
        <v>1238</v>
      </c>
      <c r="S9" t="s">
        <v>1178</v>
      </c>
      <c r="T9" t="s">
        <v>1192</v>
      </c>
      <c r="U9" t="s">
        <v>599</v>
      </c>
      <c r="V9" t="s">
        <v>1239</v>
      </c>
      <c r="W9" t="s">
        <v>1240</v>
      </c>
      <c r="X9" t="s">
        <v>599</v>
      </c>
      <c r="Y9" t="s">
        <v>1182</v>
      </c>
      <c r="Z9" t="s">
        <v>1221</v>
      </c>
      <c r="AA9">
        <v>1893</v>
      </c>
      <c r="AB9">
        <v>1893</v>
      </c>
      <c r="AC9" t="s">
        <v>1241</v>
      </c>
      <c r="AD9" t="s">
        <v>1185</v>
      </c>
      <c r="AE9" t="s">
        <v>599</v>
      </c>
      <c r="AF9" t="s">
        <v>599</v>
      </c>
      <c r="AG9" t="s">
        <v>1242</v>
      </c>
      <c r="AH9" t="s">
        <v>599</v>
      </c>
      <c r="AI9" t="s">
        <v>599</v>
      </c>
      <c r="AJ9" t="s">
        <v>1243</v>
      </c>
      <c r="AK9" t="s">
        <v>1188</v>
      </c>
      <c r="AL9" t="s">
        <v>1244</v>
      </c>
      <c r="AM9" t="s">
        <v>1190</v>
      </c>
      <c r="AN9" t="s">
        <v>599</v>
      </c>
      <c r="AO9" t="s">
        <v>599</v>
      </c>
      <c r="AP9" t="s">
        <v>599</v>
      </c>
      <c r="AQ9" t="s">
        <v>599</v>
      </c>
      <c r="AR9" t="s">
        <v>599</v>
      </c>
      <c r="AS9" t="s">
        <v>599</v>
      </c>
      <c r="AT9" t="s">
        <v>599</v>
      </c>
    </row>
    <row r="10" spans="1:46" s="13" customFormat="1" ht="30" x14ac:dyDescent="0.25">
      <c r="A10" s="9">
        <v>10003</v>
      </c>
      <c r="B10" s="10">
        <v>382749</v>
      </c>
      <c r="C10" s="14">
        <v>1</v>
      </c>
      <c r="D10" s="15">
        <v>19</v>
      </c>
      <c r="E10" s="11" t="s">
        <v>21</v>
      </c>
      <c r="F10" s="16"/>
      <c r="H10" s="34"/>
      <c r="I10" s="55" t="str">
        <f t="shared" si="1"/>
        <v>https://permalinkbnd.bnportugal.gov.pt/viewer/270109/?offset=#page=19&amp;viewer=picture&amp;o=info&amp;n=0&amp;q=</v>
      </c>
      <c r="J10" s="45"/>
      <c r="K10" s="45"/>
      <c r="L10" s="45"/>
      <c r="M10" t="s">
        <v>21</v>
      </c>
      <c r="N10">
        <v>270109</v>
      </c>
      <c r="O10" t="str">
        <f t="shared" si="0"/>
        <v>https://permalinkbnd.bnportugal.gov.pt/viewer/270109/?offset=#page=19&amp;viewer=picture&amp;o=info&amp;n=0&amp;q=</v>
      </c>
      <c r="P10">
        <v>382749</v>
      </c>
      <c r="Q10" t="s">
        <v>21</v>
      </c>
      <c r="R10" t="s">
        <v>1238</v>
      </c>
      <c r="S10" t="s">
        <v>1178</v>
      </c>
      <c r="T10" t="s">
        <v>1192</v>
      </c>
      <c r="U10" t="s">
        <v>599</v>
      </c>
      <c r="V10" t="s">
        <v>1239</v>
      </c>
      <c r="W10" t="s">
        <v>1240</v>
      </c>
      <c r="X10" t="s">
        <v>599</v>
      </c>
      <c r="Y10" t="s">
        <v>1182</v>
      </c>
      <c r="Z10" t="s">
        <v>1221</v>
      </c>
      <c r="AA10">
        <v>1893</v>
      </c>
      <c r="AB10">
        <v>1893</v>
      </c>
      <c r="AC10" t="s">
        <v>1241</v>
      </c>
      <c r="AD10" t="s">
        <v>1185</v>
      </c>
      <c r="AE10" t="s">
        <v>599</v>
      </c>
      <c r="AF10" t="s">
        <v>599</v>
      </c>
      <c r="AG10" t="s">
        <v>1242</v>
      </c>
      <c r="AH10" t="s">
        <v>599</v>
      </c>
      <c r="AI10" t="s">
        <v>599</v>
      </c>
      <c r="AJ10" t="s">
        <v>1243</v>
      </c>
      <c r="AK10" t="s">
        <v>1188</v>
      </c>
      <c r="AL10" t="s">
        <v>1244</v>
      </c>
      <c r="AM10" t="s">
        <v>1190</v>
      </c>
      <c r="AN10" t="s">
        <v>599</v>
      </c>
      <c r="AO10" t="s">
        <v>599</v>
      </c>
      <c r="AP10" t="s">
        <v>599</v>
      </c>
      <c r="AQ10" t="s">
        <v>599</v>
      </c>
      <c r="AR10" t="s">
        <v>599</v>
      </c>
      <c r="AS10" t="s">
        <v>599</v>
      </c>
      <c r="AT10" t="s">
        <v>599</v>
      </c>
    </row>
    <row r="11" spans="1:46" s="13" customFormat="1" ht="30" x14ac:dyDescent="0.25">
      <c r="A11" s="9"/>
      <c r="B11" s="10">
        <v>382749</v>
      </c>
      <c r="C11" s="10">
        <v>1</v>
      </c>
      <c r="D11" s="9">
        <v>23</v>
      </c>
      <c r="E11" s="11" t="s">
        <v>21</v>
      </c>
      <c r="F11" s="12"/>
      <c r="G11" s="9"/>
      <c r="H11" s="34"/>
      <c r="I11" s="55" t="str">
        <f t="shared" si="1"/>
        <v>https://permalinkbnd.bnportugal.gov.pt/viewer/270109/?offset=#page=23&amp;viewer=picture&amp;o=info&amp;n=0&amp;q=</v>
      </c>
      <c r="J11" s="45"/>
      <c r="K11" s="45"/>
      <c r="L11" s="45"/>
      <c r="M11" t="s">
        <v>21</v>
      </c>
      <c r="N11">
        <v>270109</v>
      </c>
      <c r="O11" t="str">
        <f t="shared" si="0"/>
        <v>https://permalinkbnd.bnportugal.gov.pt/viewer/270109/?offset=#page=23&amp;viewer=picture&amp;o=info&amp;n=0&amp;q=</v>
      </c>
      <c r="P11">
        <v>382749</v>
      </c>
      <c r="Q11" t="s">
        <v>21</v>
      </c>
      <c r="R11" t="s">
        <v>1238</v>
      </c>
      <c r="S11" t="s">
        <v>1178</v>
      </c>
      <c r="T11" t="s">
        <v>1192</v>
      </c>
      <c r="U11" t="s">
        <v>599</v>
      </c>
      <c r="V11" t="s">
        <v>1239</v>
      </c>
      <c r="W11" t="s">
        <v>1240</v>
      </c>
      <c r="X11" t="s">
        <v>599</v>
      </c>
      <c r="Y11" t="s">
        <v>1182</v>
      </c>
      <c r="Z11" t="s">
        <v>1221</v>
      </c>
      <c r="AA11">
        <v>1893</v>
      </c>
      <c r="AB11">
        <v>1893</v>
      </c>
      <c r="AC11" t="s">
        <v>1241</v>
      </c>
      <c r="AD11" t="s">
        <v>1185</v>
      </c>
      <c r="AE11" t="s">
        <v>599</v>
      </c>
      <c r="AF11" t="s">
        <v>599</v>
      </c>
      <c r="AG11" t="s">
        <v>1242</v>
      </c>
      <c r="AH11" t="s">
        <v>599</v>
      </c>
      <c r="AI11" t="s">
        <v>599</v>
      </c>
      <c r="AJ11" t="s">
        <v>1243</v>
      </c>
      <c r="AK11" t="s">
        <v>1188</v>
      </c>
      <c r="AL11" t="s">
        <v>1244</v>
      </c>
      <c r="AM11" t="s">
        <v>1190</v>
      </c>
      <c r="AN11" t="s">
        <v>599</v>
      </c>
      <c r="AO11" t="s">
        <v>599</v>
      </c>
      <c r="AP11" t="s">
        <v>599</v>
      </c>
      <c r="AQ11" t="s">
        <v>599</v>
      </c>
      <c r="AR11" t="s">
        <v>599</v>
      </c>
      <c r="AS11" t="s">
        <v>599</v>
      </c>
      <c r="AT11" t="s">
        <v>599</v>
      </c>
    </row>
    <row r="12" spans="1:46" s="13" customFormat="1" ht="30" x14ac:dyDescent="0.25">
      <c r="A12" s="9"/>
      <c r="B12" s="10">
        <v>382834</v>
      </c>
      <c r="C12" s="10">
        <v>1</v>
      </c>
      <c r="D12" s="9">
        <v>11</v>
      </c>
      <c r="E12" s="11" t="s">
        <v>23</v>
      </c>
      <c r="F12" s="12" t="s">
        <v>24</v>
      </c>
      <c r="G12" s="9">
        <v>11</v>
      </c>
      <c r="H12" s="34"/>
      <c r="I12" s="55" t="str">
        <f t="shared" si="1"/>
        <v>https://permalinkbnd.bnportugal.gov.pt/viewer/273316/?offset=#page=11&amp;viewer=picture&amp;o=info&amp;n=0&amp;q=</v>
      </c>
      <c r="J12" s="45"/>
      <c r="K12" s="45"/>
      <c r="L12" s="45"/>
      <c r="M12" t="s">
        <v>23</v>
      </c>
      <c r="N12">
        <v>273316</v>
      </c>
      <c r="O12" t="str">
        <f t="shared" si="0"/>
        <v>https://permalinkbnd.bnportugal.gov.pt/viewer/273316/?offset=#page=11&amp;viewer=picture&amp;o=info&amp;n=0&amp;q=</v>
      </c>
      <c r="P12">
        <v>382834</v>
      </c>
      <c r="Q12" t="s">
        <v>23</v>
      </c>
      <c r="R12" t="s">
        <v>1245</v>
      </c>
      <c r="S12" t="s">
        <v>1178</v>
      </c>
      <c r="T12" t="s">
        <v>1192</v>
      </c>
      <c r="U12" t="s">
        <v>599</v>
      </c>
      <c r="V12" t="s">
        <v>1246</v>
      </c>
      <c r="W12" t="s">
        <v>599</v>
      </c>
      <c r="X12" t="s">
        <v>599</v>
      </c>
      <c r="Y12" t="s">
        <v>1182</v>
      </c>
      <c r="Z12" t="s">
        <v>1247</v>
      </c>
      <c r="AA12">
        <v>1889</v>
      </c>
      <c r="AB12">
        <v>1889</v>
      </c>
      <c r="AC12" t="s">
        <v>1248</v>
      </c>
      <c r="AD12" t="s">
        <v>1249</v>
      </c>
      <c r="AE12" t="s">
        <v>599</v>
      </c>
      <c r="AF12" t="s">
        <v>599</v>
      </c>
      <c r="AG12" t="s">
        <v>1250</v>
      </c>
      <c r="AH12" t="s">
        <v>599</v>
      </c>
      <c r="AI12" t="s">
        <v>599</v>
      </c>
      <c r="AJ12" t="s">
        <v>1251</v>
      </c>
      <c r="AK12" t="s">
        <v>1188</v>
      </c>
      <c r="AL12" t="s">
        <v>1252</v>
      </c>
      <c r="AM12" t="s">
        <v>1190</v>
      </c>
      <c r="AN12" t="s">
        <v>599</v>
      </c>
      <c r="AO12" t="s">
        <v>599</v>
      </c>
      <c r="AP12" t="s">
        <v>599</v>
      </c>
      <c r="AQ12" t="s">
        <v>599</v>
      </c>
      <c r="AR12" t="s">
        <v>599</v>
      </c>
      <c r="AS12" t="s">
        <v>599</v>
      </c>
      <c r="AT12" t="s">
        <v>599</v>
      </c>
    </row>
    <row r="13" spans="1:46" s="13" customFormat="1" ht="30" x14ac:dyDescent="0.25">
      <c r="A13" s="9">
        <v>10004</v>
      </c>
      <c r="B13" s="10">
        <v>382844</v>
      </c>
      <c r="C13" s="10">
        <v>1</v>
      </c>
      <c r="D13" s="9">
        <v>3</v>
      </c>
      <c r="E13" s="11" t="s">
        <v>25</v>
      </c>
      <c r="F13" s="12">
        <v>3</v>
      </c>
      <c r="G13" s="9"/>
      <c r="H13" s="34"/>
      <c r="I13" s="55" t="str">
        <f t="shared" si="1"/>
        <v>https://permalinkbnd.bnportugal.gov.pt/viewer/271559/?offset=#page=3&amp;viewer=picture&amp;o=info&amp;n=0&amp;q=</v>
      </c>
      <c r="J13" s="45"/>
      <c r="K13" s="45"/>
      <c r="L13" s="45"/>
      <c r="M13" t="s">
        <v>25</v>
      </c>
      <c r="N13">
        <v>271559</v>
      </c>
      <c r="O13" t="str">
        <f t="shared" si="0"/>
        <v>https://permalinkbnd.bnportugal.gov.pt/viewer/271559/?offset=#page=3&amp;viewer=picture&amp;o=info&amp;n=0&amp;q=</v>
      </c>
      <c r="P13">
        <v>382844</v>
      </c>
      <c r="Q13" t="s">
        <v>25</v>
      </c>
      <c r="R13" t="s">
        <v>1253</v>
      </c>
      <c r="S13" t="s">
        <v>1178</v>
      </c>
      <c r="T13" t="s">
        <v>1192</v>
      </c>
      <c r="U13" t="s">
        <v>599</v>
      </c>
      <c r="V13" t="s">
        <v>1254</v>
      </c>
      <c r="W13" t="s">
        <v>1255</v>
      </c>
      <c r="X13" t="s">
        <v>599</v>
      </c>
      <c r="Y13" t="s">
        <v>1182</v>
      </c>
      <c r="Z13" t="s">
        <v>1256</v>
      </c>
      <c r="AA13">
        <v>1880</v>
      </c>
      <c r="AB13">
        <v>1880</v>
      </c>
      <c r="AC13" t="s">
        <v>1257</v>
      </c>
      <c r="AD13" t="s">
        <v>1249</v>
      </c>
      <c r="AE13" t="s">
        <v>599</v>
      </c>
      <c r="AF13" t="s">
        <v>599</v>
      </c>
      <c r="AG13" t="s">
        <v>1250</v>
      </c>
      <c r="AH13" t="s">
        <v>599</v>
      </c>
      <c r="AI13" t="s">
        <v>599</v>
      </c>
      <c r="AJ13" t="s">
        <v>1258</v>
      </c>
      <c r="AK13" t="s">
        <v>1188</v>
      </c>
      <c r="AL13" t="s">
        <v>1259</v>
      </c>
      <c r="AM13" t="s">
        <v>1190</v>
      </c>
      <c r="AN13" t="s">
        <v>599</v>
      </c>
      <c r="AO13" t="s">
        <v>599</v>
      </c>
      <c r="AP13" t="s">
        <v>599</v>
      </c>
      <c r="AQ13" t="s">
        <v>599</v>
      </c>
      <c r="AR13" t="s">
        <v>599</v>
      </c>
      <c r="AS13" t="s">
        <v>599</v>
      </c>
      <c r="AT13" t="s">
        <v>599</v>
      </c>
    </row>
    <row r="14" spans="1:46" s="13" customFormat="1" ht="30" x14ac:dyDescent="0.25">
      <c r="A14" s="9">
        <v>10005</v>
      </c>
      <c r="B14" s="10">
        <v>382955</v>
      </c>
      <c r="C14" s="10">
        <v>1</v>
      </c>
      <c r="D14" s="9">
        <v>6</v>
      </c>
      <c r="E14" s="11" t="s">
        <v>26</v>
      </c>
      <c r="F14" s="12" t="s">
        <v>27</v>
      </c>
      <c r="G14" s="9">
        <v>6</v>
      </c>
      <c r="H14" s="34"/>
      <c r="I14" s="55" t="str">
        <f t="shared" si="1"/>
        <v>https://permalinkbnd.bnportugal.gov.pt/viewer/274171/?offset=#page=6&amp;viewer=picture&amp;o=info&amp;n=0&amp;q=</v>
      </c>
      <c r="J14" s="45"/>
      <c r="K14" s="45"/>
      <c r="L14" s="45"/>
      <c r="M14" t="s">
        <v>26</v>
      </c>
      <c r="N14">
        <v>274171</v>
      </c>
      <c r="O14" t="str">
        <f t="shared" si="0"/>
        <v>https://permalinkbnd.bnportugal.gov.pt/viewer/274171/?offset=#page=6&amp;viewer=picture&amp;o=info&amp;n=0&amp;q=</v>
      </c>
      <c r="P14">
        <v>382955</v>
      </c>
      <c r="Q14" t="s">
        <v>26</v>
      </c>
      <c r="R14" t="s">
        <v>1260</v>
      </c>
      <c r="S14" t="s">
        <v>1178</v>
      </c>
      <c r="T14" t="s">
        <v>1192</v>
      </c>
      <c r="U14" t="s">
        <v>599</v>
      </c>
      <c r="V14" t="s">
        <v>1261</v>
      </c>
      <c r="W14" t="s">
        <v>599</v>
      </c>
      <c r="X14" t="s">
        <v>599</v>
      </c>
      <c r="Y14" t="s">
        <v>1182</v>
      </c>
      <c r="Z14" t="s">
        <v>1262</v>
      </c>
      <c r="AA14">
        <v>1880</v>
      </c>
      <c r="AB14">
        <v>1880</v>
      </c>
      <c r="AC14" t="s">
        <v>599</v>
      </c>
      <c r="AD14" t="s">
        <v>599</v>
      </c>
      <c r="AE14" t="s">
        <v>1263</v>
      </c>
      <c r="AF14" t="s">
        <v>599</v>
      </c>
      <c r="AG14" t="s">
        <v>1250</v>
      </c>
      <c r="AH14" t="s">
        <v>599</v>
      </c>
      <c r="AI14" t="s">
        <v>599</v>
      </c>
      <c r="AJ14" t="s">
        <v>1264</v>
      </c>
      <c r="AK14" t="s">
        <v>1188</v>
      </c>
      <c r="AL14" t="s">
        <v>1265</v>
      </c>
      <c r="AM14" t="s">
        <v>1190</v>
      </c>
      <c r="AN14" t="s">
        <v>599</v>
      </c>
      <c r="AO14" t="s">
        <v>599</v>
      </c>
      <c r="AP14" t="s">
        <v>599</v>
      </c>
      <c r="AQ14" t="s">
        <v>599</v>
      </c>
      <c r="AR14" t="s">
        <v>599</v>
      </c>
      <c r="AS14" t="s">
        <v>599</v>
      </c>
      <c r="AT14" t="s">
        <v>599</v>
      </c>
    </row>
    <row r="15" spans="1:46" s="13" customFormat="1" ht="30" x14ac:dyDescent="0.25">
      <c r="A15" s="9">
        <v>10007</v>
      </c>
      <c r="B15" s="10">
        <v>382972</v>
      </c>
      <c r="C15" s="10">
        <v>1</v>
      </c>
      <c r="D15" s="9">
        <v>14</v>
      </c>
      <c r="E15" s="11" t="s">
        <v>28</v>
      </c>
      <c r="F15" s="12" t="s">
        <v>29</v>
      </c>
      <c r="G15" s="9">
        <v>14</v>
      </c>
      <c r="H15" s="34"/>
      <c r="I15" s="55" t="str">
        <f t="shared" si="1"/>
        <v>https://permalinkbnd.bnportugal.gov.pt/viewer/274229/?offset=#page=14&amp;viewer=picture&amp;o=info&amp;n=0&amp;q=</v>
      </c>
      <c r="J15" s="45"/>
      <c r="K15" s="45"/>
      <c r="L15" s="45"/>
      <c r="M15" t="s">
        <v>28</v>
      </c>
      <c r="N15">
        <v>274229</v>
      </c>
      <c r="O15" t="str">
        <f t="shared" si="0"/>
        <v>https://permalinkbnd.bnportugal.gov.pt/viewer/274229/?offset=#page=14&amp;viewer=picture&amp;o=info&amp;n=0&amp;q=</v>
      </c>
      <c r="P15">
        <v>382972</v>
      </c>
      <c r="Q15" t="s">
        <v>28</v>
      </c>
      <c r="R15" t="s">
        <v>1266</v>
      </c>
      <c r="S15" t="s">
        <v>1178</v>
      </c>
      <c r="T15" t="s">
        <v>1192</v>
      </c>
      <c r="U15" t="s">
        <v>599</v>
      </c>
      <c r="V15" t="s">
        <v>1267</v>
      </c>
      <c r="W15" t="s">
        <v>1268</v>
      </c>
      <c r="X15" t="s">
        <v>599</v>
      </c>
      <c r="Y15" t="s">
        <v>1182</v>
      </c>
      <c r="Z15" t="s">
        <v>1221</v>
      </c>
      <c r="AA15">
        <v>1880</v>
      </c>
      <c r="AB15">
        <v>1880</v>
      </c>
      <c r="AC15" t="s">
        <v>599</v>
      </c>
      <c r="AD15" t="s">
        <v>1269</v>
      </c>
      <c r="AE15" t="s">
        <v>599</v>
      </c>
      <c r="AF15" t="s">
        <v>599</v>
      </c>
      <c r="AG15" t="s">
        <v>599</v>
      </c>
      <c r="AH15" t="s">
        <v>599</v>
      </c>
      <c r="AI15" t="s">
        <v>599</v>
      </c>
      <c r="AJ15" t="s">
        <v>1270</v>
      </c>
      <c r="AK15" t="s">
        <v>1188</v>
      </c>
      <c r="AL15" t="s">
        <v>1271</v>
      </c>
      <c r="AM15" t="s">
        <v>1190</v>
      </c>
      <c r="AN15" t="s">
        <v>599</v>
      </c>
      <c r="AO15" t="s">
        <v>599</v>
      </c>
      <c r="AP15" t="s">
        <v>599</v>
      </c>
      <c r="AQ15" t="s">
        <v>599</v>
      </c>
      <c r="AR15" t="s">
        <v>599</v>
      </c>
      <c r="AS15" t="s">
        <v>599</v>
      </c>
      <c r="AT15" t="s">
        <v>599</v>
      </c>
    </row>
    <row r="16" spans="1:46" s="13" customFormat="1" ht="30" x14ac:dyDescent="0.25">
      <c r="A16" s="9">
        <v>10008</v>
      </c>
      <c r="B16" s="10">
        <v>382978</v>
      </c>
      <c r="C16" s="10">
        <v>1</v>
      </c>
      <c r="D16" s="9">
        <v>7</v>
      </c>
      <c r="E16" s="11" t="s">
        <v>30</v>
      </c>
      <c r="F16" s="12" t="s">
        <v>31</v>
      </c>
      <c r="G16" s="9" t="s">
        <v>32</v>
      </c>
      <c r="H16" s="34"/>
      <c r="I16" s="55" t="str">
        <f t="shared" si="1"/>
        <v>https://permalinkbnd.bnportugal.gov.pt/viewer/274235/?offset=#page=7&amp;viewer=picture&amp;o=info&amp;n=0&amp;q=</v>
      </c>
      <c r="J16" s="45"/>
      <c r="K16" s="45"/>
      <c r="L16" s="45"/>
      <c r="M16" t="s">
        <v>30</v>
      </c>
      <c r="N16">
        <v>274235</v>
      </c>
      <c r="O16" t="str">
        <f t="shared" si="0"/>
        <v>https://permalinkbnd.bnportugal.gov.pt/viewer/274235/?offset=#page=7&amp;viewer=picture&amp;o=info&amp;n=0&amp;q=</v>
      </c>
      <c r="P16">
        <v>382978</v>
      </c>
      <c r="Q16" t="s">
        <v>30</v>
      </c>
      <c r="R16" t="s">
        <v>1272</v>
      </c>
      <c r="S16" t="s">
        <v>1178</v>
      </c>
      <c r="T16" t="s">
        <v>1192</v>
      </c>
      <c r="U16" t="s">
        <v>599</v>
      </c>
      <c r="V16" t="s">
        <v>1273</v>
      </c>
      <c r="W16" t="s">
        <v>1274</v>
      </c>
      <c r="X16" t="s">
        <v>599</v>
      </c>
      <c r="Y16" t="s">
        <v>1182</v>
      </c>
      <c r="Z16" t="s">
        <v>1275</v>
      </c>
      <c r="AA16">
        <v>1880</v>
      </c>
      <c r="AB16">
        <v>1880</v>
      </c>
      <c r="AC16" t="s">
        <v>1276</v>
      </c>
      <c r="AD16" t="s">
        <v>599</v>
      </c>
      <c r="AE16" t="s">
        <v>599</v>
      </c>
      <c r="AF16" t="s">
        <v>599</v>
      </c>
      <c r="AG16" t="s">
        <v>1250</v>
      </c>
      <c r="AH16" t="s">
        <v>599</v>
      </c>
      <c r="AI16" t="s">
        <v>599</v>
      </c>
      <c r="AJ16" t="s">
        <v>1277</v>
      </c>
      <c r="AK16" t="s">
        <v>1188</v>
      </c>
      <c r="AL16" t="s">
        <v>1278</v>
      </c>
      <c r="AM16" t="s">
        <v>1190</v>
      </c>
      <c r="AN16" t="s">
        <v>599</v>
      </c>
      <c r="AO16" t="s">
        <v>599</v>
      </c>
      <c r="AP16" t="s">
        <v>599</v>
      </c>
      <c r="AQ16" t="s">
        <v>599</v>
      </c>
      <c r="AR16" t="s">
        <v>599</v>
      </c>
      <c r="AS16" t="s">
        <v>599</v>
      </c>
      <c r="AT16" t="s">
        <v>599</v>
      </c>
    </row>
    <row r="17" spans="1:46" s="13" customFormat="1" ht="30" x14ac:dyDescent="0.25">
      <c r="A17" s="9">
        <v>10009</v>
      </c>
      <c r="B17" s="10">
        <v>382978</v>
      </c>
      <c r="C17" s="10">
        <v>1</v>
      </c>
      <c r="D17" s="9">
        <v>13</v>
      </c>
      <c r="E17" s="11" t="s">
        <v>30</v>
      </c>
      <c r="F17" s="12" t="s">
        <v>31</v>
      </c>
      <c r="G17" s="9" t="s">
        <v>32</v>
      </c>
      <c r="H17" s="34"/>
      <c r="I17" s="55" t="str">
        <f t="shared" si="1"/>
        <v>https://permalinkbnd.bnportugal.gov.pt/viewer/274235/?offset=#page=13&amp;viewer=picture&amp;o=info&amp;n=0&amp;q=</v>
      </c>
      <c r="J17" s="45"/>
      <c r="K17" s="45"/>
      <c r="L17" s="45"/>
      <c r="M17" t="s">
        <v>30</v>
      </c>
      <c r="N17">
        <v>274235</v>
      </c>
      <c r="O17" t="str">
        <f t="shared" si="0"/>
        <v>https://permalinkbnd.bnportugal.gov.pt/viewer/274235/?offset=#page=13&amp;viewer=picture&amp;o=info&amp;n=0&amp;q=</v>
      </c>
      <c r="P17">
        <v>382978</v>
      </c>
      <c r="Q17" t="s">
        <v>30</v>
      </c>
      <c r="R17" t="s">
        <v>1272</v>
      </c>
      <c r="S17" t="s">
        <v>1178</v>
      </c>
      <c r="T17" t="s">
        <v>1192</v>
      </c>
      <c r="U17" t="s">
        <v>599</v>
      </c>
      <c r="V17" t="s">
        <v>1273</v>
      </c>
      <c r="W17" t="s">
        <v>1274</v>
      </c>
      <c r="X17" t="s">
        <v>599</v>
      </c>
      <c r="Y17" t="s">
        <v>1182</v>
      </c>
      <c r="Z17" t="s">
        <v>1275</v>
      </c>
      <c r="AA17">
        <v>1880</v>
      </c>
      <c r="AB17">
        <v>1880</v>
      </c>
      <c r="AC17" t="s">
        <v>1276</v>
      </c>
      <c r="AD17" t="s">
        <v>599</v>
      </c>
      <c r="AE17" t="s">
        <v>599</v>
      </c>
      <c r="AF17" t="s">
        <v>599</v>
      </c>
      <c r="AG17" t="s">
        <v>1250</v>
      </c>
      <c r="AH17" t="s">
        <v>599</v>
      </c>
      <c r="AI17" t="s">
        <v>599</v>
      </c>
      <c r="AJ17" t="s">
        <v>1277</v>
      </c>
      <c r="AK17" t="s">
        <v>1188</v>
      </c>
      <c r="AL17" t="s">
        <v>1278</v>
      </c>
      <c r="AM17" t="s">
        <v>1190</v>
      </c>
      <c r="AN17" t="s">
        <v>599</v>
      </c>
      <c r="AO17" t="s">
        <v>599</v>
      </c>
      <c r="AP17" t="s">
        <v>599</v>
      </c>
      <c r="AQ17" t="s">
        <v>599</v>
      </c>
      <c r="AR17" t="s">
        <v>599</v>
      </c>
      <c r="AS17" t="s">
        <v>599</v>
      </c>
      <c r="AT17" t="s">
        <v>599</v>
      </c>
    </row>
    <row r="18" spans="1:46" s="13" customFormat="1" ht="30" x14ac:dyDescent="0.25">
      <c r="A18" s="9">
        <v>10010</v>
      </c>
      <c r="B18" s="10">
        <v>382978</v>
      </c>
      <c r="C18" s="10">
        <v>1</v>
      </c>
      <c r="D18" s="9">
        <v>15</v>
      </c>
      <c r="E18" s="11" t="s">
        <v>30</v>
      </c>
      <c r="F18" s="12" t="s">
        <v>31</v>
      </c>
      <c r="G18" s="9" t="s">
        <v>32</v>
      </c>
      <c r="H18" s="34"/>
      <c r="I18" s="55" t="str">
        <f t="shared" si="1"/>
        <v>https://permalinkbnd.bnportugal.gov.pt/viewer/274235/?offset=#page=15&amp;viewer=picture&amp;o=info&amp;n=0&amp;q=</v>
      </c>
      <c r="J18" s="45"/>
      <c r="K18" s="45"/>
      <c r="L18" s="45"/>
      <c r="M18" t="s">
        <v>30</v>
      </c>
      <c r="N18">
        <v>274235</v>
      </c>
      <c r="O18" t="str">
        <f t="shared" si="0"/>
        <v>https://permalinkbnd.bnportugal.gov.pt/viewer/274235/?offset=#page=15&amp;viewer=picture&amp;o=info&amp;n=0&amp;q=</v>
      </c>
      <c r="P18">
        <v>382978</v>
      </c>
      <c r="Q18" t="s">
        <v>30</v>
      </c>
      <c r="R18" t="s">
        <v>1272</v>
      </c>
      <c r="S18" t="s">
        <v>1178</v>
      </c>
      <c r="T18" t="s">
        <v>1192</v>
      </c>
      <c r="U18" t="s">
        <v>599</v>
      </c>
      <c r="V18" t="s">
        <v>1273</v>
      </c>
      <c r="W18" t="s">
        <v>1274</v>
      </c>
      <c r="X18" t="s">
        <v>599</v>
      </c>
      <c r="Y18" t="s">
        <v>1182</v>
      </c>
      <c r="Z18" t="s">
        <v>1275</v>
      </c>
      <c r="AA18">
        <v>1880</v>
      </c>
      <c r="AB18">
        <v>1880</v>
      </c>
      <c r="AC18" t="s">
        <v>1276</v>
      </c>
      <c r="AD18" t="s">
        <v>599</v>
      </c>
      <c r="AE18" t="s">
        <v>599</v>
      </c>
      <c r="AF18" t="s">
        <v>599</v>
      </c>
      <c r="AG18" t="s">
        <v>1250</v>
      </c>
      <c r="AH18" t="s">
        <v>599</v>
      </c>
      <c r="AI18" t="s">
        <v>599</v>
      </c>
      <c r="AJ18" t="s">
        <v>1277</v>
      </c>
      <c r="AK18" t="s">
        <v>1188</v>
      </c>
      <c r="AL18" t="s">
        <v>1278</v>
      </c>
      <c r="AM18" t="s">
        <v>1190</v>
      </c>
      <c r="AN18" t="s">
        <v>599</v>
      </c>
      <c r="AO18" t="s">
        <v>599</v>
      </c>
      <c r="AP18" t="s">
        <v>599</v>
      </c>
      <c r="AQ18" t="s">
        <v>599</v>
      </c>
      <c r="AR18" t="s">
        <v>599</v>
      </c>
      <c r="AS18" t="s">
        <v>599</v>
      </c>
      <c r="AT18" t="s">
        <v>599</v>
      </c>
    </row>
    <row r="19" spans="1:46" s="13" customFormat="1" ht="30" x14ac:dyDescent="0.25">
      <c r="A19" s="9">
        <v>10011</v>
      </c>
      <c r="B19" s="10">
        <v>382981</v>
      </c>
      <c r="C19" s="10">
        <v>1</v>
      </c>
      <c r="D19" s="9">
        <v>9</v>
      </c>
      <c r="E19" s="11" t="s">
        <v>33</v>
      </c>
      <c r="F19" s="12">
        <v>9</v>
      </c>
      <c r="G19" s="9"/>
      <c r="H19" s="34"/>
      <c r="I19" s="55" t="str">
        <f t="shared" si="1"/>
        <v>https://permalinkbnd.bnportugal.gov.pt/viewer/1880/?offset=#page=9&amp;viewer=picture&amp;o=info&amp;n=0&amp;q=</v>
      </c>
      <c r="J19" s="45"/>
      <c r="K19" s="45"/>
      <c r="L19" s="45"/>
      <c r="M19" t="s">
        <v>33</v>
      </c>
      <c r="N19">
        <v>1880</v>
      </c>
      <c r="O19" t="str">
        <f t="shared" si="0"/>
        <v>https://permalinkbnd.bnportugal.gov.pt/viewer/1880/?offset=#page=9&amp;viewer=picture&amp;o=info&amp;n=0&amp;q=</v>
      </c>
      <c r="P19">
        <v>382981</v>
      </c>
      <c r="Q19" t="s">
        <v>33</v>
      </c>
      <c r="R19" t="s">
        <v>1279</v>
      </c>
      <c r="S19" t="s">
        <v>1178</v>
      </c>
      <c r="T19" t="s">
        <v>1192</v>
      </c>
      <c r="U19" t="s">
        <v>599</v>
      </c>
      <c r="V19" t="s">
        <v>1280</v>
      </c>
      <c r="W19" t="s">
        <v>599</v>
      </c>
      <c r="X19" t="s">
        <v>599</v>
      </c>
      <c r="Y19" t="s">
        <v>1182</v>
      </c>
      <c r="Z19" t="s">
        <v>1281</v>
      </c>
      <c r="AA19">
        <v>1881</v>
      </c>
      <c r="AB19">
        <v>1881</v>
      </c>
      <c r="AC19" t="s">
        <v>599</v>
      </c>
      <c r="AD19" t="s">
        <v>599</v>
      </c>
      <c r="AE19" t="s">
        <v>599</v>
      </c>
      <c r="AF19" t="s">
        <v>599</v>
      </c>
      <c r="AG19" t="s">
        <v>599</v>
      </c>
      <c r="AH19" t="s">
        <v>599</v>
      </c>
      <c r="AI19" t="s">
        <v>1282</v>
      </c>
      <c r="AJ19" t="s">
        <v>1283</v>
      </c>
      <c r="AK19" t="s">
        <v>1188</v>
      </c>
      <c r="AL19" t="s">
        <v>1284</v>
      </c>
      <c r="AM19" t="s">
        <v>1190</v>
      </c>
      <c r="AN19" t="s">
        <v>599</v>
      </c>
      <c r="AO19" t="s">
        <v>599</v>
      </c>
      <c r="AP19" t="s">
        <v>599</v>
      </c>
      <c r="AQ19" t="s">
        <v>599</v>
      </c>
      <c r="AR19" t="s">
        <v>599</v>
      </c>
      <c r="AS19" t="s">
        <v>599</v>
      </c>
      <c r="AT19" t="s">
        <v>599</v>
      </c>
    </row>
    <row r="20" spans="1:46" s="13" customFormat="1" ht="30" x14ac:dyDescent="0.25">
      <c r="A20" s="9">
        <v>10013</v>
      </c>
      <c r="B20" s="10">
        <v>385945</v>
      </c>
      <c r="C20" s="10">
        <v>1</v>
      </c>
      <c r="D20" s="9">
        <v>15</v>
      </c>
      <c r="E20" s="11" t="s">
        <v>34</v>
      </c>
      <c r="F20" s="12" t="s">
        <v>35</v>
      </c>
      <c r="G20" s="9">
        <v>15</v>
      </c>
      <c r="H20" s="34"/>
      <c r="I20" s="55" t="str">
        <f t="shared" si="1"/>
        <v>https://permalinkbnd.bnportugal.gov.pt/viewer/273149/?offset=#page=15&amp;viewer=picture&amp;o=info&amp;n=0&amp;q=</v>
      </c>
      <c r="J20" s="45"/>
      <c r="K20" s="45"/>
      <c r="L20" s="45"/>
      <c r="M20" t="s">
        <v>34</v>
      </c>
      <c r="N20">
        <v>273149</v>
      </c>
      <c r="O20" t="str">
        <f t="shared" si="0"/>
        <v>https://permalinkbnd.bnportugal.gov.pt/viewer/273149/?offset=#page=15&amp;viewer=picture&amp;o=info&amp;n=0&amp;q=</v>
      </c>
      <c r="P20">
        <v>385945</v>
      </c>
      <c r="Q20" t="s">
        <v>34</v>
      </c>
      <c r="R20" t="s">
        <v>1285</v>
      </c>
      <c r="S20" t="s">
        <v>1178</v>
      </c>
      <c r="T20" t="s">
        <v>1218</v>
      </c>
      <c r="U20" t="s">
        <v>1192</v>
      </c>
      <c r="V20" t="s">
        <v>1286</v>
      </c>
      <c r="W20" t="s">
        <v>599</v>
      </c>
      <c r="X20" t="s">
        <v>599</v>
      </c>
      <c r="Y20" t="s">
        <v>1182</v>
      </c>
      <c r="Z20" t="s">
        <v>1287</v>
      </c>
      <c r="AA20">
        <v>1880</v>
      </c>
      <c r="AB20">
        <v>1880</v>
      </c>
      <c r="AC20" t="s">
        <v>1288</v>
      </c>
      <c r="AD20" t="s">
        <v>599</v>
      </c>
      <c r="AE20" t="s">
        <v>599</v>
      </c>
      <c r="AF20" t="s">
        <v>599</v>
      </c>
      <c r="AG20" t="s">
        <v>1289</v>
      </c>
      <c r="AH20" t="s">
        <v>599</v>
      </c>
      <c r="AI20" t="s">
        <v>599</v>
      </c>
      <c r="AJ20" t="s">
        <v>1290</v>
      </c>
      <c r="AK20" t="s">
        <v>1188</v>
      </c>
      <c r="AL20" t="s">
        <v>1291</v>
      </c>
      <c r="AM20" t="s">
        <v>1190</v>
      </c>
      <c r="AN20" t="s">
        <v>599</v>
      </c>
      <c r="AO20" t="s">
        <v>599</v>
      </c>
      <c r="AP20" t="s">
        <v>599</v>
      </c>
      <c r="AQ20" t="s">
        <v>599</v>
      </c>
      <c r="AR20" t="s">
        <v>599</v>
      </c>
      <c r="AS20" t="s">
        <v>599</v>
      </c>
      <c r="AT20" t="s">
        <v>599</v>
      </c>
    </row>
    <row r="21" spans="1:46" s="13" customFormat="1" ht="30" x14ac:dyDescent="0.25">
      <c r="A21" s="9">
        <v>10014</v>
      </c>
      <c r="B21" s="10">
        <v>385949</v>
      </c>
      <c r="C21" s="10">
        <v>1</v>
      </c>
      <c r="D21" s="9">
        <v>1</v>
      </c>
      <c r="E21" s="11" t="s">
        <v>36</v>
      </c>
      <c r="F21" s="12">
        <v>1</v>
      </c>
      <c r="G21" s="9">
        <v>1</v>
      </c>
      <c r="H21" s="34"/>
      <c r="I21" s="55" t="str">
        <f t="shared" si="1"/>
        <v>https://permalinkbnd.bnportugal.gov.pt/viewer/274256/?offset=#page=1&amp;viewer=picture&amp;o=info&amp;n=0&amp;q=</v>
      </c>
      <c r="J21" s="45"/>
      <c r="K21" s="45"/>
      <c r="L21" s="45"/>
      <c r="M21" t="s">
        <v>36</v>
      </c>
      <c r="N21">
        <v>274256</v>
      </c>
      <c r="O21" t="str">
        <f t="shared" si="0"/>
        <v>https://permalinkbnd.bnportugal.gov.pt/viewer/274256/?offset=#page=1&amp;viewer=picture&amp;o=info&amp;n=0&amp;q=</v>
      </c>
      <c r="P21">
        <v>385949</v>
      </c>
      <c r="Q21" t="s">
        <v>36</v>
      </c>
      <c r="R21" t="s">
        <v>1292</v>
      </c>
      <c r="S21" t="s">
        <v>1178</v>
      </c>
      <c r="T21" t="s">
        <v>1192</v>
      </c>
      <c r="U21" t="s">
        <v>599</v>
      </c>
      <c r="V21" t="s">
        <v>1293</v>
      </c>
      <c r="W21" t="s">
        <v>1294</v>
      </c>
      <c r="X21" t="s">
        <v>599</v>
      </c>
      <c r="Y21" t="s">
        <v>1182</v>
      </c>
      <c r="Z21" t="s">
        <v>1295</v>
      </c>
      <c r="AA21">
        <v>1880</v>
      </c>
      <c r="AB21">
        <v>1880</v>
      </c>
      <c r="AC21" t="s">
        <v>599</v>
      </c>
      <c r="AD21" t="s">
        <v>599</v>
      </c>
      <c r="AE21" t="s">
        <v>1296</v>
      </c>
      <c r="AF21" t="s">
        <v>599</v>
      </c>
      <c r="AG21" t="s">
        <v>599</v>
      </c>
      <c r="AH21" t="s">
        <v>599</v>
      </c>
      <c r="AI21" t="s">
        <v>599</v>
      </c>
      <c r="AJ21" t="s">
        <v>1297</v>
      </c>
      <c r="AK21" t="s">
        <v>1188</v>
      </c>
      <c r="AL21" t="s">
        <v>1298</v>
      </c>
      <c r="AM21" t="s">
        <v>1190</v>
      </c>
      <c r="AN21" t="s">
        <v>599</v>
      </c>
      <c r="AO21" t="s">
        <v>599</v>
      </c>
      <c r="AP21" t="s">
        <v>599</v>
      </c>
      <c r="AQ21" t="s">
        <v>599</v>
      </c>
      <c r="AR21" t="s">
        <v>599</v>
      </c>
      <c r="AS21" t="s">
        <v>599</v>
      </c>
      <c r="AT21" t="s">
        <v>599</v>
      </c>
    </row>
    <row r="22" spans="1:46" s="13" customFormat="1" ht="30" x14ac:dyDescent="0.25">
      <c r="A22" s="9">
        <v>10015</v>
      </c>
      <c r="B22" s="10">
        <v>386935</v>
      </c>
      <c r="C22" s="10">
        <v>1</v>
      </c>
      <c r="D22" s="9">
        <v>1</v>
      </c>
      <c r="E22" s="11" t="s">
        <v>37</v>
      </c>
      <c r="F22" s="12">
        <v>1</v>
      </c>
      <c r="G22" s="9"/>
      <c r="H22" s="34"/>
      <c r="I22" s="55" t="str">
        <f t="shared" si="1"/>
        <v>https://permalinkbnd.bnportugal.gov.pt/viewer/273122/?offset=#page=1&amp;viewer=picture&amp;o=info&amp;n=0&amp;q=</v>
      </c>
      <c r="J22" s="45"/>
      <c r="K22" s="45"/>
      <c r="L22" s="45"/>
      <c r="M22" t="s">
        <v>37</v>
      </c>
      <c r="N22">
        <v>273122</v>
      </c>
      <c r="O22" t="str">
        <f t="shared" si="0"/>
        <v>https://permalinkbnd.bnportugal.gov.pt/viewer/273122/?offset=#page=1&amp;viewer=picture&amp;o=info&amp;n=0&amp;q=</v>
      </c>
      <c r="P22">
        <v>386935</v>
      </c>
      <c r="Q22" t="s">
        <v>37</v>
      </c>
      <c r="R22" t="s">
        <v>1299</v>
      </c>
      <c r="S22" t="s">
        <v>1178</v>
      </c>
      <c r="T22" t="s">
        <v>1192</v>
      </c>
      <c r="U22" t="s">
        <v>599</v>
      </c>
      <c r="V22" t="s">
        <v>1300</v>
      </c>
      <c r="W22" t="s">
        <v>1301</v>
      </c>
      <c r="X22" t="s">
        <v>599</v>
      </c>
      <c r="Y22" t="s">
        <v>1182</v>
      </c>
      <c r="Z22" t="s">
        <v>1302</v>
      </c>
      <c r="AA22">
        <v>1880</v>
      </c>
      <c r="AB22">
        <v>1880</v>
      </c>
      <c r="AC22" t="s">
        <v>599</v>
      </c>
      <c r="AD22" t="s">
        <v>599</v>
      </c>
      <c r="AE22" t="s">
        <v>599</v>
      </c>
      <c r="AF22" t="s">
        <v>599</v>
      </c>
      <c r="AG22" t="s">
        <v>599</v>
      </c>
      <c r="AH22" t="s">
        <v>599</v>
      </c>
      <c r="AI22" t="s">
        <v>599</v>
      </c>
      <c r="AJ22" t="s">
        <v>1303</v>
      </c>
      <c r="AK22" t="s">
        <v>1188</v>
      </c>
      <c r="AL22" t="s">
        <v>1304</v>
      </c>
      <c r="AM22" t="s">
        <v>1190</v>
      </c>
      <c r="AN22" t="s">
        <v>599</v>
      </c>
      <c r="AO22" t="s">
        <v>599</v>
      </c>
      <c r="AP22" t="s">
        <v>599</v>
      </c>
      <c r="AQ22" t="s">
        <v>599</v>
      </c>
      <c r="AR22" t="s">
        <v>599</v>
      </c>
      <c r="AS22" t="s">
        <v>599</v>
      </c>
      <c r="AT22" t="s">
        <v>599</v>
      </c>
    </row>
    <row r="23" spans="1:46" s="13" customFormat="1" ht="30" x14ac:dyDescent="0.25">
      <c r="A23" s="9">
        <v>10016</v>
      </c>
      <c r="B23" s="10">
        <v>386992</v>
      </c>
      <c r="C23" s="10">
        <v>1</v>
      </c>
      <c r="D23" s="9">
        <v>1</v>
      </c>
      <c r="E23" s="11" t="s">
        <v>38</v>
      </c>
      <c r="F23" s="12">
        <v>1</v>
      </c>
      <c r="G23" s="9">
        <v>1</v>
      </c>
      <c r="H23" s="34"/>
      <c r="I23" s="55" t="str">
        <f t="shared" si="1"/>
        <v>https://permalinkbnd.bnportugal.gov.pt/viewer/273124/?offset=#page=1&amp;viewer=picture&amp;o=info&amp;n=0&amp;q=</v>
      </c>
      <c r="J23" s="45"/>
      <c r="K23" s="45"/>
      <c r="L23" s="45"/>
      <c r="M23" t="s">
        <v>38</v>
      </c>
      <c r="N23">
        <v>273124</v>
      </c>
      <c r="O23" t="str">
        <f t="shared" si="0"/>
        <v>https://permalinkbnd.bnportugal.gov.pt/viewer/273124/?offset=#page=1&amp;viewer=picture&amp;o=info&amp;n=0&amp;q=</v>
      </c>
      <c r="P23">
        <v>386992</v>
      </c>
      <c r="Q23" t="s">
        <v>38</v>
      </c>
      <c r="R23" t="s">
        <v>1305</v>
      </c>
      <c r="S23" t="s">
        <v>1178</v>
      </c>
      <c r="T23" t="s">
        <v>1192</v>
      </c>
      <c r="U23" t="s">
        <v>599</v>
      </c>
      <c r="V23" t="s">
        <v>1306</v>
      </c>
      <c r="W23" t="s">
        <v>599</v>
      </c>
      <c r="X23" t="s">
        <v>599</v>
      </c>
      <c r="Y23" t="s">
        <v>1182</v>
      </c>
      <c r="Z23" t="s">
        <v>1307</v>
      </c>
      <c r="AA23">
        <v>1880</v>
      </c>
      <c r="AB23">
        <v>1880</v>
      </c>
      <c r="AC23" t="s">
        <v>599</v>
      </c>
      <c r="AD23" t="s">
        <v>599</v>
      </c>
      <c r="AE23" t="s">
        <v>599</v>
      </c>
      <c r="AF23" t="s">
        <v>599</v>
      </c>
      <c r="AG23" t="s">
        <v>1250</v>
      </c>
      <c r="AH23" t="s">
        <v>599</v>
      </c>
      <c r="AI23" t="s">
        <v>1308</v>
      </c>
      <c r="AJ23" t="s">
        <v>1309</v>
      </c>
      <c r="AK23" t="s">
        <v>1188</v>
      </c>
      <c r="AL23" t="s">
        <v>1310</v>
      </c>
      <c r="AM23" t="s">
        <v>1190</v>
      </c>
      <c r="AN23" t="s">
        <v>599</v>
      </c>
      <c r="AO23" t="s">
        <v>599</v>
      </c>
      <c r="AP23" t="s">
        <v>599</v>
      </c>
      <c r="AQ23" t="s">
        <v>599</v>
      </c>
      <c r="AR23" t="s">
        <v>599</v>
      </c>
      <c r="AS23" t="s">
        <v>599</v>
      </c>
      <c r="AT23" t="s">
        <v>599</v>
      </c>
    </row>
    <row r="24" spans="1:46" s="13" customFormat="1" ht="30" x14ac:dyDescent="0.25">
      <c r="A24" s="9">
        <v>10019</v>
      </c>
      <c r="B24" s="10">
        <v>396405</v>
      </c>
      <c r="C24" s="10">
        <v>1</v>
      </c>
      <c r="D24" s="9">
        <v>1</v>
      </c>
      <c r="E24" s="11" t="s">
        <v>39</v>
      </c>
      <c r="F24" s="12">
        <v>1</v>
      </c>
      <c r="G24" s="9">
        <v>1</v>
      </c>
      <c r="H24" s="34"/>
      <c r="I24" s="55" t="str">
        <f t="shared" si="1"/>
        <v>https://permalinkbnd.bnportugal.gov.pt/viewer/36059/?offset=#page=1&amp;viewer=picture&amp;o=info&amp;n=0&amp;q=</v>
      </c>
      <c r="J24" s="45"/>
      <c r="K24" s="45"/>
      <c r="L24" s="45"/>
      <c r="M24" t="s">
        <v>39</v>
      </c>
      <c r="N24">
        <v>36059</v>
      </c>
      <c r="O24" t="str">
        <f t="shared" si="0"/>
        <v>https://permalinkbnd.bnportugal.gov.pt/viewer/36059/?offset=#page=1&amp;viewer=picture&amp;o=info&amp;n=0&amp;q=</v>
      </c>
      <c r="P24">
        <v>396405</v>
      </c>
      <c r="Q24" t="s">
        <v>39</v>
      </c>
      <c r="R24" t="s">
        <v>1311</v>
      </c>
      <c r="S24" t="s">
        <v>1312</v>
      </c>
      <c r="T24" t="s">
        <v>1192</v>
      </c>
      <c r="U24" t="s">
        <v>599</v>
      </c>
      <c r="V24" t="s">
        <v>1313</v>
      </c>
      <c r="W24" t="s">
        <v>599</v>
      </c>
      <c r="X24" t="s">
        <v>599</v>
      </c>
      <c r="Y24" t="s">
        <v>1182</v>
      </c>
      <c r="Z24" t="s">
        <v>1314</v>
      </c>
      <c r="AA24">
        <v>1992</v>
      </c>
      <c r="AB24">
        <v>1992</v>
      </c>
      <c r="AC24" t="s">
        <v>1315</v>
      </c>
      <c r="AD24" t="s">
        <v>1316</v>
      </c>
      <c r="AE24" t="s">
        <v>599</v>
      </c>
      <c r="AF24" t="s">
        <v>599</v>
      </c>
      <c r="AG24" t="s">
        <v>599</v>
      </c>
      <c r="AH24" t="s">
        <v>599</v>
      </c>
      <c r="AI24" t="s">
        <v>599</v>
      </c>
      <c r="AJ24" t="s">
        <v>1317</v>
      </c>
      <c r="AK24" t="s">
        <v>599</v>
      </c>
      <c r="AL24" t="s">
        <v>1318</v>
      </c>
      <c r="AM24" t="s">
        <v>1319</v>
      </c>
      <c r="AN24" t="s">
        <v>599</v>
      </c>
      <c r="AO24" t="s">
        <v>599</v>
      </c>
      <c r="AP24" t="s">
        <v>599</v>
      </c>
      <c r="AQ24" t="s">
        <v>599</v>
      </c>
      <c r="AR24" t="s">
        <v>599</v>
      </c>
      <c r="AS24" t="s">
        <v>599</v>
      </c>
      <c r="AT24" t="s">
        <v>599</v>
      </c>
    </row>
    <row r="25" spans="1:46" s="26" customFormat="1" ht="30" x14ac:dyDescent="0.25">
      <c r="A25" s="22">
        <v>10021</v>
      </c>
      <c r="B25" s="23">
        <v>397670</v>
      </c>
      <c r="C25" s="23">
        <v>1</v>
      </c>
      <c r="D25" s="27">
        <v>11</v>
      </c>
      <c r="E25" s="24" t="s">
        <v>40</v>
      </c>
      <c r="F25" s="25" t="s">
        <v>41</v>
      </c>
      <c r="G25" s="22"/>
      <c r="H25" s="27" t="s">
        <v>624</v>
      </c>
      <c r="I25" s="55" t="str">
        <f t="shared" si="1"/>
        <v>https://permalinkbnd.bnportugal.gov.pt/viewer/273150/?offset=#page=11&amp;viewer=picture&amp;o=info&amp;n=0&amp;q=</v>
      </c>
      <c r="J25" s="45"/>
      <c r="K25" s="45"/>
      <c r="L25" s="45"/>
      <c r="M25" t="s">
        <v>40</v>
      </c>
      <c r="N25">
        <v>273150</v>
      </c>
      <c r="O25" t="str">
        <f t="shared" si="0"/>
        <v>https://permalinkbnd.bnportugal.gov.pt/viewer/273150/?offset=#page=11&amp;viewer=picture&amp;o=info&amp;n=0&amp;q=</v>
      </c>
      <c r="P25">
        <v>397670</v>
      </c>
      <c r="Q25" t="s">
        <v>40</v>
      </c>
      <c r="R25" t="s">
        <v>1320</v>
      </c>
      <c r="S25" t="s">
        <v>1178</v>
      </c>
      <c r="T25" t="s">
        <v>1321</v>
      </c>
      <c r="U25" t="s">
        <v>599</v>
      </c>
      <c r="V25" t="s">
        <v>1322</v>
      </c>
      <c r="W25" t="s">
        <v>599</v>
      </c>
      <c r="X25" t="s">
        <v>599</v>
      </c>
      <c r="Y25" t="s">
        <v>1182</v>
      </c>
      <c r="Z25" t="s">
        <v>1323</v>
      </c>
      <c r="AA25">
        <v>1880</v>
      </c>
      <c r="AB25">
        <v>1880</v>
      </c>
      <c r="AC25" t="s">
        <v>1324</v>
      </c>
      <c r="AD25" t="s">
        <v>1185</v>
      </c>
      <c r="AE25" t="s">
        <v>599</v>
      </c>
      <c r="AF25" t="s">
        <v>599</v>
      </c>
      <c r="AG25" t="s">
        <v>1325</v>
      </c>
      <c r="AH25" t="s">
        <v>599</v>
      </c>
      <c r="AI25" t="s">
        <v>599</v>
      </c>
      <c r="AJ25" t="s">
        <v>1326</v>
      </c>
      <c r="AK25" t="s">
        <v>1188</v>
      </c>
      <c r="AL25" t="s">
        <v>1327</v>
      </c>
      <c r="AM25" t="s">
        <v>1190</v>
      </c>
      <c r="AN25" t="s">
        <v>1328</v>
      </c>
      <c r="AO25" t="s">
        <v>599</v>
      </c>
      <c r="AP25" t="s">
        <v>599</v>
      </c>
      <c r="AQ25" t="s">
        <v>599</v>
      </c>
      <c r="AR25" t="s">
        <v>599</v>
      </c>
      <c r="AS25" t="s">
        <v>599</v>
      </c>
      <c r="AT25" t="s">
        <v>599</v>
      </c>
    </row>
    <row r="26" spans="1:46" s="13" customFormat="1" ht="30" x14ac:dyDescent="0.25">
      <c r="A26" s="9">
        <v>10024</v>
      </c>
      <c r="B26" s="10">
        <v>397818</v>
      </c>
      <c r="C26" s="10">
        <v>1</v>
      </c>
      <c r="D26" s="9">
        <v>6</v>
      </c>
      <c r="E26" s="11" t="s">
        <v>42</v>
      </c>
      <c r="F26" s="12" t="s">
        <v>43</v>
      </c>
      <c r="G26" s="9">
        <v>6</v>
      </c>
      <c r="H26" s="34"/>
      <c r="I26" s="55" t="str">
        <f t="shared" si="1"/>
        <v>https://permalinkbnd.bnportugal.gov.pt/viewer/272368/?offset=#page=6&amp;viewer=picture&amp;o=info&amp;n=0&amp;q=</v>
      </c>
      <c r="J26" s="45"/>
      <c r="K26" s="45"/>
      <c r="L26" s="45"/>
      <c r="M26" t="s">
        <v>42</v>
      </c>
      <c r="N26">
        <v>272368</v>
      </c>
      <c r="O26" t="str">
        <f t="shared" si="0"/>
        <v>https://permalinkbnd.bnportugal.gov.pt/viewer/272368/?offset=#page=6&amp;viewer=picture&amp;o=info&amp;n=0&amp;q=</v>
      </c>
      <c r="P26">
        <v>397818</v>
      </c>
      <c r="Q26" t="s">
        <v>42</v>
      </c>
      <c r="R26" t="s">
        <v>1329</v>
      </c>
      <c r="S26" t="s">
        <v>1178</v>
      </c>
      <c r="T26" t="s">
        <v>1192</v>
      </c>
      <c r="U26" t="s">
        <v>599</v>
      </c>
      <c r="V26" t="s">
        <v>1193</v>
      </c>
      <c r="W26" t="s">
        <v>1330</v>
      </c>
      <c r="X26" t="s">
        <v>599</v>
      </c>
      <c r="Y26" t="s">
        <v>1331</v>
      </c>
      <c r="Z26" t="s">
        <v>1332</v>
      </c>
      <c r="AA26">
        <v>1891</v>
      </c>
      <c r="AB26">
        <v>1891</v>
      </c>
      <c r="AC26" t="s">
        <v>1333</v>
      </c>
      <c r="AD26" t="s">
        <v>1185</v>
      </c>
      <c r="AE26" t="s">
        <v>599</v>
      </c>
      <c r="AF26" t="s">
        <v>599</v>
      </c>
      <c r="AG26" t="s">
        <v>1334</v>
      </c>
      <c r="AH26" t="s">
        <v>599</v>
      </c>
      <c r="AI26" t="s">
        <v>599</v>
      </c>
      <c r="AJ26" t="s">
        <v>1335</v>
      </c>
      <c r="AK26" t="s">
        <v>1188</v>
      </c>
      <c r="AL26" t="s">
        <v>1336</v>
      </c>
      <c r="AM26" t="s">
        <v>1190</v>
      </c>
      <c r="AN26" t="s">
        <v>599</v>
      </c>
      <c r="AO26" t="s">
        <v>599</v>
      </c>
      <c r="AP26" t="s">
        <v>599</v>
      </c>
      <c r="AQ26" t="s">
        <v>599</v>
      </c>
      <c r="AR26" t="s">
        <v>599</v>
      </c>
      <c r="AS26" t="s">
        <v>599</v>
      </c>
      <c r="AT26" t="s">
        <v>599</v>
      </c>
    </row>
    <row r="27" spans="1:46" s="26" customFormat="1" ht="30" x14ac:dyDescent="0.25">
      <c r="A27" s="22">
        <v>10026</v>
      </c>
      <c r="B27" s="23">
        <v>397822</v>
      </c>
      <c r="C27" s="23">
        <v>1</v>
      </c>
      <c r="D27" s="27">
        <v>7</v>
      </c>
      <c r="E27" s="24" t="s">
        <v>44</v>
      </c>
      <c r="F27" s="25" t="s">
        <v>45</v>
      </c>
      <c r="G27" s="22"/>
      <c r="H27" s="27" t="s">
        <v>615</v>
      </c>
      <c r="I27" s="55" t="str">
        <f t="shared" si="1"/>
        <v>https://permalinkbnd.bnportugal.gov.pt/viewer/274090/?offset=#page=7&amp;viewer=picture&amp;o=info&amp;n=0&amp;q=</v>
      </c>
      <c r="J27" s="45"/>
      <c r="K27" s="45"/>
      <c r="L27" s="45"/>
      <c r="M27" t="s">
        <v>44</v>
      </c>
      <c r="N27">
        <v>274090</v>
      </c>
      <c r="O27" t="str">
        <f t="shared" si="0"/>
        <v>https://permalinkbnd.bnportugal.gov.pt/viewer/274090/?offset=#page=7&amp;viewer=picture&amp;o=info&amp;n=0&amp;q=</v>
      </c>
      <c r="P27">
        <v>397822</v>
      </c>
      <c r="Q27" t="s">
        <v>44</v>
      </c>
      <c r="R27" t="s">
        <v>1337</v>
      </c>
      <c r="S27" t="s">
        <v>1178</v>
      </c>
      <c r="T27" t="s">
        <v>1192</v>
      </c>
      <c r="U27" t="s">
        <v>599</v>
      </c>
      <c r="V27" t="s">
        <v>1193</v>
      </c>
      <c r="W27" t="s">
        <v>599</v>
      </c>
      <c r="X27" t="s">
        <v>599</v>
      </c>
      <c r="Y27" t="s">
        <v>1338</v>
      </c>
      <c r="Z27" t="s">
        <v>1339</v>
      </c>
      <c r="AA27">
        <v>1898</v>
      </c>
      <c r="AB27">
        <v>1898</v>
      </c>
      <c r="AC27" t="s">
        <v>1340</v>
      </c>
      <c r="AD27" t="s">
        <v>1185</v>
      </c>
      <c r="AE27" t="s">
        <v>599</v>
      </c>
      <c r="AF27" t="s">
        <v>599</v>
      </c>
      <c r="AG27" t="s">
        <v>599</v>
      </c>
      <c r="AH27" t="s">
        <v>599</v>
      </c>
      <c r="AI27" t="s">
        <v>599</v>
      </c>
      <c r="AJ27" t="s">
        <v>1341</v>
      </c>
      <c r="AK27" t="s">
        <v>1188</v>
      </c>
      <c r="AL27" t="s">
        <v>1342</v>
      </c>
      <c r="AM27" t="s">
        <v>1190</v>
      </c>
      <c r="AN27" t="s">
        <v>599</v>
      </c>
      <c r="AO27" t="s">
        <v>599</v>
      </c>
      <c r="AP27" t="s">
        <v>599</v>
      </c>
      <c r="AQ27" t="s">
        <v>599</v>
      </c>
      <c r="AR27" t="s">
        <v>599</v>
      </c>
      <c r="AS27" t="s">
        <v>599</v>
      </c>
      <c r="AT27" t="s">
        <v>599</v>
      </c>
    </row>
    <row r="28" spans="1:46" s="26" customFormat="1" ht="30" x14ac:dyDescent="0.25">
      <c r="A28" s="22">
        <v>10030</v>
      </c>
      <c r="B28" s="23">
        <v>397852</v>
      </c>
      <c r="C28" s="23">
        <v>1</v>
      </c>
      <c r="D28" s="27">
        <v>14</v>
      </c>
      <c r="E28" s="24" t="s">
        <v>46</v>
      </c>
      <c r="F28" s="25" t="s">
        <v>47</v>
      </c>
      <c r="G28" s="22"/>
      <c r="H28" s="27" t="s">
        <v>623</v>
      </c>
      <c r="I28" s="55" t="str">
        <f t="shared" si="1"/>
        <v>https://permalinkbnd.bnportugal.gov.pt/viewer/274172/?offset=#page=14&amp;viewer=picture&amp;o=info&amp;n=0&amp;q=</v>
      </c>
      <c r="J28" s="45"/>
      <c r="K28" s="45"/>
      <c r="L28" s="45"/>
      <c r="M28" t="s">
        <v>46</v>
      </c>
      <c r="N28">
        <v>274172</v>
      </c>
      <c r="O28" t="str">
        <f t="shared" si="0"/>
        <v>https://permalinkbnd.bnportugal.gov.pt/viewer/274172/?offset=#page=14&amp;viewer=picture&amp;o=info&amp;n=0&amp;q=</v>
      </c>
      <c r="P28">
        <v>397852</v>
      </c>
      <c r="Q28" t="s">
        <v>46</v>
      </c>
      <c r="R28" t="s">
        <v>1343</v>
      </c>
      <c r="S28" t="s">
        <v>1178</v>
      </c>
      <c r="T28" t="s">
        <v>1344</v>
      </c>
      <c r="U28" t="s">
        <v>599</v>
      </c>
      <c r="V28" t="s">
        <v>1345</v>
      </c>
      <c r="W28" t="s">
        <v>1346</v>
      </c>
      <c r="X28" t="s">
        <v>599</v>
      </c>
      <c r="Y28" t="s">
        <v>1347</v>
      </c>
      <c r="Z28" t="s">
        <v>1221</v>
      </c>
      <c r="AA28">
        <v>1887</v>
      </c>
      <c r="AB28">
        <v>1887</v>
      </c>
      <c r="AC28" t="s">
        <v>1348</v>
      </c>
      <c r="AD28" t="s">
        <v>1185</v>
      </c>
      <c r="AE28" t="s">
        <v>599</v>
      </c>
      <c r="AF28" t="s">
        <v>599</v>
      </c>
      <c r="AG28" t="s">
        <v>1349</v>
      </c>
      <c r="AH28" t="s">
        <v>599</v>
      </c>
      <c r="AI28" t="s">
        <v>599</v>
      </c>
      <c r="AJ28" t="s">
        <v>1350</v>
      </c>
      <c r="AK28" t="s">
        <v>1188</v>
      </c>
      <c r="AL28" t="s">
        <v>1351</v>
      </c>
      <c r="AM28" t="s">
        <v>1190</v>
      </c>
      <c r="AN28" t="s">
        <v>1352</v>
      </c>
      <c r="AO28" t="s">
        <v>599</v>
      </c>
      <c r="AP28" t="s">
        <v>599</v>
      </c>
      <c r="AQ28" t="s">
        <v>599</v>
      </c>
      <c r="AR28" t="s">
        <v>599</v>
      </c>
      <c r="AS28" t="s">
        <v>599</v>
      </c>
      <c r="AT28" t="s">
        <v>599</v>
      </c>
    </row>
    <row r="29" spans="1:46" s="26" customFormat="1" ht="30" x14ac:dyDescent="0.25">
      <c r="A29" s="22">
        <v>10031</v>
      </c>
      <c r="B29" s="23">
        <v>397863</v>
      </c>
      <c r="C29" s="23">
        <v>1</v>
      </c>
      <c r="D29" s="27">
        <v>11</v>
      </c>
      <c r="E29" s="24" t="s">
        <v>48</v>
      </c>
      <c r="F29" s="25" t="s">
        <v>49</v>
      </c>
      <c r="G29" s="22"/>
      <c r="H29" s="27" t="s">
        <v>624</v>
      </c>
      <c r="I29" s="55" t="str">
        <f t="shared" si="1"/>
        <v>https://permalinkbnd.bnportugal.gov.pt/viewer/273148/?offset=#page=11&amp;viewer=picture&amp;o=info&amp;n=0&amp;q=</v>
      </c>
      <c r="J29" s="45"/>
      <c r="K29" s="45"/>
      <c r="L29" s="45"/>
      <c r="M29" t="s">
        <v>48</v>
      </c>
      <c r="N29">
        <v>273148</v>
      </c>
      <c r="O29" t="str">
        <f t="shared" si="0"/>
        <v>https://permalinkbnd.bnportugal.gov.pt/viewer/273148/?offset=#page=11&amp;viewer=picture&amp;o=info&amp;n=0&amp;q=</v>
      </c>
      <c r="P29">
        <v>397863</v>
      </c>
      <c r="Q29" t="s">
        <v>48</v>
      </c>
      <c r="R29" t="s">
        <v>1353</v>
      </c>
      <c r="S29" t="s">
        <v>1178</v>
      </c>
      <c r="T29" t="s">
        <v>1192</v>
      </c>
      <c r="U29" t="s">
        <v>599</v>
      </c>
      <c r="V29" t="s">
        <v>1354</v>
      </c>
      <c r="W29" t="s">
        <v>599</v>
      </c>
      <c r="X29" t="s">
        <v>599</v>
      </c>
      <c r="Y29" t="s">
        <v>1355</v>
      </c>
      <c r="Z29" t="s">
        <v>1356</v>
      </c>
      <c r="AA29">
        <v>1884</v>
      </c>
      <c r="AB29">
        <v>1884</v>
      </c>
      <c r="AC29" t="s">
        <v>1357</v>
      </c>
      <c r="AD29" t="s">
        <v>1185</v>
      </c>
      <c r="AE29" t="s">
        <v>599</v>
      </c>
      <c r="AF29" t="s">
        <v>599</v>
      </c>
      <c r="AG29" t="s">
        <v>1358</v>
      </c>
      <c r="AH29" t="s">
        <v>599</v>
      </c>
      <c r="AI29" t="s">
        <v>599</v>
      </c>
      <c r="AJ29" t="s">
        <v>1359</v>
      </c>
      <c r="AK29" t="s">
        <v>1188</v>
      </c>
      <c r="AL29" t="s">
        <v>1360</v>
      </c>
      <c r="AM29" t="s">
        <v>1190</v>
      </c>
      <c r="AN29" t="s">
        <v>599</v>
      </c>
      <c r="AO29" t="s">
        <v>599</v>
      </c>
      <c r="AP29" t="s">
        <v>599</v>
      </c>
      <c r="AQ29" t="s">
        <v>599</v>
      </c>
      <c r="AR29" t="s">
        <v>599</v>
      </c>
      <c r="AS29" t="s">
        <v>599</v>
      </c>
      <c r="AT29" t="s">
        <v>599</v>
      </c>
    </row>
    <row r="30" spans="1:46" s="26" customFormat="1" ht="30" x14ac:dyDescent="0.25">
      <c r="A30" s="22">
        <v>10033</v>
      </c>
      <c r="B30" s="23">
        <v>397876</v>
      </c>
      <c r="C30" s="23">
        <v>1</v>
      </c>
      <c r="D30" s="27">
        <v>9</v>
      </c>
      <c r="E30" s="24" t="s">
        <v>50</v>
      </c>
      <c r="F30" s="25">
        <v>9</v>
      </c>
      <c r="G30" s="22"/>
      <c r="H30" s="27" t="s">
        <v>622</v>
      </c>
      <c r="I30" s="55" t="str">
        <f t="shared" si="1"/>
        <v>https://permalinkbnd.bnportugal.gov.pt/viewer/274230/?offset=#page=9&amp;viewer=picture&amp;o=info&amp;n=0&amp;q=</v>
      </c>
      <c r="J30" s="45"/>
      <c r="K30" s="45"/>
      <c r="L30" s="45"/>
      <c r="M30" t="s">
        <v>50</v>
      </c>
      <c r="N30">
        <v>274230</v>
      </c>
      <c r="O30" t="str">
        <f t="shared" si="0"/>
        <v>https://permalinkbnd.bnportugal.gov.pt/viewer/274230/?offset=#page=9&amp;viewer=picture&amp;o=info&amp;n=0&amp;q=</v>
      </c>
      <c r="P30">
        <v>397876</v>
      </c>
      <c r="Q30" t="s">
        <v>50</v>
      </c>
      <c r="R30" t="s">
        <v>1361</v>
      </c>
      <c r="S30" t="s">
        <v>1178</v>
      </c>
      <c r="T30" t="s">
        <v>1362</v>
      </c>
      <c r="U30" t="s">
        <v>1192</v>
      </c>
      <c r="V30" t="s">
        <v>1363</v>
      </c>
      <c r="W30" t="s">
        <v>599</v>
      </c>
      <c r="X30" t="s">
        <v>599</v>
      </c>
      <c r="Y30" t="s">
        <v>1182</v>
      </c>
      <c r="Z30" t="s">
        <v>1364</v>
      </c>
      <c r="AA30">
        <v>1879</v>
      </c>
      <c r="AB30">
        <v>1879</v>
      </c>
      <c r="AC30" t="s">
        <v>1365</v>
      </c>
      <c r="AD30" t="s">
        <v>1185</v>
      </c>
      <c r="AE30" t="s">
        <v>599</v>
      </c>
      <c r="AF30" t="s">
        <v>599</v>
      </c>
      <c r="AG30" t="s">
        <v>1366</v>
      </c>
      <c r="AH30" t="s">
        <v>599</v>
      </c>
      <c r="AI30" t="s">
        <v>599</v>
      </c>
      <c r="AJ30" t="s">
        <v>1367</v>
      </c>
      <c r="AK30" t="s">
        <v>1188</v>
      </c>
      <c r="AL30" t="s">
        <v>1368</v>
      </c>
      <c r="AM30" t="s">
        <v>1190</v>
      </c>
      <c r="AN30" t="s">
        <v>599</v>
      </c>
      <c r="AO30" t="s">
        <v>599</v>
      </c>
      <c r="AP30" t="s">
        <v>599</v>
      </c>
      <c r="AQ30" t="s">
        <v>599</v>
      </c>
      <c r="AR30" t="s">
        <v>599</v>
      </c>
      <c r="AS30" t="s">
        <v>599</v>
      </c>
      <c r="AT30" t="s">
        <v>599</v>
      </c>
    </row>
    <row r="31" spans="1:46" s="13" customFormat="1" ht="30" x14ac:dyDescent="0.25">
      <c r="A31" s="9">
        <v>10034</v>
      </c>
      <c r="B31" s="10">
        <v>397877</v>
      </c>
      <c r="C31" s="10">
        <v>1</v>
      </c>
      <c r="D31" s="9">
        <v>9</v>
      </c>
      <c r="E31" s="11" t="s">
        <v>51</v>
      </c>
      <c r="F31" s="12" t="s">
        <v>52</v>
      </c>
      <c r="G31" s="9">
        <v>9</v>
      </c>
      <c r="H31" s="34"/>
      <c r="I31" s="55" t="str">
        <f t="shared" si="1"/>
        <v>https://permalinkbnd.bnportugal.gov.pt/viewer/1576/?offset=#page=9&amp;viewer=picture&amp;o=info&amp;n=0&amp;q=</v>
      </c>
      <c r="J31" s="45"/>
      <c r="K31" s="45"/>
      <c r="L31" s="45"/>
      <c r="M31" t="s">
        <v>51</v>
      </c>
      <c r="N31">
        <v>1576</v>
      </c>
      <c r="O31" t="str">
        <f t="shared" si="0"/>
        <v>https://permalinkbnd.bnportugal.gov.pt/viewer/1576/?offset=#page=9&amp;viewer=picture&amp;o=info&amp;n=0&amp;q=</v>
      </c>
      <c r="P31">
        <v>397877</v>
      </c>
      <c r="Q31" t="s">
        <v>51</v>
      </c>
      <c r="R31" t="s">
        <v>1369</v>
      </c>
      <c r="S31" t="s">
        <v>1178</v>
      </c>
      <c r="T31" t="s">
        <v>1192</v>
      </c>
      <c r="U31" t="s">
        <v>599</v>
      </c>
      <c r="V31" t="s">
        <v>1370</v>
      </c>
      <c r="W31" t="s">
        <v>599</v>
      </c>
      <c r="X31" t="s">
        <v>599</v>
      </c>
      <c r="Y31" t="s">
        <v>1182</v>
      </c>
      <c r="Z31" t="s">
        <v>1371</v>
      </c>
      <c r="AA31">
        <v>1894</v>
      </c>
      <c r="AB31">
        <v>1894</v>
      </c>
      <c r="AC31" t="s">
        <v>1372</v>
      </c>
      <c r="AD31" t="s">
        <v>1185</v>
      </c>
      <c r="AE31" t="s">
        <v>599</v>
      </c>
      <c r="AF31" t="s">
        <v>599</v>
      </c>
      <c r="AG31" t="s">
        <v>1373</v>
      </c>
      <c r="AH31" t="s">
        <v>599</v>
      </c>
      <c r="AI31" t="s">
        <v>599</v>
      </c>
      <c r="AJ31" t="s">
        <v>1374</v>
      </c>
      <c r="AK31" t="s">
        <v>1188</v>
      </c>
      <c r="AL31" t="s">
        <v>1375</v>
      </c>
      <c r="AM31" t="s">
        <v>1190</v>
      </c>
      <c r="AN31" t="s">
        <v>599</v>
      </c>
      <c r="AO31" t="s">
        <v>599</v>
      </c>
      <c r="AP31" t="s">
        <v>599</v>
      </c>
      <c r="AQ31" t="s">
        <v>599</v>
      </c>
      <c r="AR31" t="s">
        <v>599</v>
      </c>
      <c r="AS31" t="s">
        <v>599</v>
      </c>
      <c r="AT31" t="s">
        <v>599</v>
      </c>
    </row>
    <row r="32" spans="1:46" s="13" customFormat="1" ht="30" x14ac:dyDescent="0.25">
      <c r="A32" s="9">
        <v>10035</v>
      </c>
      <c r="B32" s="10">
        <v>401648</v>
      </c>
      <c r="C32" s="10">
        <v>1</v>
      </c>
      <c r="D32" s="9">
        <v>3</v>
      </c>
      <c r="E32" s="11" t="s">
        <v>53</v>
      </c>
      <c r="F32" s="12" t="s">
        <v>54</v>
      </c>
      <c r="G32" s="9">
        <v>3</v>
      </c>
      <c r="H32" s="34"/>
      <c r="I32" s="55" t="str">
        <f t="shared" si="1"/>
        <v>https://permalinkbnd.bnportugal.gov.pt/viewer/273125/?offset=#page=3&amp;viewer=picture&amp;o=info&amp;n=0&amp;q=</v>
      </c>
      <c r="J32" s="45"/>
      <c r="K32" s="45"/>
      <c r="L32" s="45"/>
      <c r="M32" t="s">
        <v>53</v>
      </c>
      <c r="N32">
        <v>273125</v>
      </c>
      <c r="O32" t="str">
        <f t="shared" si="0"/>
        <v>https://permalinkbnd.bnportugal.gov.pt/viewer/273125/?offset=#page=3&amp;viewer=picture&amp;o=info&amp;n=0&amp;q=</v>
      </c>
      <c r="P32">
        <v>401648</v>
      </c>
      <c r="Q32" t="s">
        <v>53</v>
      </c>
      <c r="R32" t="s">
        <v>1376</v>
      </c>
      <c r="S32" t="s">
        <v>1226</v>
      </c>
      <c r="T32" t="s">
        <v>1192</v>
      </c>
      <c r="U32" t="s">
        <v>599</v>
      </c>
      <c r="V32" t="s">
        <v>1377</v>
      </c>
      <c r="W32" t="s">
        <v>1378</v>
      </c>
      <c r="X32" t="s">
        <v>599</v>
      </c>
      <c r="Y32" t="s">
        <v>1182</v>
      </c>
      <c r="Z32" t="s">
        <v>1379</v>
      </c>
      <c r="AA32">
        <v>1881</v>
      </c>
      <c r="AB32">
        <v>1881</v>
      </c>
      <c r="AC32" t="s">
        <v>599</v>
      </c>
      <c r="AD32" t="s">
        <v>599</v>
      </c>
      <c r="AE32" t="s">
        <v>599</v>
      </c>
      <c r="AF32" t="s">
        <v>599</v>
      </c>
      <c r="AG32" t="s">
        <v>599</v>
      </c>
      <c r="AH32" t="s">
        <v>599</v>
      </c>
      <c r="AI32" t="s">
        <v>599</v>
      </c>
      <c r="AJ32" t="s">
        <v>1380</v>
      </c>
      <c r="AK32" t="s">
        <v>1188</v>
      </c>
      <c r="AL32" t="s">
        <v>1381</v>
      </c>
      <c r="AM32" t="s">
        <v>1190</v>
      </c>
      <c r="AN32" t="s">
        <v>599</v>
      </c>
      <c r="AO32" t="s">
        <v>599</v>
      </c>
      <c r="AP32" t="s">
        <v>599</v>
      </c>
      <c r="AQ32" t="s">
        <v>599</v>
      </c>
      <c r="AR32" t="s">
        <v>1382</v>
      </c>
      <c r="AS32" t="s">
        <v>599</v>
      </c>
      <c r="AT32" t="s">
        <v>599</v>
      </c>
    </row>
    <row r="33" spans="1:46" s="13" customFormat="1" ht="30" x14ac:dyDescent="0.25">
      <c r="A33" s="9">
        <v>10038</v>
      </c>
      <c r="B33" s="10">
        <v>401658</v>
      </c>
      <c r="C33" s="10">
        <v>1</v>
      </c>
      <c r="D33" s="9">
        <v>1</v>
      </c>
      <c r="E33" s="11" t="s">
        <v>55</v>
      </c>
      <c r="F33" s="12">
        <v>1</v>
      </c>
      <c r="G33" s="9">
        <v>1</v>
      </c>
      <c r="H33" s="34"/>
      <c r="I33" s="55" t="str">
        <f t="shared" si="1"/>
        <v>https://permalinkbnd.bnportugal.gov.pt/viewer/3/?offset=#page=1&amp;viewer=picture&amp;o=info&amp;n=0&amp;q=</v>
      </c>
      <c r="J33" s="45"/>
      <c r="K33" s="45"/>
      <c r="L33" s="45"/>
      <c r="M33" t="s">
        <v>55</v>
      </c>
      <c r="N33">
        <v>3</v>
      </c>
      <c r="O33" t="str">
        <f t="shared" si="0"/>
        <v>https://permalinkbnd.bnportugal.gov.pt/viewer/3/?offset=#page=1&amp;viewer=picture&amp;o=info&amp;n=0&amp;q=</v>
      </c>
      <c r="P33">
        <v>401658</v>
      </c>
      <c r="Q33" t="s">
        <v>55</v>
      </c>
      <c r="R33" t="s">
        <v>1383</v>
      </c>
      <c r="S33" t="s">
        <v>1178</v>
      </c>
      <c r="T33" t="s">
        <v>1192</v>
      </c>
      <c r="U33" t="s">
        <v>599</v>
      </c>
      <c r="V33" t="s">
        <v>1384</v>
      </c>
      <c r="W33" t="s">
        <v>599</v>
      </c>
      <c r="X33" t="s">
        <v>599</v>
      </c>
      <c r="Y33" t="s">
        <v>1182</v>
      </c>
      <c r="Z33" t="s">
        <v>1385</v>
      </c>
      <c r="AA33">
        <v>1880</v>
      </c>
      <c r="AB33">
        <v>1880</v>
      </c>
      <c r="AC33" t="s">
        <v>599</v>
      </c>
      <c r="AD33" t="s">
        <v>599</v>
      </c>
      <c r="AE33" t="s">
        <v>599</v>
      </c>
      <c r="AF33" t="s">
        <v>599</v>
      </c>
      <c r="AG33" t="s">
        <v>599</v>
      </c>
      <c r="AH33" t="s">
        <v>599</v>
      </c>
      <c r="AI33" t="s">
        <v>599</v>
      </c>
      <c r="AJ33" t="s">
        <v>1386</v>
      </c>
      <c r="AK33" t="s">
        <v>1188</v>
      </c>
      <c r="AL33" t="s">
        <v>1387</v>
      </c>
      <c r="AM33" t="s">
        <v>1190</v>
      </c>
      <c r="AN33" t="s">
        <v>599</v>
      </c>
      <c r="AO33" t="s">
        <v>599</v>
      </c>
      <c r="AP33" t="s">
        <v>599</v>
      </c>
      <c r="AQ33" t="s">
        <v>599</v>
      </c>
      <c r="AR33" t="s">
        <v>599</v>
      </c>
      <c r="AS33" t="s">
        <v>599</v>
      </c>
      <c r="AT33" t="s">
        <v>599</v>
      </c>
    </row>
    <row r="34" spans="1:46" s="13" customFormat="1" ht="30" x14ac:dyDescent="0.25">
      <c r="A34" s="9">
        <v>10040</v>
      </c>
      <c r="B34" s="10">
        <v>401739</v>
      </c>
      <c r="C34" s="10">
        <v>1</v>
      </c>
      <c r="D34" s="9">
        <v>1</v>
      </c>
      <c r="E34" s="11" t="s">
        <v>56</v>
      </c>
      <c r="F34" s="12">
        <v>1</v>
      </c>
      <c r="G34" s="9">
        <v>1</v>
      </c>
      <c r="H34" s="34"/>
      <c r="I34" s="55" t="str">
        <f t="shared" si="1"/>
        <v>https://permalinkbnd.bnportugal.gov.pt/viewer/274260/?offset=#page=1&amp;viewer=picture&amp;o=info&amp;n=0&amp;q=</v>
      </c>
      <c r="J34" s="45"/>
      <c r="K34" s="45"/>
      <c r="L34" s="45"/>
      <c r="M34" t="s">
        <v>56</v>
      </c>
      <c r="N34">
        <v>274260</v>
      </c>
      <c r="O34" t="str">
        <f t="shared" si="0"/>
        <v>https://permalinkbnd.bnportugal.gov.pt/viewer/274260/?offset=#page=1&amp;viewer=picture&amp;o=info&amp;n=0&amp;q=</v>
      </c>
      <c r="P34">
        <v>401739</v>
      </c>
      <c r="Q34" t="s">
        <v>56</v>
      </c>
      <c r="R34" t="s">
        <v>1388</v>
      </c>
      <c r="S34" t="s">
        <v>1178</v>
      </c>
      <c r="T34" t="s">
        <v>1192</v>
      </c>
      <c r="U34" t="s">
        <v>599</v>
      </c>
      <c r="V34" t="s">
        <v>1389</v>
      </c>
      <c r="W34" t="s">
        <v>599</v>
      </c>
      <c r="X34" t="s">
        <v>599</v>
      </c>
      <c r="Y34" t="s">
        <v>1182</v>
      </c>
      <c r="Z34" t="s">
        <v>1390</v>
      </c>
      <c r="AA34">
        <v>1880</v>
      </c>
      <c r="AB34">
        <v>1880</v>
      </c>
      <c r="AC34" t="s">
        <v>1391</v>
      </c>
      <c r="AD34" t="s">
        <v>599</v>
      </c>
      <c r="AE34" t="s">
        <v>599</v>
      </c>
      <c r="AF34" t="s">
        <v>599</v>
      </c>
      <c r="AG34" t="s">
        <v>599</v>
      </c>
      <c r="AH34" t="s">
        <v>599</v>
      </c>
      <c r="AI34" t="s">
        <v>599</v>
      </c>
      <c r="AJ34" t="s">
        <v>1392</v>
      </c>
      <c r="AK34" t="s">
        <v>1188</v>
      </c>
      <c r="AL34" t="s">
        <v>1393</v>
      </c>
      <c r="AM34" t="s">
        <v>1190</v>
      </c>
      <c r="AN34" t="s">
        <v>599</v>
      </c>
      <c r="AO34" t="s">
        <v>599</v>
      </c>
      <c r="AP34" t="s">
        <v>599</v>
      </c>
      <c r="AQ34" t="s">
        <v>599</v>
      </c>
      <c r="AR34" t="s">
        <v>599</v>
      </c>
      <c r="AS34" t="s">
        <v>599</v>
      </c>
      <c r="AT34" t="s">
        <v>599</v>
      </c>
    </row>
    <row r="35" spans="1:46" s="13" customFormat="1" ht="30" x14ac:dyDescent="0.25">
      <c r="A35" s="9">
        <v>10048</v>
      </c>
      <c r="B35" s="10">
        <v>402086</v>
      </c>
      <c r="C35" s="10">
        <v>1</v>
      </c>
      <c r="D35" s="9">
        <v>16</v>
      </c>
      <c r="E35" s="11" t="s">
        <v>57</v>
      </c>
      <c r="F35" s="12" t="s">
        <v>58</v>
      </c>
      <c r="G35" s="9" t="s">
        <v>59</v>
      </c>
      <c r="H35" s="34"/>
      <c r="I35" s="55" t="str">
        <f t="shared" si="1"/>
        <v>https://permalinkbnd.bnportugal.gov.pt/viewer/274280/?offset=#page=16&amp;viewer=picture&amp;o=info&amp;n=0&amp;q=</v>
      </c>
      <c r="J35" s="45"/>
      <c r="K35" s="45"/>
      <c r="L35" s="45"/>
      <c r="M35" t="s">
        <v>57</v>
      </c>
      <c r="N35">
        <v>274280</v>
      </c>
      <c r="O35" t="str">
        <f t="shared" si="0"/>
        <v>https://permalinkbnd.bnportugal.gov.pt/viewer/274280/?offset=#page=16&amp;viewer=picture&amp;o=info&amp;n=0&amp;q=</v>
      </c>
      <c r="P35">
        <v>402086</v>
      </c>
      <c r="Q35" t="s">
        <v>57</v>
      </c>
      <c r="R35" t="s">
        <v>1394</v>
      </c>
      <c r="S35" t="s">
        <v>1178</v>
      </c>
      <c r="T35" t="s">
        <v>1192</v>
      </c>
      <c r="U35" t="s">
        <v>599</v>
      </c>
      <c r="V35" t="s">
        <v>1395</v>
      </c>
      <c r="W35" t="s">
        <v>1396</v>
      </c>
      <c r="X35" t="s">
        <v>599</v>
      </c>
      <c r="Y35" t="s">
        <v>1182</v>
      </c>
      <c r="Z35" t="s">
        <v>1221</v>
      </c>
      <c r="AA35">
        <v>1895</v>
      </c>
      <c r="AB35">
        <v>1895</v>
      </c>
      <c r="AC35" t="s">
        <v>1397</v>
      </c>
      <c r="AD35" t="s">
        <v>1398</v>
      </c>
      <c r="AE35" t="s">
        <v>599</v>
      </c>
      <c r="AF35" t="s">
        <v>599</v>
      </c>
      <c r="AG35" t="s">
        <v>1399</v>
      </c>
      <c r="AH35" t="s">
        <v>599</v>
      </c>
      <c r="AI35" t="s">
        <v>599</v>
      </c>
      <c r="AJ35" t="s">
        <v>1400</v>
      </c>
      <c r="AK35" t="s">
        <v>1188</v>
      </c>
      <c r="AL35" t="s">
        <v>1401</v>
      </c>
      <c r="AM35" t="s">
        <v>1190</v>
      </c>
      <c r="AN35" t="s">
        <v>599</v>
      </c>
      <c r="AO35" t="s">
        <v>599</v>
      </c>
      <c r="AP35" t="s">
        <v>599</v>
      </c>
      <c r="AQ35" t="s">
        <v>599</v>
      </c>
      <c r="AR35" t="s">
        <v>599</v>
      </c>
      <c r="AS35" t="s">
        <v>599</v>
      </c>
      <c r="AT35" t="s">
        <v>599</v>
      </c>
    </row>
    <row r="36" spans="1:46" s="13" customFormat="1" ht="30" x14ac:dyDescent="0.25">
      <c r="A36" s="9">
        <v>10049</v>
      </c>
      <c r="B36" s="10">
        <v>402086</v>
      </c>
      <c r="C36" s="10">
        <v>1</v>
      </c>
      <c r="D36" s="9">
        <v>22</v>
      </c>
      <c r="E36" s="11" t="s">
        <v>57</v>
      </c>
      <c r="F36" s="12" t="s">
        <v>58</v>
      </c>
      <c r="G36" s="9" t="s">
        <v>59</v>
      </c>
      <c r="H36" s="34"/>
      <c r="I36" s="55" t="str">
        <f t="shared" si="1"/>
        <v>https://permalinkbnd.bnportugal.gov.pt/viewer/274280/?offset=#page=22&amp;viewer=picture&amp;o=info&amp;n=0&amp;q=</v>
      </c>
      <c r="J36" s="45"/>
      <c r="K36" s="45"/>
      <c r="L36" s="45"/>
      <c r="M36" t="s">
        <v>57</v>
      </c>
      <c r="N36">
        <v>274280</v>
      </c>
      <c r="O36" t="str">
        <f t="shared" si="0"/>
        <v>https://permalinkbnd.bnportugal.gov.pt/viewer/274280/?offset=#page=22&amp;viewer=picture&amp;o=info&amp;n=0&amp;q=</v>
      </c>
      <c r="P36">
        <v>402086</v>
      </c>
      <c r="Q36" t="s">
        <v>57</v>
      </c>
      <c r="R36" t="s">
        <v>1394</v>
      </c>
      <c r="S36" t="s">
        <v>1178</v>
      </c>
      <c r="T36" t="s">
        <v>1192</v>
      </c>
      <c r="U36" t="s">
        <v>599</v>
      </c>
      <c r="V36" t="s">
        <v>1395</v>
      </c>
      <c r="W36" t="s">
        <v>1396</v>
      </c>
      <c r="X36" t="s">
        <v>599</v>
      </c>
      <c r="Y36" t="s">
        <v>1182</v>
      </c>
      <c r="Z36" t="s">
        <v>1221</v>
      </c>
      <c r="AA36">
        <v>1895</v>
      </c>
      <c r="AB36">
        <v>1895</v>
      </c>
      <c r="AC36" t="s">
        <v>1397</v>
      </c>
      <c r="AD36" t="s">
        <v>1398</v>
      </c>
      <c r="AE36" t="s">
        <v>599</v>
      </c>
      <c r="AF36" t="s">
        <v>599</v>
      </c>
      <c r="AG36" t="s">
        <v>1399</v>
      </c>
      <c r="AH36" t="s">
        <v>599</v>
      </c>
      <c r="AI36" t="s">
        <v>599</v>
      </c>
      <c r="AJ36" t="s">
        <v>1400</v>
      </c>
      <c r="AK36" t="s">
        <v>1188</v>
      </c>
      <c r="AL36" t="s">
        <v>1401</v>
      </c>
      <c r="AM36" t="s">
        <v>1190</v>
      </c>
      <c r="AN36" t="s">
        <v>599</v>
      </c>
      <c r="AO36" t="s">
        <v>599</v>
      </c>
      <c r="AP36" t="s">
        <v>599</v>
      </c>
      <c r="AQ36" t="s">
        <v>599</v>
      </c>
      <c r="AR36" t="s">
        <v>599</v>
      </c>
      <c r="AS36" t="s">
        <v>599</v>
      </c>
      <c r="AT36" t="s">
        <v>599</v>
      </c>
    </row>
    <row r="37" spans="1:46" s="26" customFormat="1" ht="30" x14ac:dyDescent="0.25">
      <c r="A37" s="22">
        <v>10050</v>
      </c>
      <c r="B37" s="23">
        <v>402917</v>
      </c>
      <c r="C37" s="23">
        <v>1</v>
      </c>
      <c r="D37" s="27">
        <v>9</v>
      </c>
      <c r="E37" s="24" t="s">
        <v>60</v>
      </c>
      <c r="F37" s="25">
        <v>9</v>
      </c>
      <c r="G37" s="22"/>
      <c r="H37" s="27" t="s">
        <v>622</v>
      </c>
      <c r="I37" s="55" t="str">
        <f t="shared" si="1"/>
        <v>https://permalinkbnd.bnportugal.gov.pt/viewer/273560/?offset=#page=9&amp;viewer=picture&amp;o=info&amp;n=0&amp;q=</v>
      </c>
      <c r="J37" s="45"/>
      <c r="K37" s="45"/>
      <c r="L37" s="45"/>
      <c r="M37" t="s">
        <v>60</v>
      </c>
      <c r="N37">
        <v>273560</v>
      </c>
      <c r="O37" t="str">
        <f t="shared" si="0"/>
        <v>https://permalinkbnd.bnportugal.gov.pt/viewer/273560/?offset=#page=9&amp;viewer=picture&amp;o=info&amp;n=0&amp;q=</v>
      </c>
      <c r="P37">
        <v>402917</v>
      </c>
      <c r="Q37" t="s">
        <v>60</v>
      </c>
      <c r="R37" t="s">
        <v>1402</v>
      </c>
      <c r="S37" t="s">
        <v>1178</v>
      </c>
      <c r="T37" t="s">
        <v>1192</v>
      </c>
      <c r="U37" t="s">
        <v>1403</v>
      </c>
      <c r="V37" t="s">
        <v>1404</v>
      </c>
      <c r="W37" t="s">
        <v>1405</v>
      </c>
      <c r="X37" t="s">
        <v>599</v>
      </c>
      <c r="Y37" t="s">
        <v>1182</v>
      </c>
      <c r="Z37" t="s">
        <v>1406</v>
      </c>
      <c r="AA37">
        <v>1891</v>
      </c>
      <c r="AB37">
        <v>1891</v>
      </c>
      <c r="AC37" t="s">
        <v>1407</v>
      </c>
      <c r="AD37" t="s">
        <v>1408</v>
      </c>
      <c r="AE37" t="s">
        <v>599</v>
      </c>
      <c r="AF37" t="s">
        <v>599</v>
      </c>
      <c r="AG37" t="s">
        <v>1250</v>
      </c>
      <c r="AH37" t="s">
        <v>599</v>
      </c>
      <c r="AI37" t="s">
        <v>599</v>
      </c>
      <c r="AJ37" t="s">
        <v>1409</v>
      </c>
      <c r="AK37" t="s">
        <v>1188</v>
      </c>
      <c r="AL37" t="s">
        <v>1410</v>
      </c>
      <c r="AM37" t="s">
        <v>1190</v>
      </c>
      <c r="AN37" t="s">
        <v>599</v>
      </c>
      <c r="AO37" t="s">
        <v>599</v>
      </c>
      <c r="AP37" t="s">
        <v>599</v>
      </c>
      <c r="AQ37" t="s">
        <v>599</v>
      </c>
      <c r="AR37" t="s">
        <v>599</v>
      </c>
      <c r="AS37" t="s">
        <v>599</v>
      </c>
      <c r="AT37" t="s">
        <v>599</v>
      </c>
    </row>
    <row r="38" spans="1:46" s="26" customFormat="1" ht="30" x14ac:dyDescent="0.25">
      <c r="A38" s="22">
        <v>10054</v>
      </c>
      <c r="B38" s="23">
        <v>404543</v>
      </c>
      <c r="C38" s="23">
        <v>1</v>
      </c>
      <c r="D38" s="27">
        <v>7</v>
      </c>
      <c r="E38" s="24" t="s">
        <v>61</v>
      </c>
      <c r="F38" s="25">
        <v>7</v>
      </c>
      <c r="G38" s="22"/>
      <c r="H38" s="27" t="s">
        <v>615</v>
      </c>
      <c r="I38" s="55" t="str">
        <f t="shared" si="1"/>
        <v>https://permalinkbnd.bnportugal.gov.pt/viewer/273347/?offset=#page=7&amp;viewer=picture&amp;o=info&amp;n=0&amp;q=</v>
      </c>
      <c r="J38" s="45"/>
      <c r="K38" s="45"/>
      <c r="L38" s="45"/>
      <c r="M38" t="s">
        <v>61</v>
      </c>
      <c r="N38">
        <v>273347</v>
      </c>
      <c r="O38" t="str">
        <f t="shared" si="0"/>
        <v>https://permalinkbnd.bnportugal.gov.pt/viewer/273347/?offset=#page=7&amp;viewer=picture&amp;o=info&amp;n=0&amp;q=</v>
      </c>
      <c r="P38">
        <v>404543</v>
      </c>
      <c r="Q38" t="s">
        <v>61</v>
      </c>
      <c r="R38" t="s">
        <v>1411</v>
      </c>
      <c r="S38" t="s">
        <v>1178</v>
      </c>
      <c r="T38" t="s">
        <v>1192</v>
      </c>
      <c r="U38" t="s">
        <v>599</v>
      </c>
      <c r="V38" t="s">
        <v>1412</v>
      </c>
      <c r="W38" t="s">
        <v>1413</v>
      </c>
      <c r="X38" t="s">
        <v>599</v>
      </c>
      <c r="Y38" t="s">
        <v>1182</v>
      </c>
      <c r="Z38" t="s">
        <v>1221</v>
      </c>
      <c r="AA38">
        <v>1889</v>
      </c>
      <c r="AB38">
        <v>1889</v>
      </c>
      <c r="AC38" t="s">
        <v>599</v>
      </c>
      <c r="AD38" t="s">
        <v>1185</v>
      </c>
      <c r="AE38" t="s">
        <v>599</v>
      </c>
      <c r="AF38" t="s">
        <v>599</v>
      </c>
      <c r="AG38" t="s">
        <v>599</v>
      </c>
      <c r="AH38" t="s">
        <v>599</v>
      </c>
      <c r="AI38" t="s">
        <v>599</v>
      </c>
      <c r="AJ38" t="s">
        <v>1414</v>
      </c>
      <c r="AK38" t="s">
        <v>1188</v>
      </c>
      <c r="AL38" t="s">
        <v>1415</v>
      </c>
      <c r="AM38" t="s">
        <v>1190</v>
      </c>
      <c r="AN38" t="s">
        <v>599</v>
      </c>
      <c r="AO38" t="s">
        <v>599</v>
      </c>
      <c r="AP38" t="s">
        <v>599</v>
      </c>
      <c r="AQ38" t="s">
        <v>599</v>
      </c>
      <c r="AR38" t="s">
        <v>599</v>
      </c>
      <c r="AS38" t="s">
        <v>599</v>
      </c>
      <c r="AT38" t="s">
        <v>599</v>
      </c>
    </row>
    <row r="39" spans="1:46" s="13" customFormat="1" ht="30" x14ac:dyDescent="0.25">
      <c r="A39" s="9">
        <v>10055</v>
      </c>
      <c r="B39" s="10">
        <v>404800</v>
      </c>
      <c r="C39" s="10">
        <v>1</v>
      </c>
      <c r="D39" s="9">
        <v>21</v>
      </c>
      <c r="E39" s="11" t="s">
        <v>62</v>
      </c>
      <c r="F39" s="12" t="s">
        <v>63</v>
      </c>
      <c r="G39" s="9" t="s">
        <v>64</v>
      </c>
      <c r="H39" s="34"/>
      <c r="I39" s="55" t="str">
        <f t="shared" si="1"/>
        <v>https://permalinkbnd.bnportugal.gov.pt/viewer/274348/?offset=#page=21&amp;viewer=picture&amp;o=info&amp;n=0&amp;q=</v>
      </c>
      <c r="J39" s="45"/>
      <c r="K39" s="45"/>
      <c r="L39" s="45"/>
      <c r="M39" t="s">
        <v>62</v>
      </c>
      <c r="N39">
        <v>274348</v>
      </c>
      <c r="O39" t="str">
        <f t="shared" si="0"/>
        <v>https://permalinkbnd.bnportugal.gov.pt/viewer/274348/?offset=#page=21&amp;viewer=picture&amp;o=info&amp;n=0&amp;q=</v>
      </c>
      <c r="P39">
        <v>404800</v>
      </c>
      <c r="Q39" t="s">
        <v>62</v>
      </c>
      <c r="R39" t="s">
        <v>1416</v>
      </c>
      <c r="S39" t="s">
        <v>1178</v>
      </c>
      <c r="T39" t="s">
        <v>1192</v>
      </c>
      <c r="U39" t="s">
        <v>599</v>
      </c>
      <c r="V39" t="s">
        <v>1417</v>
      </c>
      <c r="W39" t="s">
        <v>1418</v>
      </c>
      <c r="X39" t="s">
        <v>599</v>
      </c>
      <c r="Y39" t="s">
        <v>1182</v>
      </c>
      <c r="Z39" t="s">
        <v>1419</v>
      </c>
      <c r="AA39">
        <v>1898</v>
      </c>
      <c r="AB39">
        <v>1898</v>
      </c>
      <c r="AC39" t="s">
        <v>1420</v>
      </c>
      <c r="AD39" t="s">
        <v>599</v>
      </c>
      <c r="AE39" t="s">
        <v>599</v>
      </c>
      <c r="AF39" t="s">
        <v>599</v>
      </c>
      <c r="AG39" t="s">
        <v>599</v>
      </c>
      <c r="AH39" t="s">
        <v>599</v>
      </c>
      <c r="AI39" t="s">
        <v>599</v>
      </c>
      <c r="AJ39" t="s">
        <v>1421</v>
      </c>
      <c r="AK39" t="s">
        <v>1188</v>
      </c>
      <c r="AL39" t="s">
        <v>1422</v>
      </c>
      <c r="AM39" t="s">
        <v>1190</v>
      </c>
      <c r="AN39" t="s">
        <v>599</v>
      </c>
      <c r="AO39" t="s">
        <v>599</v>
      </c>
      <c r="AP39" t="s">
        <v>599</v>
      </c>
      <c r="AQ39" t="s">
        <v>599</v>
      </c>
      <c r="AR39" t="s">
        <v>599</v>
      </c>
      <c r="AS39" t="s">
        <v>599</v>
      </c>
      <c r="AT39" t="s">
        <v>599</v>
      </c>
    </row>
    <row r="40" spans="1:46" s="13" customFormat="1" ht="30" x14ac:dyDescent="0.25">
      <c r="A40" s="9">
        <v>10056</v>
      </c>
      <c r="B40" s="10">
        <v>404800</v>
      </c>
      <c r="C40" s="10">
        <v>1</v>
      </c>
      <c r="D40" s="9">
        <v>69</v>
      </c>
      <c r="E40" s="11" t="s">
        <v>62</v>
      </c>
      <c r="F40" s="12" t="s">
        <v>63</v>
      </c>
      <c r="G40" s="9" t="s">
        <v>64</v>
      </c>
      <c r="H40" s="34"/>
      <c r="I40" s="55" t="str">
        <f t="shared" si="1"/>
        <v>https://permalinkbnd.bnportugal.gov.pt/viewer/274348/?offset=#page=69&amp;viewer=picture&amp;o=info&amp;n=0&amp;q=</v>
      </c>
      <c r="J40" s="45"/>
      <c r="K40" s="45"/>
      <c r="L40" s="45"/>
      <c r="M40" t="s">
        <v>62</v>
      </c>
      <c r="N40">
        <v>274348</v>
      </c>
      <c r="O40" t="str">
        <f t="shared" si="0"/>
        <v>https://permalinkbnd.bnportugal.gov.pt/viewer/274348/?offset=#page=69&amp;viewer=picture&amp;o=info&amp;n=0&amp;q=</v>
      </c>
      <c r="P40">
        <v>404800</v>
      </c>
      <c r="Q40" t="s">
        <v>62</v>
      </c>
      <c r="R40" t="s">
        <v>1416</v>
      </c>
      <c r="S40" t="s">
        <v>1178</v>
      </c>
      <c r="T40" t="s">
        <v>1192</v>
      </c>
      <c r="U40" t="s">
        <v>599</v>
      </c>
      <c r="V40" t="s">
        <v>1417</v>
      </c>
      <c r="W40" t="s">
        <v>1418</v>
      </c>
      <c r="X40" t="s">
        <v>599</v>
      </c>
      <c r="Y40" t="s">
        <v>1182</v>
      </c>
      <c r="Z40" t="s">
        <v>1419</v>
      </c>
      <c r="AA40">
        <v>1898</v>
      </c>
      <c r="AB40">
        <v>1898</v>
      </c>
      <c r="AC40" t="s">
        <v>1420</v>
      </c>
      <c r="AD40" t="s">
        <v>599</v>
      </c>
      <c r="AE40" t="s">
        <v>599</v>
      </c>
      <c r="AF40" t="s">
        <v>599</v>
      </c>
      <c r="AG40" t="s">
        <v>599</v>
      </c>
      <c r="AH40" t="s">
        <v>599</v>
      </c>
      <c r="AI40" t="s">
        <v>599</v>
      </c>
      <c r="AJ40" t="s">
        <v>1421</v>
      </c>
      <c r="AK40" t="s">
        <v>1188</v>
      </c>
      <c r="AL40" t="s">
        <v>1422</v>
      </c>
      <c r="AM40" t="s">
        <v>1190</v>
      </c>
      <c r="AN40" t="s">
        <v>599</v>
      </c>
      <c r="AO40" t="s">
        <v>599</v>
      </c>
      <c r="AP40" t="s">
        <v>599</v>
      </c>
      <c r="AQ40" t="s">
        <v>599</v>
      </c>
      <c r="AR40" t="s">
        <v>599</v>
      </c>
      <c r="AS40" t="s">
        <v>599</v>
      </c>
      <c r="AT40" t="s">
        <v>599</v>
      </c>
    </row>
    <row r="41" spans="1:46" s="13" customFormat="1" ht="30" x14ac:dyDescent="0.25">
      <c r="A41" s="9">
        <v>10057</v>
      </c>
      <c r="B41" s="10">
        <v>410449</v>
      </c>
      <c r="C41" s="10">
        <v>1</v>
      </c>
      <c r="D41" s="9">
        <v>6</v>
      </c>
      <c r="E41" s="11" t="s">
        <v>65</v>
      </c>
      <c r="F41" s="12" t="s">
        <v>66</v>
      </c>
      <c r="G41" s="9">
        <v>6</v>
      </c>
      <c r="H41" s="34"/>
      <c r="I41" s="55" t="str">
        <f t="shared" si="1"/>
        <v>https://permalinkbnd.bnportugal.gov.pt/viewer/274346/?offset=#page=6&amp;viewer=picture&amp;o=info&amp;n=0&amp;q=</v>
      </c>
      <c r="J41" s="45"/>
      <c r="K41" s="45"/>
      <c r="L41" s="45"/>
      <c r="M41" t="s">
        <v>65</v>
      </c>
      <c r="N41">
        <v>274346</v>
      </c>
      <c r="O41" t="str">
        <f t="shared" si="0"/>
        <v>https://permalinkbnd.bnportugal.gov.pt/viewer/274346/?offset=#page=6&amp;viewer=picture&amp;o=info&amp;n=0&amp;q=</v>
      </c>
      <c r="P41">
        <v>410449</v>
      </c>
      <c r="Q41" t="s">
        <v>65</v>
      </c>
      <c r="R41" t="s">
        <v>1423</v>
      </c>
      <c r="S41" t="s">
        <v>1178</v>
      </c>
      <c r="T41" t="s">
        <v>1209</v>
      </c>
      <c r="U41" t="s">
        <v>1192</v>
      </c>
      <c r="V41" t="s">
        <v>1210</v>
      </c>
      <c r="W41" t="s">
        <v>599</v>
      </c>
      <c r="X41" t="s">
        <v>599</v>
      </c>
      <c r="Y41" t="s">
        <v>1211</v>
      </c>
      <c r="Z41" t="s">
        <v>1212</v>
      </c>
      <c r="AA41">
        <v>1873</v>
      </c>
      <c r="AB41">
        <v>1873</v>
      </c>
      <c r="AC41" t="s">
        <v>1213</v>
      </c>
      <c r="AD41" t="s">
        <v>1185</v>
      </c>
      <c r="AE41" t="s">
        <v>599</v>
      </c>
      <c r="AF41" t="s">
        <v>599</v>
      </c>
      <c r="AG41" t="s">
        <v>1214</v>
      </c>
      <c r="AH41" t="s">
        <v>599</v>
      </c>
      <c r="AI41" t="s">
        <v>599</v>
      </c>
      <c r="AJ41" t="s">
        <v>1424</v>
      </c>
      <c r="AK41" t="s">
        <v>1188</v>
      </c>
      <c r="AL41" t="s">
        <v>1425</v>
      </c>
      <c r="AM41" t="s">
        <v>1190</v>
      </c>
      <c r="AN41" t="s">
        <v>599</v>
      </c>
      <c r="AO41" t="s">
        <v>599</v>
      </c>
      <c r="AP41" t="s">
        <v>599</v>
      </c>
      <c r="AQ41" t="s">
        <v>599</v>
      </c>
      <c r="AR41" t="s">
        <v>599</v>
      </c>
      <c r="AS41" t="s">
        <v>599</v>
      </c>
      <c r="AT41" t="s">
        <v>599</v>
      </c>
    </row>
    <row r="42" spans="1:46" s="26" customFormat="1" ht="30" x14ac:dyDescent="0.25">
      <c r="A42" s="22">
        <v>10058</v>
      </c>
      <c r="B42" s="23">
        <v>411542</v>
      </c>
      <c r="C42" s="23">
        <v>1</v>
      </c>
      <c r="D42" s="27">
        <v>1</v>
      </c>
      <c r="E42" s="24" t="s">
        <v>67</v>
      </c>
      <c r="F42" s="25">
        <v>1</v>
      </c>
      <c r="G42" s="22"/>
      <c r="H42" s="27" t="s">
        <v>621</v>
      </c>
      <c r="I42" s="55" t="str">
        <f t="shared" si="1"/>
        <v>https://permalinkbnd.bnportugal.gov.pt/viewer/273798/?offset=#page=1&amp;viewer=picture&amp;o=info&amp;n=0&amp;q=</v>
      </c>
      <c r="J42" s="45"/>
      <c r="K42" s="45"/>
      <c r="L42" s="45"/>
      <c r="M42" t="s">
        <v>67</v>
      </c>
      <c r="N42">
        <v>273798</v>
      </c>
      <c r="O42" t="str">
        <f t="shared" si="0"/>
        <v>https://permalinkbnd.bnportugal.gov.pt/viewer/273798/?offset=#page=1&amp;viewer=picture&amp;o=info&amp;n=0&amp;q=</v>
      </c>
      <c r="P42">
        <v>411542</v>
      </c>
      <c r="Q42" t="s">
        <v>67</v>
      </c>
      <c r="R42" t="s">
        <v>1426</v>
      </c>
      <c r="S42" t="s">
        <v>1178</v>
      </c>
      <c r="T42" t="s">
        <v>1192</v>
      </c>
      <c r="U42" t="s">
        <v>599</v>
      </c>
      <c r="V42" t="s">
        <v>1427</v>
      </c>
      <c r="W42" t="s">
        <v>1428</v>
      </c>
      <c r="X42" t="s">
        <v>599</v>
      </c>
      <c r="Y42" t="s">
        <v>1182</v>
      </c>
      <c r="Z42" t="s">
        <v>1429</v>
      </c>
      <c r="AA42">
        <v>1897</v>
      </c>
      <c r="AB42">
        <v>1897</v>
      </c>
      <c r="AC42" t="s">
        <v>1430</v>
      </c>
      <c r="AD42" t="s">
        <v>1431</v>
      </c>
      <c r="AE42" t="s">
        <v>599</v>
      </c>
      <c r="AF42" t="s">
        <v>599</v>
      </c>
      <c r="AG42" t="s">
        <v>1432</v>
      </c>
      <c r="AH42" t="s">
        <v>599</v>
      </c>
      <c r="AI42" t="s">
        <v>599</v>
      </c>
      <c r="AJ42" t="s">
        <v>1433</v>
      </c>
      <c r="AK42" t="s">
        <v>1188</v>
      </c>
      <c r="AL42" t="s">
        <v>1434</v>
      </c>
      <c r="AM42" t="s">
        <v>1190</v>
      </c>
      <c r="AN42" t="s">
        <v>599</v>
      </c>
      <c r="AO42" t="s">
        <v>599</v>
      </c>
      <c r="AP42" t="s">
        <v>599</v>
      </c>
      <c r="AQ42" t="s">
        <v>599</v>
      </c>
      <c r="AR42" t="s">
        <v>599</v>
      </c>
      <c r="AS42" t="s">
        <v>599</v>
      </c>
      <c r="AT42" t="s">
        <v>599</v>
      </c>
    </row>
    <row r="43" spans="1:46" s="13" customFormat="1" ht="30" x14ac:dyDescent="0.25">
      <c r="A43" s="9">
        <v>10062</v>
      </c>
      <c r="B43" s="10">
        <v>426512</v>
      </c>
      <c r="C43" s="10">
        <v>1</v>
      </c>
      <c r="D43" s="9">
        <v>1</v>
      </c>
      <c r="E43" s="11" t="s">
        <v>68</v>
      </c>
      <c r="F43" s="12">
        <v>1</v>
      </c>
      <c r="G43" s="9">
        <v>1</v>
      </c>
      <c r="H43" s="34"/>
      <c r="I43" s="55" t="str">
        <f t="shared" si="1"/>
        <v>https://permalinkbnd.bnportugal.gov.pt/viewer/272882/?offset=#page=1&amp;viewer=picture&amp;o=info&amp;n=0&amp;q=</v>
      </c>
      <c r="J43" s="45"/>
      <c r="K43" s="45"/>
      <c r="L43" s="45"/>
      <c r="M43" t="s">
        <v>68</v>
      </c>
      <c r="N43">
        <v>272882</v>
      </c>
      <c r="O43" t="str">
        <f t="shared" si="0"/>
        <v>https://permalinkbnd.bnportugal.gov.pt/viewer/272882/?offset=#page=1&amp;viewer=picture&amp;o=info&amp;n=0&amp;q=</v>
      </c>
      <c r="P43">
        <v>426512</v>
      </c>
      <c r="Q43" t="s">
        <v>68</v>
      </c>
      <c r="R43" t="s">
        <v>1435</v>
      </c>
      <c r="S43" t="s">
        <v>1178</v>
      </c>
      <c r="T43" t="s">
        <v>1192</v>
      </c>
      <c r="U43" t="s">
        <v>599</v>
      </c>
      <c r="V43" t="s">
        <v>1293</v>
      </c>
      <c r="W43" t="s">
        <v>1436</v>
      </c>
      <c r="X43" t="s">
        <v>599</v>
      </c>
      <c r="Y43" t="s">
        <v>1182</v>
      </c>
      <c r="Z43" t="s">
        <v>1437</v>
      </c>
      <c r="AA43">
        <v>1870</v>
      </c>
      <c r="AB43">
        <v>1870</v>
      </c>
      <c r="AC43" t="s">
        <v>1438</v>
      </c>
      <c r="AD43" t="s">
        <v>1439</v>
      </c>
      <c r="AE43" t="s">
        <v>599</v>
      </c>
      <c r="AF43" t="s">
        <v>599</v>
      </c>
      <c r="AG43" t="s">
        <v>599</v>
      </c>
      <c r="AH43" t="s">
        <v>599</v>
      </c>
      <c r="AI43" t="s">
        <v>599</v>
      </c>
      <c r="AJ43" t="s">
        <v>1440</v>
      </c>
      <c r="AK43" t="s">
        <v>1441</v>
      </c>
      <c r="AL43" t="s">
        <v>1442</v>
      </c>
      <c r="AM43" t="s">
        <v>1190</v>
      </c>
      <c r="AN43" t="s">
        <v>599</v>
      </c>
      <c r="AO43" t="s">
        <v>599</v>
      </c>
      <c r="AP43" t="s">
        <v>599</v>
      </c>
      <c r="AQ43" t="s">
        <v>599</v>
      </c>
      <c r="AR43" t="s">
        <v>599</v>
      </c>
      <c r="AS43" t="s">
        <v>1443</v>
      </c>
      <c r="AT43" t="s">
        <v>599</v>
      </c>
    </row>
    <row r="44" spans="1:46" s="13" customFormat="1" ht="30" x14ac:dyDescent="0.25">
      <c r="A44" s="9">
        <v>10063</v>
      </c>
      <c r="B44" s="10">
        <v>446302</v>
      </c>
      <c r="C44" s="10">
        <v>1</v>
      </c>
      <c r="D44" s="9">
        <v>11</v>
      </c>
      <c r="E44" s="11" t="s">
        <v>69</v>
      </c>
      <c r="F44" s="12">
        <v>11</v>
      </c>
      <c r="G44" s="9"/>
      <c r="H44" s="34"/>
      <c r="I44" s="55" t="str">
        <f t="shared" si="1"/>
        <v>https://permalinkbnd.bnportugal.gov.pt/viewer/1880/?offset=#page=11&amp;viewer=picture&amp;o=info&amp;n=0&amp;q=</v>
      </c>
      <c r="J44" s="45"/>
      <c r="K44" s="45"/>
      <c r="L44" s="45"/>
      <c r="M44" t="s">
        <v>69</v>
      </c>
      <c r="N44">
        <v>1880</v>
      </c>
      <c r="O44" t="str">
        <f t="shared" si="0"/>
        <v>https://permalinkbnd.bnportugal.gov.pt/viewer/1880/?offset=#page=11&amp;viewer=picture&amp;o=info&amp;n=0&amp;q=</v>
      </c>
      <c r="P44">
        <v>446302</v>
      </c>
      <c r="Q44" t="s">
        <v>69</v>
      </c>
      <c r="R44" t="s">
        <v>1444</v>
      </c>
      <c r="S44" t="s">
        <v>1178</v>
      </c>
      <c r="T44" t="s">
        <v>1192</v>
      </c>
      <c r="U44" t="s">
        <v>599</v>
      </c>
      <c r="V44" t="s">
        <v>1445</v>
      </c>
      <c r="W44" t="s">
        <v>599</v>
      </c>
      <c r="X44" t="s">
        <v>599</v>
      </c>
      <c r="Y44" t="s">
        <v>1182</v>
      </c>
      <c r="Z44" t="s">
        <v>1446</v>
      </c>
      <c r="AA44">
        <v>1887</v>
      </c>
      <c r="AB44">
        <v>1887</v>
      </c>
      <c r="AC44" t="s">
        <v>1447</v>
      </c>
      <c r="AD44" t="s">
        <v>599</v>
      </c>
      <c r="AE44" t="s">
        <v>599</v>
      </c>
      <c r="AF44" t="s">
        <v>599</v>
      </c>
      <c r="AG44" t="s">
        <v>599</v>
      </c>
      <c r="AH44" t="s">
        <v>599</v>
      </c>
      <c r="AI44" t="s">
        <v>1448</v>
      </c>
      <c r="AJ44" t="s">
        <v>1449</v>
      </c>
      <c r="AK44" t="s">
        <v>1188</v>
      </c>
      <c r="AL44" t="s">
        <v>1450</v>
      </c>
      <c r="AM44" t="s">
        <v>1190</v>
      </c>
      <c r="AN44" t="s">
        <v>1451</v>
      </c>
      <c r="AO44" t="s">
        <v>599</v>
      </c>
      <c r="AP44" t="s">
        <v>599</v>
      </c>
      <c r="AQ44" t="s">
        <v>599</v>
      </c>
      <c r="AR44" t="s">
        <v>599</v>
      </c>
      <c r="AS44" t="s">
        <v>599</v>
      </c>
      <c r="AT44" t="s">
        <v>599</v>
      </c>
    </row>
    <row r="45" spans="1:46" s="13" customFormat="1" ht="30" x14ac:dyDescent="0.25">
      <c r="A45" s="9">
        <v>10064</v>
      </c>
      <c r="B45" s="10">
        <v>452363</v>
      </c>
      <c r="C45" s="10">
        <v>1</v>
      </c>
      <c r="D45" s="9">
        <v>1</v>
      </c>
      <c r="E45" s="11" t="s">
        <v>70</v>
      </c>
      <c r="F45" s="12" t="s">
        <v>71</v>
      </c>
      <c r="G45" s="9">
        <v>1</v>
      </c>
      <c r="H45" s="34"/>
      <c r="I45" s="55" t="str">
        <f t="shared" si="1"/>
        <v>https://permalinkbnd.bnportugal.gov.pt/viewer/35644/?offset=#page=1&amp;viewer=picture&amp;o=info&amp;n=0&amp;q=</v>
      </c>
      <c r="J45" s="45"/>
      <c r="K45" s="45"/>
      <c r="L45" s="45"/>
      <c r="M45" t="s">
        <v>70</v>
      </c>
      <c r="N45">
        <v>35644</v>
      </c>
      <c r="O45" t="str">
        <f t="shared" si="0"/>
        <v>https://permalinkbnd.bnportugal.gov.pt/viewer/35644/?offset=#page=1&amp;viewer=picture&amp;o=info&amp;n=0&amp;q=</v>
      </c>
      <c r="P45">
        <v>452363</v>
      </c>
      <c r="Q45" t="s">
        <v>70</v>
      </c>
      <c r="R45" t="s">
        <v>1452</v>
      </c>
      <c r="S45" t="s">
        <v>1312</v>
      </c>
      <c r="T45" t="s">
        <v>1192</v>
      </c>
      <c r="U45" t="s">
        <v>599</v>
      </c>
      <c r="V45" t="s">
        <v>1105</v>
      </c>
      <c r="W45" t="s">
        <v>599</v>
      </c>
      <c r="X45" t="s">
        <v>599</v>
      </c>
      <c r="Y45" t="s">
        <v>1182</v>
      </c>
      <c r="Z45" t="s">
        <v>1453</v>
      </c>
      <c r="AA45">
        <v>1887</v>
      </c>
      <c r="AB45">
        <v>1887</v>
      </c>
      <c r="AC45" t="s">
        <v>1454</v>
      </c>
      <c r="AD45" t="s">
        <v>1455</v>
      </c>
      <c r="AE45" t="s">
        <v>599</v>
      </c>
      <c r="AF45" t="s">
        <v>599</v>
      </c>
      <c r="AG45" t="s">
        <v>1456</v>
      </c>
      <c r="AH45" t="s">
        <v>599</v>
      </c>
      <c r="AI45" t="s">
        <v>599</v>
      </c>
      <c r="AJ45" t="s">
        <v>1457</v>
      </c>
      <c r="AK45" t="s">
        <v>599</v>
      </c>
      <c r="AL45" t="s">
        <v>1458</v>
      </c>
      <c r="AM45" t="s">
        <v>1190</v>
      </c>
      <c r="AN45" t="s">
        <v>599</v>
      </c>
      <c r="AO45" t="s">
        <v>1459</v>
      </c>
      <c r="AP45" t="s">
        <v>599</v>
      </c>
      <c r="AQ45" t="s">
        <v>599</v>
      </c>
      <c r="AR45" t="s">
        <v>599</v>
      </c>
      <c r="AS45" t="s">
        <v>599</v>
      </c>
      <c r="AT45" t="s">
        <v>599</v>
      </c>
    </row>
    <row r="46" spans="1:46" s="13" customFormat="1" ht="30" x14ac:dyDescent="0.25">
      <c r="A46" s="9">
        <v>10073</v>
      </c>
      <c r="B46" s="10">
        <v>453897</v>
      </c>
      <c r="C46" s="10">
        <v>1</v>
      </c>
      <c r="D46" s="9">
        <v>9</v>
      </c>
      <c r="E46" s="11" t="s">
        <v>72</v>
      </c>
      <c r="F46" s="12">
        <v>9</v>
      </c>
      <c r="G46" s="9">
        <v>9</v>
      </c>
      <c r="H46" s="34"/>
      <c r="I46" s="55" t="str">
        <f t="shared" si="1"/>
        <v>https://permalinkbnd.bnportugal.gov.pt/viewer/1880/?offset=#page=9&amp;viewer=picture&amp;o=info&amp;n=0&amp;q=</v>
      </c>
      <c r="J46" s="45"/>
      <c r="K46" s="45"/>
      <c r="L46" s="45"/>
      <c r="M46" t="s">
        <v>72</v>
      </c>
      <c r="N46">
        <v>1880</v>
      </c>
      <c r="O46" t="str">
        <f t="shared" si="0"/>
        <v>https://permalinkbnd.bnportugal.gov.pt/viewer/1880/?offset=#page=9&amp;viewer=picture&amp;o=info&amp;n=0&amp;q=</v>
      </c>
      <c r="P46">
        <v>453897</v>
      </c>
      <c r="Q46" t="s">
        <v>72</v>
      </c>
      <c r="R46" t="s">
        <v>1460</v>
      </c>
      <c r="S46" t="s">
        <v>1178</v>
      </c>
      <c r="T46" t="s">
        <v>1192</v>
      </c>
      <c r="U46" t="s">
        <v>599</v>
      </c>
      <c r="V46" t="s">
        <v>1461</v>
      </c>
      <c r="W46" t="s">
        <v>599</v>
      </c>
      <c r="X46" t="s">
        <v>599</v>
      </c>
      <c r="Y46" t="s">
        <v>1182</v>
      </c>
      <c r="Z46" t="s">
        <v>1462</v>
      </c>
      <c r="AA46">
        <v>1880</v>
      </c>
      <c r="AB46">
        <v>1880</v>
      </c>
      <c r="AC46" t="s">
        <v>1463</v>
      </c>
      <c r="AD46" t="s">
        <v>599</v>
      </c>
      <c r="AE46" t="s">
        <v>599</v>
      </c>
      <c r="AF46" t="s">
        <v>599</v>
      </c>
      <c r="AG46" t="s">
        <v>599</v>
      </c>
      <c r="AH46" t="s">
        <v>599</v>
      </c>
      <c r="AI46" t="s">
        <v>599</v>
      </c>
      <c r="AJ46" t="s">
        <v>1464</v>
      </c>
      <c r="AK46" t="s">
        <v>1188</v>
      </c>
      <c r="AL46" t="s">
        <v>1465</v>
      </c>
      <c r="AM46" t="s">
        <v>1190</v>
      </c>
      <c r="AN46" t="s">
        <v>599</v>
      </c>
      <c r="AO46" t="s">
        <v>599</v>
      </c>
      <c r="AP46" t="s">
        <v>599</v>
      </c>
      <c r="AQ46" t="s">
        <v>599</v>
      </c>
      <c r="AR46" t="s">
        <v>1466</v>
      </c>
      <c r="AS46" t="s">
        <v>599</v>
      </c>
      <c r="AT46" t="s">
        <v>599</v>
      </c>
    </row>
    <row r="47" spans="1:46" s="13" customFormat="1" ht="30" x14ac:dyDescent="0.25">
      <c r="A47" s="9">
        <v>10075</v>
      </c>
      <c r="B47" s="10">
        <v>454218</v>
      </c>
      <c r="C47" s="10">
        <v>1</v>
      </c>
      <c r="D47" s="9">
        <v>3</v>
      </c>
      <c r="E47" s="11" t="s">
        <v>73</v>
      </c>
      <c r="F47" s="12">
        <v>3</v>
      </c>
      <c r="G47" s="9">
        <v>3</v>
      </c>
      <c r="H47" s="34"/>
      <c r="I47" s="55" t="str">
        <f t="shared" si="1"/>
        <v>https://permalinkbnd.bnportugal.gov.pt/viewer/273923/?offset=#page=3&amp;viewer=picture&amp;o=info&amp;n=0&amp;q=</v>
      </c>
      <c r="J47" s="45"/>
      <c r="K47" s="45"/>
      <c r="L47" s="45"/>
      <c r="M47" t="s">
        <v>73</v>
      </c>
      <c r="N47">
        <v>273923</v>
      </c>
      <c r="O47" t="str">
        <f t="shared" si="0"/>
        <v>https://permalinkbnd.bnportugal.gov.pt/viewer/273923/?offset=#page=3&amp;viewer=picture&amp;o=info&amp;n=0&amp;q=</v>
      </c>
      <c r="P47">
        <v>454218</v>
      </c>
      <c r="Q47" t="s">
        <v>73</v>
      </c>
      <c r="R47" t="s">
        <v>1467</v>
      </c>
      <c r="S47" t="s">
        <v>1178</v>
      </c>
      <c r="T47" t="s">
        <v>1192</v>
      </c>
      <c r="U47" t="s">
        <v>599</v>
      </c>
      <c r="V47" t="s">
        <v>1468</v>
      </c>
      <c r="W47" t="s">
        <v>599</v>
      </c>
      <c r="X47" t="s">
        <v>599</v>
      </c>
      <c r="Y47" t="s">
        <v>1182</v>
      </c>
      <c r="Z47" t="s">
        <v>1469</v>
      </c>
      <c r="AA47">
        <v>1881</v>
      </c>
      <c r="AB47">
        <v>1881</v>
      </c>
      <c r="AC47" t="s">
        <v>1470</v>
      </c>
      <c r="AD47" t="s">
        <v>599</v>
      </c>
      <c r="AE47" t="s">
        <v>599</v>
      </c>
      <c r="AF47" t="s">
        <v>599</v>
      </c>
      <c r="AG47" t="s">
        <v>599</v>
      </c>
      <c r="AH47" t="s">
        <v>599</v>
      </c>
      <c r="AI47" t="s">
        <v>599</v>
      </c>
      <c r="AJ47" t="s">
        <v>1471</v>
      </c>
      <c r="AK47" t="s">
        <v>1188</v>
      </c>
      <c r="AL47" t="s">
        <v>1472</v>
      </c>
      <c r="AM47" t="s">
        <v>1190</v>
      </c>
      <c r="AN47" t="s">
        <v>599</v>
      </c>
      <c r="AO47" t="s">
        <v>599</v>
      </c>
      <c r="AP47" t="s">
        <v>599</v>
      </c>
      <c r="AQ47" t="s">
        <v>599</v>
      </c>
      <c r="AR47" t="s">
        <v>1473</v>
      </c>
      <c r="AS47" t="s">
        <v>599</v>
      </c>
      <c r="AT47" t="s">
        <v>599</v>
      </c>
    </row>
    <row r="48" spans="1:46" s="13" customFormat="1" ht="30" x14ac:dyDescent="0.25">
      <c r="A48" s="9">
        <v>10088</v>
      </c>
      <c r="B48" s="10">
        <v>455268</v>
      </c>
      <c r="C48" s="10">
        <v>1</v>
      </c>
      <c r="D48" s="9">
        <v>8</v>
      </c>
      <c r="E48" s="11" t="s">
        <v>74</v>
      </c>
      <c r="F48" s="12" t="s">
        <v>75</v>
      </c>
      <c r="G48" s="9" t="s">
        <v>76</v>
      </c>
      <c r="H48" s="34"/>
      <c r="I48" s="55" t="str">
        <f t="shared" si="1"/>
        <v>https://permalinkbnd.bnportugal.gov.pt/viewer/270331/?offset=#page=8&amp;viewer=picture&amp;o=info&amp;n=0&amp;q=</v>
      </c>
      <c r="J48" s="45"/>
      <c r="K48" s="45"/>
      <c r="L48" s="45"/>
      <c r="M48" t="s">
        <v>74</v>
      </c>
      <c r="N48">
        <v>270331</v>
      </c>
      <c r="O48" t="str">
        <f t="shared" si="0"/>
        <v>https://permalinkbnd.bnportugal.gov.pt/viewer/270331/?offset=#page=8&amp;viewer=picture&amp;o=info&amp;n=0&amp;q=</v>
      </c>
      <c r="P48">
        <v>455268</v>
      </c>
      <c r="Q48" t="s">
        <v>74</v>
      </c>
      <c r="R48" t="s">
        <v>1474</v>
      </c>
      <c r="S48" t="s">
        <v>1178</v>
      </c>
      <c r="T48" t="s">
        <v>1179</v>
      </c>
      <c r="U48" t="s">
        <v>1192</v>
      </c>
      <c r="V48" t="s">
        <v>1180</v>
      </c>
      <c r="W48" t="s">
        <v>599</v>
      </c>
      <c r="X48" t="s">
        <v>599</v>
      </c>
      <c r="Y48" t="s">
        <v>1475</v>
      </c>
      <c r="Z48" t="s">
        <v>1476</v>
      </c>
      <c r="AA48">
        <v>1821</v>
      </c>
      <c r="AB48">
        <v>1821</v>
      </c>
      <c r="AC48" t="s">
        <v>1477</v>
      </c>
      <c r="AD48" t="s">
        <v>1185</v>
      </c>
      <c r="AE48" t="s">
        <v>599</v>
      </c>
      <c r="AF48" t="s">
        <v>599</v>
      </c>
      <c r="AG48" t="s">
        <v>1186</v>
      </c>
      <c r="AH48" t="s">
        <v>599</v>
      </c>
      <c r="AI48" t="s">
        <v>599</v>
      </c>
      <c r="AJ48" t="s">
        <v>1478</v>
      </c>
      <c r="AK48" t="s">
        <v>1188</v>
      </c>
      <c r="AL48" t="s">
        <v>1479</v>
      </c>
      <c r="AM48" t="s">
        <v>1190</v>
      </c>
      <c r="AN48" t="s">
        <v>599</v>
      </c>
      <c r="AO48" t="s">
        <v>599</v>
      </c>
      <c r="AP48" t="s">
        <v>599</v>
      </c>
      <c r="AQ48" t="s">
        <v>599</v>
      </c>
      <c r="AR48" t="s">
        <v>599</v>
      </c>
      <c r="AS48" t="s">
        <v>599</v>
      </c>
      <c r="AT48" t="s">
        <v>599</v>
      </c>
    </row>
    <row r="49" spans="1:46" s="13" customFormat="1" ht="30" x14ac:dyDescent="0.25">
      <c r="A49" s="9">
        <v>10089</v>
      </c>
      <c r="B49" s="10">
        <v>455268</v>
      </c>
      <c r="C49" s="10">
        <v>1</v>
      </c>
      <c r="D49" s="9">
        <v>62</v>
      </c>
      <c r="E49" s="11" t="s">
        <v>74</v>
      </c>
      <c r="F49" s="12" t="s">
        <v>75</v>
      </c>
      <c r="G49" s="9" t="s">
        <v>76</v>
      </c>
      <c r="H49" s="34"/>
      <c r="I49" s="55" t="str">
        <f t="shared" si="1"/>
        <v>https://permalinkbnd.bnportugal.gov.pt/viewer/270331/?offset=#page=62&amp;viewer=picture&amp;o=info&amp;n=0&amp;q=</v>
      </c>
      <c r="J49" s="45"/>
      <c r="K49" s="45"/>
      <c r="L49" s="45"/>
      <c r="M49" t="s">
        <v>74</v>
      </c>
      <c r="N49">
        <v>270331</v>
      </c>
      <c r="O49" t="str">
        <f t="shared" si="0"/>
        <v>https://permalinkbnd.bnportugal.gov.pt/viewer/270331/?offset=#page=62&amp;viewer=picture&amp;o=info&amp;n=0&amp;q=</v>
      </c>
      <c r="P49">
        <v>455268</v>
      </c>
      <c r="Q49" t="s">
        <v>74</v>
      </c>
      <c r="R49" t="s">
        <v>1474</v>
      </c>
      <c r="S49" t="s">
        <v>1178</v>
      </c>
      <c r="T49" t="s">
        <v>1179</v>
      </c>
      <c r="U49" t="s">
        <v>1192</v>
      </c>
      <c r="V49" t="s">
        <v>1180</v>
      </c>
      <c r="W49" t="s">
        <v>599</v>
      </c>
      <c r="X49" t="s">
        <v>599</v>
      </c>
      <c r="Y49" t="s">
        <v>1475</v>
      </c>
      <c r="Z49" t="s">
        <v>1476</v>
      </c>
      <c r="AA49">
        <v>1821</v>
      </c>
      <c r="AB49">
        <v>1821</v>
      </c>
      <c r="AC49" t="s">
        <v>1477</v>
      </c>
      <c r="AD49" t="s">
        <v>1185</v>
      </c>
      <c r="AE49" t="s">
        <v>599</v>
      </c>
      <c r="AF49" t="s">
        <v>599</v>
      </c>
      <c r="AG49" t="s">
        <v>1186</v>
      </c>
      <c r="AH49" t="s">
        <v>599</v>
      </c>
      <c r="AI49" t="s">
        <v>599</v>
      </c>
      <c r="AJ49" t="s">
        <v>1478</v>
      </c>
      <c r="AK49" t="s">
        <v>1188</v>
      </c>
      <c r="AL49" t="s">
        <v>1479</v>
      </c>
      <c r="AM49" t="s">
        <v>1190</v>
      </c>
      <c r="AN49" t="s">
        <v>599</v>
      </c>
      <c r="AO49" t="s">
        <v>599</v>
      </c>
      <c r="AP49" t="s">
        <v>599</v>
      </c>
      <c r="AQ49" t="s">
        <v>599</v>
      </c>
      <c r="AR49" t="s">
        <v>599</v>
      </c>
      <c r="AS49" t="s">
        <v>599</v>
      </c>
      <c r="AT49" t="s">
        <v>599</v>
      </c>
    </row>
    <row r="50" spans="1:46" s="13" customFormat="1" ht="30" x14ac:dyDescent="0.25">
      <c r="A50" s="9">
        <v>10090</v>
      </c>
      <c r="B50" s="10">
        <v>455268</v>
      </c>
      <c r="C50" s="10">
        <v>2</v>
      </c>
      <c r="D50" s="9">
        <v>8</v>
      </c>
      <c r="E50" s="11" t="s">
        <v>74</v>
      </c>
      <c r="F50" s="12" t="s">
        <v>75</v>
      </c>
      <c r="G50" s="9" t="s">
        <v>76</v>
      </c>
      <c r="H50" s="34"/>
      <c r="I50" s="55" t="str">
        <f t="shared" si="1"/>
        <v>https://permalinkbnd.bnportugal.gov.pt/viewer/270331/?offset=#page=8&amp;viewer=picture&amp;o=info&amp;n=0&amp;q=</v>
      </c>
      <c r="J50" s="45"/>
      <c r="K50" s="45"/>
      <c r="L50" s="45"/>
      <c r="M50" t="s">
        <v>74</v>
      </c>
      <c r="N50">
        <v>270331</v>
      </c>
      <c r="O50" t="str">
        <f t="shared" si="0"/>
        <v>https://permalinkbnd.bnportugal.gov.pt/viewer/270331/?offset=#page=8&amp;viewer=picture&amp;o=info&amp;n=0&amp;q=</v>
      </c>
      <c r="P50">
        <v>455268</v>
      </c>
      <c r="Q50" t="s">
        <v>74</v>
      </c>
      <c r="R50" t="s">
        <v>1474</v>
      </c>
      <c r="S50" t="s">
        <v>1178</v>
      </c>
      <c r="T50" t="s">
        <v>1179</v>
      </c>
      <c r="U50" t="s">
        <v>1192</v>
      </c>
      <c r="V50" t="s">
        <v>1180</v>
      </c>
      <c r="W50" t="s">
        <v>599</v>
      </c>
      <c r="X50" t="s">
        <v>599</v>
      </c>
      <c r="Y50" t="s">
        <v>1475</v>
      </c>
      <c r="Z50" t="s">
        <v>1476</v>
      </c>
      <c r="AA50">
        <v>1821</v>
      </c>
      <c r="AB50">
        <v>1821</v>
      </c>
      <c r="AC50" t="s">
        <v>1477</v>
      </c>
      <c r="AD50" t="s">
        <v>1185</v>
      </c>
      <c r="AE50" t="s">
        <v>599</v>
      </c>
      <c r="AF50" t="s">
        <v>599</v>
      </c>
      <c r="AG50" t="s">
        <v>1186</v>
      </c>
      <c r="AH50" t="s">
        <v>599</v>
      </c>
      <c r="AI50" t="s">
        <v>599</v>
      </c>
      <c r="AJ50" t="s">
        <v>1478</v>
      </c>
      <c r="AK50" t="s">
        <v>1188</v>
      </c>
      <c r="AL50" t="s">
        <v>1479</v>
      </c>
      <c r="AM50" t="s">
        <v>1190</v>
      </c>
      <c r="AN50" t="s">
        <v>599</v>
      </c>
      <c r="AO50" t="s">
        <v>599</v>
      </c>
      <c r="AP50" t="s">
        <v>599</v>
      </c>
      <c r="AQ50" t="s">
        <v>599</v>
      </c>
      <c r="AR50" t="s">
        <v>599</v>
      </c>
      <c r="AS50" t="s">
        <v>599</v>
      </c>
      <c r="AT50" t="s">
        <v>599</v>
      </c>
    </row>
    <row r="51" spans="1:46" s="13" customFormat="1" ht="30" x14ac:dyDescent="0.25">
      <c r="A51" s="9">
        <v>10091</v>
      </c>
      <c r="B51" s="10">
        <v>455275</v>
      </c>
      <c r="C51" s="10">
        <v>1</v>
      </c>
      <c r="D51" s="9">
        <v>10</v>
      </c>
      <c r="E51" s="11" t="s">
        <v>77</v>
      </c>
      <c r="F51" s="12" t="s">
        <v>78</v>
      </c>
      <c r="G51" s="9">
        <v>10</v>
      </c>
      <c r="H51" s="34"/>
      <c r="I51" s="55" t="str">
        <f t="shared" si="1"/>
        <v>https://permalinkbnd.bnportugal.gov.pt/viewer/270345/?offset=#page=10&amp;viewer=picture&amp;o=info&amp;n=0&amp;q=</v>
      </c>
      <c r="J51" s="45"/>
      <c r="K51" s="45"/>
      <c r="L51" s="45"/>
      <c r="M51" t="s">
        <v>77</v>
      </c>
      <c r="N51">
        <v>270345</v>
      </c>
      <c r="O51" t="str">
        <f t="shared" si="0"/>
        <v>https://permalinkbnd.bnportugal.gov.pt/viewer/270345/?offset=#page=10&amp;viewer=picture&amp;o=info&amp;n=0&amp;q=</v>
      </c>
      <c r="P51">
        <v>455275</v>
      </c>
      <c r="Q51" t="s">
        <v>77</v>
      </c>
      <c r="R51" t="s">
        <v>1480</v>
      </c>
      <c r="S51" t="s">
        <v>1178</v>
      </c>
      <c r="T51" t="s">
        <v>1192</v>
      </c>
      <c r="U51" t="s">
        <v>599</v>
      </c>
      <c r="V51" t="s">
        <v>1481</v>
      </c>
      <c r="W51" t="s">
        <v>599</v>
      </c>
      <c r="X51" t="s">
        <v>599</v>
      </c>
      <c r="Y51" t="s">
        <v>1182</v>
      </c>
      <c r="Z51" t="s">
        <v>1437</v>
      </c>
      <c r="AA51">
        <v>1843</v>
      </c>
      <c r="AB51">
        <v>1843</v>
      </c>
      <c r="AC51" t="s">
        <v>1482</v>
      </c>
      <c r="AD51" t="s">
        <v>1185</v>
      </c>
      <c r="AE51" t="s">
        <v>599</v>
      </c>
      <c r="AF51" t="s">
        <v>599</v>
      </c>
      <c r="AG51" t="s">
        <v>1483</v>
      </c>
      <c r="AH51" t="s">
        <v>599</v>
      </c>
      <c r="AI51" t="s">
        <v>599</v>
      </c>
      <c r="AJ51" t="s">
        <v>1484</v>
      </c>
      <c r="AK51" t="s">
        <v>1188</v>
      </c>
      <c r="AL51" t="s">
        <v>1485</v>
      </c>
      <c r="AM51" t="s">
        <v>1190</v>
      </c>
      <c r="AN51" t="s">
        <v>599</v>
      </c>
      <c r="AO51" t="s">
        <v>599</v>
      </c>
      <c r="AP51" t="s">
        <v>1486</v>
      </c>
      <c r="AQ51" t="s">
        <v>599</v>
      </c>
      <c r="AR51" t="s">
        <v>599</v>
      </c>
      <c r="AS51" t="s">
        <v>599</v>
      </c>
      <c r="AT51" t="s">
        <v>599</v>
      </c>
    </row>
    <row r="52" spans="1:46" s="13" customFormat="1" ht="30" x14ac:dyDescent="0.25">
      <c r="A52" s="9">
        <v>10097</v>
      </c>
      <c r="B52" s="10">
        <v>458290</v>
      </c>
      <c r="C52" s="10">
        <v>1</v>
      </c>
      <c r="D52" s="9">
        <v>10</v>
      </c>
      <c r="E52" s="11" t="s">
        <v>79</v>
      </c>
      <c r="F52" s="12" t="s">
        <v>80</v>
      </c>
      <c r="G52" s="9">
        <v>10</v>
      </c>
      <c r="H52" s="34" t="s">
        <v>612</v>
      </c>
      <c r="I52" s="55" t="str">
        <f t="shared" si="1"/>
        <v>https://permalinkbnd.bnportugal.gov.pt/viewer/273525/?offset=#page=10&amp;viewer=picture&amp;o=info&amp;n=0&amp;q=</v>
      </c>
      <c r="J52" s="45"/>
      <c r="K52" s="45"/>
      <c r="L52" s="45"/>
      <c r="M52" t="s">
        <v>79</v>
      </c>
      <c r="N52">
        <v>273525</v>
      </c>
      <c r="O52" t="str">
        <f t="shared" si="0"/>
        <v>https://permalinkbnd.bnportugal.gov.pt/viewer/273525/?offset=#page=10&amp;viewer=picture&amp;o=info&amp;n=0&amp;q=</v>
      </c>
      <c r="P52">
        <v>458290</v>
      </c>
      <c r="Q52" t="s">
        <v>79</v>
      </c>
      <c r="R52" t="s">
        <v>1487</v>
      </c>
      <c r="S52" t="s">
        <v>1178</v>
      </c>
      <c r="T52" t="s">
        <v>1321</v>
      </c>
      <c r="U52" t="s">
        <v>1192</v>
      </c>
      <c r="V52" t="s">
        <v>1488</v>
      </c>
      <c r="W52" t="s">
        <v>1489</v>
      </c>
      <c r="X52" t="s">
        <v>599</v>
      </c>
      <c r="Y52" t="s">
        <v>1182</v>
      </c>
      <c r="Z52" t="s">
        <v>1490</v>
      </c>
      <c r="AA52">
        <v>1890</v>
      </c>
      <c r="AB52">
        <v>1890</v>
      </c>
      <c r="AC52" t="s">
        <v>1491</v>
      </c>
      <c r="AD52" t="s">
        <v>1185</v>
      </c>
      <c r="AE52" t="s">
        <v>599</v>
      </c>
      <c r="AF52" t="s">
        <v>599</v>
      </c>
      <c r="AG52" t="s">
        <v>1492</v>
      </c>
      <c r="AH52" t="s">
        <v>599</v>
      </c>
      <c r="AI52" t="s">
        <v>599</v>
      </c>
      <c r="AJ52" t="s">
        <v>1493</v>
      </c>
      <c r="AK52" t="s">
        <v>1188</v>
      </c>
      <c r="AL52" t="s">
        <v>1494</v>
      </c>
      <c r="AM52" t="s">
        <v>1190</v>
      </c>
      <c r="AN52" t="s">
        <v>599</v>
      </c>
      <c r="AO52" t="s">
        <v>599</v>
      </c>
      <c r="AP52" t="s">
        <v>599</v>
      </c>
      <c r="AQ52" t="s">
        <v>599</v>
      </c>
      <c r="AR52" t="s">
        <v>599</v>
      </c>
      <c r="AS52" t="s">
        <v>599</v>
      </c>
      <c r="AT52" t="s">
        <v>599</v>
      </c>
    </row>
    <row r="53" spans="1:46" s="13" customFormat="1" ht="60" x14ac:dyDescent="0.25">
      <c r="A53" s="9">
        <v>10100</v>
      </c>
      <c r="B53" s="10">
        <v>458655</v>
      </c>
      <c r="C53" s="10">
        <v>1</v>
      </c>
      <c r="D53" s="9">
        <v>11</v>
      </c>
      <c r="E53" s="11" t="s">
        <v>81</v>
      </c>
      <c r="F53" s="12" t="s">
        <v>82</v>
      </c>
      <c r="G53" s="9" t="s">
        <v>83</v>
      </c>
      <c r="H53" s="34"/>
      <c r="I53" s="55" t="str">
        <f t="shared" si="1"/>
        <v>https://permalinkbnd.bnportugal.gov.pt/viewer/270116/?offset=#page=11&amp;viewer=picture&amp;o=info&amp;n=0&amp;q=</v>
      </c>
      <c r="J53" s="45"/>
      <c r="K53" s="45"/>
      <c r="L53" s="45"/>
      <c r="M53" t="s">
        <v>81</v>
      </c>
      <c r="N53">
        <v>270116</v>
      </c>
      <c r="O53" t="str">
        <f t="shared" si="0"/>
        <v>https://permalinkbnd.bnportugal.gov.pt/viewer/270116/?offset=#page=11&amp;viewer=picture&amp;o=info&amp;n=0&amp;q=</v>
      </c>
      <c r="P53">
        <v>458655</v>
      </c>
      <c r="Q53" t="s">
        <v>81</v>
      </c>
      <c r="R53" t="s">
        <v>1495</v>
      </c>
      <c r="S53" t="s">
        <v>1178</v>
      </c>
      <c r="T53" t="s">
        <v>1192</v>
      </c>
      <c r="U53" t="s">
        <v>599</v>
      </c>
      <c r="V53" t="s">
        <v>1496</v>
      </c>
      <c r="W53" t="s">
        <v>599</v>
      </c>
      <c r="X53" t="s">
        <v>599</v>
      </c>
      <c r="Y53" t="s">
        <v>1182</v>
      </c>
      <c r="Z53" t="s">
        <v>1497</v>
      </c>
      <c r="AA53">
        <v>1887</v>
      </c>
      <c r="AB53">
        <v>1887</v>
      </c>
      <c r="AC53" t="s">
        <v>1498</v>
      </c>
      <c r="AD53" t="s">
        <v>599</v>
      </c>
      <c r="AE53" t="s">
        <v>599</v>
      </c>
      <c r="AF53" t="s">
        <v>599</v>
      </c>
      <c r="AG53" t="s">
        <v>599</v>
      </c>
      <c r="AH53" t="s">
        <v>599</v>
      </c>
      <c r="AI53" t="s">
        <v>599</v>
      </c>
      <c r="AJ53" t="s">
        <v>1499</v>
      </c>
      <c r="AK53" t="s">
        <v>1188</v>
      </c>
      <c r="AL53" t="s">
        <v>1500</v>
      </c>
      <c r="AM53" t="s">
        <v>1190</v>
      </c>
      <c r="AN53" t="s">
        <v>599</v>
      </c>
      <c r="AO53" t="s">
        <v>599</v>
      </c>
      <c r="AP53" t="s">
        <v>599</v>
      </c>
      <c r="AQ53" t="s">
        <v>599</v>
      </c>
      <c r="AR53" t="s">
        <v>599</v>
      </c>
      <c r="AS53" t="s">
        <v>599</v>
      </c>
      <c r="AT53" t="s">
        <v>599</v>
      </c>
    </row>
    <row r="54" spans="1:46" s="13" customFormat="1" ht="60" x14ac:dyDescent="0.25">
      <c r="A54" s="9">
        <v>10101</v>
      </c>
      <c r="B54" s="10">
        <v>458655</v>
      </c>
      <c r="C54" s="10">
        <v>2</v>
      </c>
      <c r="D54" s="9">
        <v>5</v>
      </c>
      <c r="E54" s="11" t="s">
        <v>81</v>
      </c>
      <c r="F54" s="12" t="s">
        <v>82</v>
      </c>
      <c r="G54" s="9" t="s">
        <v>83</v>
      </c>
      <c r="H54" s="34"/>
      <c r="I54" s="55" t="str">
        <f t="shared" si="1"/>
        <v>https://permalinkbnd.bnportugal.gov.pt/viewer/270116/?offset=#page=5&amp;viewer=picture&amp;o=info&amp;n=0&amp;q=</v>
      </c>
      <c r="J54" s="45"/>
      <c r="K54" s="45"/>
      <c r="L54" s="45"/>
      <c r="M54" t="s">
        <v>81</v>
      </c>
      <c r="N54">
        <v>270116</v>
      </c>
      <c r="O54" t="str">
        <f t="shared" si="0"/>
        <v>https://permalinkbnd.bnportugal.gov.pt/viewer/270116/?offset=#page=5&amp;viewer=picture&amp;o=info&amp;n=0&amp;q=</v>
      </c>
      <c r="P54">
        <v>458655</v>
      </c>
      <c r="Q54" t="s">
        <v>81</v>
      </c>
      <c r="R54" t="s">
        <v>1495</v>
      </c>
      <c r="S54" t="s">
        <v>1178</v>
      </c>
      <c r="T54" t="s">
        <v>1192</v>
      </c>
      <c r="U54" t="s">
        <v>599</v>
      </c>
      <c r="V54" t="s">
        <v>1496</v>
      </c>
      <c r="W54" t="s">
        <v>599</v>
      </c>
      <c r="X54" t="s">
        <v>599</v>
      </c>
      <c r="Y54" t="s">
        <v>1182</v>
      </c>
      <c r="Z54" t="s">
        <v>1497</v>
      </c>
      <c r="AA54">
        <v>1887</v>
      </c>
      <c r="AB54">
        <v>1887</v>
      </c>
      <c r="AC54" t="s">
        <v>1498</v>
      </c>
      <c r="AD54" t="s">
        <v>599</v>
      </c>
      <c r="AE54" t="s">
        <v>599</v>
      </c>
      <c r="AF54" t="s">
        <v>599</v>
      </c>
      <c r="AG54" t="s">
        <v>599</v>
      </c>
      <c r="AH54" t="s">
        <v>599</v>
      </c>
      <c r="AI54" t="s">
        <v>599</v>
      </c>
      <c r="AJ54" t="s">
        <v>1499</v>
      </c>
      <c r="AK54" t="s">
        <v>1188</v>
      </c>
      <c r="AL54" t="s">
        <v>1500</v>
      </c>
      <c r="AM54" t="s">
        <v>1190</v>
      </c>
      <c r="AN54" t="s">
        <v>599</v>
      </c>
      <c r="AO54" t="s">
        <v>599</v>
      </c>
      <c r="AP54" t="s">
        <v>599</v>
      </c>
      <c r="AQ54" t="s">
        <v>599</v>
      </c>
      <c r="AR54" t="s">
        <v>599</v>
      </c>
      <c r="AS54" t="s">
        <v>599</v>
      </c>
      <c r="AT54" t="s">
        <v>599</v>
      </c>
    </row>
    <row r="55" spans="1:46" s="32" customFormat="1" ht="60" x14ac:dyDescent="0.25">
      <c r="A55" s="28">
        <v>10102</v>
      </c>
      <c r="B55" s="29">
        <v>458655</v>
      </c>
      <c r="C55" s="29">
        <v>2</v>
      </c>
      <c r="D55" s="28">
        <v>12</v>
      </c>
      <c r="E55" s="30" t="s">
        <v>81</v>
      </c>
      <c r="F55" s="31" t="s">
        <v>82</v>
      </c>
      <c r="G55" s="28" t="s">
        <v>83</v>
      </c>
      <c r="H55" s="35" t="s">
        <v>613</v>
      </c>
      <c r="I55" s="55" t="str">
        <f t="shared" si="1"/>
        <v>https://permalinkbnd.bnportugal.gov.pt/viewer/270116/?offset=#page=12&amp;viewer=picture&amp;o=info&amp;n=0&amp;q=</v>
      </c>
      <c r="J55" s="45"/>
      <c r="K55" s="45"/>
      <c r="L55" s="45"/>
      <c r="M55" t="s">
        <v>81</v>
      </c>
      <c r="N55">
        <v>270116</v>
      </c>
      <c r="O55" t="str">
        <f t="shared" si="0"/>
        <v>https://permalinkbnd.bnportugal.gov.pt/viewer/270116/?offset=#page=12&amp;viewer=picture&amp;o=info&amp;n=0&amp;q=</v>
      </c>
      <c r="P55">
        <v>458655</v>
      </c>
      <c r="Q55" t="s">
        <v>81</v>
      </c>
      <c r="R55" t="s">
        <v>1495</v>
      </c>
      <c r="S55" t="s">
        <v>1178</v>
      </c>
      <c r="T55" t="s">
        <v>1192</v>
      </c>
      <c r="U55" t="s">
        <v>599</v>
      </c>
      <c r="V55" t="s">
        <v>1496</v>
      </c>
      <c r="W55" t="s">
        <v>599</v>
      </c>
      <c r="X55" t="s">
        <v>599</v>
      </c>
      <c r="Y55" t="s">
        <v>1182</v>
      </c>
      <c r="Z55" t="s">
        <v>1497</v>
      </c>
      <c r="AA55">
        <v>1887</v>
      </c>
      <c r="AB55">
        <v>1887</v>
      </c>
      <c r="AC55" t="s">
        <v>1498</v>
      </c>
      <c r="AD55" t="s">
        <v>599</v>
      </c>
      <c r="AE55" t="s">
        <v>599</v>
      </c>
      <c r="AF55" t="s">
        <v>599</v>
      </c>
      <c r="AG55" t="s">
        <v>599</v>
      </c>
      <c r="AH55" t="s">
        <v>599</v>
      </c>
      <c r="AI55" t="s">
        <v>599</v>
      </c>
      <c r="AJ55" t="s">
        <v>1499</v>
      </c>
      <c r="AK55" t="s">
        <v>1188</v>
      </c>
      <c r="AL55" t="s">
        <v>1500</v>
      </c>
      <c r="AM55" t="s">
        <v>1190</v>
      </c>
      <c r="AN55" t="s">
        <v>599</v>
      </c>
      <c r="AO55" t="s">
        <v>599</v>
      </c>
      <c r="AP55" t="s">
        <v>599</v>
      </c>
      <c r="AQ55" t="s">
        <v>599</v>
      </c>
      <c r="AR55" t="s">
        <v>599</v>
      </c>
      <c r="AS55" t="s">
        <v>599</v>
      </c>
      <c r="AT55" t="s">
        <v>599</v>
      </c>
    </row>
    <row r="56" spans="1:46" s="32" customFormat="1" ht="60" x14ac:dyDescent="0.25">
      <c r="A56" s="28">
        <v>10103</v>
      </c>
      <c r="B56" s="29">
        <v>458655</v>
      </c>
      <c r="C56" s="29">
        <v>2</v>
      </c>
      <c r="D56" s="28">
        <v>12</v>
      </c>
      <c r="E56" s="30" t="s">
        <v>81</v>
      </c>
      <c r="F56" s="31" t="s">
        <v>82</v>
      </c>
      <c r="G56" s="28" t="s">
        <v>83</v>
      </c>
      <c r="H56" s="35" t="s">
        <v>613</v>
      </c>
      <c r="I56" s="55" t="str">
        <f t="shared" si="1"/>
        <v>https://permalinkbnd.bnportugal.gov.pt/viewer/270116/?offset=#page=12&amp;viewer=picture&amp;o=info&amp;n=0&amp;q=</v>
      </c>
      <c r="J56" s="45"/>
      <c r="K56" s="45"/>
      <c r="L56" s="45"/>
      <c r="M56" t="s">
        <v>81</v>
      </c>
      <c r="N56">
        <v>270116</v>
      </c>
      <c r="O56" t="str">
        <f t="shared" si="0"/>
        <v>https://permalinkbnd.bnportugal.gov.pt/viewer/270116/?offset=#page=12&amp;viewer=picture&amp;o=info&amp;n=0&amp;q=</v>
      </c>
      <c r="P56">
        <v>458655</v>
      </c>
      <c r="Q56" t="s">
        <v>81</v>
      </c>
      <c r="R56" t="s">
        <v>1495</v>
      </c>
      <c r="S56" t="s">
        <v>1178</v>
      </c>
      <c r="T56" t="s">
        <v>1192</v>
      </c>
      <c r="U56" t="s">
        <v>599</v>
      </c>
      <c r="V56" t="s">
        <v>1496</v>
      </c>
      <c r="W56" t="s">
        <v>599</v>
      </c>
      <c r="X56" t="s">
        <v>599</v>
      </c>
      <c r="Y56" t="s">
        <v>1182</v>
      </c>
      <c r="Z56" t="s">
        <v>1497</v>
      </c>
      <c r="AA56">
        <v>1887</v>
      </c>
      <c r="AB56">
        <v>1887</v>
      </c>
      <c r="AC56" t="s">
        <v>1498</v>
      </c>
      <c r="AD56" t="s">
        <v>599</v>
      </c>
      <c r="AE56" t="s">
        <v>599</v>
      </c>
      <c r="AF56" t="s">
        <v>599</v>
      </c>
      <c r="AG56" t="s">
        <v>599</v>
      </c>
      <c r="AH56" t="s">
        <v>599</v>
      </c>
      <c r="AI56" t="s">
        <v>599</v>
      </c>
      <c r="AJ56" t="s">
        <v>1499</v>
      </c>
      <c r="AK56" t="s">
        <v>1188</v>
      </c>
      <c r="AL56" t="s">
        <v>1500</v>
      </c>
      <c r="AM56" t="s">
        <v>1190</v>
      </c>
      <c r="AN56" t="s">
        <v>599</v>
      </c>
      <c r="AO56" t="s">
        <v>599</v>
      </c>
      <c r="AP56" t="s">
        <v>599</v>
      </c>
      <c r="AQ56" t="s">
        <v>599</v>
      </c>
      <c r="AR56" t="s">
        <v>599</v>
      </c>
      <c r="AS56" t="s">
        <v>599</v>
      </c>
      <c r="AT56" t="s">
        <v>599</v>
      </c>
    </row>
    <row r="57" spans="1:46" s="32" customFormat="1" ht="60" x14ac:dyDescent="0.25">
      <c r="A57" s="28">
        <v>10104</v>
      </c>
      <c r="B57" s="29">
        <v>458655</v>
      </c>
      <c r="C57" s="29">
        <v>3</v>
      </c>
      <c r="D57" s="28">
        <v>11</v>
      </c>
      <c r="E57" s="30" t="s">
        <v>81</v>
      </c>
      <c r="F57" s="31" t="s">
        <v>82</v>
      </c>
      <c r="G57" s="28" t="s">
        <v>83</v>
      </c>
      <c r="H57" s="35" t="s">
        <v>613</v>
      </c>
      <c r="I57" s="55" t="str">
        <f t="shared" si="1"/>
        <v>https://permalinkbnd.bnportugal.gov.pt/viewer/270116/?offset=#page=11&amp;viewer=picture&amp;o=info&amp;n=0&amp;q=</v>
      </c>
      <c r="J57" s="45"/>
      <c r="K57" s="45"/>
      <c r="L57" s="45"/>
      <c r="M57" t="s">
        <v>81</v>
      </c>
      <c r="N57">
        <v>270116</v>
      </c>
      <c r="O57" t="str">
        <f t="shared" si="0"/>
        <v>https://permalinkbnd.bnportugal.gov.pt/viewer/270116/?offset=#page=11&amp;viewer=picture&amp;o=info&amp;n=0&amp;q=</v>
      </c>
      <c r="P57">
        <v>458655</v>
      </c>
      <c r="Q57" t="s">
        <v>81</v>
      </c>
      <c r="R57" t="s">
        <v>1495</v>
      </c>
      <c r="S57" t="s">
        <v>1178</v>
      </c>
      <c r="T57" t="s">
        <v>1192</v>
      </c>
      <c r="U57" t="s">
        <v>599</v>
      </c>
      <c r="V57" t="s">
        <v>1496</v>
      </c>
      <c r="W57" t="s">
        <v>599</v>
      </c>
      <c r="X57" t="s">
        <v>599</v>
      </c>
      <c r="Y57" t="s">
        <v>1182</v>
      </c>
      <c r="Z57" t="s">
        <v>1497</v>
      </c>
      <c r="AA57">
        <v>1887</v>
      </c>
      <c r="AB57">
        <v>1887</v>
      </c>
      <c r="AC57" t="s">
        <v>1498</v>
      </c>
      <c r="AD57" t="s">
        <v>599</v>
      </c>
      <c r="AE57" t="s">
        <v>599</v>
      </c>
      <c r="AF57" t="s">
        <v>599</v>
      </c>
      <c r="AG57" t="s">
        <v>599</v>
      </c>
      <c r="AH57" t="s">
        <v>599</v>
      </c>
      <c r="AI57" t="s">
        <v>599</v>
      </c>
      <c r="AJ57" t="s">
        <v>1499</v>
      </c>
      <c r="AK57" t="s">
        <v>1188</v>
      </c>
      <c r="AL57" t="s">
        <v>1500</v>
      </c>
      <c r="AM57" t="s">
        <v>1190</v>
      </c>
      <c r="AN57" t="s">
        <v>599</v>
      </c>
      <c r="AO57" t="s">
        <v>599</v>
      </c>
      <c r="AP57" t="s">
        <v>599</v>
      </c>
      <c r="AQ57" t="s">
        <v>599</v>
      </c>
      <c r="AR57" t="s">
        <v>599</v>
      </c>
      <c r="AS57" t="s">
        <v>599</v>
      </c>
      <c r="AT57" t="s">
        <v>599</v>
      </c>
    </row>
    <row r="58" spans="1:46" s="32" customFormat="1" ht="60" x14ac:dyDescent="0.25">
      <c r="A58" s="28">
        <v>10105</v>
      </c>
      <c r="B58" s="29">
        <v>458655</v>
      </c>
      <c r="C58" s="29">
        <v>3</v>
      </c>
      <c r="D58" s="28">
        <v>12</v>
      </c>
      <c r="E58" s="30" t="s">
        <v>81</v>
      </c>
      <c r="F58" s="31" t="s">
        <v>82</v>
      </c>
      <c r="G58" s="28" t="s">
        <v>83</v>
      </c>
      <c r="H58" s="35" t="s">
        <v>613</v>
      </c>
      <c r="I58" s="55" t="str">
        <f t="shared" si="1"/>
        <v>https://permalinkbnd.bnportugal.gov.pt/viewer/270116/?offset=#page=12&amp;viewer=picture&amp;o=info&amp;n=0&amp;q=</v>
      </c>
      <c r="J58" s="45"/>
      <c r="K58" s="45"/>
      <c r="L58" s="45"/>
      <c r="M58" t="s">
        <v>81</v>
      </c>
      <c r="N58">
        <v>270116</v>
      </c>
      <c r="O58" t="str">
        <f t="shared" si="0"/>
        <v>https://permalinkbnd.bnportugal.gov.pt/viewer/270116/?offset=#page=12&amp;viewer=picture&amp;o=info&amp;n=0&amp;q=</v>
      </c>
      <c r="P58">
        <v>458655</v>
      </c>
      <c r="Q58" t="s">
        <v>81</v>
      </c>
      <c r="R58" t="s">
        <v>1495</v>
      </c>
      <c r="S58" t="s">
        <v>1178</v>
      </c>
      <c r="T58" t="s">
        <v>1192</v>
      </c>
      <c r="U58" t="s">
        <v>599</v>
      </c>
      <c r="V58" t="s">
        <v>1496</v>
      </c>
      <c r="W58" t="s">
        <v>599</v>
      </c>
      <c r="X58" t="s">
        <v>599</v>
      </c>
      <c r="Y58" t="s">
        <v>1182</v>
      </c>
      <c r="Z58" t="s">
        <v>1497</v>
      </c>
      <c r="AA58">
        <v>1887</v>
      </c>
      <c r="AB58">
        <v>1887</v>
      </c>
      <c r="AC58" t="s">
        <v>1498</v>
      </c>
      <c r="AD58" t="s">
        <v>599</v>
      </c>
      <c r="AE58" t="s">
        <v>599</v>
      </c>
      <c r="AF58" t="s">
        <v>599</v>
      </c>
      <c r="AG58" t="s">
        <v>599</v>
      </c>
      <c r="AH58" t="s">
        <v>599</v>
      </c>
      <c r="AI58" t="s">
        <v>599</v>
      </c>
      <c r="AJ58" t="s">
        <v>1499</v>
      </c>
      <c r="AK58" t="s">
        <v>1188</v>
      </c>
      <c r="AL58" t="s">
        <v>1500</v>
      </c>
      <c r="AM58" t="s">
        <v>1190</v>
      </c>
      <c r="AN58" t="s">
        <v>599</v>
      </c>
      <c r="AO58" t="s">
        <v>599</v>
      </c>
      <c r="AP58" t="s">
        <v>599</v>
      </c>
      <c r="AQ58" t="s">
        <v>599</v>
      </c>
      <c r="AR58" t="s">
        <v>599</v>
      </c>
      <c r="AS58" t="s">
        <v>599</v>
      </c>
      <c r="AT58" t="s">
        <v>599</v>
      </c>
    </row>
    <row r="59" spans="1:46" s="26" customFormat="1" ht="30" x14ac:dyDescent="0.25">
      <c r="A59" s="22">
        <v>10107</v>
      </c>
      <c r="B59" s="23">
        <v>465606</v>
      </c>
      <c r="C59" s="23">
        <v>1</v>
      </c>
      <c r="D59" s="27">
        <v>3</v>
      </c>
      <c r="E59" s="24" t="s">
        <v>84</v>
      </c>
      <c r="F59" s="25">
        <v>3</v>
      </c>
      <c r="G59" s="22"/>
      <c r="H59" s="27" t="s">
        <v>616</v>
      </c>
      <c r="I59" s="55" t="str">
        <f t="shared" si="1"/>
        <v>https://permalinkbnd.bnportugal.gov.pt/viewer/274117/?offset=#page=3&amp;viewer=picture&amp;o=info&amp;n=0&amp;q=</v>
      </c>
      <c r="J59" s="45"/>
      <c r="K59" s="45"/>
      <c r="L59" s="45"/>
      <c r="M59" t="s">
        <v>84</v>
      </c>
      <c r="N59">
        <v>274117</v>
      </c>
      <c r="O59" t="str">
        <f t="shared" si="0"/>
        <v>https://permalinkbnd.bnportugal.gov.pt/viewer/274117/?offset=#page=3&amp;viewer=picture&amp;o=info&amp;n=0&amp;q=</v>
      </c>
      <c r="P59">
        <v>465606</v>
      </c>
      <c r="Q59" t="s">
        <v>84</v>
      </c>
      <c r="R59" t="s">
        <v>1501</v>
      </c>
      <c r="S59" t="s">
        <v>1178</v>
      </c>
      <c r="T59" t="s">
        <v>1502</v>
      </c>
      <c r="U59" t="s">
        <v>599</v>
      </c>
      <c r="V59" t="s">
        <v>1503</v>
      </c>
      <c r="W59" t="s">
        <v>599</v>
      </c>
      <c r="X59" t="s">
        <v>599</v>
      </c>
      <c r="Y59" t="s">
        <v>1182</v>
      </c>
      <c r="Z59" t="s">
        <v>1504</v>
      </c>
      <c r="AA59">
        <v>1845</v>
      </c>
      <c r="AB59">
        <v>1845</v>
      </c>
      <c r="AC59" t="s">
        <v>1463</v>
      </c>
      <c r="AD59" t="s">
        <v>1505</v>
      </c>
      <c r="AE59" t="s">
        <v>599</v>
      </c>
      <c r="AF59" t="s">
        <v>599</v>
      </c>
      <c r="AG59" t="s">
        <v>1506</v>
      </c>
      <c r="AH59" t="s">
        <v>599</v>
      </c>
      <c r="AI59" t="s">
        <v>599</v>
      </c>
      <c r="AJ59" t="s">
        <v>1507</v>
      </c>
      <c r="AK59" t="s">
        <v>1188</v>
      </c>
      <c r="AL59" t="s">
        <v>1508</v>
      </c>
      <c r="AM59" t="s">
        <v>1190</v>
      </c>
      <c r="AN59" t="s">
        <v>599</v>
      </c>
      <c r="AO59" t="s">
        <v>599</v>
      </c>
      <c r="AP59" t="s">
        <v>599</v>
      </c>
      <c r="AQ59" t="s">
        <v>599</v>
      </c>
      <c r="AR59" t="s">
        <v>599</v>
      </c>
      <c r="AS59" t="s">
        <v>599</v>
      </c>
      <c r="AT59" t="s">
        <v>599</v>
      </c>
    </row>
    <row r="60" spans="1:46" s="26" customFormat="1" ht="30" x14ac:dyDescent="0.25">
      <c r="A60" s="22">
        <v>10112</v>
      </c>
      <c r="B60" s="23">
        <v>471392</v>
      </c>
      <c r="C60" s="23">
        <v>1</v>
      </c>
      <c r="D60" s="27">
        <v>5</v>
      </c>
      <c r="E60" s="24" t="s">
        <v>85</v>
      </c>
      <c r="F60" s="25">
        <v>5</v>
      </c>
      <c r="G60" s="22"/>
      <c r="H60" s="27" t="s">
        <v>618</v>
      </c>
      <c r="I60" s="55" t="str">
        <f t="shared" si="1"/>
        <v>https://permalinkbnd.bnportugal.gov.pt/viewer/274153/?offset=#page=5&amp;viewer=picture&amp;o=info&amp;n=0&amp;q=</v>
      </c>
      <c r="J60" s="45"/>
      <c r="K60" s="45"/>
      <c r="L60" s="45"/>
      <c r="M60" t="s">
        <v>85</v>
      </c>
      <c r="N60">
        <v>274153</v>
      </c>
      <c r="O60" t="str">
        <f t="shared" si="0"/>
        <v>https://permalinkbnd.bnportugal.gov.pt/viewer/274153/?offset=#page=5&amp;viewer=picture&amp;o=info&amp;n=0&amp;q=</v>
      </c>
      <c r="P60">
        <v>471392</v>
      </c>
      <c r="Q60" t="s">
        <v>85</v>
      </c>
      <c r="R60" t="s">
        <v>1509</v>
      </c>
      <c r="S60" t="s">
        <v>1178</v>
      </c>
      <c r="T60" t="s">
        <v>1179</v>
      </c>
      <c r="U60" t="s">
        <v>599</v>
      </c>
      <c r="V60" t="s">
        <v>1105</v>
      </c>
      <c r="W60" t="s">
        <v>1510</v>
      </c>
      <c r="X60" t="s">
        <v>599</v>
      </c>
      <c r="Y60" t="s">
        <v>1182</v>
      </c>
      <c r="Z60" t="s">
        <v>1437</v>
      </c>
      <c r="AA60">
        <v>1857</v>
      </c>
      <c r="AB60">
        <v>1857</v>
      </c>
      <c r="AC60" t="s">
        <v>1511</v>
      </c>
      <c r="AD60" t="s">
        <v>1512</v>
      </c>
      <c r="AE60" t="s">
        <v>599</v>
      </c>
      <c r="AF60" t="s">
        <v>599</v>
      </c>
      <c r="AG60" t="s">
        <v>599</v>
      </c>
      <c r="AH60" t="s">
        <v>599</v>
      </c>
      <c r="AI60" t="s">
        <v>599</v>
      </c>
      <c r="AJ60" t="s">
        <v>1513</v>
      </c>
      <c r="AK60" t="s">
        <v>1188</v>
      </c>
      <c r="AL60" t="s">
        <v>1514</v>
      </c>
      <c r="AM60" t="s">
        <v>1190</v>
      </c>
      <c r="AN60" t="s">
        <v>599</v>
      </c>
      <c r="AO60" t="s">
        <v>599</v>
      </c>
      <c r="AP60" t="s">
        <v>1515</v>
      </c>
      <c r="AQ60" t="s">
        <v>599</v>
      </c>
      <c r="AR60" t="s">
        <v>599</v>
      </c>
      <c r="AS60" t="s">
        <v>599</v>
      </c>
      <c r="AT60" t="s">
        <v>599</v>
      </c>
    </row>
    <row r="61" spans="1:46" s="13" customFormat="1" ht="30" x14ac:dyDescent="0.25">
      <c r="A61" s="9">
        <v>10113</v>
      </c>
      <c r="B61" s="10">
        <v>475171</v>
      </c>
      <c r="C61" s="10">
        <v>1</v>
      </c>
      <c r="D61" s="9">
        <v>13</v>
      </c>
      <c r="E61" s="11" t="s">
        <v>86</v>
      </c>
      <c r="F61" s="12">
        <v>13</v>
      </c>
      <c r="G61" s="9">
        <v>13</v>
      </c>
      <c r="H61" s="34"/>
      <c r="I61" s="55" t="str">
        <f t="shared" si="1"/>
        <v>https://permalinkbnd.bnportugal.gov.pt/viewer/272371/?offset=#page=13&amp;viewer=picture&amp;o=info&amp;n=0&amp;q=</v>
      </c>
      <c r="J61" s="45"/>
      <c r="K61" s="45"/>
      <c r="L61" s="45"/>
      <c r="M61" t="s">
        <v>86</v>
      </c>
      <c r="N61">
        <v>272371</v>
      </c>
      <c r="O61" t="str">
        <f t="shared" si="0"/>
        <v>https://permalinkbnd.bnportugal.gov.pt/viewer/272371/?offset=#page=13&amp;viewer=picture&amp;o=info&amp;n=0&amp;q=</v>
      </c>
      <c r="P61">
        <v>475171</v>
      </c>
      <c r="Q61" t="s">
        <v>86</v>
      </c>
      <c r="R61" t="s">
        <v>1516</v>
      </c>
      <c r="S61" t="s">
        <v>1517</v>
      </c>
      <c r="T61" t="s">
        <v>1518</v>
      </c>
      <c r="U61" t="s">
        <v>1192</v>
      </c>
      <c r="V61" t="s">
        <v>1519</v>
      </c>
      <c r="W61" t="s">
        <v>599</v>
      </c>
      <c r="X61" t="s">
        <v>599</v>
      </c>
      <c r="Y61" t="s">
        <v>1182</v>
      </c>
      <c r="Z61" t="s">
        <v>599</v>
      </c>
      <c r="AA61">
        <v>1625</v>
      </c>
      <c r="AB61">
        <v>1625</v>
      </c>
      <c r="AC61" t="s">
        <v>1520</v>
      </c>
      <c r="AD61" t="s">
        <v>1185</v>
      </c>
      <c r="AE61" t="s">
        <v>599</v>
      </c>
      <c r="AF61" t="s">
        <v>599</v>
      </c>
      <c r="AG61" t="s">
        <v>1521</v>
      </c>
      <c r="AH61" t="s">
        <v>599</v>
      </c>
      <c r="AI61" t="s">
        <v>599</v>
      </c>
      <c r="AJ61" t="s">
        <v>1522</v>
      </c>
      <c r="AK61" t="s">
        <v>1188</v>
      </c>
      <c r="AL61" t="s">
        <v>1523</v>
      </c>
      <c r="AM61" t="s">
        <v>1190</v>
      </c>
      <c r="AN61" t="s">
        <v>1524</v>
      </c>
      <c r="AO61" t="s">
        <v>1525</v>
      </c>
      <c r="AP61" t="s">
        <v>599</v>
      </c>
      <c r="AQ61" t="s">
        <v>599</v>
      </c>
      <c r="AR61" t="s">
        <v>1526</v>
      </c>
      <c r="AS61" t="s">
        <v>599</v>
      </c>
      <c r="AT61" t="s">
        <v>599</v>
      </c>
    </row>
    <row r="62" spans="1:46" s="26" customFormat="1" ht="30" x14ac:dyDescent="0.25">
      <c r="A62" s="22">
        <v>10116</v>
      </c>
      <c r="B62" s="23">
        <v>475214</v>
      </c>
      <c r="C62" s="23">
        <v>1</v>
      </c>
      <c r="D62" s="27">
        <v>7</v>
      </c>
      <c r="E62" s="24" t="s">
        <v>87</v>
      </c>
      <c r="F62" s="25">
        <v>7</v>
      </c>
      <c r="G62" s="22"/>
      <c r="H62" s="27" t="s">
        <v>615</v>
      </c>
      <c r="I62" s="55" t="str">
        <f t="shared" si="1"/>
        <v>https://permalinkbnd.bnportugal.gov.pt/viewer/273182/?offset=#page=7&amp;viewer=picture&amp;o=info&amp;n=0&amp;q=</v>
      </c>
      <c r="J62" s="45"/>
      <c r="K62" s="45"/>
      <c r="L62" s="45"/>
      <c r="M62" t="s">
        <v>87</v>
      </c>
      <c r="N62">
        <v>273182</v>
      </c>
      <c r="O62" t="str">
        <f t="shared" si="0"/>
        <v>https://permalinkbnd.bnportugal.gov.pt/viewer/273182/?offset=#page=7&amp;viewer=picture&amp;o=info&amp;n=0&amp;q=</v>
      </c>
      <c r="P62">
        <v>475214</v>
      </c>
      <c r="Q62" t="s">
        <v>87</v>
      </c>
      <c r="R62" t="s">
        <v>1527</v>
      </c>
      <c r="S62" t="s">
        <v>1178</v>
      </c>
      <c r="T62" t="s">
        <v>1528</v>
      </c>
      <c r="U62" t="s">
        <v>599</v>
      </c>
      <c r="V62" t="s">
        <v>1219</v>
      </c>
      <c r="W62" t="s">
        <v>1529</v>
      </c>
      <c r="X62" t="s">
        <v>599</v>
      </c>
      <c r="Y62" t="s">
        <v>1182</v>
      </c>
      <c r="Z62" t="s">
        <v>1530</v>
      </c>
      <c r="AA62">
        <v>1892</v>
      </c>
      <c r="AB62">
        <v>1892</v>
      </c>
      <c r="AC62" t="s">
        <v>1531</v>
      </c>
      <c r="AD62" t="s">
        <v>1185</v>
      </c>
      <c r="AE62" t="s">
        <v>599</v>
      </c>
      <c r="AF62" t="s">
        <v>599</v>
      </c>
      <c r="AG62" t="s">
        <v>1532</v>
      </c>
      <c r="AH62" t="s">
        <v>599</v>
      </c>
      <c r="AI62" t="s">
        <v>1533</v>
      </c>
      <c r="AJ62" t="s">
        <v>1534</v>
      </c>
      <c r="AK62" t="s">
        <v>1188</v>
      </c>
      <c r="AL62" t="s">
        <v>1535</v>
      </c>
      <c r="AM62" t="s">
        <v>1190</v>
      </c>
      <c r="AN62" t="s">
        <v>1536</v>
      </c>
      <c r="AO62" t="s">
        <v>599</v>
      </c>
      <c r="AP62" t="s">
        <v>599</v>
      </c>
      <c r="AQ62" t="s">
        <v>599</v>
      </c>
      <c r="AR62" t="s">
        <v>599</v>
      </c>
      <c r="AS62" t="s">
        <v>599</v>
      </c>
      <c r="AT62" t="s">
        <v>599</v>
      </c>
    </row>
    <row r="63" spans="1:46" s="13" customFormat="1" ht="30" x14ac:dyDescent="0.25">
      <c r="A63" s="9">
        <v>10119</v>
      </c>
      <c r="B63" s="10">
        <v>475453</v>
      </c>
      <c r="C63" s="10">
        <v>1</v>
      </c>
      <c r="D63" s="9">
        <v>1</v>
      </c>
      <c r="E63" s="11" t="s">
        <v>88</v>
      </c>
      <c r="F63" s="12">
        <v>1</v>
      </c>
      <c r="G63" s="9">
        <v>1</v>
      </c>
      <c r="H63" s="34"/>
      <c r="I63" s="55" t="str">
        <f t="shared" si="1"/>
        <v>https://permalinkbnd.bnportugal.gov.pt/viewer/273318/?offset=#page=1&amp;viewer=picture&amp;o=info&amp;n=0&amp;q=</v>
      </c>
      <c r="J63" s="45"/>
      <c r="K63" s="45"/>
      <c r="L63" s="45"/>
      <c r="M63" t="s">
        <v>88</v>
      </c>
      <c r="N63">
        <v>273318</v>
      </c>
      <c r="O63" t="str">
        <f t="shared" si="0"/>
        <v>https://permalinkbnd.bnportugal.gov.pt/viewer/273318/?offset=#page=1&amp;viewer=picture&amp;o=info&amp;n=0&amp;q=</v>
      </c>
      <c r="P63">
        <v>475453</v>
      </c>
      <c r="Q63" t="s">
        <v>88</v>
      </c>
      <c r="R63" t="s">
        <v>1537</v>
      </c>
      <c r="S63" t="s">
        <v>1226</v>
      </c>
      <c r="T63" t="s">
        <v>1192</v>
      </c>
      <c r="U63" t="s">
        <v>599</v>
      </c>
      <c r="V63" t="s">
        <v>1538</v>
      </c>
      <c r="W63" t="s">
        <v>1539</v>
      </c>
      <c r="X63" t="s">
        <v>599</v>
      </c>
      <c r="Y63" t="s">
        <v>1182</v>
      </c>
      <c r="Z63" t="s">
        <v>1437</v>
      </c>
      <c r="AA63">
        <v>1880</v>
      </c>
      <c r="AB63">
        <v>1880</v>
      </c>
      <c r="AC63" t="s">
        <v>599</v>
      </c>
      <c r="AD63" t="s">
        <v>599</v>
      </c>
      <c r="AE63" t="s">
        <v>599</v>
      </c>
      <c r="AF63" t="s">
        <v>599</v>
      </c>
      <c r="AG63" t="s">
        <v>599</v>
      </c>
      <c r="AH63" t="s">
        <v>599</v>
      </c>
      <c r="AI63" t="s">
        <v>599</v>
      </c>
      <c r="AJ63" t="s">
        <v>1540</v>
      </c>
      <c r="AK63" t="s">
        <v>1188</v>
      </c>
      <c r="AL63" t="s">
        <v>1541</v>
      </c>
      <c r="AM63" t="s">
        <v>1190</v>
      </c>
      <c r="AN63" t="s">
        <v>599</v>
      </c>
      <c r="AO63" t="s">
        <v>599</v>
      </c>
      <c r="AP63" t="s">
        <v>599</v>
      </c>
      <c r="AQ63" t="s">
        <v>599</v>
      </c>
      <c r="AR63" t="s">
        <v>599</v>
      </c>
      <c r="AS63" t="s">
        <v>599</v>
      </c>
      <c r="AT63" t="s">
        <v>599</v>
      </c>
    </row>
    <row r="64" spans="1:46" s="13" customFormat="1" ht="30" x14ac:dyDescent="0.25">
      <c r="A64" s="9">
        <v>10120</v>
      </c>
      <c r="B64" s="10">
        <v>475458</v>
      </c>
      <c r="C64" s="10">
        <v>1</v>
      </c>
      <c r="D64" s="9">
        <v>1</v>
      </c>
      <c r="E64" s="11" t="s">
        <v>89</v>
      </c>
      <c r="F64" s="12">
        <v>1</v>
      </c>
      <c r="G64" s="9">
        <v>1</v>
      </c>
      <c r="H64" s="34"/>
      <c r="I64" s="55" t="str">
        <f t="shared" si="1"/>
        <v>https://permalinkbnd.bnportugal.gov.pt/viewer/273319/?offset=#page=1&amp;viewer=picture&amp;o=info&amp;n=0&amp;q=</v>
      </c>
      <c r="J64" s="45"/>
      <c r="K64" s="45"/>
      <c r="L64" s="45"/>
      <c r="M64" t="s">
        <v>89</v>
      </c>
      <c r="N64">
        <v>273319</v>
      </c>
      <c r="O64" t="str">
        <f t="shared" si="0"/>
        <v>https://permalinkbnd.bnportugal.gov.pt/viewer/273319/?offset=#page=1&amp;viewer=picture&amp;o=info&amp;n=0&amp;q=</v>
      </c>
      <c r="P64">
        <v>475458</v>
      </c>
      <c r="Q64" t="s">
        <v>89</v>
      </c>
      <c r="R64" t="s">
        <v>1542</v>
      </c>
      <c r="S64" t="s">
        <v>1178</v>
      </c>
      <c r="T64" t="s">
        <v>1192</v>
      </c>
      <c r="U64" t="s">
        <v>599</v>
      </c>
      <c r="V64" t="s">
        <v>1193</v>
      </c>
      <c r="W64" t="s">
        <v>1543</v>
      </c>
      <c r="X64" t="s">
        <v>599</v>
      </c>
      <c r="Y64" t="s">
        <v>1182</v>
      </c>
      <c r="Z64" t="s">
        <v>1544</v>
      </c>
      <c r="AA64">
        <v>1880</v>
      </c>
      <c r="AB64">
        <v>1880</v>
      </c>
      <c r="AC64" t="s">
        <v>1545</v>
      </c>
      <c r="AD64" t="s">
        <v>1546</v>
      </c>
      <c r="AE64" t="s">
        <v>599</v>
      </c>
      <c r="AF64" t="s">
        <v>1185</v>
      </c>
      <c r="AG64" t="s">
        <v>599</v>
      </c>
      <c r="AH64" t="s">
        <v>599</v>
      </c>
      <c r="AI64" t="s">
        <v>599</v>
      </c>
      <c r="AJ64" t="s">
        <v>1547</v>
      </c>
      <c r="AK64" t="s">
        <v>1441</v>
      </c>
      <c r="AL64" t="s">
        <v>1548</v>
      </c>
      <c r="AM64" t="s">
        <v>1190</v>
      </c>
      <c r="AN64" t="s">
        <v>1549</v>
      </c>
      <c r="AO64" t="s">
        <v>599</v>
      </c>
      <c r="AP64" t="s">
        <v>599</v>
      </c>
      <c r="AQ64" t="s">
        <v>599</v>
      </c>
      <c r="AR64" t="s">
        <v>599</v>
      </c>
      <c r="AS64" t="s">
        <v>1443</v>
      </c>
      <c r="AT64" t="s">
        <v>599</v>
      </c>
    </row>
    <row r="65" spans="1:46" s="26" customFormat="1" ht="30" x14ac:dyDescent="0.25">
      <c r="A65" s="22">
        <v>10121</v>
      </c>
      <c r="B65" s="23">
        <v>476957</v>
      </c>
      <c r="C65" s="23">
        <v>1</v>
      </c>
      <c r="D65" s="27">
        <v>5</v>
      </c>
      <c r="E65" s="24" t="s">
        <v>90</v>
      </c>
      <c r="F65" s="25" t="s">
        <v>91</v>
      </c>
      <c r="G65" s="22"/>
      <c r="H65" s="27" t="s">
        <v>618</v>
      </c>
      <c r="I65" s="55" t="str">
        <f t="shared" si="1"/>
        <v>https://permalinkbnd.bnportugal.gov.pt/viewer/273102/?offset=#page=5&amp;viewer=picture&amp;o=info&amp;n=0&amp;q=</v>
      </c>
      <c r="J65" s="45"/>
      <c r="K65" s="45"/>
      <c r="L65" s="45"/>
      <c r="M65" t="s">
        <v>90</v>
      </c>
      <c r="N65">
        <v>273102</v>
      </c>
      <c r="O65" t="str">
        <f t="shared" si="0"/>
        <v>https://permalinkbnd.bnportugal.gov.pt/viewer/273102/?offset=#page=5&amp;viewer=picture&amp;o=info&amp;n=0&amp;q=</v>
      </c>
      <c r="P65">
        <v>476957</v>
      </c>
      <c r="Q65" t="s">
        <v>90</v>
      </c>
      <c r="R65" t="s">
        <v>1550</v>
      </c>
      <c r="S65" t="s">
        <v>1178</v>
      </c>
      <c r="T65" t="s">
        <v>1192</v>
      </c>
      <c r="U65" t="s">
        <v>599</v>
      </c>
      <c r="V65" t="s">
        <v>1551</v>
      </c>
      <c r="W65" t="s">
        <v>599</v>
      </c>
      <c r="X65" t="s">
        <v>599</v>
      </c>
      <c r="Y65" t="s">
        <v>1552</v>
      </c>
      <c r="Z65" t="s">
        <v>1553</v>
      </c>
      <c r="AA65">
        <v>1880</v>
      </c>
      <c r="AB65">
        <v>1880</v>
      </c>
      <c r="AC65" t="s">
        <v>1554</v>
      </c>
      <c r="AD65" t="s">
        <v>1185</v>
      </c>
      <c r="AE65" t="s">
        <v>599</v>
      </c>
      <c r="AF65" t="s">
        <v>599</v>
      </c>
      <c r="AG65" t="s">
        <v>599</v>
      </c>
      <c r="AH65" t="s">
        <v>599</v>
      </c>
      <c r="AI65" t="s">
        <v>599</v>
      </c>
      <c r="AJ65" t="s">
        <v>1555</v>
      </c>
      <c r="AK65" t="s">
        <v>1188</v>
      </c>
      <c r="AL65" t="s">
        <v>1556</v>
      </c>
      <c r="AM65" t="s">
        <v>1190</v>
      </c>
      <c r="AN65" t="s">
        <v>599</v>
      </c>
      <c r="AO65" t="s">
        <v>599</v>
      </c>
      <c r="AP65" t="s">
        <v>599</v>
      </c>
      <c r="AQ65" t="s">
        <v>599</v>
      </c>
      <c r="AR65" t="s">
        <v>1193</v>
      </c>
      <c r="AS65" t="s">
        <v>599</v>
      </c>
      <c r="AT65" t="s">
        <v>599</v>
      </c>
    </row>
    <row r="66" spans="1:46" s="13" customFormat="1" ht="30" x14ac:dyDescent="0.25">
      <c r="A66" s="9">
        <v>10138</v>
      </c>
      <c r="B66" s="10">
        <v>479076</v>
      </c>
      <c r="C66" s="10">
        <v>1</v>
      </c>
      <c r="D66" s="9">
        <v>1</v>
      </c>
      <c r="E66" s="11" t="s">
        <v>92</v>
      </c>
      <c r="F66" s="12" t="s">
        <v>93</v>
      </c>
      <c r="G66" s="9">
        <v>1</v>
      </c>
      <c r="H66" s="34"/>
      <c r="I66" s="55" t="str">
        <f t="shared" si="1"/>
        <v>https://permalinkbnd.bnportugal.gov.pt/viewer/270341/?offset=#page=1&amp;viewer=picture&amp;o=info&amp;n=0&amp;q=</v>
      </c>
      <c r="J66" s="45"/>
      <c r="K66" s="45"/>
      <c r="L66" s="45"/>
      <c r="M66" t="s">
        <v>92</v>
      </c>
      <c r="N66">
        <v>270341</v>
      </c>
      <c r="O66" t="str">
        <f t="shared" ref="O66:O129" si="2">CONCATENATE("https://permalinkbnd.bnportugal.gov.pt/viewer/",N66,"/?offset=#page=",D66,"&amp;viewer=picture&amp;o=info&amp;n=0&amp;q=")</f>
        <v>https://permalinkbnd.bnportugal.gov.pt/viewer/270341/?offset=#page=1&amp;viewer=picture&amp;o=info&amp;n=0&amp;q=</v>
      </c>
      <c r="P66">
        <v>479076</v>
      </c>
      <c r="Q66" t="s">
        <v>92</v>
      </c>
      <c r="R66" t="s">
        <v>1557</v>
      </c>
      <c r="S66" t="s">
        <v>1226</v>
      </c>
      <c r="T66" t="s">
        <v>1234</v>
      </c>
      <c r="U66" t="s">
        <v>599</v>
      </c>
      <c r="V66" t="s">
        <v>1558</v>
      </c>
      <c r="W66" t="s">
        <v>599</v>
      </c>
      <c r="X66" t="s">
        <v>599</v>
      </c>
      <c r="Y66" t="s">
        <v>1182</v>
      </c>
      <c r="Z66" t="s">
        <v>1559</v>
      </c>
      <c r="AA66">
        <v>1880</v>
      </c>
      <c r="AB66">
        <v>1880</v>
      </c>
      <c r="AC66" t="s">
        <v>599</v>
      </c>
      <c r="AD66" t="s">
        <v>599</v>
      </c>
      <c r="AE66" t="s">
        <v>599</v>
      </c>
      <c r="AF66" t="s">
        <v>599</v>
      </c>
      <c r="AG66" t="s">
        <v>1560</v>
      </c>
      <c r="AH66" t="s">
        <v>599</v>
      </c>
      <c r="AI66" t="s">
        <v>599</v>
      </c>
      <c r="AJ66" t="s">
        <v>1561</v>
      </c>
      <c r="AK66" t="s">
        <v>1188</v>
      </c>
      <c r="AL66" t="s">
        <v>1562</v>
      </c>
      <c r="AM66" t="s">
        <v>1190</v>
      </c>
      <c r="AN66" t="s">
        <v>599</v>
      </c>
      <c r="AO66" t="s">
        <v>599</v>
      </c>
      <c r="AP66" t="s">
        <v>599</v>
      </c>
      <c r="AQ66" t="s">
        <v>599</v>
      </c>
      <c r="AR66" t="s">
        <v>599</v>
      </c>
      <c r="AS66" t="s">
        <v>599</v>
      </c>
      <c r="AT66" t="s">
        <v>599</v>
      </c>
    </row>
    <row r="67" spans="1:46" s="13" customFormat="1" ht="30" x14ac:dyDescent="0.25">
      <c r="A67" s="9">
        <v>10139</v>
      </c>
      <c r="B67" s="10">
        <v>479079</v>
      </c>
      <c r="C67" s="10">
        <v>1</v>
      </c>
      <c r="D67" s="9">
        <v>1</v>
      </c>
      <c r="E67" s="11" t="s">
        <v>94</v>
      </c>
      <c r="F67" s="12" t="s">
        <v>93</v>
      </c>
      <c r="G67" s="9">
        <v>1</v>
      </c>
      <c r="H67" s="34"/>
      <c r="I67" s="55" t="str">
        <f t="shared" ref="I67:I130" si="3">HYPERLINK(O67)</f>
        <v>https://permalinkbnd.bnportugal.gov.pt/viewer/270336/?offset=#page=1&amp;viewer=picture&amp;o=info&amp;n=0&amp;q=</v>
      </c>
      <c r="J67" s="45"/>
      <c r="K67" s="45"/>
      <c r="L67" s="45"/>
      <c r="M67" t="s">
        <v>94</v>
      </c>
      <c r="N67">
        <v>270336</v>
      </c>
      <c r="O67" t="str">
        <f t="shared" si="2"/>
        <v>https://permalinkbnd.bnportugal.gov.pt/viewer/270336/?offset=#page=1&amp;viewer=picture&amp;o=info&amp;n=0&amp;q=</v>
      </c>
      <c r="P67">
        <v>479079</v>
      </c>
      <c r="Q67" t="s">
        <v>94</v>
      </c>
      <c r="R67" t="s">
        <v>1563</v>
      </c>
      <c r="S67" t="s">
        <v>1226</v>
      </c>
      <c r="T67" t="s">
        <v>1234</v>
      </c>
      <c r="U67" t="s">
        <v>599</v>
      </c>
      <c r="V67" t="s">
        <v>1564</v>
      </c>
      <c r="W67" t="s">
        <v>599</v>
      </c>
      <c r="X67" t="s">
        <v>599</v>
      </c>
      <c r="Y67" t="s">
        <v>1182</v>
      </c>
      <c r="Z67" t="s">
        <v>1565</v>
      </c>
      <c r="AA67">
        <v>1880</v>
      </c>
      <c r="AB67">
        <v>1880</v>
      </c>
      <c r="AC67" t="s">
        <v>599</v>
      </c>
      <c r="AD67" t="s">
        <v>599</v>
      </c>
      <c r="AE67" t="s">
        <v>599</v>
      </c>
      <c r="AF67" t="s">
        <v>599</v>
      </c>
      <c r="AG67" t="s">
        <v>1566</v>
      </c>
      <c r="AH67" t="s">
        <v>599</v>
      </c>
      <c r="AI67" t="s">
        <v>599</v>
      </c>
      <c r="AJ67" t="s">
        <v>1567</v>
      </c>
      <c r="AK67" t="s">
        <v>1188</v>
      </c>
      <c r="AL67" t="s">
        <v>1568</v>
      </c>
      <c r="AM67" t="s">
        <v>1190</v>
      </c>
      <c r="AN67" t="s">
        <v>599</v>
      </c>
      <c r="AO67" t="s">
        <v>599</v>
      </c>
      <c r="AP67" t="s">
        <v>599</v>
      </c>
      <c r="AQ67" t="s">
        <v>599</v>
      </c>
      <c r="AR67" t="s">
        <v>599</v>
      </c>
      <c r="AS67" t="s">
        <v>599</v>
      </c>
      <c r="AT67" t="s">
        <v>599</v>
      </c>
    </row>
    <row r="68" spans="1:46" s="13" customFormat="1" ht="30" x14ac:dyDescent="0.25">
      <c r="A68" s="9">
        <v>10141</v>
      </c>
      <c r="B68" s="10">
        <v>480058</v>
      </c>
      <c r="C68" s="10">
        <v>1</v>
      </c>
      <c r="D68" s="9">
        <v>1</v>
      </c>
      <c r="E68" s="11" t="s">
        <v>95</v>
      </c>
      <c r="F68" s="12">
        <v>1</v>
      </c>
      <c r="G68" s="9">
        <v>1</v>
      </c>
      <c r="H68" s="34"/>
      <c r="I68" s="55" t="str">
        <f t="shared" si="3"/>
        <v>https://permalinkbnd.bnportugal.gov.pt/viewer/273314/?offset=#page=1&amp;viewer=picture&amp;o=info&amp;n=0&amp;q=</v>
      </c>
      <c r="J68" s="45"/>
      <c r="K68" s="45"/>
      <c r="L68" s="45"/>
      <c r="M68" t="s">
        <v>95</v>
      </c>
      <c r="N68">
        <v>273314</v>
      </c>
      <c r="O68" t="str">
        <f t="shared" si="2"/>
        <v>https://permalinkbnd.bnportugal.gov.pt/viewer/273314/?offset=#page=1&amp;viewer=picture&amp;o=info&amp;n=0&amp;q=</v>
      </c>
      <c r="P68">
        <v>480058</v>
      </c>
      <c r="Q68" t="s">
        <v>95</v>
      </c>
      <c r="R68" t="s">
        <v>1569</v>
      </c>
      <c r="S68" t="s">
        <v>1226</v>
      </c>
      <c r="T68" t="s">
        <v>1192</v>
      </c>
      <c r="U68" t="s">
        <v>599</v>
      </c>
      <c r="V68" t="s">
        <v>1570</v>
      </c>
      <c r="W68" t="s">
        <v>599</v>
      </c>
      <c r="X68" t="s">
        <v>599</v>
      </c>
      <c r="Y68" t="s">
        <v>1182</v>
      </c>
      <c r="Z68" t="s">
        <v>1571</v>
      </c>
      <c r="AA68">
        <v>1880</v>
      </c>
      <c r="AB68">
        <v>1880</v>
      </c>
      <c r="AC68" t="s">
        <v>599</v>
      </c>
      <c r="AD68" t="s">
        <v>599</v>
      </c>
      <c r="AE68" t="s">
        <v>599</v>
      </c>
      <c r="AF68" t="s">
        <v>599</v>
      </c>
      <c r="AG68" t="s">
        <v>1572</v>
      </c>
      <c r="AH68" t="s">
        <v>599</v>
      </c>
      <c r="AI68" t="s">
        <v>599</v>
      </c>
      <c r="AJ68" t="s">
        <v>1573</v>
      </c>
      <c r="AK68" t="s">
        <v>1188</v>
      </c>
      <c r="AL68" t="s">
        <v>1574</v>
      </c>
      <c r="AM68" t="s">
        <v>1190</v>
      </c>
      <c r="AN68" t="s">
        <v>599</v>
      </c>
      <c r="AO68" t="s">
        <v>599</v>
      </c>
      <c r="AP68" t="s">
        <v>599</v>
      </c>
      <c r="AQ68" t="s">
        <v>599</v>
      </c>
      <c r="AR68" t="s">
        <v>1575</v>
      </c>
      <c r="AS68" t="s">
        <v>599</v>
      </c>
      <c r="AT68" t="s">
        <v>599</v>
      </c>
    </row>
    <row r="69" spans="1:46" s="26" customFormat="1" ht="30" x14ac:dyDescent="0.25">
      <c r="A69" s="22">
        <v>10147</v>
      </c>
      <c r="B69" s="23">
        <v>357297</v>
      </c>
      <c r="C69" s="23">
        <v>1</v>
      </c>
      <c r="D69" s="27">
        <v>10</v>
      </c>
      <c r="E69" s="24" t="s">
        <v>96</v>
      </c>
      <c r="F69" s="25" t="s">
        <v>97</v>
      </c>
      <c r="G69" s="22">
        <v>1</v>
      </c>
      <c r="H69" s="27" t="s">
        <v>620</v>
      </c>
      <c r="I69" s="55" t="str">
        <f t="shared" si="3"/>
        <v>https://permalinkbnd.bnportugal.gov.pt/viewer/281908/?offset=#page=10&amp;viewer=picture&amp;o=info&amp;n=0&amp;q=</v>
      </c>
      <c r="J69" s="45"/>
      <c r="K69" s="45"/>
      <c r="L69" s="45"/>
      <c r="M69" t="s">
        <v>96</v>
      </c>
      <c r="N69">
        <v>281908</v>
      </c>
      <c r="O69" t="str">
        <f t="shared" si="2"/>
        <v>https://permalinkbnd.bnportugal.gov.pt/viewer/281908/?offset=#page=10&amp;viewer=picture&amp;o=info&amp;n=0&amp;q=</v>
      </c>
      <c r="P69">
        <v>357297</v>
      </c>
      <c r="Q69" t="s">
        <v>96</v>
      </c>
      <c r="R69" t="s">
        <v>1576</v>
      </c>
      <c r="S69" t="s">
        <v>1178</v>
      </c>
      <c r="T69" t="s">
        <v>1192</v>
      </c>
      <c r="U69" t="s">
        <v>599</v>
      </c>
      <c r="V69" t="s">
        <v>1193</v>
      </c>
      <c r="W69" t="s">
        <v>599</v>
      </c>
      <c r="X69" t="s">
        <v>599</v>
      </c>
      <c r="Y69" t="s">
        <v>1577</v>
      </c>
      <c r="Z69" t="s">
        <v>1578</v>
      </c>
      <c r="AA69">
        <v>1817</v>
      </c>
      <c r="AB69">
        <v>1817</v>
      </c>
      <c r="AC69" t="s">
        <v>1579</v>
      </c>
      <c r="AD69" t="s">
        <v>1185</v>
      </c>
      <c r="AE69" t="s">
        <v>599</v>
      </c>
      <c r="AF69" t="s">
        <v>599</v>
      </c>
      <c r="AG69" t="s">
        <v>1580</v>
      </c>
      <c r="AH69" t="s">
        <v>599</v>
      </c>
      <c r="AI69" t="s">
        <v>599</v>
      </c>
      <c r="AJ69" t="s">
        <v>1581</v>
      </c>
      <c r="AK69" t="s">
        <v>1188</v>
      </c>
      <c r="AL69" t="s">
        <v>1582</v>
      </c>
      <c r="AM69" t="s">
        <v>1190</v>
      </c>
      <c r="AN69" t="s">
        <v>599</v>
      </c>
      <c r="AO69" t="s">
        <v>599</v>
      </c>
      <c r="AP69" t="s">
        <v>599</v>
      </c>
      <c r="AQ69" t="s">
        <v>599</v>
      </c>
      <c r="AR69" t="s">
        <v>599</v>
      </c>
      <c r="AS69" t="s">
        <v>599</v>
      </c>
      <c r="AT69" t="s">
        <v>599</v>
      </c>
    </row>
    <row r="70" spans="1:46" s="13" customFormat="1" ht="30" x14ac:dyDescent="0.25">
      <c r="A70" s="9">
        <v>10148</v>
      </c>
      <c r="B70" s="10">
        <v>601741</v>
      </c>
      <c r="C70" s="10">
        <v>1</v>
      </c>
      <c r="D70" s="9">
        <v>1</v>
      </c>
      <c r="E70" s="11" t="s">
        <v>98</v>
      </c>
      <c r="F70" s="12" t="s">
        <v>71</v>
      </c>
      <c r="G70" s="9">
        <v>1</v>
      </c>
      <c r="H70" s="34"/>
      <c r="I70" s="55" t="str">
        <f t="shared" si="3"/>
        <v>https://permalinkbnd.bnportugal.gov.pt/viewer/36540/?offset=#page=1&amp;viewer=picture&amp;o=info&amp;n=0&amp;q=</v>
      </c>
      <c r="J70" s="45"/>
      <c r="K70" s="45"/>
      <c r="L70" s="45"/>
      <c r="M70" t="s">
        <v>98</v>
      </c>
      <c r="N70">
        <v>36540</v>
      </c>
      <c r="O70" t="str">
        <f t="shared" si="2"/>
        <v>https://permalinkbnd.bnportugal.gov.pt/viewer/36540/?offset=#page=1&amp;viewer=picture&amp;o=info&amp;n=0&amp;q=</v>
      </c>
      <c r="P70">
        <v>601741</v>
      </c>
      <c r="Q70" t="s">
        <v>98</v>
      </c>
      <c r="R70" t="s">
        <v>1583</v>
      </c>
      <c r="S70" t="s">
        <v>1312</v>
      </c>
      <c r="T70" t="s">
        <v>1362</v>
      </c>
      <c r="U70" t="s">
        <v>599</v>
      </c>
      <c r="V70" t="s">
        <v>1584</v>
      </c>
      <c r="W70" t="s">
        <v>599</v>
      </c>
      <c r="X70" t="s">
        <v>599</v>
      </c>
      <c r="Y70" t="s">
        <v>1182</v>
      </c>
      <c r="Z70" t="s">
        <v>1585</v>
      </c>
      <c r="AA70">
        <v>1860</v>
      </c>
      <c r="AB70">
        <v>1860</v>
      </c>
      <c r="AC70" t="s">
        <v>1454</v>
      </c>
      <c r="AD70" t="s">
        <v>599</v>
      </c>
      <c r="AE70" t="s">
        <v>599</v>
      </c>
      <c r="AF70" t="s">
        <v>599</v>
      </c>
      <c r="AG70" t="s">
        <v>599</v>
      </c>
      <c r="AH70" t="s">
        <v>599</v>
      </c>
      <c r="AI70" t="s">
        <v>599</v>
      </c>
      <c r="AJ70" t="s">
        <v>1586</v>
      </c>
      <c r="AK70" t="s">
        <v>599</v>
      </c>
      <c r="AL70" t="s">
        <v>1587</v>
      </c>
      <c r="AM70" t="s">
        <v>1190</v>
      </c>
      <c r="AN70" t="s">
        <v>599</v>
      </c>
      <c r="AO70" t="s">
        <v>599</v>
      </c>
      <c r="AP70" t="s">
        <v>599</v>
      </c>
      <c r="AQ70" t="s">
        <v>599</v>
      </c>
      <c r="AR70" t="s">
        <v>599</v>
      </c>
      <c r="AS70" t="s">
        <v>599</v>
      </c>
      <c r="AT70" t="s">
        <v>599</v>
      </c>
    </row>
    <row r="71" spans="1:46" s="13" customFormat="1" ht="30" x14ac:dyDescent="0.25">
      <c r="A71" s="9">
        <v>10149</v>
      </c>
      <c r="B71" s="10">
        <v>604127</v>
      </c>
      <c r="C71" s="10">
        <v>1</v>
      </c>
      <c r="D71" s="9">
        <v>1</v>
      </c>
      <c r="E71" s="11" t="s">
        <v>99</v>
      </c>
      <c r="F71" s="12" t="s">
        <v>100</v>
      </c>
      <c r="G71" s="9">
        <v>1</v>
      </c>
      <c r="H71" s="34"/>
      <c r="I71" s="55" t="str">
        <f t="shared" si="3"/>
        <v>https://permalinkbnd.bnportugal.gov.pt/viewer/14040/?offset=#page=1&amp;viewer=picture&amp;o=info&amp;n=0&amp;q=</v>
      </c>
      <c r="J71" s="45"/>
      <c r="K71" s="45"/>
      <c r="L71" s="45"/>
      <c r="M71" t="s">
        <v>99</v>
      </c>
      <c r="N71">
        <v>14040</v>
      </c>
      <c r="O71" t="str">
        <f t="shared" si="2"/>
        <v>https://permalinkbnd.bnportugal.gov.pt/viewer/14040/?offset=#page=1&amp;viewer=picture&amp;o=info&amp;n=0&amp;q=</v>
      </c>
      <c r="P71">
        <v>604127</v>
      </c>
      <c r="Q71" t="s">
        <v>99</v>
      </c>
      <c r="R71" t="s">
        <v>1588</v>
      </c>
      <c r="S71" t="s">
        <v>1589</v>
      </c>
      <c r="T71" t="s">
        <v>1192</v>
      </c>
      <c r="U71" t="s">
        <v>599</v>
      </c>
      <c r="V71" t="s">
        <v>1590</v>
      </c>
      <c r="W71" t="s">
        <v>1591</v>
      </c>
      <c r="X71" t="s">
        <v>599</v>
      </c>
      <c r="Y71" t="s">
        <v>1182</v>
      </c>
      <c r="Z71" t="s">
        <v>1592</v>
      </c>
      <c r="AA71">
        <v>1883</v>
      </c>
      <c r="AB71">
        <v>1883</v>
      </c>
      <c r="AC71" t="s">
        <v>1593</v>
      </c>
      <c r="AD71" t="s">
        <v>1594</v>
      </c>
      <c r="AE71" t="s">
        <v>599</v>
      </c>
      <c r="AF71" t="s">
        <v>599</v>
      </c>
      <c r="AG71" t="s">
        <v>1250</v>
      </c>
      <c r="AH71" t="s">
        <v>599</v>
      </c>
      <c r="AI71" t="s">
        <v>599</v>
      </c>
      <c r="AJ71" t="s">
        <v>1595</v>
      </c>
      <c r="AK71" t="s">
        <v>599</v>
      </c>
      <c r="AL71" t="s">
        <v>1596</v>
      </c>
      <c r="AM71" t="s">
        <v>1190</v>
      </c>
      <c r="AN71" t="s">
        <v>599</v>
      </c>
      <c r="AO71" t="s">
        <v>599</v>
      </c>
      <c r="AP71" t="s">
        <v>1597</v>
      </c>
      <c r="AQ71" t="s">
        <v>599</v>
      </c>
      <c r="AR71" t="s">
        <v>1598</v>
      </c>
      <c r="AS71" t="s">
        <v>599</v>
      </c>
      <c r="AT71" t="s">
        <v>599</v>
      </c>
    </row>
    <row r="72" spans="1:46" s="13" customFormat="1" ht="30" x14ac:dyDescent="0.25">
      <c r="A72" s="9">
        <v>10150</v>
      </c>
      <c r="B72" s="10">
        <v>613457</v>
      </c>
      <c r="C72" s="10">
        <v>1</v>
      </c>
      <c r="D72" s="9">
        <v>1</v>
      </c>
      <c r="E72" s="11" t="s">
        <v>101</v>
      </c>
      <c r="F72" s="12">
        <v>1</v>
      </c>
      <c r="G72" s="9">
        <v>1</v>
      </c>
      <c r="H72" s="34"/>
      <c r="I72" s="55" t="str">
        <f t="shared" si="3"/>
        <v>https://permalinkbnd.bnportugal.gov.pt/viewer/272734/?offset=#page=1&amp;viewer=picture&amp;o=info&amp;n=0&amp;q=</v>
      </c>
      <c r="J72" s="45"/>
      <c r="K72" s="45"/>
      <c r="L72" s="45"/>
      <c r="M72" t="s">
        <v>101</v>
      </c>
      <c r="N72">
        <v>272734</v>
      </c>
      <c r="O72" t="str">
        <f t="shared" si="2"/>
        <v>https://permalinkbnd.bnportugal.gov.pt/viewer/272734/?offset=#page=1&amp;viewer=picture&amp;o=info&amp;n=0&amp;q=</v>
      </c>
      <c r="P72">
        <v>613457</v>
      </c>
      <c r="Q72" t="s">
        <v>101</v>
      </c>
      <c r="R72" t="s">
        <v>1599</v>
      </c>
      <c r="S72" t="s">
        <v>1312</v>
      </c>
      <c r="T72" t="s">
        <v>1192</v>
      </c>
      <c r="U72" t="s">
        <v>599</v>
      </c>
      <c r="V72" t="s">
        <v>1105</v>
      </c>
      <c r="W72" t="s">
        <v>599</v>
      </c>
      <c r="X72" t="s">
        <v>599</v>
      </c>
      <c r="Y72" t="s">
        <v>1182</v>
      </c>
      <c r="Z72" t="s">
        <v>1453</v>
      </c>
      <c r="AA72">
        <v>1968</v>
      </c>
      <c r="AB72">
        <v>1968</v>
      </c>
      <c r="AC72" t="s">
        <v>1315</v>
      </c>
      <c r="AD72" t="s">
        <v>599</v>
      </c>
      <c r="AE72" t="s">
        <v>599</v>
      </c>
      <c r="AF72" t="s">
        <v>599</v>
      </c>
      <c r="AG72" t="s">
        <v>599</v>
      </c>
      <c r="AH72" t="s">
        <v>599</v>
      </c>
      <c r="AI72" t="s">
        <v>599</v>
      </c>
      <c r="AJ72" t="s">
        <v>1600</v>
      </c>
      <c r="AK72" t="s">
        <v>1188</v>
      </c>
      <c r="AL72" t="s">
        <v>1601</v>
      </c>
      <c r="AM72" t="s">
        <v>1190</v>
      </c>
      <c r="AN72" t="s">
        <v>599</v>
      </c>
      <c r="AO72" t="s">
        <v>599</v>
      </c>
      <c r="AP72" t="s">
        <v>599</v>
      </c>
      <c r="AQ72" t="s">
        <v>599</v>
      </c>
      <c r="AR72" t="s">
        <v>599</v>
      </c>
      <c r="AS72" t="s">
        <v>599</v>
      </c>
      <c r="AT72" t="s">
        <v>599</v>
      </c>
    </row>
    <row r="73" spans="1:46" s="13" customFormat="1" ht="30" x14ac:dyDescent="0.25">
      <c r="A73" s="9">
        <v>10151</v>
      </c>
      <c r="B73" s="10">
        <v>614521</v>
      </c>
      <c r="C73" s="10">
        <v>1</v>
      </c>
      <c r="D73" s="9">
        <v>1</v>
      </c>
      <c r="E73" s="11" t="s">
        <v>102</v>
      </c>
      <c r="F73" s="12">
        <v>1</v>
      </c>
      <c r="G73" s="9">
        <v>1</v>
      </c>
      <c r="H73" s="34"/>
      <c r="I73" s="55" t="str">
        <f t="shared" si="3"/>
        <v>https://permalinkbnd.bnportugal.gov.pt/viewer/36741/?offset=#page=1&amp;viewer=picture&amp;o=info&amp;n=0&amp;q=</v>
      </c>
      <c r="J73" s="45"/>
      <c r="K73" s="45"/>
      <c r="L73" s="45"/>
      <c r="M73" t="s">
        <v>102</v>
      </c>
      <c r="N73">
        <v>36741</v>
      </c>
      <c r="O73" t="str">
        <f t="shared" si="2"/>
        <v>https://permalinkbnd.bnportugal.gov.pt/viewer/36741/?offset=#page=1&amp;viewer=picture&amp;o=info&amp;n=0&amp;q=</v>
      </c>
      <c r="P73">
        <v>614521</v>
      </c>
      <c r="Q73" t="s">
        <v>102</v>
      </c>
      <c r="R73" t="s">
        <v>1602</v>
      </c>
      <c r="S73" t="s">
        <v>1312</v>
      </c>
      <c r="T73" t="s">
        <v>1192</v>
      </c>
      <c r="U73" t="s">
        <v>599</v>
      </c>
      <c r="V73" t="s">
        <v>1603</v>
      </c>
      <c r="W73" t="s">
        <v>599</v>
      </c>
      <c r="X73" t="s">
        <v>599</v>
      </c>
      <c r="Y73" t="s">
        <v>1182</v>
      </c>
      <c r="Z73" t="s">
        <v>1221</v>
      </c>
      <c r="AA73">
        <v>1873</v>
      </c>
      <c r="AB73">
        <v>1873</v>
      </c>
      <c r="AC73" t="s">
        <v>1454</v>
      </c>
      <c r="AD73" t="s">
        <v>1604</v>
      </c>
      <c r="AE73" t="s">
        <v>599</v>
      </c>
      <c r="AF73" t="s">
        <v>599</v>
      </c>
      <c r="AG73" t="s">
        <v>599</v>
      </c>
      <c r="AH73" t="s">
        <v>599</v>
      </c>
      <c r="AI73" t="s">
        <v>599</v>
      </c>
      <c r="AJ73" t="s">
        <v>1605</v>
      </c>
      <c r="AK73" t="s">
        <v>599</v>
      </c>
      <c r="AL73" t="s">
        <v>1606</v>
      </c>
      <c r="AM73" t="s">
        <v>1190</v>
      </c>
      <c r="AN73" t="s">
        <v>599</v>
      </c>
      <c r="AO73" t="s">
        <v>599</v>
      </c>
      <c r="AP73" t="s">
        <v>599</v>
      </c>
      <c r="AQ73" t="s">
        <v>599</v>
      </c>
      <c r="AR73" t="s">
        <v>1313</v>
      </c>
      <c r="AS73" t="s">
        <v>599</v>
      </c>
      <c r="AT73" t="s">
        <v>599</v>
      </c>
    </row>
    <row r="74" spans="1:46" s="13" customFormat="1" ht="30" x14ac:dyDescent="0.25">
      <c r="A74" s="9">
        <v>10152</v>
      </c>
      <c r="B74" s="10">
        <v>626460</v>
      </c>
      <c r="C74" s="10">
        <v>1</v>
      </c>
      <c r="D74" s="9">
        <v>1</v>
      </c>
      <c r="E74" s="11" t="s">
        <v>103</v>
      </c>
      <c r="F74" s="12" t="s">
        <v>71</v>
      </c>
      <c r="G74" s="9">
        <v>1</v>
      </c>
      <c r="H74" s="34"/>
      <c r="I74" s="55" t="str">
        <f t="shared" si="3"/>
        <v>https://permalinkbnd.bnportugal.gov.pt/viewer/37180/?offset=#page=1&amp;viewer=picture&amp;o=info&amp;n=0&amp;q=</v>
      </c>
      <c r="J74" s="45"/>
      <c r="K74" s="45"/>
      <c r="L74" s="45"/>
      <c r="M74" t="s">
        <v>103</v>
      </c>
      <c r="N74">
        <v>37180</v>
      </c>
      <c r="O74" t="str">
        <f t="shared" si="2"/>
        <v>https://permalinkbnd.bnportugal.gov.pt/viewer/37180/?offset=#page=1&amp;viewer=picture&amp;o=info&amp;n=0&amp;q=</v>
      </c>
      <c r="P74">
        <v>626460</v>
      </c>
      <c r="Q74" t="s">
        <v>103</v>
      </c>
      <c r="R74" t="s">
        <v>599</v>
      </c>
      <c r="S74" t="s">
        <v>1312</v>
      </c>
      <c r="T74" t="s">
        <v>1362</v>
      </c>
      <c r="U74" t="s">
        <v>599</v>
      </c>
      <c r="V74" t="s">
        <v>1584</v>
      </c>
      <c r="W74" t="s">
        <v>599</v>
      </c>
      <c r="X74" t="s">
        <v>599</v>
      </c>
      <c r="Y74" t="s">
        <v>1182</v>
      </c>
      <c r="Z74" t="s">
        <v>1607</v>
      </c>
      <c r="AA74">
        <v>1846</v>
      </c>
      <c r="AB74">
        <v>1846</v>
      </c>
      <c r="AC74" t="s">
        <v>1454</v>
      </c>
      <c r="AD74" t="s">
        <v>1608</v>
      </c>
      <c r="AE74" t="s">
        <v>599</v>
      </c>
      <c r="AF74" t="s">
        <v>599</v>
      </c>
      <c r="AG74" t="s">
        <v>599</v>
      </c>
      <c r="AH74" t="s">
        <v>599</v>
      </c>
      <c r="AI74" t="s">
        <v>599</v>
      </c>
      <c r="AJ74" t="s">
        <v>1609</v>
      </c>
      <c r="AK74" t="s">
        <v>599</v>
      </c>
      <c r="AL74" t="s">
        <v>1610</v>
      </c>
      <c r="AM74" t="s">
        <v>1190</v>
      </c>
      <c r="AN74" t="s">
        <v>599</v>
      </c>
      <c r="AO74" t="s">
        <v>599</v>
      </c>
      <c r="AP74" t="s">
        <v>599</v>
      </c>
      <c r="AQ74" t="s">
        <v>599</v>
      </c>
      <c r="AR74" t="s">
        <v>599</v>
      </c>
      <c r="AS74" t="s">
        <v>599</v>
      </c>
      <c r="AT74" t="s">
        <v>599</v>
      </c>
    </row>
    <row r="75" spans="1:46" s="13" customFormat="1" ht="30" x14ac:dyDescent="0.25">
      <c r="A75" s="9">
        <v>10153</v>
      </c>
      <c r="B75" s="10">
        <v>626703</v>
      </c>
      <c r="C75" s="10">
        <v>1</v>
      </c>
      <c r="D75" s="9">
        <v>1</v>
      </c>
      <c r="E75" s="11" t="s">
        <v>104</v>
      </c>
      <c r="F75" s="12" t="s">
        <v>71</v>
      </c>
      <c r="G75" s="9">
        <v>1</v>
      </c>
      <c r="H75" s="34"/>
      <c r="I75" s="55" t="str">
        <f t="shared" si="3"/>
        <v>https://permalinkbnd.bnportugal.gov.pt/viewer/37208/?offset=#page=1&amp;viewer=picture&amp;o=info&amp;n=0&amp;q=</v>
      </c>
      <c r="J75" s="45"/>
      <c r="K75" s="45"/>
      <c r="L75" s="45"/>
      <c r="M75" t="s">
        <v>104</v>
      </c>
      <c r="N75">
        <v>37208</v>
      </c>
      <c r="O75" t="str">
        <f t="shared" si="2"/>
        <v>https://permalinkbnd.bnportugal.gov.pt/viewer/37208/?offset=#page=1&amp;viewer=picture&amp;o=info&amp;n=0&amp;q=</v>
      </c>
      <c r="P75">
        <v>626703</v>
      </c>
      <c r="Q75" t="s">
        <v>104</v>
      </c>
      <c r="R75" t="s">
        <v>599</v>
      </c>
      <c r="S75" t="s">
        <v>1312</v>
      </c>
      <c r="T75" t="s">
        <v>1403</v>
      </c>
      <c r="U75" t="s">
        <v>599</v>
      </c>
      <c r="V75" t="s">
        <v>1611</v>
      </c>
      <c r="W75" t="s">
        <v>599</v>
      </c>
      <c r="X75" t="s">
        <v>599</v>
      </c>
      <c r="Y75" t="s">
        <v>1182</v>
      </c>
      <c r="Z75" t="s">
        <v>1453</v>
      </c>
      <c r="AA75">
        <v>1840</v>
      </c>
      <c r="AB75">
        <v>1840</v>
      </c>
      <c r="AC75" t="s">
        <v>1454</v>
      </c>
      <c r="AD75" t="s">
        <v>1612</v>
      </c>
      <c r="AE75" t="s">
        <v>599</v>
      </c>
      <c r="AF75" t="s">
        <v>599</v>
      </c>
      <c r="AG75" t="s">
        <v>1613</v>
      </c>
      <c r="AH75" t="s">
        <v>599</v>
      </c>
      <c r="AI75" t="s">
        <v>599</v>
      </c>
      <c r="AJ75" t="s">
        <v>1614</v>
      </c>
      <c r="AK75" t="s">
        <v>599</v>
      </c>
      <c r="AL75" t="s">
        <v>1615</v>
      </c>
      <c r="AM75" t="s">
        <v>1190</v>
      </c>
      <c r="AN75" t="s">
        <v>599</v>
      </c>
      <c r="AO75" t="s">
        <v>599</v>
      </c>
      <c r="AP75" t="s">
        <v>599</v>
      </c>
      <c r="AQ75" t="s">
        <v>599</v>
      </c>
      <c r="AR75" t="s">
        <v>599</v>
      </c>
      <c r="AS75" t="s">
        <v>599</v>
      </c>
      <c r="AT75" t="s">
        <v>599</v>
      </c>
    </row>
    <row r="76" spans="1:46" s="13" customFormat="1" ht="30" x14ac:dyDescent="0.25">
      <c r="A76" s="9">
        <v>10154</v>
      </c>
      <c r="B76" s="10">
        <v>636335</v>
      </c>
      <c r="C76" s="10">
        <v>1</v>
      </c>
      <c r="D76" s="9">
        <v>1</v>
      </c>
      <c r="E76" s="11" t="s">
        <v>105</v>
      </c>
      <c r="F76" s="12">
        <v>1</v>
      </c>
      <c r="G76" s="9">
        <v>1</v>
      </c>
      <c r="H76" s="34"/>
      <c r="I76" s="55" t="str">
        <f t="shared" si="3"/>
        <v>https://permalinkbnd.bnportugal.gov.pt/viewer/35147/?offset=#page=1&amp;viewer=picture&amp;o=info&amp;n=0&amp;q=</v>
      </c>
      <c r="J76" s="45"/>
      <c r="K76" s="45"/>
      <c r="L76" s="45"/>
      <c r="M76" t="s">
        <v>105</v>
      </c>
      <c r="N76">
        <v>35147</v>
      </c>
      <c r="O76" t="str">
        <f t="shared" si="2"/>
        <v>https://permalinkbnd.bnportugal.gov.pt/viewer/35147/?offset=#page=1&amp;viewer=picture&amp;o=info&amp;n=0&amp;q=</v>
      </c>
      <c r="P76">
        <v>636335</v>
      </c>
      <c r="Q76" t="s">
        <v>105</v>
      </c>
      <c r="R76" t="s">
        <v>599</v>
      </c>
      <c r="S76" t="s">
        <v>1312</v>
      </c>
      <c r="T76" t="s">
        <v>1192</v>
      </c>
      <c r="U76" t="s">
        <v>599</v>
      </c>
      <c r="V76" t="s">
        <v>1616</v>
      </c>
      <c r="W76" t="s">
        <v>599</v>
      </c>
      <c r="X76" t="s">
        <v>599</v>
      </c>
      <c r="Y76" t="s">
        <v>1182</v>
      </c>
      <c r="Z76" t="s">
        <v>1437</v>
      </c>
      <c r="AA76">
        <v>1880</v>
      </c>
      <c r="AB76">
        <v>1880</v>
      </c>
      <c r="AC76" t="s">
        <v>1454</v>
      </c>
      <c r="AD76" t="s">
        <v>599</v>
      </c>
      <c r="AE76" t="s">
        <v>599</v>
      </c>
      <c r="AF76" t="s">
        <v>599</v>
      </c>
      <c r="AG76" t="s">
        <v>599</v>
      </c>
      <c r="AH76" t="s">
        <v>599</v>
      </c>
      <c r="AI76" t="s">
        <v>599</v>
      </c>
      <c r="AJ76" t="s">
        <v>1617</v>
      </c>
      <c r="AK76" t="s">
        <v>599</v>
      </c>
      <c r="AL76" t="s">
        <v>1618</v>
      </c>
      <c r="AM76" t="s">
        <v>1190</v>
      </c>
      <c r="AN76" t="s">
        <v>599</v>
      </c>
      <c r="AO76" t="s">
        <v>599</v>
      </c>
      <c r="AP76" t="s">
        <v>599</v>
      </c>
      <c r="AQ76" t="s">
        <v>599</v>
      </c>
      <c r="AR76" t="s">
        <v>1619</v>
      </c>
      <c r="AS76" t="s">
        <v>599</v>
      </c>
      <c r="AT76" t="s">
        <v>599</v>
      </c>
    </row>
    <row r="77" spans="1:46" s="13" customFormat="1" ht="30" x14ac:dyDescent="0.25">
      <c r="A77" s="9">
        <v>10155</v>
      </c>
      <c r="B77" s="10">
        <v>636337</v>
      </c>
      <c r="C77" s="10">
        <v>1</v>
      </c>
      <c r="D77" s="9">
        <v>1</v>
      </c>
      <c r="E77" s="11" t="s">
        <v>106</v>
      </c>
      <c r="F77" s="12">
        <v>1</v>
      </c>
      <c r="G77" s="9">
        <v>1</v>
      </c>
      <c r="H77" s="34"/>
      <c r="I77" s="55" t="str">
        <f t="shared" si="3"/>
        <v>https://permalinkbnd.bnportugal.gov.pt/viewer/1880/?offset=#page=1&amp;viewer=picture&amp;o=info&amp;n=0&amp;q=</v>
      </c>
      <c r="J77" s="45"/>
      <c r="K77" s="45"/>
      <c r="L77" s="45"/>
      <c r="M77" t="s">
        <v>106</v>
      </c>
      <c r="N77">
        <v>1880</v>
      </c>
      <c r="O77" t="str">
        <f t="shared" si="2"/>
        <v>https://permalinkbnd.bnportugal.gov.pt/viewer/1880/?offset=#page=1&amp;viewer=picture&amp;o=info&amp;n=0&amp;q=</v>
      </c>
      <c r="P77">
        <v>636337</v>
      </c>
      <c r="Q77" t="s">
        <v>106</v>
      </c>
      <c r="R77" t="s">
        <v>1620</v>
      </c>
      <c r="S77" t="s">
        <v>1312</v>
      </c>
      <c r="T77" t="s">
        <v>1192</v>
      </c>
      <c r="U77" t="s">
        <v>599</v>
      </c>
      <c r="V77" t="s">
        <v>1621</v>
      </c>
      <c r="W77" t="s">
        <v>599</v>
      </c>
      <c r="X77" t="s">
        <v>599</v>
      </c>
      <c r="Y77" t="s">
        <v>1182</v>
      </c>
      <c r="Z77" t="s">
        <v>1437</v>
      </c>
      <c r="AA77">
        <v>1880</v>
      </c>
      <c r="AB77">
        <v>1880</v>
      </c>
      <c r="AC77" t="s">
        <v>1454</v>
      </c>
      <c r="AD77" t="s">
        <v>599</v>
      </c>
      <c r="AE77" t="s">
        <v>599</v>
      </c>
      <c r="AF77" t="s">
        <v>599</v>
      </c>
      <c r="AG77" t="s">
        <v>599</v>
      </c>
      <c r="AH77" t="s">
        <v>599</v>
      </c>
      <c r="AI77" t="s">
        <v>599</v>
      </c>
      <c r="AJ77" t="s">
        <v>1622</v>
      </c>
      <c r="AK77" t="s">
        <v>599</v>
      </c>
      <c r="AL77" t="s">
        <v>1623</v>
      </c>
      <c r="AM77" t="s">
        <v>1190</v>
      </c>
      <c r="AN77" t="s">
        <v>599</v>
      </c>
      <c r="AO77" t="s">
        <v>599</v>
      </c>
      <c r="AP77" t="s">
        <v>599</v>
      </c>
      <c r="AQ77" t="s">
        <v>599</v>
      </c>
      <c r="AR77" t="s">
        <v>599</v>
      </c>
      <c r="AS77" t="s">
        <v>599</v>
      </c>
      <c r="AT77" t="s">
        <v>599</v>
      </c>
    </row>
    <row r="78" spans="1:46" s="13" customFormat="1" ht="30" x14ac:dyDescent="0.25">
      <c r="A78" s="9">
        <v>10156</v>
      </c>
      <c r="B78" s="10">
        <v>636371</v>
      </c>
      <c r="C78" s="10">
        <v>1</v>
      </c>
      <c r="D78" s="9">
        <v>1</v>
      </c>
      <c r="E78" s="11" t="s">
        <v>107</v>
      </c>
      <c r="F78" s="12" t="s">
        <v>71</v>
      </c>
      <c r="G78" s="9">
        <v>1</v>
      </c>
      <c r="H78" s="34"/>
      <c r="I78" s="55" t="str">
        <f t="shared" si="3"/>
        <v>https://permalinkbnd.bnportugal.gov.pt/viewer/35133/?offset=#page=1&amp;viewer=picture&amp;o=info&amp;n=0&amp;q=</v>
      </c>
      <c r="J78" s="45"/>
      <c r="K78" s="45"/>
      <c r="L78" s="45"/>
      <c r="M78" t="s">
        <v>107</v>
      </c>
      <c r="N78">
        <v>35133</v>
      </c>
      <c r="O78" t="str">
        <f t="shared" si="2"/>
        <v>https://permalinkbnd.bnportugal.gov.pt/viewer/35133/?offset=#page=1&amp;viewer=picture&amp;o=info&amp;n=0&amp;q=</v>
      </c>
      <c r="P78">
        <v>636371</v>
      </c>
      <c r="Q78" t="s">
        <v>107</v>
      </c>
      <c r="R78" t="s">
        <v>1624</v>
      </c>
      <c r="S78" t="s">
        <v>1312</v>
      </c>
      <c r="T78" t="s">
        <v>1192</v>
      </c>
      <c r="U78" t="s">
        <v>599</v>
      </c>
      <c r="V78" t="s">
        <v>1122</v>
      </c>
      <c r="W78" t="s">
        <v>1625</v>
      </c>
      <c r="X78" t="s">
        <v>599</v>
      </c>
      <c r="Y78" t="s">
        <v>1182</v>
      </c>
      <c r="Z78" t="s">
        <v>1453</v>
      </c>
      <c r="AA78">
        <v>1880</v>
      </c>
      <c r="AB78">
        <v>1880</v>
      </c>
      <c r="AC78" t="s">
        <v>1454</v>
      </c>
      <c r="AD78" t="s">
        <v>1626</v>
      </c>
      <c r="AE78" t="s">
        <v>599</v>
      </c>
      <c r="AF78" t="s">
        <v>599</v>
      </c>
      <c r="AG78" t="s">
        <v>1627</v>
      </c>
      <c r="AH78" t="s">
        <v>599</v>
      </c>
      <c r="AI78" t="s">
        <v>599</v>
      </c>
      <c r="AJ78" t="s">
        <v>1628</v>
      </c>
      <c r="AK78" t="s">
        <v>1629</v>
      </c>
      <c r="AL78" t="s">
        <v>1630</v>
      </c>
      <c r="AM78" t="s">
        <v>1190</v>
      </c>
      <c r="AN78" t="s">
        <v>599</v>
      </c>
      <c r="AO78" t="s">
        <v>599</v>
      </c>
      <c r="AP78" t="s">
        <v>599</v>
      </c>
      <c r="AQ78" t="s">
        <v>599</v>
      </c>
      <c r="AR78" t="s">
        <v>599</v>
      </c>
      <c r="AS78" t="s">
        <v>599</v>
      </c>
      <c r="AT78" t="s">
        <v>599</v>
      </c>
    </row>
    <row r="79" spans="1:46" s="13" customFormat="1" ht="30" x14ac:dyDescent="0.25">
      <c r="A79" s="9">
        <v>10157</v>
      </c>
      <c r="B79" s="10">
        <v>636385</v>
      </c>
      <c r="C79" s="10">
        <v>1</v>
      </c>
      <c r="D79" s="9">
        <v>1</v>
      </c>
      <c r="E79" s="11" t="s">
        <v>108</v>
      </c>
      <c r="F79" s="12">
        <v>1</v>
      </c>
      <c r="G79" s="9">
        <v>1</v>
      </c>
      <c r="H79" s="34"/>
      <c r="I79" s="55" t="str">
        <f t="shared" si="3"/>
        <v>https://permalinkbnd.bnportugal.gov.pt/viewer/35127/?offset=#page=1&amp;viewer=picture&amp;o=info&amp;n=0&amp;q=</v>
      </c>
      <c r="J79" s="45"/>
      <c r="K79" s="45"/>
      <c r="L79" s="45"/>
      <c r="M79" t="s">
        <v>108</v>
      </c>
      <c r="N79">
        <v>35127</v>
      </c>
      <c r="O79" t="str">
        <f t="shared" si="2"/>
        <v>https://permalinkbnd.bnportugal.gov.pt/viewer/35127/?offset=#page=1&amp;viewer=picture&amp;o=info&amp;n=0&amp;q=</v>
      </c>
      <c r="P79">
        <v>636385</v>
      </c>
      <c r="Q79" t="s">
        <v>108</v>
      </c>
      <c r="R79" t="s">
        <v>1631</v>
      </c>
      <c r="S79" t="s">
        <v>1312</v>
      </c>
      <c r="T79" t="s">
        <v>1192</v>
      </c>
      <c r="U79" t="s">
        <v>599</v>
      </c>
      <c r="V79" t="s">
        <v>1632</v>
      </c>
      <c r="W79" t="s">
        <v>599</v>
      </c>
      <c r="X79" t="s">
        <v>599</v>
      </c>
      <c r="Y79" t="s">
        <v>1182</v>
      </c>
      <c r="Z79" t="s">
        <v>1453</v>
      </c>
      <c r="AA79">
        <v>1868</v>
      </c>
      <c r="AB79">
        <v>1868</v>
      </c>
      <c r="AC79" t="s">
        <v>1454</v>
      </c>
      <c r="AD79" t="s">
        <v>1604</v>
      </c>
      <c r="AE79" t="s">
        <v>599</v>
      </c>
      <c r="AF79" t="s">
        <v>599</v>
      </c>
      <c r="AG79" t="s">
        <v>1633</v>
      </c>
      <c r="AH79" t="s">
        <v>599</v>
      </c>
      <c r="AI79" t="s">
        <v>599</v>
      </c>
      <c r="AJ79" t="s">
        <v>1634</v>
      </c>
      <c r="AK79" t="s">
        <v>1188</v>
      </c>
      <c r="AL79" t="s">
        <v>1635</v>
      </c>
      <c r="AM79" t="s">
        <v>1190</v>
      </c>
      <c r="AN79" t="s">
        <v>599</v>
      </c>
      <c r="AO79" t="s">
        <v>599</v>
      </c>
      <c r="AP79" t="s">
        <v>599</v>
      </c>
      <c r="AQ79" t="s">
        <v>599</v>
      </c>
      <c r="AR79" t="s">
        <v>599</v>
      </c>
      <c r="AS79" t="s">
        <v>599</v>
      </c>
      <c r="AT79" t="s">
        <v>599</v>
      </c>
    </row>
    <row r="80" spans="1:46" s="13" customFormat="1" ht="30" x14ac:dyDescent="0.25">
      <c r="A80" s="9">
        <v>10158</v>
      </c>
      <c r="B80" s="10">
        <v>636389</v>
      </c>
      <c r="C80" s="10">
        <v>1</v>
      </c>
      <c r="D80" s="9">
        <v>1</v>
      </c>
      <c r="E80" s="11" t="s">
        <v>109</v>
      </c>
      <c r="F80" s="12" t="s">
        <v>71</v>
      </c>
      <c r="G80" s="9">
        <v>1</v>
      </c>
      <c r="H80" s="34"/>
      <c r="I80" s="55" t="str">
        <f t="shared" si="3"/>
        <v>https://permalinkbnd.bnportugal.gov.pt/viewer/35137/?offset=#page=1&amp;viewer=picture&amp;o=info&amp;n=0&amp;q=</v>
      </c>
      <c r="J80" s="45"/>
      <c r="K80" s="45"/>
      <c r="L80" s="45"/>
      <c r="M80" t="s">
        <v>109</v>
      </c>
      <c r="N80">
        <v>35137</v>
      </c>
      <c r="O80" t="str">
        <f t="shared" si="2"/>
        <v>https://permalinkbnd.bnportugal.gov.pt/viewer/35137/?offset=#page=1&amp;viewer=picture&amp;o=info&amp;n=0&amp;q=</v>
      </c>
      <c r="P80">
        <v>636389</v>
      </c>
      <c r="Q80" t="s">
        <v>109</v>
      </c>
      <c r="R80" t="s">
        <v>1636</v>
      </c>
      <c r="S80" t="s">
        <v>1312</v>
      </c>
      <c r="T80" t="s">
        <v>1192</v>
      </c>
      <c r="U80" t="s">
        <v>599</v>
      </c>
      <c r="V80" t="s">
        <v>1637</v>
      </c>
      <c r="W80" t="s">
        <v>599</v>
      </c>
      <c r="X80" t="s">
        <v>599</v>
      </c>
      <c r="Y80" t="s">
        <v>1182</v>
      </c>
      <c r="Z80" t="s">
        <v>1453</v>
      </c>
      <c r="AA80">
        <v>1880</v>
      </c>
      <c r="AB80">
        <v>1880</v>
      </c>
      <c r="AC80" t="s">
        <v>1454</v>
      </c>
      <c r="AD80" t="s">
        <v>1638</v>
      </c>
      <c r="AE80" t="s">
        <v>599</v>
      </c>
      <c r="AF80" t="s">
        <v>599</v>
      </c>
      <c r="AG80" t="s">
        <v>599</v>
      </c>
      <c r="AH80" t="s">
        <v>599</v>
      </c>
      <c r="AI80" t="s">
        <v>599</v>
      </c>
      <c r="AJ80" t="s">
        <v>1639</v>
      </c>
      <c r="AK80" t="s">
        <v>599</v>
      </c>
      <c r="AL80" t="s">
        <v>1640</v>
      </c>
      <c r="AM80" t="s">
        <v>1190</v>
      </c>
      <c r="AN80" t="s">
        <v>599</v>
      </c>
      <c r="AO80" t="s">
        <v>599</v>
      </c>
      <c r="AP80" t="s">
        <v>599</v>
      </c>
      <c r="AQ80" t="s">
        <v>599</v>
      </c>
      <c r="AR80" t="s">
        <v>599</v>
      </c>
      <c r="AS80" t="s">
        <v>599</v>
      </c>
      <c r="AT80" t="s">
        <v>599</v>
      </c>
    </row>
    <row r="81" spans="1:46" s="13" customFormat="1" ht="30" x14ac:dyDescent="0.25">
      <c r="A81" s="9">
        <v>10159</v>
      </c>
      <c r="B81" s="10">
        <v>637133</v>
      </c>
      <c r="C81" s="10">
        <v>1</v>
      </c>
      <c r="D81" s="9">
        <v>1</v>
      </c>
      <c r="E81" s="11" t="s">
        <v>110</v>
      </c>
      <c r="F81" s="12" t="s">
        <v>71</v>
      </c>
      <c r="G81" s="9">
        <v>1</v>
      </c>
      <c r="H81" s="34"/>
      <c r="I81" s="55" t="str">
        <f t="shared" si="3"/>
        <v>https://permalinkbnd.bnportugal.gov.pt/viewer/37203/?offset=#page=1&amp;viewer=picture&amp;o=info&amp;n=0&amp;q=</v>
      </c>
      <c r="J81" s="45"/>
      <c r="K81" s="45"/>
      <c r="L81" s="45"/>
      <c r="M81" t="s">
        <v>110</v>
      </c>
      <c r="N81">
        <v>37203</v>
      </c>
      <c r="O81" t="str">
        <f t="shared" si="2"/>
        <v>https://permalinkbnd.bnportugal.gov.pt/viewer/37203/?offset=#page=1&amp;viewer=picture&amp;o=info&amp;n=0&amp;q=</v>
      </c>
      <c r="P81">
        <v>637133</v>
      </c>
      <c r="Q81" t="s">
        <v>110</v>
      </c>
      <c r="R81" t="s">
        <v>1641</v>
      </c>
      <c r="S81" t="s">
        <v>1312</v>
      </c>
      <c r="T81" t="s">
        <v>1192</v>
      </c>
      <c r="U81" t="s">
        <v>599</v>
      </c>
      <c r="V81" t="s">
        <v>1642</v>
      </c>
      <c r="W81" t="s">
        <v>599</v>
      </c>
      <c r="X81" t="s">
        <v>599</v>
      </c>
      <c r="Y81" t="s">
        <v>1182</v>
      </c>
      <c r="Z81" t="s">
        <v>1437</v>
      </c>
      <c r="AA81">
        <v>1808</v>
      </c>
      <c r="AB81">
        <v>1808</v>
      </c>
      <c r="AC81" t="s">
        <v>1454</v>
      </c>
      <c r="AD81" t="s">
        <v>1643</v>
      </c>
      <c r="AE81" t="s">
        <v>599</v>
      </c>
      <c r="AF81" t="s">
        <v>599</v>
      </c>
      <c r="AG81" t="s">
        <v>599</v>
      </c>
      <c r="AH81" t="s">
        <v>599</v>
      </c>
      <c r="AI81" t="s">
        <v>599</v>
      </c>
      <c r="AJ81" t="s">
        <v>1644</v>
      </c>
      <c r="AK81" t="s">
        <v>599</v>
      </c>
      <c r="AL81" t="s">
        <v>1645</v>
      </c>
      <c r="AM81" t="s">
        <v>1190</v>
      </c>
      <c r="AN81" t="s">
        <v>599</v>
      </c>
      <c r="AO81" t="s">
        <v>599</v>
      </c>
      <c r="AP81" t="s">
        <v>599</v>
      </c>
      <c r="AQ81" t="s">
        <v>599</v>
      </c>
      <c r="AR81" t="s">
        <v>1646</v>
      </c>
      <c r="AS81" t="s">
        <v>599</v>
      </c>
      <c r="AT81" t="s">
        <v>599</v>
      </c>
    </row>
    <row r="82" spans="1:46" s="13" customFormat="1" ht="30" x14ac:dyDescent="0.25">
      <c r="A82" s="9">
        <v>10160</v>
      </c>
      <c r="B82" s="10">
        <v>637139</v>
      </c>
      <c r="C82" s="10">
        <v>1</v>
      </c>
      <c r="D82" s="9">
        <v>1</v>
      </c>
      <c r="E82" s="11" t="s">
        <v>111</v>
      </c>
      <c r="F82" s="12" t="s">
        <v>71</v>
      </c>
      <c r="G82" s="9">
        <v>1</v>
      </c>
      <c r="H82" s="34"/>
      <c r="I82" s="55" t="str">
        <f t="shared" si="3"/>
        <v>https://permalinkbnd.bnportugal.gov.pt/viewer/37132/?offset=#page=1&amp;viewer=picture&amp;o=info&amp;n=0&amp;q=</v>
      </c>
      <c r="J82" s="45"/>
      <c r="K82" s="45"/>
      <c r="L82" s="45"/>
      <c r="M82" t="s">
        <v>111</v>
      </c>
      <c r="N82">
        <v>37132</v>
      </c>
      <c r="O82" t="str">
        <f t="shared" si="2"/>
        <v>https://permalinkbnd.bnportugal.gov.pt/viewer/37132/?offset=#page=1&amp;viewer=picture&amp;o=info&amp;n=0&amp;q=</v>
      </c>
      <c r="P82">
        <v>637139</v>
      </c>
      <c r="Q82" t="s">
        <v>111</v>
      </c>
      <c r="R82" t="s">
        <v>1647</v>
      </c>
      <c r="S82" t="s">
        <v>1312</v>
      </c>
      <c r="T82" t="s">
        <v>1192</v>
      </c>
      <c r="U82" t="s">
        <v>599</v>
      </c>
      <c r="V82" t="s">
        <v>1648</v>
      </c>
      <c r="W82" t="s">
        <v>1649</v>
      </c>
      <c r="X82" t="s">
        <v>599</v>
      </c>
      <c r="Y82" t="s">
        <v>1182</v>
      </c>
      <c r="Z82" t="s">
        <v>1571</v>
      </c>
      <c r="AA82">
        <v>1880</v>
      </c>
      <c r="AB82">
        <v>1880</v>
      </c>
      <c r="AC82" t="s">
        <v>1454</v>
      </c>
      <c r="AD82" t="s">
        <v>599</v>
      </c>
      <c r="AE82" t="s">
        <v>599</v>
      </c>
      <c r="AF82" t="s">
        <v>599</v>
      </c>
      <c r="AG82" t="s">
        <v>599</v>
      </c>
      <c r="AH82" t="s">
        <v>599</v>
      </c>
      <c r="AI82" t="s">
        <v>1650</v>
      </c>
      <c r="AJ82" t="s">
        <v>1651</v>
      </c>
      <c r="AK82" t="s">
        <v>599</v>
      </c>
      <c r="AL82" t="s">
        <v>1652</v>
      </c>
      <c r="AM82" t="s">
        <v>1190</v>
      </c>
      <c r="AN82" t="s">
        <v>599</v>
      </c>
      <c r="AO82" t="s">
        <v>599</v>
      </c>
      <c r="AP82" t="s">
        <v>599</v>
      </c>
      <c r="AQ82" t="s">
        <v>599</v>
      </c>
      <c r="AR82" t="s">
        <v>1653</v>
      </c>
      <c r="AS82" t="s">
        <v>599</v>
      </c>
      <c r="AT82" t="s">
        <v>599</v>
      </c>
    </row>
    <row r="83" spans="1:46" s="13" customFormat="1" ht="30" x14ac:dyDescent="0.25">
      <c r="A83" s="9">
        <v>10162</v>
      </c>
      <c r="B83" s="10">
        <v>665442</v>
      </c>
      <c r="C83" s="10">
        <v>1</v>
      </c>
      <c r="D83" s="9">
        <v>1</v>
      </c>
      <c r="E83" s="11" t="s">
        <v>112</v>
      </c>
      <c r="F83" s="12">
        <v>1</v>
      </c>
      <c r="G83" s="9">
        <v>1</v>
      </c>
      <c r="H83" s="34"/>
      <c r="I83" s="55" t="str">
        <f t="shared" si="3"/>
        <v>https://permalinkbnd.bnportugal.gov.pt/viewer/34623/?offset=#page=1&amp;viewer=picture&amp;o=info&amp;n=0&amp;q=</v>
      </c>
      <c r="J83" s="45"/>
      <c r="K83" s="45"/>
      <c r="L83" s="45"/>
      <c r="M83" t="s">
        <v>112</v>
      </c>
      <c r="N83">
        <v>34623</v>
      </c>
      <c r="O83" t="str">
        <f t="shared" si="2"/>
        <v>https://permalinkbnd.bnportugal.gov.pt/viewer/34623/?offset=#page=1&amp;viewer=picture&amp;o=info&amp;n=0&amp;q=</v>
      </c>
      <c r="P83">
        <v>665442</v>
      </c>
      <c r="Q83" t="s">
        <v>112</v>
      </c>
      <c r="R83" t="s">
        <v>599</v>
      </c>
      <c r="S83" t="s">
        <v>1312</v>
      </c>
      <c r="T83" t="s">
        <v>599</v>
      </c>
      <c r="U83" t="s">
        <v>599</v>
      </c>
      <c r="V83" t="s">
        <v>1654</v>
      </c>
      <c r="W83" t="s">
        <v>599</v>
      </c>
      <c r="X83" t="s">
        <v>599</v>
      </c>
      <c r="Y83" t="s">
        <v>1182</v>
      </c>
      <c r="Z83" t="s">
        <v>1453</v>
      </c>
      <c r="AA83">
        <v>1880</v>
      </c>
      <c r="AB83">
        <v>1880</v>
      </c>
      <c r="AC83" t="s">
        <v>1454</v>
      </c>
      <c r="AD83" t="s">
        <v>599</v>
      </c>
      <c r="AE83" t="s">
        <v>599</v>
      </c>
      <c r="AF83" t="s">
        <v>599</v>
      </c>
      <c r="AG83" t="s">
        <v>599</v>
      </c>
      <c r="AH83" t="s">
        <v>599</v>
      </c>
      <c r="AI83" t="s">
        <v>599</v>
      </c>
      <c r="AJ83" t="s">
        <v>1655</v>
      </c>
      <c r="AK83" t="s">
        <v>599</v>
      </c>
      <c r="AL83" t="s">
        <v>1656</v>
      </c>
      <c r="AM83" t="s">
        <v>1190</v>
      </c>
      <c r="AN83" t="s">
        <v>599</v>
      </c>
      <c r="AO83" t="s">
        <v>599</v>
      </c>
      <c r="AP83" t="s">
        <v>599</v>
      </c>
      <c r="AQ83" t="s">
        <v>599</v>
      </c>
      <c r="AR83" t="s">
        <v>599</v>
      </c>
      <c r="AS83" t="s">
        <v>599</v>
      </c>
      <c r="AT83" t="s">
        <v>599</v>
      </c>
    </row>
    <row r="84" spans="1:46" s="13" customFormat="1" ht="30" x14ac:dyDescent="0.25">
      <c r="A84" s="9">
        <v>10163</v>
      </c>
      <c r="B84" s="10">
        <v>700486</v>
      </c>
      <c r="C84" s="10">
        <v>1</v>
      </c>
      <c r="D84" s="9">
        <v>1</v>
      </c>
      <c r="E84" s="11" t="s">
        <v>113</v>
      </c>
      <c r="F84" s="12">
        <v>1</v>
      </c>
      <c r="G84" s="9">
        <v>1</v>
      </c>
      <c r="H84" s="34"/>
      <c r="I84" s="55" t="str">
        <f t="shared" si="3"/>
        <v>https://permalinkbnd.bnportugal.gov.pt/viewer/37092/?offset=#page=1&amp;viewer=picture&amp;o=info&amp;n=0&amp;q=</v>
      </c>
      <c r="J84" s="45"/>
      <c r="K84" s="45"/>
      <c r="L84" s="45"/>
      <c r="M84" t="s">
        <v>113</v>
      </c>
      <c r="N84">
        <v>37092</v>
      </c>
      <c r="O84" t="str">
        <f t="shared" si="2"/>
        <v>https://permalinkbnd.bnportugal.gov.pt/viewer/37092/?offset=#page=1&amp;viewer=picture&amp;o=info&amp;n=0&amp;q=</v>
      </c>
      <c r="P84">
        <v>700486</v>
      </c>
      <c r="Q84" t="s">
        <v>113</v>
      </c>
      <c r="R84" t="s">
        <v>1657</v>
      </c>
      <c r="S84" t="s">
        <v>1312</v>
      </c>
      <c r="T84" t="s">
        <v>1192</v>
      </c>
      <c r="U84" t="s">
        <v>599</v>
      </c>
      <c r="V84" t="s">
        <v>1658</v>
      </c>
      <c r="W84" t="s">
        <v>599</v>
      </c>
      <c r="X84" t="s">
        <v>599</v>
      </c>
      <c r="Y84" t="s">
        <v>1182</v>
      </c>
      <c r="Z84" t="s">
        <v>1437</v>
      </c>
      <c r="AA84">
        <v>1893</v>
      </c>
      <c r="AB84">
        <v>1893</v>
      </c>
      <c r="AC84" t="s">
        <v>1454</v>
      </c>
      <c r="AD84" t="s">
        <v>1659</v>
      </c>
      <c r="AE84" t="s">
        <v>599</v>
      </c>
      <c r="AF84" t="s">
        <v>599</v>
      </c>
      <c r="AG84" t="s">
        <v>599</v>
      </c>
      <c r="AH84" t="s">
        <v>599</v>
      </c>
      <c r="AI84" t="s">
        <v>1660</v>
      </c>
      <c r="AJ84" t="s">
        <v>1661</v>
      </c>
      <c r="AK84" t="s">
        <v>599</v>
      </c>
      <c r="AL84" t="s">
        <v>1662</v>
      </c>
      <c r="AM84" t="s">
        <v>1190</v>
      </c>
      <c r="AN84" t="s">
        <v>599</v>
      </c>
      <c r="AO84" t="s">
        <v>599</v>
      </c>
      <c r="AP84" t="s">
        <v>599</v>
      </c>
      <c r="AQ84" t="s">
        <v>599</v>
      </c>
      <c r="AR84" t="s">
        <v>599</v>
      </c>
      <c r="AS84" t="s">
        <v>599</v>
      </c>
      <c r="AT84" t="s">
        <v>599</v>
      </c>
    </row>
    <row r="85" spans="1:46" s="13" customFormat="1" ht="30" x14ac:dyDescent="0.25">
      <c r="A85" s="9">
        <v>10164</v>
      </c>
      <c r="B85" s="10">
        <v>700487</v>
      </c>
      <c r="C85" s="10">
        <v>1</v>
      </c>
      <c r="D85" s="9">
        <v>1</v>
      </c>
      <c r="E85" s="11" t="s">
        <v>114</v>
      </c>
      <c r="F85" s="12">
        <v>1</v>
      </c>
      <c r="G85" s="9">
        <v>1</v>
      </c>
      <c r="H85" s="34"/>
      <c r="I85" s="55" t="str">
        <f t="shared" si="3"/>
        <v>https://permalinkbnd.bnportugal.gov.pt/viewer/37325/?offset=#page=1&amp;viewer=picture&amp;o=info&amp;n=0&amp;q=</v>
      </c>
      <c r="J85" s="45"/>
      <c r="K85" s="45"/>
      <c r="L85" s="45"/>
      <c r="M85" t="s">
        <v>114</v>
      </c>
      <c r="N85">
        <v>37325</v>
      </c>
      <c r="O85" t="str">
        <f t="shared" si="2"/>
        <v>https://permalinkbnd.bnportugal.gov.pt/viewer/37325/?offset=#page=1&amp;viewer=picture&amp;o=info&amp;n=0&amp;q=</v>
      </c>
      <c r="P85">
        <v>700487</v>
      </c>
      <c r="Q85" t="s">
        <v>114</v>
      </c>
      <c r="R85" t="s">
        <v>1663</v>
      </c>
      <c r="S85" t="s">
        <v>1312</v>
      </c>
      <c r="T85" t="s">
        <v>1192</v>
      </c>
      <c r="U85" t="s">
        <v>599</v>
      </c>
      <c r="V85" t="s">
        <v>1664</v>
      </c>
      <c r="W85" t="s">
        <v>599</v>
      </c>
      <c r="X85" t="s">
        <v>599</v>
      </c>
      <c r="Y85" t="s">
        <v>1182</v>
      </c>
      <c r="Z85" t="s">
        <v>1437</v>
      </c>
      <c r="AA85">
        <v>1861</v>
      </c>
      <c r="AB85">
        <v>1861</v>
      </c>
      <c r="AC85" t="s">
        <v>1454</v>
      </c>
      <c r="AD85" t="s">
        <v>1665</v>
      </c>
      <c r="AE85" t="s">
        <v>599</v>
      </c>
      <c r="AF85" t="s">
        <v>599</v>
      </c>
      <c r="AG85" t="s">
        <v>599</v>
      </c>
      <c r="AH85" t="s">
        <v>599</v>
      </c>
      <c r="AI85" t="s">
        <v>599</v>
      </c>
      <c r="AJ85" t="s">
        <v>1666</v>
      </c>
      <c r="AK85" t="s">
        <v>599</v>
      </c>
      <c r="AL85" t="s">
        <v>1667</v>
      </c>
      <c r="AM85" t="s">
        <v>1190</v>
      </c>
      <c r="AN85" t="s">
        <v>599</v>
      </c>
      <c r="AO85" t="s">
        <v>599</v>
      </c>
      <c r="AP85" t="s">
        <v>599</v>
      </c>
      <c r="AQ85" t="s">
        <v>599</v>
      </c>
      <c r="AR85" t="s">
        <v>599</v>
      </c>
      <c r="AS85" t="s">
        <v>599</v>
      </c>
      <c r="AT85" t="s">
        <v>599</v>
      </c>
    </row>
    <row r="86" spans="1:46" s="13" customFormat="1" ht="30" x14ac:dyDescent="0.25">
      <c r="A86" s="9">
        <v>10165</v>
      </c>
      <c r="B86" s="10">
        <v>704429</v>
      </c>
      <c r="C86" s="10">
        <v>1</v>
      </c>
      <c r="D86" s="9">
        <v>1</v>
      </c>
      <c r="E86" s="11" t="s">
        <v>115</v>
      </c>
      <c r="F86" s="12">
        <v>1</v>
      </c>
      <c r="G86" s="9">
        <v>1</v>
      </c>
      <c r="H86" s="34"/>
      <c r="I86" s="55" t="str">
        <f t="shared" si="3"/>
        <v>https://permalinkbnd.bnportugal.gov.pt/viewer/33427/?offset=#page=1&amp;viewer=picture&amp;o=info&amp;n=0&amp;q=</v>
      </c>
      <c r="J86" s="45"/>
      <c r="K86" s="45"/>
      <c r="L86" s="45"/>
      <c r="M86" t="s">
        <v>115</v>
      </c>
      <c r="N86">
        <v>33427</v>
      </c>
      <c r="O86" t="str">
        <f t="shared" si="2"/>
        <v>https://permalinkbnd.bnportugal.gov.pt/viewer/33427/?offset=#page=1&amp;viewer=picture&amp;o=info&amp;n=0&amp;q=</v>
      </c>
      <c r="P86">
        <v>704429</v>
      </c>
      <c r="Q86" t="s">
        <v>115</v>
      </c>
      <c r="R86" t="s">
        <v>1668</v>
      </c>
      <c r="S86" t="s">
        <v>1312</v>
      </c>
      <c r="T86" t="s">
        <v>1192</v>
      </c>
      <c r="U86" t="s">
        <v>599</v>
      </c>
      <c r="V86" t="s">
        <v>1193</v>
      </c>
      <c r="W86" t="s">
        <v>1669</v>
      </c>
      <c r="X86" t="s">
        <v>599</v>
      </c>
      <c r="Y86" t="s">
        <v>1182</v>
      </c>
      <c r="Z86" t="s">
        <v>599</v>
      </c>
      <c r="AA86">
        <v>1900</v>
      </c>
      <c r="AB86">
        <v>1900</v>
      </c>
      <c r="AC86" t="s">
        <v>1670</v>
      </c>
      <c r="AD86" t="s">
        <v>1671</v>
      </c>
      <c r="AE86" t="s">
        <v>599</v>
      </c>
      <c r="AF86" t="s">
        <v>599</v>
      </c>
      <c r="AG86" t="s">
        <v>599</v>
      </c>
      <c r="AH86" t="s">
        <v>599</v>
      </c>
      <c r="AI86" t="s">
        <v>599</v>
      </c>
      <c r="AJ86" t="s">
        <v>1672</v>
      </c>
      <c r="AK86" t="s">
        <v>599</v>
      </c>
      <c r="AL86" t="s">
        <v>1673</v>
      </c>
      <c r="AM86" t="s">
        <v>1190</v>
      </c>
      <c r="AN86" t="s">
        <v>599</v>
      </c>
      <c r="AO86" t="s">
        <v>1674</v>
      </c>
      <c r="AP86" t="s">
        <v>599</v>
      </c>
      <c r="AQ86" t="s">
        <v>599</v>
      </c>
      <c r="AR86" t="s">
        <v>599</v>
      </c>
      <c r="AS86" t="s">
        <v>599</v>
      </c>
      <c r="AT86" t="s">
        <v>599</v>
      </c>
    </row>
    <row r="87" spans="1:46" s="13" customFormat="1" ht="30" x14ac:dyDescent="0.25">
      <c r="A87" s="9">
        <v>10166</v>
      </c>
      <c r="B87" s="10">
        <v>709106</v>
      </c>
      <c r="C87" s="10">
        <v>1</v>
      </c>
      <c r="D87" s="9">
        <v>1</v>
      </c>
      <c r="E87" s="11" t="s">
        <v>116</v>
      </c>
      <c r="F87" s="12">
        <v>1</v>
      </c>
      <c r="G87" s="9">
        <v>1</v>
      </c>
      <c r="H87" s="34"/>
      <c r="I87" s="55" t="str">
        <f t="shared" si="3"/>
        <v>https://permalinkbnd.bnportugal.gov.pt/viewer/36374/?offset=#page=1&amp;viewer=picture&amp;o=info&amp;n=0&amp;q=</v>
      </c>
      <c r="J87" s="45"/>
      <c r="K87" s="45"/>
      <c r="L87" s="45"/>
      <c r="M87" t="s">
        <v>116</v>
      </c>
      <c r="N87">
        <v>36374</v>
      </c>
      <c r="O87" t="str">
        <f t="shared" si="2"/>
        <v>https://permalinkbnd.bnportugal.gov.pt/viewer/36374/?offset=#page=1&amp;viewer=picture&amp;o=info&amp;n=0&amp;q=</v>
      </c>
      <c r="P87">
        <v>709106</v>
      </c>
      <c r="Q87" t="s">
        <v>116</v>
      </c>
      <c r="R87" t="s">
        <v>1675</v>
      </c>
      <c r="S87" t="s">
        <v>1312</v>
      </c>
      <c r="T87" t="s">
        <v>1192</v>
      </c>
      <c r="U87" t="s">
        <v>599</v>
      </c>
      <c r="V87" t="s">
        <v>1603</v>
      </c>
      <c r="W87" t="s">
        <v>599</v>
      </c>
      <c r="X87" t="s">
        <v>599</v>
      </c>
      <c r="Y87" t="s">
        <v>1182</v>
      </c>
      <c r="Z87" t="s">
        <v>1453</v>
      </c>
      <c r="AA87">
        <v>1878</v>
      </c>
      <c r="AB87">
        <v>1878</v>
      </c>
      <c r="AC87" t="s">
        <v>1454</v>
      </c>
      <c r="AD87" t="s">
        <v>1676</v>
      </c>
      <c r="AE87" t="s">
        <v>599</v>
      </c>
      <c r="AF87" t="s">
        <v>599</v>
      </c>
      <c r="AG87" t="s">
        <v>599</v>
      </c>
      <c r="AH87" t="s">
        <v>599</v>
      </c>
      <c r="AI87" t="s">
        <v>599</v>
      </c>
      <c r="AJ87" t="s">
        <v>1677</v>
      </c>
      <c r="AK87" t="s">
        <v>599</v>
      </c>
      <c r="AL87" t="s">
        <v>1678</v>
      </c>
      <c r="AM87" t="s">
        <v>1190</v>
      </c>
      <c r="AN87" t="s">
        <v>599</v>
      </c>
      <c r="AO87" t="s">
        <v>599</v>
      </c>
      <c r="AP87" t="s">
        <v>599</v>
      </c>
      <c r="AQ87" t="s">
        <v>599</v>
      </c>
      <c r="AR87" t="s">
        <v>1313</v>
      </c>
      <c r="AS87" t="s">
        <v>599</v>
      </c>
      <c r="AT87" t="s">
        <v>599</v>
      </c>
    </row>
    <row r="88" spans="1:46" s="13" customFormat="1" ht="30" x14ac:dyDescent="0.25">
      <c r="A88" s="9">
        <v>10167</v>
      </c>
      <c r="B88" s="10">
        <v>709129</v>
      </c>
      <c r="C88" s="10">
        <v>1</v>
      </c>
      <c r="D88" s="9">
        <v>1</v>
      </c>
      <c r="E88" s="11" t="s">
        <v>117</v>
      </c>
      <c r="F88" s="12">
        <v>1</v>
      </c>
      <c r="G88" s="9">
        <v>1</v>
      </c>
      <c r="H88" s="34"/>
      <c r="I88" s="55" t="str">
        <f t="shared" si="3"/>
        <v>https://permalinkbnd.bnportugal.gov.pt/viewer/36554/?offset=#page=1&amp;viewer=picture&amp;o=info&amp;n=0&amp;q=</v>
      </c>
      <c r="J88" s="45"/>
      <c r="K88" s="45"/>
      <c r="L88" s="45"/>
      <c r="M88" t="s">
        <v>117</v>
      </c>
      <c r="N88">
        <v>36554</v>
      </c>
      <c r="O88" t="str">
        <f t="shared" si="2"/>
        <v>https://permalinkbnd.bnportugal.gov.pt/viewer/36554/?offset=#page=1&amp;viewer=picture&amp;o=info&amp;n=0&amp;q=</v>
      </c>
      <c r="P88">
        <v>709129</v>
      </c>
      <c r="Q88" t="s">
        <v>117</v>
      </c>
      <c r="R88" t="s">
        <v>1679</v>
      </c>
      <c r="S88" t="s">
        <v>1312</v>
      </c>
      <c r="T88" t="s">
        <v>1192</v>
      </c>
      <c r="U88" t="s">
        <v>599</v>
      </c>
      <c r="V88" t="s">
        <v>1680</v>
      </c>
      <c r="W88" t="s">
        <v>1681</v>
      </c>
      <c r="X88" t="s">
        <v>599</v>
      </c>
      <c r="Y88" t="s">
        <v>1182</v>
      </c>
      <c r="Z88" t="s">
        <v>1682</v>
      </c>
      <c r="AA88">
        <v>1890</v>
      </c>
      <c r="AB88">
        <v>1890</v>
      </c>
      <c r="AC88" t="s">
        <v>1315</v>
      </c>
      <c r="AD88" t="s">
        <v>599</v>
      </c>
      <c r="AE88" t="s">
        <v>599</v>
      </c>
      <c r="AF88" t="s">
        <v>599</v>
      </c>
      <c r="AG88" t="s">
        <v>1683</v>
      </c>
      <c r="AH88" t="s">
        <v>599</v>
      </c>
      <c r="AI88" t="s">
        <v>599</v>
      </c>
      <c r="AJ88" t="s">
        <v>1684</v>
      </c>
      <c r="AK88" t="s">
        <v>599</v>
      </c>
      <c r="AL88" t="s">
        <v>1685</v>
      </c>
      <c r="AM88" t="s">
        <v>1190</v>
      </c>
      <c r="AN88" t="s">
        <v>1686</v>
      </c>
      <c r="AO88" t="s">
        <v>599</v>
      </c>
      <c r="AP88" t="s">
        <v>599</v>
      </c>
      <c r="AQ88" t="s">
        <v>599</v>
      </c>
      <c r="AR88" t="s">
        <v>599</v>
      </c>
      <c r="AS88" t="s">
        <v>599</v>
      </c>
      <c r="AT88" t="s">
        <v>599</v>
      </c>
    </row>
    <row r="89" spans="1:46" s="13" customFormat="1" ht="30" x14ac:dyDescent="0.25">
      <c r="A89" s="9">
        <v>10169</v>
      </c>
      <c r="B89" s="10">
        <v>729122</v>
      </c>
      <c r="C89" s="10">
        <v>1</v>
      </c>
      <c r="D89" s="9">
        <v>1</v>
      </c>
      <c r="E89" s="11" t="s">
        <v>118</v>
      </c>
      <c r="F89" s="12">
        <v>1</v>
      </c>
      <c r="G89" s="9">
        <v>1</v>
      </c>
      <c r="H89" s="34"/>
      <c r="I89" s="55" t="str">
        <f t="shared" si="3"/>
        <v>https://permalinkbnd.bnportugal.gov.pt/viewer/37663/?offset=#page=1&amp;viewer=picture&amp;o=info&amp;n=0&amp;q=</v>
      </c>
      <c r="J89" s="45"/>
      <c r="K89" s="45"/>
      <c r="L89" s="45"/>
      <c r="M89" t="s">
        <v>118</v>
      </c>
      <c r="N89">
        <v>37663</v>
      </c>
      <c r="O89" t="str">
        <f t="shared" si="2"/>
        <v>https://permalinkbnd.bnportugal.gov.pt/viewer/37663/?offset=#page=1&amp;viewer=picture&amp;o=info&amp;n=0&amp;q=</v>
      </c>
      <c r="P89">
        <v>729122</v>
      </c>
      <c r="Q89" t="s">
        <v>118</v>
      </c>
      <c r="R89" t="s">
        <v>1687</v>
      </c>
      <c r="S89" t="s">
        <v>1312</v>
      </c>
      <c r="T89" t="s">
        <v>1518</v>
      </c>
      <c r="U89" t="s">
        <v>599</v>
      </c>
      <c r="V89" t="s">
        <v>1688</v>
      </c>
      <c r="W89" t="s">
        <v>599</v>
      </c>
      <c r="X89" t="s">
        <v>599</v>
      </c>
      <c r="Y89" t="s">
        <v>1182</v>
      </c>
      <c r="Z89" t="s">
        <v>1689</v>
      </c>
      <c r="AA89">
        <v>1779</v>
      </c>
      <c r="AB89">
        <v>1779</v>
      </c>
      <c r="AC89" t="s">
        <v>1454</v>
      </c>
      <c r="AD89" t="s">
        <v>1690</v>
      </c>
      <c r="AE89" t="s">
        <v>599</v>
      </c>
      <c r="AF89" t="s">
        <v>599</v>
      </c>
      <c r="AG89" t="s">
        <v>599</v>
      </c>
      <c r="AH89" t="s">
        <v>599</v>
      </c>
      <c r="AI89" t="s">
        <v>1691</v>
      </c>
      <c r="AJ89" t="s">
        <v>1692</v>
      </c>
      <c r="AK89" t="s">
        <v>599</v>
      </c>
      <c r="AL89" t="s">
        <v>1693</v>
      </c>
      <c r="AM89" t="s">
        <v>1190</v>
      </c>
      <c r="AN89" t="s">
        <v>599</v>
      </c>
      <c r="AO89" t="s">
        <v>599</v>
      </c>
      <c r="AP89" t="s">
        <v>599</v>
      </c>
      <c r="AQ89" t="s">
        <v>599</v>
      </c>
      <c r="AR89" t="s">
        <v>599</v>
      </c>
      <c r="AS89" t="s">
        <v>599</v>
      </c>
      <c r="AT89" t="s">
        <v>599</v>
      </c>
    </row>
    <row r="90" spans="1:46" s="13" customFormat="1" ht="30" x14ac:dyDescent="0.25">
      <c r="A90" s="9">
        <v>10170</v>
      </c>
      <c r="B90" s="10">
        <v>730341</v>
      </c>
      <c r="C90" s="10">
        <v>1</v>
      </c>
      <c r="D90" s="9">
        <v>1</v>
      </c>
      <c r="E90" s="11" t="s">
        <v>119</v>
      </c>
      <c r="F90" s="12" t="s">
        <v>71</v>
      </c>
      <c r="G90" s="9">
        <v>1</v>
      </c>
      <c r="H90" s="34"/>
      <c r="I90" s="55" t="str">
        <f t="shared" si="3"/>
        <v>https://permalinkbnd.bnportugal.gov.pt/viewer/37195/?offset=#page=1&amp;viewer=picture&amp;o=info&amp;n=0&amp;q=</v>
      </c>
      <c r="J90" s="45"/>
      <c r="K90" s="45"/>
      <c r="L90" s="45"/>
      <c r="M90" t="s">
        <v>119</v>
      </c>
      <c r="N90">
        <v>37195</v>
      </c>
      <c r="O90" t="str">
        <f t="shared" si="2"/>
        <v>https://permalinkbnd.bnportugal.gov.pt/viewer/37195/?offset=#page=1&amp;viewer=picture&amp;o=info&amp;n=0&amp;q=</v>
      </c>
      <c r="P90">
        <v>730341</v>
      </c>
      <c r="Q90" t="s">
        <v>119</v>
      </c>
      <c r="R90" t="s">
        <v>599</v>
      </c>
      <c r="S90" t="s">
        <v>1312</v>
      </c>
      <c r="T90" t="s">
        <v>1362</v>
      </c>
      <c r="U90" t="s">
        <v>599</v>
      </c>
      <c r="V90" t="s">
        <v>1584</v>
      </c>
      <c r="W90" t="s">
        <v>599</v>
      </c>
      <c r="X90" t="s">
        <v>599</v>
      </c>
      <c r="Y90" t="s">
        <v>1182</v>
      </c>
      <c r="Z90" t="s">
        <v>1694</v>
      </c>
      <c r="AA90">
        <v>1841</v>
      </c>
      <c r="AB90">
        <v>1841</v>
      </c>
      <c r="AC90" t="s">
        <v>1454</v>
      </c>
      <c r="AD90" t="s">
        <v>1695</v>
      </c>
      <c r="AE90" t="s">
        <v>599</v>
      </c>
      <c r="AF90" t="s">
        <v>599</v>
      </c>
      <c r="AG90" t="s">
        <v>599</v>
      </c>
      <c r="AH90" t="s">
        <v>599</v>
      </c>
      <c r="AI90" t="s">
        <v>599</v>
      </c>
      <c r="AJ90" t="s">
        <v>1696</v>
      </c>
      <c r="AK90" t="s">
        <v>599</v>
      </c>
      <c r="AL90" t="s">
        <v>1697</v>
      </c>
      <c r="AM90" t="s">
        <v>1190</v>
      </c>
      <c r="AN90" t="s">
        <v>599</v>
      </c>
      <c r="AO90" t="s">
        <v>599</v>
      </c>
      <c r="AP90" t="s">
        <v>599</v>
      </c>
      <c r="AQ90" t="s">
        <v>599</v>
      </c>
      <c r="AR90" t="s">
        <v>599</v>
      </c>
      <c r="AS90" t="s">
        <v>599</v>
      </c>
      <c r="AT90" t="s">
        <v>599</v>
      </c>
    </row>
    <row r="91" spans="1:46" s="13" customFormat="1" ht="30" x14ac:dyDescent="0.25">
      <c r="A91" s="9">
        <v>10171</v>
      </c>
      <c r="B91" s="10">
        <v>733501</v>
      </c>
      <c r="C91" s="10">
        <v>1</v>
      </c>
      <c r="D91" s="9">
        <v>1</v>
      </c>
      <c r="E91" s="11" t="s">
        <v>120</v>
      </c>
      <c r="F91" s="12">
        <v>1</v>
      </c>
      <c r="G91" s="9">
        <v>1</v>
      </c>
      <c r="H91" s="34"/>
      <c r="I91" s="55" t="str">
        <f t="shared" si="3"/>
        <v>https://permalinkbnd.bnportugal.gov.pt/viewer/37674/?offset=#page=1&amp;viewer=picture&amp;o=info&amp;n=0&amp;q=</v>
      </c>
      <c r="J91" s="45"/>
      <c r="K91" s="45"/>
      <c r="L91" s="45"/>
      <c r="M91" t="s">
        <v>120</v>
      </c>
      <c r="N91">
        <v>37674</v>
      </c>
      <c r="O91" t="str">
        <f t="shared" si="2"/>
        <v>https://permalinkbnd.bnportugal.gov.pt/viewer/37674/?offset=#page=1&amp;viewer=picture&amp;o=info&amp;n=0&amp;q=</v>
      </c>
      <c r="P91">
        <v>733501</v>
      </c>
      <c r="Q91" t="s">
        <v>120</v>
      </c>
      <c r="R91" t="s">
        <v>599</v>
      </c>
      <c r="S91" t="s">
        <v>1312</v>
      </c>
      <c r="T91" t="s">
        <v>1502</v>
      </c>
      <c r="U91" t="s">
        <v>599</v>
      </c>
      <c r="V91" t="s">
        <v>1698</v>
      </c>
      <c r="W91" t="s">
        <v>599</v>
      </c>
      <c r="X91" t="s">
        <v>599</v>
      </c>
      <c r="Y91" t="s">
        <v>1182</v>
      </c>
      <c r="Z91" t="s">
        <v>1699</v>
      </c>
      <c r="AA91">
        <v>1820</v>
      </c>
      <c r="AB91">
        <v>1820</v>
      </c>
      <c r="AC91" t="s">
        <v>1454</v>
      </c>
      <c r="AD91" t="s">
        <v>1700</v>
      </c>
      <c r="AE91" t="s">
        <v>599</v>
      </c>
      <c r="AF91" t="s">
        <v>599</v>
      </c>
      <c r="AG91" t="s">
        <v>599</v>
      </c>
      <c r="AH91" t="s">
        <v>599</v>
      </c>
      <c r="AI91" t="s">
        <v>599</v>
      </c>
      <c r="AJ91" t="s">
        <v>1701</v>
      </c>
      <c r="AK91" t="s">
        <v>1702</v>
      </c>
      <c r="AL91" t="s">
        <v>1703</v>
      </c>
      <c r="AM91" t="s">
        <v>1190</v>
      </c>
      <c r="AN91" t="s">
        <v>599</v>
      </c>
      <c r="AO91" t="s">
        <v>599</v>
      </c>
      <c r="AP91" t="s">
        <v>599</v>
      </c>
      <c r="AQ91" t="s">
        <v>599</v>
      </c>
      <c r="AR91" t="s">
        <v>599</v>
      </c>
      <c r="AS91" t="s">
        <v>599</v>
      </c>
      <c r="AT91" t="s">
        <v>599</v>
      </c>
    </row>
    <row r="92" spans="1:46" s="13" customFormat="1" ht="30" x14ac:dyDescent="0.25">
      <c r="A92" s="9">
        <v>10172</v>
      </c>
      <c r="B92" s="10">
        <v>742171</v>
      </c>
      <c r="C92" s="10">
        <v>1</v>
      </c>
      <c r="D92" s="9">
        <v>10</v>
      </c>
      <c r="E92" s="11" t="s">
        <v>121</v>
      </c>
      <c r="F92" s="12" t="s">
        <v>122</v>
      </c>
      <c r="G92" s="9" t="s">
        <v>123</v>
      </c>
      <c r="H92" s="34"/>
      <c r="I92" s="55" t="str">
        <f t="shared" si="3"/>
        <v>https://permalinkbnd.bnportugal.gov.pt/viewer/274166/?offset=#page=10&amp;viewer=picture&amp;o=info&amp;n=0&amp;q=</v>
      </c>
      <c r="J92" s="45"/>
      <c r="K92" s="45"/>
      <c r="L92" s="45"/>
      <c r="M92" t="s">
        <v>121</v>
      </c>
      <c r="N92">
        <v>274166</v>
      </c>
      <c r="O92" t="str">
        <f t="shared" si="2"/>
        <v>https://permalinkbnd.bnportugal.gov.pt/viewer/274166/?offset=#page=10&amp;viewer=picture&amp;o=info&amp;n=0&amp;q=</v>
      </c>
      <c r="P92">
        <v>742171</v>
      </c>
      <c r="Q92" t="s">
        <v>121</v>
      </c>
      <c r="R92" t="s">
        <v>1704</v>
      </c>
      <c r="S92" t="s">
        <v>1178</v>
      </c>
      <c r="T92" t="s">
        <v>1362</v>
      </c>
      <c r="U92" t="s">
        <v>599</v>
      </c>
      <c r="V92" t="s">
        <v>1345</v>
      </c>
      <c r="W92" t="s">
        <v>599</v>
      </c>
      <c r="X92" t="s">
        <v>599</v>
      </c>
      <c r="Y92" t="s">
        <v>1182</v>
      </c>
      <c r="Z92" t="s">
        <v>1705</v>
      </c>
      <c r="AA92">
        <v>1889</v>
      </c>
      <c r="AB92">
        <v>1889</v>
      </c>
      <c r="AC92" t="s">
        <v>1706</v>
      </c>
      <c r="AD92" t="s">
        <v>1185</v>
      </c>
      <c r="AE92" t="s">
        <v>599</v>
      </c>
      <c r="AF92" t="s">
        <v>599</v>
      </c>
      <c r="AG92" t="s">
        <v>1707</v>
      </c>
      <c r="AH92" t="s">
        <v>599</v>
      </c>
      <c r="AI92" t="s">
        <v>599</v>
      </c>
      <c r="AJ92" t="s">
        <v>1708</v>
      </c>
      <c r="AK92" t="s">
        <v>1188</v>
      </c>
      <c r="AL92" t="s">
        <v>1709</v>
      </c>
      <c r="AM92" t="s">
        <v>1190</v>
      </c>
      <c r="AN92" t="s">
        <v>599</v>
      </c>
      <c r="AO92" t="s">
        <v>599</v>
      </c>
      <c r="AP92" t="s">
        <v>599</v>
      </c>
      <c r="AQ92" t="s">
        <v>599</v>
      </c>
      <c r="AR92" t="s">
        <v>599</v>
      </c>
      <c r="AS92" t="s">
        <v>599</v>
      </c>
      <c r="AT92" t="s">
        <v>599</v>
      </c>
    </row>
    <row r="93" spans="1:46" s="13" customFormat="1" ht="30" x14ac:dyDescent="0.25">
      <c r="A93" s="9">
        <v>10173</v>
      </c>
      <c r="B93" s="10">
        <v>742171</v>
      </c>
      <c r="C93" s="10">
        <v>1</v>
      </c>
      <c r="D93" s="9">
        <v>18</v>
      </c>
      <c r="E93" s="11" t="s">
        <v>121</v>
      </c>
      <c r="F93" s="12" t="s">
        <v>122</v>
      </c>
      <c r="G93" s="9" t="s">
        <v>123</v>
      </c>
      <c r="H93" s="34"/>
      <c r="I93" s="55" t="str">
        <f t="shared" si="3"/>
        <v>https://permalinkbnd.bnportugal.gov.pt/viewer/274166/?offset=#page=18&amp;viewer=picture&amp;o=info&amp;n=0&amp;q=</v>
      </c>
      <c r="J93" s="45"/>
      <c r="K93" s="45"/>
      <c r="L93" s="45"/>
      <c r="M93" t="s">
        <v>121</v>
      </c>
      <c r="N93">
        <v>274166</v>
      </c>
      <c r="O93" t="str">
        <f t="shared" si="2"/>
        <v>https://permalinkbnd.bnportugal.gov.pt/viewer/274166/?offset=#page=18&amp;viewer=picture&amp;o=info&amp;n=0&amp;q=</v>
      </c>
      <c r="P93">
        <v>742171</v>
      </c>
      <c r="Q93" t="s">
        <v>121</v>
      </c>
      <c r="R93" t="s">
        <v>1704</v>
      </c>
      <c r="S93" t="s">
        <v>1178</v>
      </c>
      <c r="T93" t="s">
        <v>1362</v>
      </c>
      <c r="U93" t="s">
        <v>599</v>
      </c>
      <c r="V93" t="s">
        <v>1345</v>
      </c>
      <c r="W93" t="s">
        <v>599</v>
      </c>
      <c r="X93" t="s">
        <v>599</v>
      </c>
      <c r="Y93" t="s">
        <v>1182</v>
      </c>
      <c r="Z93" t="s">
        <v>1705</v>
      </c>
      <c r="AA93">
        <v>1889</v>
      </c>
      <c r="AB93">
        <v>1889</v>
      </c>
      <c r="AC93" t="s">
        <v>1706</v>
      </c>
      <c r="AD93" t="s">
        <v>1185</v>
      </c>
      <c r="AE93" t="s">
        <v>599</v>
      </c>
      <c r="AF93" t="s">
        <v>599</v>
      </c>
      <c r="AG93" t="s">
        <v>1707</v>
      </c>
      <c r="AH93" t="s">
        <v>599</v>
      </c>
      <c r="AI93" t="s">
        <v>599</v>
      </c>
      <c r="AJ93" t="s">
        <v>1708</v>
      </c>
      <c r="AK93" t="s">
        <v>1188</v>
      </c>
      <c r="AL93" t="s">
        <v>1709</v>
      </c>
      <c r="AM93" t="s">
        <v>1190</v>
      </c>
      <c r="AN93" t="s">
        <v>599</v>
      </c>
      <c r="AO93" t="s">
        <v>599</v>
      </c>
      <c r="AP93" t="s">
        <v>599</v>
      </c>
      <c r="AQ93" t="s">
        <v>599</v>
      </c>
      <c r="AR93" t="s">
        <v>599</v>
      </c>
      <c r="AS93" t="s">
        <v>599</v>
      </c>
      <c r="AT93" t="s">
        <v>599</v>
      </c>
    </row>
    <row r="94" spans="1:46" s="13" customFormat="1" ht="30" x14ac:dyDescent="0.25">
      <c r="A94" s="9">
        <v>10175</v>
      </c>
      <c r="B94" s="10">
        <v>764770</v>
      </c>
      <c r="C94" s="10">
        <v>1</v>
      </c>
      <c r="D94" s="9">
        <v>7</v>
      </c>
      <c r="E94" s="11" t="s">
        <v>124</v>
      </c>
      <c r="F94" s="12" t="s">
        <v>125</v>
      </c>
      <c r="G94" s="9">
        <v>7</v>
      </c>
      <c r="H94" s="34"/>
      <c r="I94" s="55" t="str">
        <f t="shared" si="3"/>
        <v>https://permalinkbnd.bnportugal.gov.pt/viewer/270042/?offset=#page=7&amp;viewer=picture&amp;o=info&amp;n=0&amp;q=</v>
      </c>
      <c r="J94" s="45"/>
      <c r="K94" s="45"/>
      <c r="L94" s="45"/>
      <c r="M94" t="s">
        <v>124</v>
      </c>
      <c r="N94">
        <v>270042</v>
      </c>
      <c r="O94" t="str">
        <f t="shared" si="2"/>
        <v>https://permalinkbnd.bnportugal.gov.pt/viewer/270042/?offset=#page=7&amp;viewer=picture&amp;o=info&amp;n=0&amp;q=</v>
      </c>
      <c r="P94">
        <v>764770</v>
      </c>
      <c r="Q94" t="s">
        <v>124</v>
      </c>
      <c r="R94" t="s">
        <v>1710</v>
      </c>
      <c r="S94" t="s">
        <v>1178</v>
      </c>
      <c r="T94" t="s">
        <v>1192</v>
      </c>
      <c r="U94" t="s">
        <v>599</v>
      </c>
      <c r="V94" t="s">
        <v>1551</v>
      </c>
      <c r="W94" t="s">
        <v>599</v>
      </c>
      <c r="X94" t="s">
        <v>599</v>
      </c>
      <c r="Y94" t="s">
        <v>1182</v>
      </c>
      <c r="Z94" t="s">
        <v>1711</v>
      </c>
      <c r="AA94">
        <v>1609</v>
      </c>
      <c r="AB94">
        <v>1609</v>
      </c>
      <c r="AC94" t="s">
        <v>1712</v>
      </c>
      <c r="AD94" t="s">
        <v>1185</v>
      </c>
      <c r="AE94" t="s">
        <v>599</v>
      </c>
      <c r="AF94" t="s">
        <v>599</v>
      </c>
      <c r="AG94" t="s">
        <v>1713</v>
      </c>
      <c r="AH94" t="s">
        <v>599</v>
      </c>
      <c r="AI94" t="s">
        <v>599</v>
      </c>
      <c r="AJ94" t="s">
        <v>1714</v>
      </c>
      <c r="AK94" t="s">
        <v>1188</v>
      </c>
      <c r="AL94" t="s">
        <v>1715</v>
      </c>
      <c r="AM94" t="s">
        <v>1190</v>
      </c>
      <c r="AN94" t="s">
        <v>599</v>
      </c>
      <c r="AO94" t="s">
        <v>599</v>
      </c>
      <c r="AP94" t="s">
        <v>599</v>
      </c>
      <c r="AQ94" t="s">
        <v>599</v>
      </c>
      <c r="AR94" t="s">
        <v>599</v>
      </c>
      <c r="AS94" t="s">
        <v>599</v>
      </c>
      <c r="AT94" t="s">
        <v>599</v>
      </c>
    </row>
    <row r="95" spans="1:46" s="13" customFormat="1" ht="30" x14ac:dyDescent="0.25">
      <c r="A95" s="9">
        <v>10179</v>
      </c>
      <c r="B95" s="10">
        <v>767226</v>
      </c>
      <c r="C95" s="10">
        <v>1</v>
      </c>
      <c r="D95" s="9">
        <v>4</v>
      </c>
      <c r="E95" s="11" t="s">
        <v>126</v>
      </c>
      <c r="F95" s="12">
        <v>4</v>
      </c>
      <c r="G95" s="9">
        <v>4</v>
      </c>
      <c r="H95" s="34"/>
      <c r="I95" s="55" t="str">
        <f t="shared" si="3"/>
        <v>https://permalinkbnd.bnportugal.gov.pt/viewer/273943/?offset=#page=4&amp;viewer=picture&amp;o=info&amp;n=0&amp;q=</v>
      </c>
      <c r="J95" s="45"/>
      <c r="K95" s="45"/>
      <c r="L95" s="45"/>
      <c r="M95" t="s">
        <v>126</v>
      </c>
      <c r="N95">
        <v>273943</v>
      </c>
      <c r="O95" t="str">
        <f t="shared" si="2"/>
        <v>https://permalinkbnd.bnportugal.gov.pt/viewer/273943/?offset=#page=4&amp;viewer=picture&amp;o=info&amp;n=0&amp;q=</v>
      </c>
      <c r="P95">
        <v>767226</v>
      </c>
      <c r="Q95" t="s">
        <v>126</v>
      </c>
      <c r="R95" t="s">
        <v>599</v>
      </c>
      <c r="S95" t="s">
        <v>1178</v>
      </c>
      <c r="T95" t="s">
        <v>1192</v>
      </c>
      <c r="U95" t="s">
        <v>599</v>
      </c>
      <c r="V95" t="s">
        <v>1551</v>
      </c>
      <c r="W95" t="s">
        <v>1716</v>
      </c>
      <c r="X95" t="s">
        <v>599</v>
      </c>
      <c r="Y95" t="s">
        <v>1717</v>
      </c>
      <c r="Z95" t="s">
        <v>1718</v>
      </c>
      <c r="AA95">
        <v>1875</v>
      </c>
      <c r="AB95">
        <v>1875</v>
      </c>
      <c r="AC95" t="s">
        <v>1719</v>
      </c>
      <c r="AD95" t="s">
        <v>1185</v>
      </c>
      <c r="AE95" t="s">
        <v>599</v>
      </c>
      <c r="AF95" t="s">
        <v>599</v>
      </c>
      <c r="AG95" t="s">
        <v>599</v>
      </c>
      <c r="AH95" t="s">
        <v>599</v>
      </c>
      <c r="AI95" t="s">
        <v>599</v>
      </c>
      <c r="AJ95" t="s">
        <v>1720</v>
      </c>
      <c r="AK95" t="s">
        <v>1188</v>
      </c>
      <c r="AL95" t="s">
        <v>1721</v>
      </c>
      <c r="AM95" t="s">
        <v>1190</v>
      </c>
      <c r="AN95" t="s">
        <v>599</v>
      </c>
      <c r="AO95" t="s">
        <v>599</v>
      </c>
      <c r="AP95" t="s">
        <v>599</v>
      </c>
      <c r="AQ95" t="s">
        <v>599</v>
      </c>
      <c r="AR95" t="s">
        <v>599</v>
      </c>
      <c r="AS95" t="s">
        <v>599</v>
      </c>
      <c r="AT95" t="s">
        <v>599</v>
      </c>
    </row>
    <row r="96" spans="1:46" s="13" customFormat="1" ht="30" x14ac:dyDescent="0.25">
      <c r="A96" s="9">
        <v>10181</v>
      </c>
      <c r="B96" s="10">
        <v>767525</v>
      </c>
      <c r="C96" s="10">
        <v>1</v>
      </c>
      <c r="D96" s="9">
        <v>3</v>
      </c>
      <c r="E96" s="11" t="s">
        <v>127</v>
      </c>
      <c r="F96" s="12">
        <v>3</v>
      </c>
      <c r="G96" s="9">
        <v>3</v>
      </c>
      <c r="H96" s="34"/>
      <c r="I96" s="55" t="str">
        <f t="shared" si="3"/>
        <v>https://permalinkbnd.bnportugal.gov.pt/viewer/273427/?offset=#page=3&amp;viewer=picture&amp;o=info&amp;n=0&amp;q=</v>
      </c>
      <c r="J96" s="45"/>
      <c r="K96" s="45"/>
      <c r="L96" s="45"/>
      <c r="M96" t="s">
        <v>127</v>
      </c>
      <c r="N96">
        <v>273427</v>
      </c>
      <c r="O96" t="str">
        <f t="shared" si="2"/>
        <v>https://permalinkbnd.bnportugal.gov.pt/viewer/273427/?offset=#page=3&amp;viewer=picture&amp;o=info&amp;n=0&amp;q=</v>
      </c>
      <c r="P96">
        <v>767525</v>
      </c>
      <c r="Q96" t="s">
        <v>127</v>
      </c>
      <c r="R96" t="s">
        <v>1722</v>
      </c>
      <c r="S96" t="s">
        <v>1178</v>
      </c>
      <c r="T96" t="s">
        <v>1192</v>
      </c>
      <c r="U96" t="s">
        <v>599</v>
      </c>
      <c r="V96" t="s">
        <v>1723</v>
      </c>
      <c r="W96" t="s">
        <v>1724</v>
      </c>
      <c r="X96" t="s">
        <v>599</v>
      </c>
      <c r="Y96" t="s">
        <v>1182</v>
      </c>
      <c r="Z96" t="s">
        <v>1725</v>
      </c>
      <c r="AA96">
        <v>1881</v>
      </c>
      <c r="AB96">
        <v>1881</v>
      </c>
      <c r="AC96" t="s">
        <v>1726</v>
      </c>
      <c r="AD96" t="s">
        <v>599</v>
      </c>
      <c r="AE96" t="s">
        <v>1727</v>
      </c>
      <c r="AF96" t="s">
        <v>599</v>
      </c>
      <c r="AG96" t="s">
        <v>1432</v>
      </c>
      <c r="AH96" t="s">
        <v>599</v>
      </c>
      <c r="AI96" t="s">
        <v>599</v>
      </c>
      <c r="AJ96" t="s">
        <v>1728</v>
      </c>
      <c r="AK96" t="s">
        <v>1188</v>
      </c>
      <c r="AL96" t="s">
        <v>1729</v>
      </c>
      <c r="AM96" t="s">
        <v>1190</v>
      </c>
      <c r="AN96" t="s">
        <v>599</v>
      </c>
      <c r="AO96" t="s">
        <v>599</v>
      </c>
      <c r="AP96" t="s">
        <v>599</v>
      </c>
      <c r="AQ96" t="s">
        <v>599</v>
      </c>
      <c r="AR96" t="s">
        <v>599</v>
      </c>
      <c r="AS96" t="s">
        <v>599</v>
      </c>
      <c r="AT96" t="s">
        <v>599</v>
      </c>
    </row>
    <row r="97" spans="1:46" s="13" customFormat="1" ht="30" x14ac:dyDescent="0.25">
      <c r="A97" s="9">
        <v>10187</v>
      </c>
      <c r="B97" s="10">
        <v>782745</v>
      </c>
      <c r="C97" s="10">
        <v>1</v>
      </c>
      <c r="D97" s="9">
        <v>6</v>
      </c>
      <c r="E97" s="11" t="s">
        <v>128</v>
      </c>
      <c r="F97" s="12" t="s">
        <v>129</v>
      </c>
      <c r="G97" s="9">
        <v>6</v>
      </c>
      <c r="H97" s="34"/>
      <c r="I97" s="55" t="str">
        <f t="shared" si="3"/>
        <v>https://permalinkbnd.bnportugal.gov.pt/viewer/272372/?offset=#page=6&amp;viewer=picture&amp;o=info&amp;n=0&amp;q=</v>
      </c>
      <c r="J97" s="45"/>
      <c r="K97" s="45"/>
      <c r="L97" s="45"/>
      <c r="M97" t="s">
        <v>128</v>
      </c>
      <c r="N97">
        <v>272372</v>
      </c>
      <c r="O97" t="str">
        <f t="shared" si="2"/>
        <v>https://permalinkbnd.bnportugal.gov.pt/viewer/272372/?offset=#page=6&amp;viewer=picture&amp;o=info&amp;n=0&amp;q=</v>
      </c>
      <c r="P97">
        <v>782745</v>
      </c>
      <c r="Q97" t="s">
        <v>128</v>
      </c>
      <c r="R97" t="s">
        <v>1730</v>
      </c>
      <c r="S97" t="s">
        <v>1178</v>
      </c>
      <c r="T97" t="s">
        <v>1192</v>
      </c>
      <c r="U97" t="s">
        <v>599</v>
      </c>
      <c r="V97" t="s">
        <v>1551</v>
      </c>
      <c r="W97" t="s">
        <v>1330</v>
      </c>
      <c r="X97" t="s">
        <v>599</v>
      </c>
      <c r="Y97" t="s">
        <v>1731</v>
      </c>
      <c r="Z97" t="s">
        <v>1732</v>
      </c>
      <c r="AA97">
        <v>1889</v>
      </c>
      <c r="AB97">
        <v>1889</v>
      </c>
      <c r="AC97" t="s">
        <v>1733</v>
      </c>
      <c r="AD97" t="s">
        <v>1185</v>
      </c>
      <c r="AE97" t="s">
        <v>599</v>
      </c>
      <c r="AF97" t="s">
        <v>599</v>
      </c>
      <c r="AG97" t="s">
        <v>599</v>
      </c>
      <c r="AH97" t="s">
        <v>599</v>
      </c>
      <c r="AI97" t="s">
        <v>599</v>
      </c>
      <c r="AJ97" t="s">
        <v>1734</v>
      </c>
      <c r="AK97" t="s">
        <v>1188</v>
      </c>
      <c r="AL97" t="s">
        <v>1735</v>
      </c>
      <c r="AM97" t="s">
        <v>1190</v>
      </c>
      <c r="AN97" t="s">
        <v>599</v>
      </c>
      <c r="AO97" t="s">
        <v>599</v>
      </c>
      <c r="AP97" t="s">
        <v>599</v>
      </c>
      <c r="AQ97" t="s">
        <v>599</v>
      </c>
      <c r="AR97" t="s">
        <v>599</v>
      </c>
      <c r="AS97" t="s">
        <v>599</v>
      </c>
      <c r="AT97" t="s">
        <v>599</v>
      </c>
    </row>
    <row r="98" spans="1:46" s="13" customFormat="1" ht="30" x14ac:dyDescent="0.25">
      <c r="A98" s="9">
        <v>10191</v>
      </c>
      <c r="B98" s="10">
        <v>784907</v>
      </c>
      <c r="C98" s="10">
        <v>1</v>
      </c>
      <c r="D98" s="9">
        <v>21</v>
      </c>
      <c r="E98" s="11" t="s">
        <v>130</v>
      </c>
      <c r="F98" s="12" t="s">
        <v>131</v>
      </c>
      <c r="G98" s="9" t="s">
        <v>132</v>
      </c>
      <c r="H98" s="34"/>
      <c r="I98" s="55" t="str">
        <f t="shared" si="3"/>
        <v>https://permalinkbnd.bnportugal.gov.pt/viewer/272381/?offset=#page=21&amp;viewer=picture&amp;o=info&amp;n=0&amp;q=</v>
      </c>
      <c r="J98" s="45"/>
      <c r="K98" s="45"/>
      <c r="L98" s="45"/>
      <c r="M98" t="s">
        <v>130</v>
      </c>
      <c r="N98">
        <v>272381</v>
      </c>
      <c r="O98" t="str">
        <f t="shared" si="2"/>
        <v>https://permalinkbnd.bnportugal.gov.pt/viewer/272381/?offset=#page=21&amp;viewer=picture&amp;o=info&amp;n=0&amp;q=</v>
      </c>
      <c r="P98">
        <v>784907</v>
      </c>
      <c r="Q98" t="s">
        <v>130</v>
      </c>
      <c r="R98" t="s">
        <v>1736</v>
      </c>
      <c r="S98" t="s">
        <v>1178</v>
      </c>
      <c r="T98" t="s">
        <v>1192</v>
      </c>
      <c r="U98" t="s">
        <v>599</v>
      </c>
      <c r="V98" t="s">
        <v>1737</v>
      </c>
      <c r="W98" t="s">
        <v>599</v>
      </c>
      <c r="X98" t="s">
        <v>599</v>
      </c>
      <c r="Y98" t="s">
        <v>1182</v>
      </c>
      <c r="Z98" t="s">
        <v>1738</v>
      </c>
      <c r="AA98">
        <v>1836</v>
      </c>
      <c r="AB98">
        <v>1836</v>
      </c>
      <c r="AC98" t="s">
        <v>599</v>
      </c>
      <c r="AD98" t="s">
        <v>1185</v>
      </c>
      <c r="AE98" t="s">
        <v>599</v>
      </c>
      <c r="AF98" t="s">
        <v>599</v>
      </c>
      <c r="AG98" t="s">
        <v>599</v>
      </c>
      <c r="AH98" t="s">
        <v>599</v>
      </c>
      <c r="AI98" t="s">
        <v>599</v>
      </c>
      <c r="AJ98" t="s">
        <v>1739</v>
      </c>
      <c r="AK98" t="s">
        <v>1188</v>
      </c>
      <c r="AL98" t="s">
        <v>1740</v>
      </c>
      <c r="AM98" t="s">
        <v>1190</v>
      </c>
      <c r="AN98" t="s">
        <v>599</v>
      </c>
      <c r="AO98" t="s">
        <v>599</v>
      </c>
      <c r="AP98" t="s">
        <v>599</v>
      </c>
      <c r="AQ98" t="s">
        <v>599</v>
      </c>
      <c r="AR98" t="s">
        <v>599</v>
      </c>
      <c r="AS98" t="s">
        <v>599</v>
      </c>
      <c r="AT98" t="s">
        <v>599</v>
      </c>
    </row>
    <row r="99" spans="1:46" s="13" customFormat="1" ht="30" x14ac:dyDescent="0.25">
      <c r="A99" s="9">
        <v>10192</v>
      </c>
      <c r="B99" s="10">
        <v>784907</v>
      </c>
      <c r="C99" s="10">
        <v>1</v>
      </c>
      <c r="D99" s="9">
        <v>24</v>
      </c>
      <c r="E99" s="11" t="s">
        <v>130</v>
      </c>
      <c r="F99" s="12" t="s">
        <v>131</v>
      </c>
      <c r="G99" s="9" t="s">
        <v>132</v>
      </c>
      <c r="H99" s="34"/>
      <c r="I99" s="55" t="str">
        <f t="shared" si="3"/>
        <v>https://permalinkbnd.bnportugal.gov.pt/viewer/272381/?offset=#page=24&amp;viewer=picture&amp;o=info&amp;n=0&amp;q=</v>
      </c>
      <c r="J99" s="45"/>
      <c r="K99" s="45"/>
      <c r="L99" s="45"/>
      <c r="M99" t="s">
        <v>130</v>
      </c>
      <c r="N99">
        <v>272381</v>
      </c>
      <c r="O99" t="str">
        <f t="shared" si="2"/>
        <v>https://permalinkbnd.bnportugal.gov.pt/viewer/272381/?offset=#page=24&amp;viewer=picture&amp;o=info&amp;n=0&amp;q=</v>
      </c>
      <c r="P99">
        <v>784907</v>
      </c>
      <c r="Q99" t="s">
        <v>130</v>
      </c>
      <c r="R99" t="s">
        <v>1736</v>
      </c>
      <c r="S99" t="s">
        <v>1178</v>
      </c>
      <c r="T99" t="s">
        <v>1192</v>
      </c>
      <c r="U99" t="s">
        <v>599</v>
      </c>
      <c r="V99" t="s">
        <v>1737</v>
      </c>
      <c r="W99" t="s">
        <v>599</v>
      </c>
      <c r="X99" t="s">
        <v>599</v>
      </c>
      <c r="Y99" t="s">
        <v>1182</v>
      </c>
      <c r="Z99" t="s">
        <v>1738</v>
      </c>
      <c r="AA99">
        <v>1836</v>
      </c>
      <c r="AB99">
        <v>1836</v>
      </c>
      <c r="AC99" t="s">
        <v>599</v>
      </c>
      <c r="AD99" t="s">
        <v>1185</v>
      </c>
      <c r="AE99" t="s">
        <v>599</v>
      </c>
      <c r="AF99" t="s">
        <v>599</v>
      </c>
      <c r="AG99" t="s">
        <v>599</v>
      </c>
      <c r="AH99" t="s">
        <v>599</v>
      </c>
      <c r="AI99" t="s">
        <v>599</v>
      </c>
      <c r="AJ99" t="s">
        <v>1739</v>
      </c>
      <c r="AK99" t="s">
        <v>1188</v>
      </c>
      <c r="AL99" t="s">
        <v>1740</v>
      </c>
      <c r="AM99" t="s">
        <v>1190</v>
      </c>
      <c r="AN99" t="s">
        <v>599</v>
      </c>
      <c r="AO99" t="s">
        <v>599</v>
      </c>
      <c r="AP99" t="s">
        <v>599</v>
      </c>
      <c r="AQ99" t="s">
        <v>599</v>
      </c>
      <c r="AR99" t="s">
        <v>599</v>
      </c>
      <c r="AS99" t="s">
        <v>599</v>
      </c>
      <c r="AT99" t="s">
        <v>599</v>
      </c>
    </row>
    <row r="100" spans="1:46" s="13" customFormat="1" ht="30" x14ac:dyDescent="0.25">
      <c r="A100" s="9">
        <v>10193</v>
      </c>
      <c r="B100" s="10">
        <v>784907</v>
      </c>
      <c r="C100" s="10">
        <v>1</v>
      </c>
      <c r="D100" s="9">
        <v>25</v>
      </c>
      <c r="E100" s="11" t="s">
        <v>130</v>
      </c>
      <c r="F100" s="12" t="s">
        <v>131</v>
      </c>
      <c r="G100" s="9" t="s">
        <v>132</v>
      </c>
      <c r="H100" s="34"/>
      <c r="I100" s="55" t="str">
        <f t="shared" si="3"/>
        <v>https://permalinkbnd.bnportugal.gov.pt/viewer/272381/?offset=#page=25&amp;viewer=picture&amp;o=info&amp;n=0&amp;q=</v>
      </c>
      <c r="J100" s="45"/>
      <c r="K100" s="45"/>
      <c r="L100" s="45"/>
      <c r="M100" t="s">
        <v>130</v>
      </c>
      <c r="N100">
        <v>272381</v>
      </c>
      <c r="O100" t="str">
        <f t="shared" si="2"/>
        <v>https://permalinkbnd.bnportugal.gov.pt/viewer/272381/?offset=#page=25&amp;viewer=picture&amp;o=info&amp;n=0&amp;q=</v>
      </c>
      <c r="P100">
        <v>784907</v>
      </c>
      <c r="Q100" t="s">
        <v>130</v>
      </c>
      <c r="R100" t="s">
        <v>1736</v>
      </c>
      <c r="S100" t="s">
        <v>1178</v>
      </c>
      <c r="T100" t="s">
        <v>1192</v>
      </c>
      <c r="U100" t="s">
        <v>599</v>
      </c>
      <c r="V100" t="s">
        <v>1737</v>
      </c>
      <c r="W100" t="s">
        <v>599</v>
      </c>
      <c r="X100" t="s">
        <v>599</v>
      </c>
      <c r="Y100" t="s">
        <v>1182</v>
      </c>
      <c r="Z100" t="s">
        <v>1738</v>
      </c>
      <c r="AA100">
        <v>1836</v>
      </c>
      <c r="AB100">
        <v>1836</v>
      </c>
      <c r="AC100" t="s">
        <v>599</v>
      </c>
      <c r="AD100" t="s">
        <v>1185</v>
      </c>
      <c r="AE100" t="s">
        <v>599</v>
      </c>
      <c r="AF100" t="s">
        <v>599</v>
      </c>
      <c r="AG100" t="s">
        <v>599</v>
      </c>
      <c r="AH100" t="s">
        <v>599</v>
      </c>
      <c r="AI100" t="s">
        <v>599</v>
      </c>
      <c r="AJ100" t="s">
        <v>1739</v>
      </c>
      <c r="AK100" t="s">
        <v>1188</v>
      </c>
      <c r="AL100" t="s">
        <v>1740</v>
      </c>
      <c r="AM100" t="s">
        <v>1190</v>
      </c>
      <c r="AN100" t="s">
        <v>599</v>
      </c>
      <c r="AO100" t="s">
        <v>599</v>
      </c>
      <c r="AP100" t="s">
        <v>599</v>
      </c>
      <c r="AQ100" t="s">
        <v>599</v>
      </c>
      <c r="AR100" t="s">
        <v>599</v>
      </c>
      <c r="AS100" t="s">
        <v>599</v>
      </c>
      <c r="AT100" t="s">
        <v>599</v>
      </c>
    </row>
    <row r="101" spans="1:46" s="13" customFormat="1" ht="30" x14ac:dyDescent="0.25">
      <c r="A101" s="9">
        <v>10194</v>
      </c>
      <c r="B101" s="10">
        <v>784907</v>
      </c>
      <c r="C101" s="10">
        <v>1</v>
      </c>
      <c r="D101" s="9">
        <v>28</v>
      </c>
      <c r="E101" s="11" t="s">
        <v>130</v>
      </c>
      <c r="F101" s="12" t="s">
        <v>131</v>
      </c>
      <c r="G101" s="9" t="s">
        <v>132</v>
      </c>
      <c r="H101" s="34"/>
      <c r="I101" s="55" t="str">
        <f t="shared" si="3"/>
        <v>https://permalinkbnd.bnportugal.gov.pt/viewer/272381/?offset=#page=28&amp;viewer=picture&amp;o=info&amp;n=0&amp;q=</v>
      </c>
      <c r="J101" s="45"/>
      <c r="K101" s="45"/>
      <c r="L101" s="45"/>
      <c r="M101" t="s">
        <v>130</v>
      </c>
      <c r="N101">
        <v>272381</v>
      </c>
      <c r="O101" t="str">
        <f t="shared" si="2"/>
        <v>https://permalinkbnd.bnportugal.gov.pt/viewer/272381/?offset=#page=28&amp;viewer=picture&amp;o=info&amp;n=0&amp;q=</v>
      </c>
      <c r="P101">
        <v>784907</v>
      </c>
      <c r="Q101" t="s">
        <v>130</v>
      </c>
      <c r="R101" t="s">
        <v>599</v>
      </c>
      <c r="S101" t="s">
        <v>1178</v>
      </c>
      <c r="T101" t="s">
        <v>1192</v>
      </c>
      <c r="U101" t="s">
        <v>599</v>
      </c>
      <c r="V101" t="s">
        <v>1737</v>
      </c>
      <c r="W101" t="s">
        <v>599</v>
      </c>
      <c r="X101" t="s">
        <v>599</v>
      </c>
      <c r="Y101" t="s">
        <v>1182</v>
      </c>
      <c r="Z101" t="s">
        <v>1738</v>
      </c>
      <c r="AA101">
        <v>1836</v>
      </c>
      <c r="AB101">
        <v>1836</v>
      </c>
      <c r="AC101" t="s">
        <v>599</v>
      </c>
      <c r="AD101" t="s">
        <v>1185</v>
      </c>
      <c r="AE101" t="s">
        <v>599</v>
      </c>
      <c r="AF101" t="s">
        <v>599</v>
      </c>
      <c r="AG101" t="s">
        <v>599</v>
      </c>
      <c r="AH101" t="s">
        <v>599</v>
      </c>
      <c r="AI101" t="s">
        <v>599</v>
      </c>
      <c r="AJ101" t="s">
        <v>1739</v>
      </c>
      <c r="AK101" t="s">
        <v>1188</v>
      </c>
      <c r="AL101" t="s">
        <v>1740</v>
      </c>
      <c r="AM101" t="s">
        <v>1190</v>
      </c>
      <c r="AN101" t="s">
        <v>599</v>
      </c>
      <c r="AO101" t="s">
        <v>599</v>
      </c>
      <c r="AP101" t="s">
        <v>599</v>
      </c>
      <c r="AQ101" t="s">
        <v>599</v>
      </c>
      <c r="AR101" t="s">
        <v>599</v>
      </c>
      <c r="AS101" t="s">
        <v>599</v>
      </c>
      <c r="AT101" t="s">
        <v>599</v>
      </c>
    </row>
    <row r="102" spans="1:46" s="13" customFormat="1" ht="30" x14ac:dyDescent="0.25">
      <c r="A102" s="9">
        <v>10195</v>
      </c>
      <c r="B102" s="10">
        <v>784907</v>
      </c>
      <c r="C102" s="10">
        <v>1</v>
      </c>
      <c r="D102" s="9">
        <v>29</v>
      </c>
      <c r="E102" s="11" t="s">
        <v>130</v>
      </c>
      <c r="F102" s="12" t="s">
        <v>131</v>
      </c>
      <c r="G102" s="9" t="s">
        <v>132</v>
      </c>
      <c r="H102" s="34"/>
      <c r="I102" s="55" t="str">
        <f t="shared" si="3"/>
        <v>https://permalinkbnd.bnportugal.gov.pt/viewer/272381/?offset=#page=29&amp;viewer=picture&amp;o=info&amp;n=0&amp;q=</v>
      </c>
      <c r="J102" s="45"/>
      <c r="K102" s="45"/>
      <c r="L102" s="45"/>
      <c r="M102" t="s">
        <v>130</v>
      </c>
      <c r="N102">
        <v>272381</v>
      </c>
      <c r="O102" t="str">
        <f t="shared" si="2"/>
        <v>https://permalinkbnd.bnportugal.gov.pt/viewer/272381/?offset=#page=29&amp;viewer=picture&amp;o=info&amp;n=0&amp;q=</v>
      </c>
      <c r="P102">
        <v>784907</v>
      </c>
      <c r="Q102" t="s">
        <v>130</v>
      </c>
      <c r="R102" t="s">
        <v>599</v>
      </c>
      <c r="S102" t="s">
        <v>1178</v>
      </c>
      <c r="T102" t="s">
        <v>1192</v>
      </c>
      <c r="U102" t="s">
        <v>599</v>
      </c>
      <c r="V102" t="s">
        <v>1737</v>
      </c>
      <c r="W102" t="s">
        <v>599</v>
      </c>
      <c r="X102" t="s">
        <v>599</v>
      </c>
      <c r="Y102" t="s">
        <v>1182</v>
      </c>
      <c r="Z102" t="s">
        <v>1738</v>
      </c>
      <c r="AA102">
        <v>1836</v>
      </c>
      <c r="AB102">
        <v>1836</v>
      </c>
      <c r="AC102" t="s">
        <v>599</v>
      </c>
      <c r="AD102" t="s">
        <v>1185</v>
      </c>
      <c r="AE102" t="s">
        <v>599</v>
      </c>
      <c r="AF102" t="s">
        <v>599</v>
      </c>
      <c r="AG102" t="s">
        <v>599</v>
      </c>
      <c r="AH102" t="s">
        <v>599</v>
      </c>
      <c r="AI102" t="s">
        <v>599</v>
      </c>
      <c r="AJ102" t="s">
        <v>1739</v>
      </c>
      <c r="AK102" t="s">
        <v>1188</v>
      </c>
      <c r="AL102" t="s">
        <v>1740</v>
      </c>
      <c r="AM102" t="s">
        <v>1190</v>
      </c>
      <c r="AN102" t="s">
        <v>599</v>
      </c>
      <c r="AO102" t="s">
        <v>599</v>
      </c>
      <c r="AP102" t="s">
        <v>599</v>
      </c>
      <c r="AQ102" t="s">
        <v>599</v>
      </c>
      <c r="AR102" t="s">
        <v>599</v>
      </c>
      <c r="AS102" t="s">
        <v>599</v>
      </c>
      <c r="AT102" t="s">
        <v>599</v>
      </c>
    </row>
    <row r="103" spans="1:46" s="13" customFormat="1" ht="30" x14ac:dyDescent="0.25">
      <c r="A103" s="9">
        <v>10196</v>
      </c>
      <c r="B103" s="10">
        <v>784907</v>
      </c>
      <c r="C103" s="10">
        <v>1</v>
      </c>
      <c r="D103" s="9">
        <v>32</v>
      </c>
      <c r="E103" s="11" t="s">
        <v>130</v>
      </c>
      <c r="F103" s="12" t="s">
        <v>131</v>
      </c>
      <c r="G103" s="9" t="s">
        <v>132</v>
      </c>
      <c r="H103" s="34"/>
      <c r="I103" s="55" t="str">
        <f t="shared" si="3"/>
        <v>https://permalinkbnd.bnportugal.gov.pt/viewer/272381/?offset=#page=32&amp;viewer=picture&amp;o=info&amp;n=0&amp;q=</v>
      </c>
      <c r="J103" s="45"/>
      <c r="K103" s="45"/>
      <c r="L103" s="45"/>
      <c r="M103" t="s">
        <v>130</v>
      </c>
      <c r="N103">
        <v>272381</v>
      </c>
      <c r="O103" t="str">
        <f t="shared" si="2"/>
        <v>https://permalinkbnd.bnportugal.gov.pt/viewer/272381/?offset=#page=32&amp;viewer=picture&amp;o=info&amp;n=0&amp;q=</v>
      </c>
      <c r="P103">
        <v>784907</v>
      </c>
      <c r="Q103" t="s">
        <v>130</v>
      </c>
      <c r="R103" t="s">
        <v>1736</v>
      </c>
      <c r="S103" t="s">
        <v>1178</v>
      </c>
      <c r="T103" t="s">
        <v>1192</v>
      </c>
      <c r="U103" t="s">
        <v>599</v>
      </c>
      <c r="V103" t="s">
        <v>1737</v>
      </c>
      <c r="W103" t="s">
        <v>599</v>
      </c>
      <c r="X103" t="s">
        <v>599</v>
      </c>
      <c r="Y103" t="s">
        <v>1182</v>
      </c>
      <c r="Z103" t="s">
        <v>1738</v>
      </c>
      <c r="AA103">
        <v>1836</v>
      </c>
      <c r="AB103">
        <v>1836</v>
      </c>
      <c r="AC103" t="s">
        <v>599</v>
      </c>
      <c r="AD103" t="s">
        <v>1185</v>
      </c>
      <c r="AE103" t="s">
        <v>599</v>
      </c>
      <c r="AF103" t="s">
        <v>599</v>
      </c>
      <c r="AG103" t="s">
        <v>599</v>
      </c>
      <c r="AH103" t="s">
        <v>599</v>
      </c>
      <c r="AI103" t="s">
        <v>599</v>
      </c>
      <c r="AJ103" t="s">
        <v>1739</v>
      </c>
      <c r="AK103" t="s">
        <v>1188</v>
      </c>
      <c r="AL103" t="s">
        <v>1740</v>
      </c>
      <c r="AM103" t="s">
        <v>1190</v>
      </c>
      <c r="AN103" t="s">
        <v>599</v>
      </c>
      <c r="AO103" t="s">
        <v>599</v>
      </c>
      <c r="AP103" t="s">
        <v>599</v>
      </c>
      <c r="AQ103" t="s">
        <v>599</v>
      </c>
      <c r="AR103" t="s">
        <v>599</v>
      </c>
      <c r="AS103" t="s">
        <v>599</v>
      </c>
      <c r="AT103" t="s">
        <v>599</v>
      </c>
    </row>
    <row r="104" spans="1:46" s="13" customFormat="1" ht="30" x14ac:dyDescent="0.25">
      <c r="A104" s="9">
        <v>10197</v>
      </c>
      <c r="B104" s="10">
        <v>784907</v>
      </c>
      <c r="C104" s="10">
        <v>1</v>
      </c>
      <c r="D104" s="9">
        <v>33</v>
      </c>
      <c r="E104" s="11" t="s">
        <v>130</v>
      </c>
      <c r="F104" s="12" t="s">
        <v>131</v>
      </c>
      <c r="G104" s="9" t="s">
        <v>132</v>
      </c>
      <c r="H104" s="34"/>
      <c r="I104" s="55" t="str">
        <f t="shared" si="3"/>
        <v>https://permalinkbnd.bnportugal.gov.pt/viewer/272381/?offset=#page=33&amp;viewer=picture&amp;o=info&amp;n=0&amp;q=</v>
      </c>
      <c r="J104" s="45"/>
      <c r="K104" s="45"/>
      <c r="L104" s="45"/>
      <c r="M104" t="s">
        <v>130</v>
      </c>
      <c r="N104">
        <v>272381</v>
      </c>
      <c r="O104" t="str">
        <f t="shared" si="2"/>
        <v>https://permalinkbnd.bnportugal.gov.pt/viewer/272381/?offset=#page=33&amp;viewer=picture&amp;o=info&amp;n=0&amp;q=</v>
      </c>
      <c r="P104">
        <v>784907</v>
      </c>
      <c r="Q104" t="s">
        <v>130</v>
      </c>
      <c r="R104" t="s">
        <v>1736</v>
      </c>
      <c r="S104" t="s">
        <v>1178</v>
      </c>
      <c r="T104" t="s">
        <v>1192</v>
      </c>
      <c r="U104" t="s">
        <v>599</v>
      </c>
      <c r="V104" t="s">
        <v>1737</v>
      </c>
      <c r="W104" t="s">
        <v>599</v>
      </c>
      <c r="X104" t="s">
        <v>599</v>
      </c>
      <c r="Y104" t="s">
        <v>1182</v>
      </c>
      <c r="Z104" t="s">
        <v>1738</v>
      </c>
      <c r="AA104">
        <v>1836</v>
      </c>
      <c r="AB104">
        <v>1836</v>
      </c>
      <c r="AC104" t="s">
        <v>599</v>
      </c>
      <c r="AD104" t="s">
        <v>1185</v>
      </c>
      <c r="AE104" t="s">
        <v>599</v>
      </c>
      <c r="AF104" t="s">
        <v>599</v>
      </c>
      <c r="AG104" t="s">
        <v>599</v>
      </c>
      <c r="AH104" t="s">
        <v>599</v>
      </c>
      <c r="AI104" t="s">
        <v>599</v>
      </c>
      <c r="AJ104" t="s">
        <v>1739</v>
      </c>
      <c r="AK104" t="s">
        <v>1188</v>
      </c>
      <c r="AL104" t="s">
        <v>1740</v>
      </c>
      <c r="AM104" t="s">
        <v>1190</v>
      </c>
      <c r="AN104" t="s">
        <v>599</v>
      </c>
      <c r="AO104" t="s">
        <v>599</v>
      </c>
      <c r="AP104" t="s">
        <v>599</v>
      </c>
      <c r="AQ104" t="s">
        <v>599</v>
      </c>
      <c r="AR104" t="s">
        <v>599</v>
      </c>
      <c r="AS104" t="s">
        <v>599</v>
      </c>
      <c r="AT104" t="s">
        <v>599</v>
      </c>
    </row>
    <row r="105" spans="1:46" s="13" customFormat="1" ht="30" x14ac:dyDescent="0.25">
      <c r="A105" s="9">
        <v>10198</v>
      </c>
      <c r="B105" s="10">
        <v>784907</v>
      </c>
      <c r="C105" s="10">
        <v>1</v>
      </c>
      <c r="D105" s="9">
        <v>36</v>
      </c>
      <c r="E105" s="11" t="s">
        <v>130</v>
      </c>
      <c r="F105" s="12" t="s">
        <v>131</v>
      </c>
      <c r="G105" s="9" t="s">
        <v>132</v>
      </c>
      <c r="H105" s="34"/>
      <c r="I105" s="55" t="str">
        <f t="shared" si="3"/>
        <v>https://permalinkbnd.bnportugal.gov.pt/viewer/272381/?offset=#page=36&amp;viewer=picture&amp;o=info&amp;n=0&amp;q=</v>
      </c>
      <c r="J105" s="45"/>
      <c r="K105" s="45"/>
      <c r="L105" s="45"/>
      <c r="M105" t="s">
        <v>130</v>
      </c>
      <c r="N105">
        <v>272381</v>
      </c>
      <c r="O105" t="str">
        <f t="shared" si="2"/>
        <v>https://permalinkbnd.bnportugal.gov.pt/viewer/272381/?offset=#page=36&amp;viewer=picture&amp;o=info&amp;n=0&amp;q=</v>
      </c>
      <c r="P105">
        <v>784907</v>
      </c>
      <c r="Q105" t="s">
        <v>130</v>
      </c>
      <c r="R105" t="s">
        <v>599</v>
      </c>
      <c r="S105" t="s">
        <v>1178</v>
      </c>
      <c r="T105" t="s">
        <v>1192</v>
      </c>
      <c r="U105" t="s">
        <v>599</v>
      </c>
      <c r="V105" t="s">
        <v>1737</v>
      </c>
      <c r="W105" t="s">
        <v>599</v>
      </c>
      <c r="X105" t="s">
        <v>599</v>
      </c>
      <c r="Y105" t="s">
        <v>1182</v>
      </c>
      <c r="Z105" t="s">
        <v>1738</v>
      </c>
      <c r="AA105">
        <v>1836</v>
      </c>
      <c r="AB105">
        <v>1836</v>
      </c>
      <c r="AC105" t="s">
        <v>599</v>
      </c>
      <c r="AD105" t="s">
        <v>1185</v>
      </c>
      <c r="AE105" t="s">
        <v>599</v>
      </c>
      <c r="AF105" t="s">
        <v>599</v>
      </c>
      <c r="AG105" t="s">
        <v>599</v>
      </c>
      <c r="AH105" t="s">
        <v>599</v>
      </c>
      <c r="AI105" t="s">
        <v>599</v>
      </c>
      <c r="AJ105" t="s">
        <v>1739</v>
      </c>
      <c r="AK105" t="s">
        <v>1188</v>
      </c>
      <c r="AL105" t="s">
        <v>1740</v>
      </c>
      <c r="AM105" t="s">
        <v>1190</v>
      </c>
      <c r="AN105" t="s">
        <v>599</v>
      </c>
      <c r="AO105" t="s">
        <v>599</v>
      </c>
      <c r="AP105" t="s">
        <v>599</v>
      </c>
      <c r="AQ105" t="s">
        <v>599</v>
      </c>
      <c r="AR105" t="s">
        <v>599</v>
      </c>
      <c r="AS105" t="s">
        <v>599</v>
      </c>
      <c r="AT105" t="s">
        <v>599</v>
      </c>
    </row>
    <row r="106" spans="1:46" s="13" customFormat="1" ht="30" x14ac:dyDescent="0.25">
      <c r="A106" s="9">
        <v>10199</v>
      </c>
      <c r="B106" s="10">
        <v>784907</v>
      </c>
      <c r="C106" s="10">
        <v>1</v>
      </c>
      <c r="D106" s="9">
        <v>37</v>
      </c>
      <c r="E106" s="11" t="s">
        <v>130</v>
      </c>
      <c r="F106" s="12" t="s">
        <v>131</v>
      </c>
      <c r="G106" s="9" t="s">
        <v>132</v>
      </c>
      <c r="H106" s="34"/>
      <c r="I106" s="55" t="str">
        <f t="shared" si="3"/>
        <v>https://permalinkbnd.bnportugal.gov.pt/viewer/272381/?offset=#page=37&amp;viewer=picture&amp;o=info&amp;n=0&amp;q=</v>
      </c>
      <c r="J106" s="45"/>
      <c r="K106" s="45"/>
      <c r="L106" s="45"/>
      <c r="M106" t="s">
        <v>130</v>
      </c>
      <c r="N106">
        <v>272381</v>
      </c>
      <c r="O106" t="str">
        <f t="shared" si="2"/>
        <v>https://permalinkbnd.bnportugal.gov.pt/viewer/272381/?offset=#page=37&amp;viewer=picture&amp;o=info&amp;n=0&amp;q=</v>
      </c>
      <c r="P106">
        <v>784907</v>
      </c>
      <c r="Q106" t="s">
        <v>130</v>
      </c>
      <c r="R106" t="s">
        <v>599</v>
      </c>
      <c r="S106" t="s">
        <v>1178</v>
      </c>
      <c r="T106" t="s">
        <v>1192</v>
      </c>
      <c r="U106" t="s">
        <v>599</v>
      </c>
      <c r="V106" t="s">
        <v>1737</v>
      </c>
      <c r="W106" t="s">
        <v>599</v>
      </c>
      <c r="X106" t="s">
        <v>599</v>
      </c>
      <c r="Y106" t="s">
        <v>1182</v>
      </c>
      <c r="Z106" t="s">
        <v>1738</v>
      </c>
      <c r="AA106">
        <v>1836</v>
      </c>
      <c r="AB106">
        <v>1836</v>
      </c>
      <c r="AC106" t="s">
        <v>599</v>
      </c>
      <c r="AD106" t="s">
        <v>1185</v>
      </c>
      <c r="AE106" t="s">
        <v>599</v>
      </c>
      <c r="AF106" t="s">
        <v>599</v>
      </c>
      <c r="AG106" t="s">
        <v>599</v>
      </c>
      <c r="AH106" t="s">
        <v>599</v>
      </c>
      <c r="AI106" t="s">
        <v>599</v>
      </c>
      <c r="AJ106" t="s">
        <v>1739</v>
      </c>
      <c r="AK106" t="s">
        <v>1188</v>
      </c>
      <c r="AL106" t="s">
        <v>1740</v>
      </c>
      <c r="AM106" t="s">
        <v>1190</v>
      </c>
      <c r="AN106" t="s">
        <v>599</v>
      </c>
      <c r="AO106" t="s">
        <v>599</v>
      </c>
      <c r="AP106" t="s">
        <v>599</v>
      </c>
      <c r="AQ106" t="s">
        <v>599</v>
      </c>
      <c r="AR106" t="s">
        <v>599</v>
      </c>
      <c r="AS106" t="s">
        <v>599</v>
      </c>
      <c r="AT106" t="s">
        <v>599</v>
      </c>
    </row>
    <row r="107" spans="1:46" s="13" customFormat="1" ht="30" x14ac:dyDescent="0.25">
      <c r="A107" s="9">
        <v>10200</v>
      </c>
      <c r="B107" s="10">
        <v>784907</v>
      </c>
      <c r="C107" s="10">
        <v>1</v>
      </c>
      <c r="D107" s="9">
        <v>40</v>
      </c>
      <c r="E107" s="11" t="s">
        <v>130</v>
      </c>
      <c r="F107" s="12" t="s">
        <v>131</v>
      </c>
      <c r="G107" s="9" t="s">
        <v>132</v>
      </c>
      <c r="H107" s="34"/>
      <c r="I107" s="55" t="str">
        <f t="shared" si="3"/>
        <v>https://permalinkbnd.bnportugal.gov.pt/viewer/272381/?offset=#page=40&amp;viewer=picture&amp;o=info&amp;n=0&amp;q=</v>
      </c>
      <c r="J107" s="45"/>
      <c r="K107" s="45"/>
      <c r="L107" s="45"/>
      <c r="M107" t="s">
        <v>130</v>
      </c>
      <c r="N107">
        <v>272381</v>
      </c>
      <c r="O107" t="str">
        <f t="shared" si="2"/>
        <v>https://permalinkbnd.bnportugal.gov.pt/viewer/272381/?offset=#page=40&amp;viewer=picture&amp;o=info&amp;n=0&amp;q=</v>
      </c>
      <c r="P107">
        <v>784907</v>
      </c>
      <c r="Q107" t="s">
        <v>130</v>
      </c>
      <c r="R107" t="s">
        <v>599</v>
      </c>
      <c r="S107" t="s">
        <v>1178</v>
      </c>
      <c r="T107" t="s">
        <v>1192</v>
      </c>
      <c r="U107" t="s">
        <v>599</v>
      </c>
      <c r="V107" t="s">
        <v>1737</v>
      </c>
      <c r="W107" t="s">
        <v>599</v>
      </c>
      <c r="X107" t="s">
        <v>599</v>
      </c>
      <c r="Y107" t="s">
        <v>1182</v>
      </c>
      <c r="Z107" t="s">
        <v>1738</v>
      </c>
      <c r="AA107">
        <v>1836</v>
      </c>
      <c r="AB107">
        <v>1836</v>
      </c>
      <c r="AC107" t="s">
        <v>599</v>
      </c>
      <c r="AD107" t="s">
        <v>1185</v>
      </c>
      <c r="AE107" t="s">
        <v>599</v>
      </c>
      <c r="AF107" t="s">
        <v>599</v>
      </c>
      <c r="AG107" t="s">
        <v>599</v>
      </c>
      <c r="AH107" t="s">
        <v>599</v>
      </c>
      <c r="AI107" t="s">
        <v>599</v>
      </c>
      <c r="AJ107" t="s">
        <v>1739</v>
      </c>
      <c r="AK107" t="s">
        <v>1188</v>
      </c>
      <c r="AL107" t="s">
        <v>1740</v>
      </c>
      <c r="AM107" t="s">
        <v>1190</v>
      </c>
      <c r="AN107" t="s">
        <v>599</v>
      </c>
      <c r="AO107" t="s">
        <v>599</v>
      </c>
      <c r="AP107" t="s">
        <v>599</v>
      </c>
      <c r="AQ107" t="s">
        <v>599</v>
      </c>
      <c r="AR107" t="s">
        <v>599</v>
      </c>
      <c r="AS107" t="s">
        <v>599</v>
      </c>
      <c r="AT107" t="s">
        <v>599</v>
      </c>
    </row>
    <row r="108" spans="1:46" s="13" customFormat="1" ht="30" x14ac:dyDescent="0.25">
      <c r="A108" s="9">
        <v>10201</v>
      </c>
      <c r="B108" s="10">
        <v>784907</v>
      </c>
      <c r="C108" s="10">
        <v>1</v>
      </c>
      <c r="D108" s="9">
        <v>41</v>
      </c>
      <c r="E108" s="11" t="s">
        <v>130</v>
      </c>
      <c r="F108" s="12" t="s">
        <v>131</v>
      </c>
      <c r="G108" s="9" t="s">
        <v>132</v>
      </c>
      <c r="H108" s="34"/>
      <c r="I108" s="55" t="str">
        <f t="shared" si="3"/>
        <v>https://permalinkbnd.bnportugal.gov.pt/viewer/272381/?offset=#page=41&amp;viewer=picture&amp;o=info&amp;n=0&amp;q=</v>
      </c>
      <c r="J108" s="45"/>
      <c r="K108" s="45"/>
      <c r="L108" s="45"/>
      <c r="M108" t="s">
        <v>130</v>
      </c>
      <c r="N108">
        <v>272381</v>
      </c>
      <c r="O108" t="str">
        <f t="shared" si="2"/>
        <v>https://permalinkbnd.bnportugal.gov.pt/viewer/272381/?offset=#page=41&amp;viewer=picture&amp;o=info&amp;n=0&amp;q=</v>
      </c>
      <c r="P108">
        <v>784907</v>
      </c>
      <c r="Q108" t="s">
        <v>130</v>
      </c>
      <c r="R108" t="s">
        <v>599</v>
      </c>
      <c r="S108" t="s">
        <v>1178</v>
      </c>
      <c r="T108" t="s">
        <v>1192</v>
      </c>
      <c r="U108" t="s">
        <v>599</v>
      </c>
      <c r="V108" t="s">
        <v>1737</v>
      </c>
      <c r="W108" t="s">
        <v>599</v>
      </c>
      <c r="X108" t="s">
        <v>599</v>
      </c>
      <c r="Y108" t="s">
        <v>1182</v>
      </c>
      <c r="Z108" t="s">
        <v>1738</v>
      </c>
      <c r="AA108">
        <v>1836</v>
      </c>
      <c r="AB108">
        <v>1836</v>
      </c>
      <c r="AC108" t="s">
        <v>599</v>
      </c>
      <c r="AD108" t="s">
        <v>1185</v>
      </c>
      <c r="AE108" t="s">
        <v>599</v>
      </c>
      <c r="AF108" t="s">
        <v>599</v>
      </c>
      <c r="AG108" t="s">
        <v>599</v>
      </c>
      <c r="AH108" t="s">
        <v>599</v>
      </c>
      <c r="AI108" t="s">
        <v>599</v>
      </c>
      <c r="AJ108" t="s">
        <v>1739</v>
      </c>
      <c r="AK108" t="s">
        <v>1188</v>
      </c>
      <c r="AL108" t="s">
        <v>1740</v>
      </c>
      <c r="AM108" t="s">
        <v>1190</v>
      </c>
      <c r="AN108" t="s">
        <v>599</v>
      </c>
      <c r="AO108" t="s">
        <v>599</v>
      </c>
      <c r="AP108" t="s">
        <v>599</v>
      </c>
      <c r="AQ108" t="s">
        <v>599</v>
      </c>
      <c r="AR108" t="s">
        <v>599</v>
      </c>
      <c r="AS108" t="s">
        <v>599</v>
      </c>
      <c r="AT108" t="s">
        <v>599</v>
      </c>
    </row>
    <row r="109" spans="1:46" s="13" customFormat="1" ht="30" x14ac:dyDescent="0.25">
      <c r="A109" s="9">
        <v>10203</v>
      </c>
      <c r="B109" s="10">
        <v>785080</v>
      </c>
      <c r="C109" s="10">
        <v>1</v>
      </c>
      <c r="D109" s="9">
        <v>10</v>
      </c>
      <c r="E109" s="11" t="s">
        <v>133</v>
      </c>
      <c r="F109" s="12">
        <v>10</v>
      </c>
      <c r="G109" s="9">
        <v>10</v>
      </c>
      <c r="H109" s="34"/>
      <c r="I109" s="55" t="str">
        <f t="shared" si="3"/>
        <v>https://permalinkbnd.bnportugal.gov.pt/viewer/280474/?offset=#page=10&amp;viewer=picture&amp;o=info&amp;n=0&amp;q=</v>
      </c>
      <c r="J109" s="45"/>
      <c r="K109" s="45"/>
      <c r="L109" s="45"/>
      <c r="M109" t="s">
        <v>133</v>
      </c>
      <c r="N109">
        <v>280474</v>
      </c>
      <c r="O109" t="str">
        <f t="shared" si="2"/>
        <v>https://permalinkbnd.bnportugal.gov.pt/viewer/280474/?offset=#page=10&amp;viewer=picture&amp;o=info&amp;n=0&amp;q=</v>
      </c>
      <c r="P109">
        <v>785080</v>
      </c>
      <c r="Q109" t="s">
        <v>133</v>
      </c>
      <c r="R109" t="s">
        <v>1741</v>
      </c>
      <c r="S109" t="s">
        <v>1178</v>
      </c>
      <c r="T109" t="s">
        <v>1502</v>
      </c>
      <c r="U109" t="s">
        <v>1192</v>
      </c>
      <c r="V109" t="s">
        <v>1742</v>
      </c>
      <c r="W109" t="s">
        <v>599</v>
      </c>
      <c r="X109" t="s">
        <v>599</v>
      </c>
      <c r="Y109" t="s">
        <v>1743</v>
      </c>
      <c r="Z109" t="s">
        <v>1744</v>
      </c>
      <c r="AA109">
        <v>1824</v>
      </c>
      <c r="AB109">
        <v>1824</v>
      </c>
      <c r="AC109" t="s">
        <v>1745</v>
      </c>
      <c r="AD109" t="s">
        <v>1185</v>
      </c>
      <c r="AE109" t="s">
        <v>599</v>
      </c>
      <c r="AF109" t="s">
        <v>599</v>
      </c>
      <c r="AG109" t="s">
        <v>1746</v>
      </c>
      <c r="AH109" t="s">
        <v>599</v>
      </c>
      <c r="AI109" t="s">
        <v>599</v>
      </c>
      <c r="AJ109" t="s">
        <v>1747</v>
      </c>
      <c r="AK109" t="s">
        <v>1188</v>
      </c>
      <c r="AL109" t="s">
        <v>1748</v>
      </c>
      <c r="AM109" t="s">
        <v>1190</v>
      </c>
      <c r="AN109" t="s">
        <v>599</v>
      </c>
      <c r="AO109" t="s">
        <v>599</v>
      </c>
      <c r="AP109" t="s">
        <v>599</v>
      </c>
      <c r="AQ109" t="s">
        <v>599</v>
      </c>
      <c r="AR109" t="s">
        <v>599</v>
      </c>
      <c r="AS109" t="s">
        <v>599</v>
      </c>
      <c r="AT109" t="s">
        <v>599</v>
      </c>
    </row>
    <row r="110" spans="1:46" s="13" customFormat="1" ht="30" x14ac:dyDescent="0.25">
      <c r="A110" s="9">
        <v>10205</v>
      </c>
      <c r="B110" s="10">
        <v>788850</v>
      </c>
      <c r="C110" s="10">
        <v>1</v>
      </c>
      <c r="D110" s="9">
        <v>8</v>
      </c>
      <c r="E110" s="11" t="s">
        <v>134</v>
      </c>
      <c r="F110" s="12" t="s">
        <v>135</v>
      </c>
      <c r="G110" s="9">
        <v>8</v>
      </c>
      <c r="H110" s="34"/>
      <c r="I110" s="55" t="str">
        <f t="shared" si="3"/>
        <v>https://permalinkbnd.bnportugal.gov.pt/viewer/272359/?offset=#page=8&amp;viewer=picture&amp;o=info&amp;n=0&amp;q=</v>
      </c>
      <c r="J110" s="45"/>
      <c r="K110" s="45"/>
      <c r="L110" s="45"/>
      <c r="M110" t="s">
        <v>134</v>
      </c>
      <c r="N110">
        <v>272359</v>
      </c>
      <c r="O110" t="str">
        <f t="shared" si="2"/>
        <v>https://permalinkbnd.bnportugal.gov.pt/viewer/272359/?offset=#page=8&amp;viewer=picture&amp;o=info&amp;n=0&amp;q=</v>
      </c>
      <c r="P110">
        <v>788850</v>
      </c>
      <c r="Q110" t="s">
        <v>134</v>
      </c>
      <c r="R110" t="s">
        <v>1749</v>
      </c>
      <c r="S110" t="s">
        <v>1178</v>
      </c>
      <c r="T110" t="s">
        <v>1362</v>
      </c>
      <c r="U110" t="s">
        <v>1192</v>
      </c>
      <c r="V110" t="s">
        <v>1750</v>
      </c>
      <c r="W110" t="s">
        <v>599</v>
      </c>
      <c r="X110" t="s">
        <v>599</v>
      </c>
      <c r="Y110" t="s">
        <v>1182</v>
      </c>
      <c r="Z110" t="s">
        <v>1751</v>
      </c>
      <c r="AA110">
        <v>1828</v>
      </c>
      <c r="AB110">
        <v>1828</v>
      </c>
      <c r="AC110" t="s">
        <v>1752</v>
      </c>
      <c r="AD110" t="s">
        <v>1185</v>
      </c>
      <c r="AE110" t="s">
        <v>599</v>
      </c>
      <c r="AF110" t="s">
        <v>599</v>
      </c>
      <c r="AG110" t="s">
        <v>1753</v>
      </c>
      <c r="AH110" t="s">
        <v>599</v>
      </c>
      <c r="AI110" t="s">
        <v>599</v>
      </c>
      <c r="AJ110" t="s">
        <v>1754</v>
      </c>
      <c r="AK110" t="s">
        <v>1188</v>
      </c>
      <c r="AL110" t="s">
        <v>1755</v>
      </c>
      <c r="AM110" t="s">
        <v>1190</v>
      </c>
      <c r="AN110" t="s">
        <v>599</v>
      </c>
      <c r="AO110" t="s">
        <v>599</v>
      </c>
      <c r="AP110" t="s">
        <v>599</v>
      </c>
      <c r="AQ110" t="s">
        <v>599</v>
      </c>
      <c r="AR110" t="s">
        <v>599</v>
      </c>
      <c r="AS110" t="s">
        <v>599</v>
      </c>
      <c r="AT110" t="s">
        <v>599</v>
      </c>
    </row>
    <row r="111" spans="1:46" s="13" customFormat="1" ht="45" x14ac:dyDescent="0.25">
      <c r="A111" s="9">
        <v>10206</v>
      </c>
      <c r="B111" s="10">
        <v>788899</v>
      </c>
      <c r="C111" s="10">
        <v>1</v>
      </c>
      <c r="D111" s="9">
        <v>216</v>
      </c>
      <c r="E111" s="11" t="s">
        <v>136</v>
      </c>
      <c r="F111" s="12" t="s">
        <v>137</v>
      </c>
      <c r="G111" s="9">
        <v>216</v>
      </c>
      <c r="H111" s="34"/>
      <c r="I111" s="55" t="str">
        <f t="shared" si="3"/>
        <v>https://permalinkbnd.bnportugal.gov.pt/viewer/272367/?offset=#page=216&amp;viewer=picture&amp;o=info&amp;n=0&amp;q=</v>
      </c>
      <c r="J111" s="45"/>
      <c r="K111" s="45"/>
      <c r="L111" s="45"/>
      <c r="M111" t="s">
        <v>136</v>
      </c>
      <c r="N111">
        <v>272367</v>
      </c>
      <c r="O111" t="str">
        <f t="shared" si="2"/>
        <v>https://permalinkbnd.bnportugal.gov.pt/viewer/272367/?offset=#page=216&amp;viewer=picture&amp;o=info&amp;n=0&amp;q=</v>
      </c>
      <c r="P111">
        <v>788899</v>
      </c>
      <c r="Q111" t="s">
        <v>136</v>
      </c>
      <c r="R111" t="s">
        <v>1756</v>
      </c>
      <c r="S111" t="s">
        <v>1178</v>
      </c>
      <c r="T111" t="s">
        <v>1502</v>
      </c>
      <c r="U111" t="s">
        <v>1362</v>
      </c>
      <c r="V111" t="s">
        <v>1757</v>
      </c>
      <c r="W111" t="s">
        <v>1758</v>
      </c>
      <c r="X111" t="s">
        <v>599</v>
      </c>
      <c r="Y111" t="s">
        <v>1182</v>
      </c>
      <c r="Z111" t="s">
        <v>1759</v>
      </c>
      <c r="AA111">
        <v>1809</v>
      </c>
      <c r="AB111">
        <v>1809</v>
      </c>
      <c r="AC111" t="s">
        <v>1760</v>
      </c>
      <c r="AD111" t="s">
        <v>599</v>
      </c>
      <c r="AE111" t="s">
        <v>599</v>
      </c>
      <c r="AF111" t="s">
        <v>599</v>
      </c>
      <c r="AG111" t="s">
        <v>1761</v>
      </c>
      <c r="AH111" t="s">
        <v>599</v>
      </c>
      <c r="AI111" t="s">
        <v>599</v>
      </c>
      <c r="AJ111" t="s">
        <v>1762</v>
      </c>
      <c r="AK111" t="s">
        <v>1188</v>
      </c>
      <c r="AL111" t="s">
        <v>1763</v>
      </c>
      <c r="AM111" t="s">
        <v>1190</v>
      </c>
      <c r="AN111" t="s">
        <v>599</v>
      </c>
      <c r="AO111" t="s">
        <v>599</v>
      </c>
      <c r="AP111" t="s">
        <v>599</v>
      </c>
      <c r="AQ111" t="s">
        <v>599</v>
      </c>
      <c r="AR111" t="s">
        <v>599</v>
      </c>
      <c r="AS111" t="s">
        <v>599</v>
      </c>
      <c r="AT111" t="s">
        <v>599</v>
      </c>
    </row>
    <row r="112" spans="1:46" s="13" customFormat="1" ht="30" x14ac:dyDescent="0.25">
      <c r="A112" s="9">
        <v>10211</v>
      </c>
      <c r="B112" s="10">
        <v>798614</v>
      </c>
      <c r="C112" s="10">
        <v>1</v>
      </c>
      <c r="D112" s="9">
        <v>10</v>
      </c>
      <c r="E112" s="11" t="s">
        <v>138</v>
      </c>
      <c r="F112" s="12" t="s">
        <v>139</v>
      </c>
      <c r="G112" s="9">
        <v>10</v>
      </c>
      <c r="H112" s="34"/>
      <c r="I112" s="55" t="str">
        <f t="shared" si="3"/>
        <v>https://permalinkbnd.bnportugal.gov.pt/viewer/272379/?offset=#page=10&amp;viewer=picture&amp;o=info&amp;n=0&amp;q=</v>
      </c>
      <c r="J112" s="45"/>
      <c r="K112" s="45"/>
      <c r="L112" s="45"/>
      <c r="M112" t="s">
        <v>138</v>
      </c>
      <c r="N112">
        <v>272379</v>
      </c>
      <c r="O112" t="str">
        <f t="shared" si="2"/>
        <v>https://permalinkbnd.bnportugal.gov.pt/viewer/272379/?offset=#page=10&amp;viewer=picture&amp;o=info&amp;n=0&amp;q=</v>
      </c>
      <c r="P112">
        <v>798614</v>
      </c>
      <c r="Q112" t="s">
        <v>138</v>
      </c>
      <c r="R112" t="s">
        <v>1764</v>
      </c>
      <c r="S112" t="s">
        <v>1178</v>
      </c>
      <c r="T112" t="s">
        <v>1502</v>
      </c>
      <c r="U112" t="s">
        <v>1192</v>
      </c>
      <c r="V112" t="s">
        <v>1765</v>
      </c>
      <c r="W112" t="s">
        <v>599</v>
      </c>
      <c r="X112" t="s">
        <v>599</v>
      </c>
      <c r="Y112" t="s">
        <v>1182</v>
      </c>
      <c r="Z112" t="s">
        <v>1766</v>
      </c>
      <c r="AA112">
        <v>1854</v>
      </c>
      <c r="AB112">
        <v>1854</v>
      </c>
      <c r="AC112" t="s">
        <v>1767</v>
      </c>
      <c r="AD112" t="s">
        <v>1185</v>
      </c>
      <c r="AE112" t="s">
        <v>599</v>
      </c>
      <c r="AF112" t="s">
        <v>599</v>
      </c>
      <c r="AG112" t="s">
        <v>1768</v>
      </c>
      <c r="AH112" t="s">
        <v>599</v>
      </c>
      <c r="AI112" t="s">
        <v>599</v>
      </c>
      <c r="AJ112" t="s">
        <v>1769</v>
      </c>
      <c r="AK112" t="s">
        <v>1188</v>
      </c>
      <c r="AL112" t="s">
        <v>1770</v>
      </c>
      <c r="AM112" t="s">
        <v>1190</v>
      </c>
      <c r="AN112" t="s">
        <v>599</v>
      </c>
      <c r="AO112" t="s">
        <v>599</v>
      </c>
      <c r="AP112" t="s">
        <v>599</v>
      </c>
      <c r="AQ112" t="s">
        <v>599</v>
      </c>
      <c r="AR112" t="s">
        <v>599</v>
      </c>
      <c r="AS112" t="s">
        <v>599</v>
      </c>
      <c r="AT112" t="s">
        <v>599</v>
      </c>
    </row>
    <row r="113" spans="1:46" s="13" customFormat="1" ht="30" x14ac:dyDescent="0.25">
      <c r="A113" s="9">
        <v>10212</v>
      </c>
      <c r="B113" s="10">
        <v>798623</v>
      </c>
      <c r="C113" s="10">
        <v>1</v>
      </c>
      <c r="D113" s="9">
        <v>8</v>
      </c>
      <c r="E113" s="11" t="s">
        <v>140</v>
      </c>
      <c r="F113" s="12" t="s">
        <v>141</v>
      </c>
      <c r="G113" s="9">
        <v>8</v>
      </c>
      <c r="H113" s="34"/>
      <c r="I113" s="55" t="str">
        <f t="shared" si="3"/>
        <v>https://permalinkbnd.bnportugal.gov.pt/viewer/272383/?offset=#page=8&amp;viewer=picture&amp;o=info&amp;n=0&amp;q=</v>
      </c>
      <c r="J113" s="45"/>
      <c r="K113" s="45"/>
      <c r="L113" s="45"/>
      <c r="M113" t="s">
        <v>140</v>
      </c>
      <c r="N113">
        <v>272383</v>
      </c>
      <c r="O113" t="str">
        <f t="shared" si="2"/>
        <v>https://permalinkbnd.bnportugal.gov.pt/viewer/272383/?offset=#page=8&amp;viewer=picture&amp;o=info&amp;n=0&amp;q=</v>
      </c>
      <c r="P113">
        <v>798623</v>
      </c>
      <c r="Q113" t="s">
        <v>140</v>
      </c>
      <c r="R113" t="s">
        <v>1771</v>
      </c>
      <c r="S113" t="s">
        <v>1178</v>
      </c>
      <c r="T113" t="s">
        <v>1502</v>
      </c>
      <c r="U113" t="s">
        <v>1192</v>
      </c>
      <c r="V113" t="s">
        <v>1772</v>
      </c>
      <c r="W113" t="s">
        <v>599</v>
      </c>
      <c r="X113" t="s">
        <v>599</v>
      </c>
      <c r="Y113" t="s">
        <v>1182</v>
      </c>
      <c r="Z113" t="s">
        <v>1773</v>
      </c>
      <c r="AA113">
        <v>1803</v>
      </c>
      <c r="AB113">
        <v>1803</v>
      </c>
      <c r="AC113" t="s">
        <v>1774</v>
      </c>
      <c r="AD113" t="s">
        <v>1185</v>
      </c>
      <c r="AE113" t="s">
        <v>599</v>
      </c>
      <c r="AF113" t="s">
        <v>599</v>
      </c>
      <c r="AG113" t="s">
        <v>1746</v>
      </c>
      <c r="AH113" t="s">
        <v>599</v>
      </c>
      <c r="AI113" t="s">
        <v>599</v>
      </c>
      <c r="AJ113" t="s">
        <v>1775</v>
      </c>
      <c r="AK113" t="s">
        <v>1188</v>
      </c>
      <c r="AL113" t="s">
        <v>1776</v>
      </c>
      <c r="AM113" t="s">
        <v>1190</v>
      </c>
      <c r="AN113" t="s">
        <v>599</v>
      </c>
      <c r="AO113" t="s">
        <v>599</v>
      </c>
      <c r="AP113" t="s">
        <v>599</v>
      </c>
      <c r="AQ113" t="s">
        <v>599</v>
      </c>
      <c r="AR113" t="s">
        <v>599</v>
      </c>
      <c r="AS113" t="s">
        <v>599</v>
      </c>
      <c r="AT113" t="s">
        <v>599</v>
      </c>
    </row>
    <row r="114" spans="1:46" s="26" customFormat="1" ht="30" x14ac:dyDescent="0.25">
      <c r="A114" s="22">
        <v>10215</v>
      </c>
      <c r="B114" s="23">
        <v>798863</v>
      </c>
      <c r="C114" s="23">
        <v>1</v>
      </c>
      <c r="D114" s="27">
        <v>5</v>
      </c>
      <c r="E114" s="24" t="s">
        <v>142</v>
      </c>
      <c r="F114" s="25" t="s">
        <v>143</v>
      </c>
      <c r="G114" s="22"/>
      <c r="H114" s="27" t="s">
        <v>618</v>
      </c>
      <c r="I114" s="55" t="str">
        <f t="shared" si="3"/>
        <v>https://permalinkbnd.bnportugal.gov.pt/viewer/272376/?offset=#page=5&amp;viewer=picture&amp;o=info&amp;n=0&amp;q=</v>
      </c>
      <c r="J114" s="45"/>
      <c r="K114" s="45"/>
      <c r="L114" s="45"/>
      <c r="M114" t="s">
        <v>142</v>
      </c>
      <c r="N114">
        <v>272376</v>
      </c>
      <c r="O114" t="str">
        <f t="shared" si="2"/>
        <v>https://permalinkbnd.bnportugal.gov.pt/viewer/272376/?offset=#page=5&amp;viewer=picture&amp;o=info&amp;n=0&amp;q=</v>
      </c>
      <c r="P114">
        <v>798863</v>
      </c>
      <c r="Q114" t="s">
        <v>142</v>
      </c>
      <c r="R114" t="s">
        <v>1777</v>
      </c>
      <c r="S114" t="s">
        <v>1178</v>
      </c>
      <c r="T114" t="s">
        <v>1192</v>
      </c>
      <c r="U114" t="s">
        <v>599</v>
      </c>
      <c r="V114" t="s">
        <v>1551</v>
      </c>
      <c r="W114" t="s">
        <v>1778</v>
      </c>
      <c r="X114" t="s">
        <v>599</v>
      </c>
      <c r="Y114" t="s">
        <v>1779</v>
      </c>
      <c r="Z114" t="s">
        <v>1780</v>
      </c>
      <c r="AA114">
        <v>1843</v>
      </c>
      <c r="AB114">
        <v>1843</v>
      </c>
      <c r="AC114" t="s">
        <v>1781</v>
      </c>
      <c r="AD114" t="s">
        <v>1185</v>
      </c>
      <c r="AE114" t="s">
        <v>599</v>
      </c>
      <c r="AF114" t="s">
        <v>599</v>
      </c>
      <c r="AG114" t="s">
        <v>599</v>
      </c>
      <c r="AH114" t="s">
        <v>599</v>
      </c>
      <c r="AI114" t="s">
        <v>599</v>
      </c>
      <c r="AJ114" t="s">
        <v>1782</v>
      </c>
      <c r="AK114" t="s">
        <v>1188</v>
      </c>
      <c r="AL114" t="s">
        <v>1783</v>
      </c>
      <c r="AM114" t="s">
        <v>1190</v>
      </c>
      <c r="AN114" t="s">
        <v>599</v>
      </c>
      <c r="AO114" t="s">
        <v>599</v>
      </c>
      <c r="AP114" t="s">
        <v>599</v>
      </c>
      <c r="AQ114" t="s">
        <v>599</v>
      </c>
      <c r="AR114" t="s">
        <v>599</v>
      </c>
      <c r="AS114" t="s">
        <v>599</v>
      </c>
      <c r="AT114" t="s">
        <v>599</v>
      </c>
    </row>
    <row r="115" spans="1:46" s="26" customFormat="1" ht="30" x14ac:dyDescent="0.25">
      <c r="A115" s="22">
        <v>10216</v>
      </c>
      <c r="B115" s="23">
        <v>798864</v>
      </c>
      <c r="C115" s="23">
        <v>1</v>
      </c>
      <c r="D115" s="27">
        <v>2</v>
      </c>
      <c r="E115" s="24" t="s">
        <v>144</v>
      </c>
      <c r="F115" s="25" t="s">
        <v>145</v>
      </c>
      <c r="G115" s="22"/>
      <c r="H115" s="27" t="s">
        <v>619</v>
      </c>
      <c r="I115" s="55" t="str">
        <f t="shared" si="3"/>
        <v>https://permalinkbnd.bnportugal.gov.pt/viewer/272380/?offset=#page=2&amp;viewer=picture&amp;o=info&amp;n=0&amp;q=</v>
      </c>
      <c r="J115" s="45"/>
      <c r="K115" s="45"/>
      <c r="L115" s="45"/>
      <c r="M115" t="s">
        <v>144</v>
      </c>
      <c r="N115">
        <v>272380</v>
      </c>
      <c r="O115" t="str">
        <f t="shared" si="2"/>
        <v>https://permalinkbnd.bnportugal.gov.pt/viewer/272380/?offset=#page=2&amp;viewer=picture&amp;o=info&amp;n=0&amp;q=</v>
      </c>
      <c r="P115">
        <v>798864</v>
      </c>
      <c r="Q115" t="s">
        <v>144</v>
      </c>
      <c r="R115" t="s">
        <v>1784</v>
      </c>
      <c r="S115" t="s">
        <v>1178</v>
      </c>
      <c r="T115" t="s">
        <v>1192</v>
      </c>
      <c r="U115" t="s">
        <v>599</v>
      </c>
      <c r="V115" t="s">
        <v>1551</v>
      </c>
      <c r="W115" t="s">
        <v>1785</v>
      </c>
      <c r="X115" t="s">
        <v>599</v>
      </c>
      <c r="Y115" t="s">
        <v>1786</v>
      </c>
      <c r="Z115" t="s">
        <v>1787</v>
      </c>
      <c r="AA115">
        <v>1870</v>
      </c>
      <c r="AB115">
        <v>1870</v>
      </c>
      <c r="AC115" t="s">
        <v>1788</v>
      </c>
      <c r="AD115" t="s">
        <v>1185</v>
      </c>
      <c r="AE115" t="s">
        <v>599</v>
      </c>
      <c r="AF115" t="s">
        <v>599</v>
      </c>
      <c r="AG115" t="s">
        <v>599</v>
      </c>
      <c r="AH115" t="s">
        <v>599</v>
      </c>
      <c r="AI115" t="s">
        <v>599</v>
      </c>
      <c r="AJ115" t="s">
        <v>1789</v>
      </c>
      <c r="AK115" t="s">
        <v>1188</v>
      </c>
      <c r="AL115" t="s">
        <v>1790</v>
      </c>
      <c r="AM115" t="s">
        <v>1190</v>
      </c>
      <c r="AN115" t="s">
        <v>599</v>
      </c>
      <c r="AO115" t="s">
        <v>599</v>
      </c>
      <c r="AP115" t="s">
        <v>599</v>
      </c>
      <c r="AQ115" t="s">
        <v>599</v>
      </c>
      <c r="AR115" t="s">
        <v>599</v>
      </c>
      <c r="AS115" t="s">
        <v>599</v>
      </c>
      <c r="AT115" t="s">
        <v>599</v>
      </c>
    </row>
    <row r="116" spans="1:46" s="26" customFormat="1" ht="30" x14ac:dyDescent="0.25">
      <c r="A116" s="22">
        <v>10218</v>
      </c>
      <c r="B116" s="23">
        <v>798881</v>
      </c>
      <c r="C116" s="23">
        <v>1</v>
      </c>
      <c r="D116" s="27">
        <v>5</v>
      </c>
      <c r="E116" s="24" t="s">
        <v>146</v>
      </c>
      <c r="F116" s="25" t="s">
        <v>143</v>
      </c>
      <c r="G116" s="22"/>
      <c r="H116" s="27" t="s">
        <v>618</v>
      </c>
      <c r="I116" s="55" t="str">
        <f t="shared" si="3"/>
        <v>https://permalinkbnd.bnportugal.gov.pt/viewer/272389/?offset=#page=5&amp;viewer=picture&amp;o=info&amp;n=0&amp;q=</v>
      </c>
      <c r="J116" s="45"/>
      <c r="K116" s="45"/>
      <c r="L116" s="45"/>
      <c r="M116" t="s">
        <v>146</v>
      </c>
      <c r="N116">
        <v>272389</v>
      </c>
      <c r="O116" t="str">
        <f t="shared" si="2"/>
        <v>https://permalinkbnd.bnportugal.gov.pt/viewer/272389/?offset=#page=5&amp;viewer=picture&amp;o=info&amp;n=0&amp;q=</v>
      </c>
      <c r="P116">
        <v>798881</v>
      </c>
      <c r="Q116" t="s">
        <v>146</v>
      </c>
      <c r="R116" t="s">
        <v>1791</v>
      </c>
      <c r="S116" t="s">
        <v>1178</v>
      </c>
      <c r="T116" t="s">
        <v>1192</v>
      </c>
      <c r="U116" t="s">
        <v>599</v>
      </c>
      <c r="V116" t="s">
        <v>1792</v>
      </c>
      <c r="W116" t="s">
        <v>599</v>
      </c>
      <c r="X116" t="s">
        <v>599</v>
      </c>
      <c r="Y116" t="s">
        <v>1182</v>
      </c>
      <c r="Z116" t="s">
        <v>1793</v>
      </c>
      <c r="AA116">
        <v>1883</v>
      </c>
      <c r="AB116">
        <v>1883</v>
      </c>
      <c r="AC116" t="s">
        <v>1276</v>
      </c>
      <c r="AD116" t="s">
        <v>1794</v>
      </c>
      <c r="AE116" t="s">
        <v>599</v>
      </c>
      <c r="AF116" t="s">
        <v>599</v>
      </c>
      <c r="AG116" t="s">
        <v>599</v>
      </c>
      <c r="AH116" t="s">
        <v>599</v>
      </c>
      <c r="AI116" t="s">
        <v>599</v>
      </c>
      <c r="AJ116" t="s">
        <v>1795</v>
      </c>
      <c r="AK116" t="s">
        <v>1188</v>
      </c>
      <c r="AL116" t="s">
        <v>1796</v>
      </c>
      <c r="AM116" t="s">
        <v>1190</v>
      </c>
      <c r="AN116" t="s">
        <v>599</v>
      </c>
      <c r="AO116" t="s">
        <v>599</v>
      </c>
      <c r="AP116" t="s">
        <v>599</v>
      </c>
      <c r="AQ116" t="s">
        <v>599</v>
      </c>
      <c r="AR116" t="s">
        <v>1797</v>
      </c>
      <c r="AS116" t="s">
        <v>599</v>
      </c>
      <c r="AT116" t="s">
        <v>599</v>
      </c>
    </row>
    <row r="117" spans="1:46" s="13" customFormat="1" ht="30" x14ac:dyDescent="0.25">
      <c r="A117" s="9">
        <v>10225</v>
      </c>
      <c r="B117" s="10">
        <v>800848</v>
      </c>
      <c r="C117" s="10">
        <v>1</v>
      </c>
      <c r="D117" s="9">
        <v>5</v>
      </c>
      <c r="E117" s="11" t="s">
        <v>147</v>
      </c>
      <c r="F117" s="12" t="s">
        <v>148</v>
      </c>
      <c r="G117" s="9">
        <v>5</v>
      </c>
      <c r="H117" s="34"/>
      <c r="I117" s="55" t="str">
        <f t="shared" si="3"/>
        <v>https://permalinkbnd.bnportugal.gov.pt/viewer/272392/?offset=#page=5&amp;viewer=picture&amp;o=info&amp;n=0&amp;q=</v>
      </c>
      <c r="J117" s="45"/>
      <c r="K117" s="45"/>
      <c r="L117" s="45"/>
      <c r="M117" t="s">
        <v>147</v>
      </c>
      <c r="N117">
        <v>272392</v>
      </c>
      <c r="O117" t="str">
        <f t="shared" si="2"/>
        <v>https://permalinkbnd.bnportugal.gov.pt/viewer/272392/?offset=#page=5&amp;viewer=picture&amp;o=info&amp;n=0&amp;q=</v>
      </c>
      <c r="P117">
        <v>800848</v>
      </c>
      <c r="Q117" t="s">
        <v>147</v>
      </c>
      <c r="R117" t="s">
        <v>1798</v>
      </c>
      <c r="S117" t="s">
        <v>1178</v>
      </c>
      <c r="T117" t="s">
        <v>1799</v>
      </c>
      <c r="U117" t="s">
        <v>1192</v>
      </c>
      <c r="V117" t="s">
        <v>1800</v>
      </c>
      <c r="W117" t="s">
        <v>599</v>
      </c>
      <c r="X117" t="s">
        <v>599</v>
      </c>
      <c r="Y117" t="s">
        <v>1182</v>
      </c>
      <c r="Z117" t="s">
        <v>1801</v>
      </c>
      <c r="AA117">
        <v>1883</v>
      </c>
      <c r="AB117">
        <v>1883</v>
      </c>
      <c r="AC117" t="s">
        <v>1802</v>
      </c>
      <c r="AD117" t="s">
        <v>1185</v>
      </c>
      <c r="AE117" t="s">
        <v>599</v>
      </c>
      <c r="AF117" t="s">
        <v>599</v>
      </c>
      <c r="AG117" t="s">
        <v>1803</v>
      </c>
      <c r="AH117" t="s">
        <v>599</v>
      </c>
      <c r="AI117" t="s">
        <v>599</v>
      </c>
      <c r="AJ117" t="s">
        <v>1804</v>
      </c>
      <c r="AK117" t="s">
        <v>1188</v>
      </c>
      <c r="AL117" t="s">
        <v>1805</v>
      </c>
      <c r="AM117" t="s">
        <v>1190</v>
      </c>
      <c r="AN117" t="s">
        <v>599</v>
      </c>
      <c r="AO117" t="s">
        <v>599</v>
      </c>
      <c r="AP117" t="s">
        <v>599</v>
      </c>
      <c r="AQ117" t="s">
        <v>599</v>
      </c>
      <c r="AR117" t="s">
        <v>599</v>
      </c>
      <c r="AS117" t="s">
        <v>599</v>
      </c>
      <c r="AT117" t="s">
        <v>599</v>
      </c>
    </row>
    <row r="118" spans="1:46" s="26" customFormat="1" ht="30" x14ac:dyDescent="0.25">
      <c r="A118" s="22">
        <v>10226</v>
      </c>
      <c r="B118" s="23">
        <v>800863</v>
      </c>
      <c r="C118" s="23">
        <v>1</v>
      </c>
      <c r="D118" s="27">
        <v>7</v>
      </c>
      <c r="E118" s="24" t="s">
        <v>149</v>
      </c>
      <c r="F118" s="25" t="s">
        <v>150</v>
      </c>
      <c r="G118" s="22"/>
      <c r="H118" s="27" t="s">
        <v>615</v>
      </c>
      <c r="I118" s="55" t="str">
        <f t="shared" si="3"/>
        <v>https://permalinkbnd.bnportugal.gov.pt/viewer/270350/?offset=#page=7&amp;viewer=picture&amp;o=info&amp;n=0&amp;q=</v>
      </c>
      <c r="J118" s="45"/>
      <c r="K118" s="45"/>
      <c r="L118" s="45"/>
      <c r="M118" t="s">
        <v>149</v>
      </c>
      <c r="N118">
        <v>270350</v>
      </c>
      <c r="O118" t="str">
        <f t="shared" si="2"/>
        <v>https://permalinkbnd.bnportugal.gov.pt/viewer/270350/?offset=#page=7&amp;viewer=picture&amp;o=info&amp;n=0&amp;q=</v>
      </c>
      <c r="P118">
        <v>800863</v>
      </c>
      <c r="Q118" t="s">
        <v>149</v>
      </c>
      <c r="R118" t="s">
        <v>1806</v>
      </c>
      <c r="S118" t="s">
        <v>1178</v>
      </c>
      <c r="T118" t="s">
        <v>1192</v>
      </c>
      <c r="U118" t="s">
        <v>599</v>
      </c>
      <c r="V118" t="s">
        <v>1807</v>
      </c>
      <c r="W118" t="s">
        <v>599</v>
      </c>
      <c r="X118" t="s">
        <v>599</v>
      </c>
      <c r="Y118" t="s">
        <v>1182</v>
      </c>
      <c r="Z118" t="s">
        <v>1808</v>
      </c>
      <c r="AA118">
        <v>1800</v>
      </c>
      <c r="AB118">
        <v>1800</v>
      </c>
      <c r="AC118" t="s">
        <v>1241</v>
      </c>
      <c r="AD118" t="s">
        <v>1809</v>
      </c>
      <c r="AE118" t="s">
        <v>599</v>
      </c>
      <c r="AF118" t="s">
        <v>599</v>
      </c>
      <c r="AG118" t="s">
        <v>1810</v>
      </c>
      <c r="AH118" t="s">
        <v>599</v>
      </c>
      <c r="AI118" t="s">
        <v>599</v>
      </c>
      <c r="AJ118" t="s">
        <v>1811</v>
      </c>
      <c r="AK118" t="s">
        <v>1188</v>
      </c>
      <c r="AL118" t="s">
        <v>1812</v>
      </c>
      <c r="AM118" t="s">
        <v>1190</v>
      </c>
      <c r="AN118" t="s">
        <v>599</v>
      </c>
      <c r="AO118" t="s">
        <v>599</v>
      </c>
      <c r="AP118" t="s">
        <v>599</v>
      </c>
      <c r="AQ118" t="s">
        <v>599</v>
      </c>
      <c r="AR118" t="s">
        <v>599</v>
      </c>
      <c r="AS118" t="s">
        <v>599</v>
      </c>
      <c r="AT118" t="s">
        <v>599</v>
      </c>
    </row>
    <row r="119" spans="1:46" s="26" customFormat="1" ht="30" x14ac:dyDescent="0.25">
      <c r="A119" s="22">
        <v>10227</v>
      </c>
      <c r="B119" s="23">
        <v>800870</v>
      </c>
      <c r="C119" s="23">
        <v>1</v>
      </c>
      <c r="D119" s="27">
        <v>13</v>
      </c>
      <c r="E119" s="24" t="s">
        <v>151</v>
      </c>
      <c r="F119" s="25" t="s">
        <v>152</v>
      </c>
      <c r="G119" s="22"/>
      <c r="H119" s="27" t="s">
        <v>614</v>
      </c>
      <c r="I119" s="55" t="str">
        <f t="shared" si="3"/>
        <v>https://permalinkbnd.bnportugal.gov.pt/viewer/274038/?offset=#page=13&amp;viewer=picture&amp;o=info&amp;n=0&amp;q=</v>
      </c>
      <c r="J119" s="45"/>
      <c r="K119" s="45"/>
      <c r="L119" s="45"/>
      <c r="M119" t="s">
        <v>151</v>
      </c>
      <c r="N119">
        <v>274038</v>
      </c>
      <c r="O119" t="str">
        <f t="shared" si="2"/>
        <v>https://permalinkbnd.bnportugal.gov.pt/viewer/274038/?offset=#page=13&amp;viewer=picture&amp;o=info&amp;n=0&amp;q=</v>
      </c>
      <c r="P119">
        <v>800870</v>
      </c>
      <c r="Q119" t="s">
        <v>151</v>
      </c>
      <c r="R119" t="s">
        <v>1813</v>
      </c>
      <c r="S119" t="s">
        <v>1178</v>
      </c>
      <c r="T119" t="s">
        <v>1192</v>
      </c>
      <c r="U119" t="s">
        <v>599</v>
      </c>
      <c r="V119" t="s">
        <v>1814</v>
      </c>
      <c r="W119" t="s">
        <v>599</v>
      </c>
      <c r="X119" t="s">
        <v>599</v>
      </c>
      <c r="Y119" t="s">
        <v>1182</v>
      </c>
      <c r="Z119" t="s">
        <v>1815</v>
      </c>
      <c r="AA119">
        <v>1784</v>
      </c>
      <c r="AB119">
        <v>1784</v>
      </c>
      <c r="AC119" t="s">
        <v>1816</v>
      </c>
      <c r="AD119" t="s">
        <v>1817</v>
      </c>
      <c r="AE119" t="s">
        <v>599</v>
      </c>
      <c r="AF119" t="s">
        <v>599</v>
      </c>
      <c r="AG119" t="s">
        <v>1818</v>
      </c>
      <c r="AH119" t="s">
        <v>599</v>
      </c>
      <c r="AI119" t="s">
        <v>599</v>
      </c>
      <c r="AJ119" t="s">
        <v>1819</v>
      </c>
      <c r="AK119" t="s">
        <v>1188</v>
      </c>
      <c r="AL119" t="s">
        <v>1820</v>
      </c>
      <c r="AM119" t="s">
        <v>1190</v>
      </c>
      <c r="AN119" t="s">
        <v>599</v>
      </c>
      <c r="AO119" t="s">
        <v>599</v>
      </c>
      <c r="AP119" t="s">
        <v>599</v>
      </c>
      <c r="AQ119" t="s">
        <v>599</v>
      </c>
      <c r="AR119" t="s">
        <v>599</v>
      </c>
      <c r="AS119" t="s">
        <v>599</v>
      </c>
      <c r="AT119" t="s">
        <v>599</v>
      </c>
    </row>
    <row r="120" spans="1:46" s="13" customFormat="1" ht="30" x14ac:dyDescent="0.25">
      <c r="A120" s="9">
        <v>10229</v>
      </c>
      <c r="B120" s="10">
        <v>801047</v>
      </c>
      <c r="C120" s="10">
        <v>1</v>
      </c>
      <c r="D120" s="9">
        <v>3</v>
      </c>
      <c r="E120" s="11" t="s">
        <v>153</v>
      </c>
      <c r="F120" s="12">
        <v>3</v>
      </c>
      <c r="G120" s="9">
        <v>3</v>
      </c>
      <c r="H120" s="34"/>
      <c r="I120" s="55" t="str">
        <f t="shared" si="3"/>
        <v>https://permalinkbnd.bnportugal.gov.pt/viewer/272399/?offset=#page=3&amp;viewer=picture&amp;o=info&amp;n=0&amp;q=</v>
      </c>
      <c r="J120" s="45"/>
      <c r="K120" s="45"/>
      <c r="L120" s="45"/>
      <c r="M120" t="s">
        <v>153</v>
      </c>
      <c r="N120">
        <v>272399</v>
      </c>
      <c r="O120" t="str">
        <f t="shared" si="2"/>
        <v>https://permalinkbnd.bnportugal.gov.pt/viewer/272399/?offset=#page=3&amp;viewer=picture&amp;o=info&amp;n=0&amp;q=</v>
      </c>
      <c r="P120">
        <v>801047</v>
      </c>
      <c r="Q120" t="s">
        <v>153</v>
      </c>
      <c r="R120" t="s">
        <v>599</v>
      </c>
      <c r="S120" t="s">
        <v>1178</v>
      </c>
      <c r="T120" t="s">
        <v>1192</v>
      </c>
      <c r="U120" t="s">
        <v>599</v>
      </c>
      <c r="V120" t="s">
        <v>1821</v>
      </c>
      <c r="W120" t="s">
        <v>1822</v>
      </c>
      <c r="X120" t="s">
        <v>599</v>
      </c>
      <c r="Y120" t="s">
        <v>1182</v>
      </c>
      <c r="Z120" t="s">
        <v>1437</v>
      </c>
      <c r="AA120">
        <v>1880</v>
      </c>
      <c r="AB120">
        <v>1880</v>
      </c>
      <c r="AC120" t="s">
        <v>1823</v>
      </c>
      <c r="AD120" t="s">
        <v>1824</v>
      </c>
      <c r="AE120" t="s">
        <v>599</v>
      </c>
      <c r="AF120" t="s">
        <v>599</v>
      </c>
      <c r="AG120" t="s">
        <v>599</v>
      </c>
      <c r="AH120" t="s">
        <v>599</v>
      </c>
      <c r="AI120" t="s">
        <v>599</v>
      </c>
      <c r="AJ120" t="s">
        <v>1825</v>
      </c>
      <c r="AK120" t="s">
        <v>1188</v>
      </c>
      <c r="AL120" t="s">
        <v>1826</v>
      </c>
      <c r="AM120" t="s">
        <v>1190</v>
      </c>
      <c r="AN120" t="s">
        <v>599</v>
      </c>
      <c r="AO120" t="s">
        <v>599</v>
      </c>
      <c r="AP120" t="s">
        <v>599</v>
      </c>
      <c r="AQ120" t="s">
        <v>599</v>
      </c>
      <c r="AR120" t="s">
        <v>599</v>
      </c>
      <c r="AS120" t="s">
        <v>599</v>
      </c>
      <c r="AT120" t="s">
        <v>599</v>
      </c>
    </row>
    <row r="121" spans="1:46" s="13" customFormat="1" ht="30" x14ac:dyDescent="0.25">
      <c r="A121" s="9">
        <v>10231</v>
      </c>
      <c r="B121" s="10">
        <v>804699</v>
      </c>
      <c r="C121" s="10">
        <v>1</v>
      </c>
      <c r="D121" s="9">
        <v>8</v>
      </c>
      <c r="E121" s="11" t="s">
        <v>154</v>
      </c>
      <c r="F121" s="12" t="s">
        <v>155</v>
      </c>
      <c r="G121" s="9">
        <v>8</v>
      </c>
      <c r="H121" s="34"/>
      <c r="I121" s="55" t="str">
        <f t="shared" si="3"/>
        <v>https://permalinkbnd.bnportugal.gov.pt/viewer/274084/?offset=#page=8&amp;viewer=picture&amp;o=info&amp;n=0&amp;q=</v>
      </c>
      <c r="J121" s="45"/>
      <c r="K121" s="45"/>
      <c r="L121" s="45"/>
      <c r="M121" t="s">
        <v>154</v>
      </c>
      <c r="N121">
        <v>274084</v>
      </c>
      <c r="O121" t="str">
        <f t="shared" si="2"/>
        <v>https://permalinkbnd.bnportugal.gov.pt/viewer/274084/?offset=#page=8&amp;viewer=picture&amp;o=info&amp;n=0&amp;q=</v>
      </c>
      <c r="P121">
        <v>804699</v>
      </c>
      <c r="Q121" t="s">
        <v>154</v>
      </c>
      <c r="R121" t="s">
        <v>1827</v>
      </c>
      <c r="S121" t="s">
        <v>1178</v>
      </c>
      <c r="T121" t="s">
        <v>1192</v>
      </c>
      <c r="U121" t="s">
        <v>599</v>
      </c>
      <c r="V121" t="s">
        <v>1551</v>
      </c>
      <c r="W121" t="s">
        <v>1778</v>
      </c>
      <c r="X121" t="s">
        <v>599</v>
      </c>
      <c r="Y121" t="s">
        <v>1828</v>
      </c>
      <c r="Z121" t="s">
        <v>1829</v>
      </c>
      <c r="AA121">
        <v>1836</v>
      </c>
      <c r="AB121">
        <v>1836</v>
      </c>
      <c r="AC121" t="s">
        <v>1830</v>
      </c>
      <c r="AD121" t="s">
        <v>1185</v>
      </c>
      <c r="AE121" t="s">
        <v>599</v>
      </c>
      <c r="AF121" t="s">
        <v>599</v>
      </c>
      <c r="AG121" t="s">
        <v>1831</v>
      </c>
      <c r="AH121" t="s">
        <v>599</v>
      </c>
      <c r="AI121" t="s">
        <v>599</v>
      </c>
      <c r="AJ121" t="s">
        <v>1832</v>
      </c>
      <c r="AK121" t="s">
        <v>1188</v>
      </c>
      <c r="AL121" t="s">
        <v>1833</v>
      </c>
      <c r="AM121" t="s">
        <v>1190</v>
      </c>
      <c r="AN121" t="s">
        <v>599</v>
      </c>
      <c r="AO121" t="s">
        <v>599</v>
      </c>
      <c r="AP121" t="s">
        <v>599</v>
      </c>
      <c r="AQ121" t="s">
        <v>599</v>
      </c>
      <c r="AR121" t="s">
        <v>599</v>
      </c>
      <c r="AS121" t="s">
        <v>599</v>
      </c>
      <c r="AT121" t="s">
        <v>599</v>
      </c>
    </row>
    <row r="122" spans="1:46" s="13" customFormat="1" ht="30" x14ac:dyDescent="0.25">
      <c r="A122" s="9">
        <v>10232</v>
      </c>
      <c r="B122" s="10">
        <v>804707</v>
      </c>
      <c r="C122" s="10">
        <v>1</v>
      </c>
      <c r="D122" s="9">
        <v>8</v>
      </c>
      <c r="E122" s="11" t="s">
        <v>156</v>
      </c>
      <c r="F122" s="12" t="s">
        <v>157</v>
      </c>
      <c r="G122" s="9" t="s">
        <v>158</v>
      </c>
      <c r="H122" s="34"/>
      <c r="I122" s="55" t="str">
        <f t="shared" si="3"/>
        <v>https://permalinkbnd.bnportugal.gov.pt/viewer/272355/?offset=#page=8&amp;viewer=picture&amp;o=info&amp;n=0&amp;q=</v>
      </c>
      <c r="J122" s="45"/>
      <c r="K122" s="45"/>
      <c r="L122" s="45"/>
      <c r="M122" t="s">
        <v>156</v>
      </c>
      <c r="N122">
        <v>272355</v>
      </c>
      <c r="O122" t="str">
        <f t="shared" si="2"/>
        <v>https://permalinkbnd.bnportugal.gov.pt/viewer/272355/?offset=#page=8&amp;viewer=picture&amp;o=info&amp;n=0&amp;q=</v>
      </c>
      <c r="P122">
        <v>804707</v>
      </c>
      <c r="Q122" t="s">
        <v>156</v>
      </c>
      <c r="R122" t="s">
        <v>1834</v>
      </c>
      <c r="S122" t="s">
        <v>1178</v>
      </c>
      <c r="T122" t="s">
        <v>1192</v>
      </c>
      <c r="U122" t="s">
        <v>599</v>
      </c>
      <c r="V122" t="s">
        <v>1551</v>
      </c>
      <c r="W122" t="s">
        <v>1835</v>
      </c>
      <c r="X122" t="s">
        <v>599</v>
      </c>
      <c r="Y122" t="s">
        <v>1182</v>
      </c>
      <c r="Z122" t="s">
        <v>1836</v>
      </c>
      <c r="AA122">
        <v>1840</v>
      </c>
      <c r="AB122">
        <v>1840</v>
      </c>
      <c r="AC122" t="s">
        <v>1837</v>
      </c>
      <c r="AD122" t="s">
        <v>1185</v>
      </c>
      <c r="AE122" t="s">
        <v>599</v>
      </c>
      <c r="AF122" t="s">
        <v>599</v>
      </c>
      <c r="AG122" t="s">
        <v>1838</v>
      </c>
      <c r="AH122" t="s">
        <v>599</v>
      </c>
      <c r="AI122" t="s">
        <v>599</v>
      </c>
      <c r="AJ122" t="s">
        <v>1839</v>
      </c>
      <c r="AK122" t="s">
        <v>1188</v>
      </c>
      <c r="AL122" t="s">
        <v>1840</v>
      </c>
      <c r="AM122" t="s">
        <v>1190</v>
      </c>
      <c r="AN122" t="s">
        <v>599</v>
      </c>
      <c r="AO122" t="s">
        <v>599</v>
      </c>
      <c r="AP122" t="s">
        <v>599</v>
      </c>
      <c r="AQ122" t="s">
        <v>599</v>
      </c>
      <c r="AR122" t="s">
        <v>599</v>
      </c>
      <c r="AS122" t="s">
        <v>599</v>
      </c>
      <c r="AT122" t="s">
        <v>599</v>
      </c>
    </row>
    <row r="123" spans="1:46" s="13" customFormat="1" ht="30" x14ac:dyDescent="0.25">
      <c r="A123" s="9">
        <v>10233</v>
      </c>
      <c r="B123" s="10">
        <v>804707</v>
      </c>
      <c r="C123" s="10">
        <v>1</v>
      </c>
      <c r="D123" s="9">
        <v>42</v>
      </c>
      <c r="E123" s="11" t="s">
        <v>156</v>
      </c>
      <c r="F123" s="12" t="s">
        <v>157</v>
      </c>
      <c r="G123" s="9" t="s">
        <v>158</v>
      </c>
      <c r="H123" s="34"/>
      <c r="I123" s="55" t="str">
        <f t="shared" si="3"/>
        <v>https://permalinkbnd.bnportugal.gov.pt/viewer/272355/?offset=#page=42&amp;viewer=picture&amp;o=info&amp;n=0&amp;q=</v>
      </c>
      <c r="J123" s="45"/>
      <c r="K123" s="45"/>
      <c r="L123" s="45"/>
      <c r="M123" t="s">
        <v>156</v>
      </c>
      <c r="N123">
        <v>272355</v>
      </c>
      <c r="O123" t="str">
        <f t="shared" si="2"/>
        <v>https://permalinkbnd.bnportugal.gov.pt/viewer/272355/?offset=#page=42&amp;viewer=picture&amp;o=info&amp;n=0&amp;q=</v>
      </c>
      <c r="P123">
        <v>804707</v>
      </c>
      <c r="Q123" t="s">
        <v>156</v>
      </c>
      <c r="R123" t="s">
        <v>1834</v>
      </c>
      <c r="S123" t="s">
        <v>1178</v>
      </c>
      <c r="T123" t="s">
        <v>1192</v>
      </c>
      <c r="U123" t="s">
        <v>599</v>
      </c>
      <c r="V123" t="s">
        <v>1551</v>
      </c>
      <c r="W123" t="s">
        <v>1835</v>
      </c>
      <c r="X123" t="s">
        <v>599</v>
      </c>
      <c r="Y123" t="s">
        <v>1182</v>
      </c>
      <c r="Z123" t="s">
        <v>1836</v>
      </c>
      <c r="AA123">
        <v>1840</v>
      </c>
      <c r="AB123">
        <v>1840</v>
      </c>
      <c r="AC123" t="s">
        <v>1837</v>
      </c>
      <c r="AD123" t="s">
        <v>1185</v>
      </c>
      <c r="AE123" t="s">
        <v>599</v>
      </c>
      <c r="AF123" t="s">
        <v>599</v>
      </c>
      <c r="AG123" t="s">
        <v>1838</v>
      </c>
      <c r="AH123" t="s">
        <v>599</v>
      </c>
      <c r="AI123" t="s">
        <v>599</v>
      </c>
      <c r="AJ123" t="s">
        <v>1839</v>
      </c>
      <c r="AK123" t="s">
        <v>1188</v>
      </c>
      <c r="AL123" t="s">
        <v>1840</v>
      </c>
      <c r="AM123" t="s">
        <v>1190</v>
      </c>
      <c r="AN123" t="s">
        <v>599</v>
      </c>
      <c r="AO123" t="s">
        <v>599</v>
      </c>
      <c r="AP123" t="s">
        <v>599</v>
      </c>
      <c r="AQ123" t="s">
        <v>599</v>
      </c>
      <c r="AR123" t="s">
        <v>599</v>
      </c>
      <c r="AS123" t="s">
        <v>599</v>
      </c>
      <c r="AT123" t="s">
        <v>599</v>
      </c>
    </row>
    <row r="124" spans="1:46" s="13" customFormat="1" ht="60" x14ac:dyDescent="0.25">
      <c r="A124" s="9">
        <v>10234</v>
      </c>
      <c r="B124" s="10">
        <v>804731</v>
      </c>
      <c r="C124" s="10">
        <v>1</v>
      </c>
      <c r="D124" s="9">
        <v>10</v>
      </c>
      <c r="E124" s="11" t="s">
        <v>159</v>
      </c>
      <c r="F124" s="12" t="s">
        <v>160</v>
      </c>
      <c r="G124" s="9" t="s">
        <v>161</v>
      </c>
      <c r="H124" s="34"/>
      <c r="I124" s="55" t="str">
        <f t="shared" si="3"/>
        <v>https://permalinkbnd.bnportugal.gov.pt/viewer/270138/?offset=#page=10&amp;viewer=picture&amp;o=info&amp;n=0&amp;q=</v>
      </c>
      <c r="J124" s="45"/>
      <c r="K124" s="45"/>
      <c r="L124" s="45"/>
      <c r="M124" t="s">
        <v>159</v>
      </c>
      <c r="N124">
        <v>270138</v>
      </c>
      <c r="O124" t="str">
        <f t="shared" si="2"/>
        <v>https://permalinkbnd.bnportugal.gov.pt/viewer/270138/?offset=#page=10&amp;viewer=picture&amp;o=info&amp;n=0&amp;q=</v>
      </c>
      <c r="P124">
        <v>804731</v>
      </c>
      <c r="Q124" t="s">
        <v>159</v>
      </c>
      <c r="R124" t="s">
        <v>1841</v>
      </c>
      <c r="S124" t="s">
        <v>1178</v>
      </c>
      <c r="T124" t="s">
        <v>1192</v>
      </c>
      <c r="U124" t="s">
        <v>599</v>
      </c>
      <c r="V124" t="s">
        <v>1842</v>
      </c>
      <c r="W124" t="s">
        <v>1843</v>
      </c>
      <c r="X124" t="s">
        <v>599</v>
      </c>
      <c r="Y124" t="s">
        <v>1182</v>
      </c>
      <c r="Z124" t="s">
        <v>1221</v>
      </c>
      <c r="AA124">
        <v>1860</v>
      </c>
      <c r="AB124">
        <v>1860</v>
      </c>
      <c r="AC124" t="s">
        <v>1844</v>
      </c>
      <c r="AD124" t="s">
        <v>1185</v>
      </c>
      <c r="AE124" t="s">
        <v>599</v>
      </c>
      <c r="AF124" t="s">
        <v>599</v>
      </c>
      <c r="AG124" t="s">
        <v>1845</v>
      </c>
      <c r="AH124" t="s">
        <v>599</v>
      </c>
      <c r="AI124" t="s">
        <v>599</v>
      </c>
      <c r="AJ124" t="s">
        <v>1846</v>
      </c>
      <c r="AK124" t="s">
        <v>1188</v>
      </c>
      <c r="AL124" t="s">
        <v>1847</v>
      </c>
      <c r="AM124" t="s">
        <v>1190</v>
      </c>
      <c r="AN124" t="s">
        <v>599</v>
      </c>
      <c r="AO124" t="s">
        <v>599</v>
      </c>
      <c r="AP124" t="s">
        <v>599</v>
      </c>
      <c r="AQ124" t="s">
        <v>599</v>
      </c>
      <c r="AR124" t="s">
        <v>599</v>
      </c>
      <c r="AS124" t="s">
        <v>599</v>
      </c>
      <c r="AT124" t="s">
        <v>599</v>
      </c>
    </row>
    <row r="125" spans="1:46" s="21" customFormat="1" ht="60" x14ac:dyDescent="0.25">
      <c r="A125" s="17">
        <v>10235</v>
      </c>
      <c r="B125" s="18">
        <v>804731</v>
      </c>
      <c r="C125" s="18">
        <v>1</v>
      </c>
      <c r="D125" s="17">
        <v>10</v>
      </c>
      <c r="E125" s="19" t="s">
        <v>159</v>
      </c>
      <c r="F125" s="20" t="s">
        <v>160</v>
      </c>
      <c r="G125" s="17" t="s">
        <v>161</v>
      </c>
      <c r="H125" s="36" t="s">
        <v>625</v>
      </c>
      <c r="I125" s="55" t="str">
        <f t="shared" si="3"/>
        <v>https://permalinkbnd.bnportugal.gov.pt/viewer/270138/?offset=#page=10&amp;viewer=picture&amp;o=info&amp;n=0&amp;q=</v>
      </c>
      <c r="J125" s="45"/>
      <c r="K125" s="45"/>
      <c r="L125" s="45"/>
      <c r="M125" t="s">
        <v>159</v>
      </c>
      <c r="N125">
        <v>270138</v>
      </c>
      <c r="O125" t="str">
        <f t="shared" si="2"/>
        <v>https://permalinkbnd.bnportugal.gov.pt/viewer/270138/?offset=#page=10&amp;viewer=picture&amp;o=info&amp;n=0&amp;q=</v>
      </c>
      <c r="P125">
        <v>804731</v>
      </c>
      <c r="Q125" t="s">
        <v>159</v>
      </c>
      <c r="R125" t="s">
        <v>599</v>
      </c>
      <c r="S125" t="s">
        <v>1178</v>
      </c>
      <c r="T125" t="s">
        <v>1192</v>
      </c>
      <c r="U125" t="s">
        <v>599</v>
      </c>
      <c r="V125" t="s">
        <v>1842</v>
      </c>
      <c r="W125" t="s">
        <v>1843</v>
      </c>
      <c r="X125" t="s">
        <v>599</v>
      </c>
      <c r="Y125" t="s">
        <v>1182</v>
      </c>
      <c r="Z125" t="s">
        <v>1221</v>
      </c>
      <c r="AA125">
        <v>1860</v>
      </c>
      <c r="AB125">
        <v>1860</v>
      </c>
      <c r="AC125" t="s">
        <v>1844</v>
      </c>
      <c r="AD125" t="s">
        <v>1185</v>
      </c>
      <c r="AE125" t="s">
        <v>599</v>
      </c>
      <c r="AF125" t="s">
        <v>599</v>
      </c>
      <c r="AG125" t="s">
        <v>1845</v>
      </c>
      <c r="AH125" t="s">
        <v>599</v>
      </c>
      <c r="AI125" t="s">
        <v>599</v>
      </c>
      <c r="AJ125" t="s">
        <v>1846</v>
      </c>
      <c r="AK125" t="s">
        <v>1188</v>
      </c>
      <c r="AL125" t="s">
        <v>1847</v>
      </c>
      <c r="AM125" t="s">
        <v>1190</v>
      </c>
      <c r="AN125" t="s">
        <v>599</v>
      </c>
      <c r="AO125" t="s">
        <v>599</v>
      </c>
      <c r="AP125" t="s">
        <v>599</v>
      </c>
      <c r="AQ125" t="s">
        <v>599</v>
      </c>
      <c r="AR125" t="s">
        <v>599</v>
      </c>
      <c r="AS125" t="s">
        <v>599</v>
      </c>
      <c r="AT125" t="s">
        <v>599</v>
      </c>
    </row>
    <row r="126" spans="1:46" s="32" customFormat="1" ht="60" x14ac:dyDescent="0.25">
      <c r="A126" s="28">
        <v>10236</v>
      </c>
      <c r="B126" s="29">
        <v>804731</v>
      </c>
      <c r="C126" s="29">
        <v>1</v>
      </c>
      <c r="D126" s="28">
        <v>43</v>
      </c>
      <c r="E126" s="30" t="s">
        <v>159</v>
      </c>
      <c r="F126" s="31" t="s">
        <v>160</v>
      </c>
      <c r="G126" s="28" t="s">
        <v>161</v>
      </c>
      <c r="H126" s="35" t="s">
        <v>613</v>
      </c>
      <c r="I126" s="55" t="str">
        <f t="shared" si="3"/>
        <v>https://permalinkbnd.bnportugal.gov.pt/viewer/270138/?offset=#page=43&amp;viewer=picture&amp;o=info&amp;n=0&amp;q=</v>
      </c>
      <c r="J126" s="45"/>
      <c r="K126" s="45"/>
      <c r="L126" s="45"/>
      <c r="M126" t="s">
        <v>159</v>
      </c>
      <c r="N126">
        <v>270138</v>
      </c>
      <c r="O126" t="str">
        <f t="shared" si="2"/>
        <v>https://permalinkbnd.bnportugal.gov.pt/viewer/270138/?offset=#page=43&amp;viewer=picture&amp;o=info&amp;n=0&amp;q=</v>
      </c>
      <c r="P126">
        <v>804731</v>
      </c>
      <c r="Q126" t="s">
        <v>159</v>
      </c>
      <c r="R126" t="s">
        <v>599</v>
      </c>
      <c r="S126" t="s">
        <v>1178</v>
      </c>
      <c r="T126" t="s">
        <v>1192</v>
      </c>
      <c r="U126" t="s">
        <v>599</v>
      </c>
      <c r="V126" t="s">
        <v>1842</v>
      </c>
      <c r="W126" t="s">
        <v>1843</v>
      </c>
      <c r="X126" t="s">
        <v>599</v>
      </c>
      <c r="Y126" t="s">
        <v>1182</v>
      </c>
      <c r="Z126" t="s">
        <v>1221</v>
      </c>
      <c r="AA126">
        <v>1860</v>
      </c>
      <c r="AB126">
        <v>1860</v>
      </c>
      <c r="AC126" t="s">
        <v>1844</v>
      </c>
      <c r="AD126" t="s">
        <v>1185</v>
      </c>
      <c r="AE126" t="s">
        <v>599</v>
      </c>
      <c r="AF126" t="s">
        <v>599</v>
      </c>
      <c r="AG126" t="s">
        <v>1845</v>
      </c>
      <c r="AH126" t="s">
        <v>599</v>
      </c>
      <c r="AI126" t="s">
        <v>599</v>
      </c>
      <c r="AJ126" t="s">
        <v>1846</v>
      </c>
      <c r="AK126" t="s">
        <v>1188</v>
      </c>
      <c r="AL126" t="s">
        <v>1847</v>
      </c>
      <c r="AM126" t="s">
        <v>1190</v>
      </c>
      <c r="AN126" t="s">
        <v>599</v>
      </c>
      <c r="AO126" t="s">
        <v>599</v>
      </c>
      <c r="AP126" t="s">
        <v>599</v>
      </c>
      <c r="AQ126" t="s">
        <v>599</v>
      </c>
      <c r="AR126" t="s">
        <v>599</v>
      </c>
      <c r="AS126" t="s">
        <v>599</v>
      </c>
      <c r="AT126" t="s">
        <v>599</v>
      </c>
    </row>
    <row r="127" spans="1:46" s="32" customFormat="1" ht="60" x14ac:dyDescent="0.25">
      <c r="A127" s="28">
        <v>10237</v>
      </c>
      <c r="B127" s="29">
        <v>804731</v>
      </c>
      <c r="C127" s="29">
        <v>1</v>
      </c>
      <c r="D127" s="28">
        <v>174</v>
      </c>
      <c r="E127" s="30" t="s">
        <v>159</v>
      </c>
      <c r="F127" s="31" t="s">
        <v>160</v>
      </c>
      <c r="G127" s="28" t="s">
        <v>161</v>
      </c>
      <c r="H127" s="35" t="s">
        <v>613</v>
      </c>
      <c r="I127" s="55" t="str">
        <f t="shared" si="3"/>
        <v>https://permalinkbnd.bnportugal.gov.pt/viewer/270138/?offset=#page=174&amp;viewer=picture&amp;o=info&amp;n=0&amp;q=</v>
      </c>
      <c r="J127" s="45"/>
      <c r="K127" s="45"/>
      <c r="L127" s="45"/>
      <c r="M127" t="s">
        <v>159</v>
      </c>
      <c r="N127">
        <v>270138</v>
      </c>
      <c r="O127" t="str">
        <f t="shared" si="2"/>
        <v>https://permalinkbnd.bnportugal.gov.pt/viewer/270138/?offset=#page=174&amp;viewer=picture&amp;o=info&amp;n=0&amp;q=</v>
      </c>
      <c r="P127">
        <v>804731</v>
      </c>
      <c r="Q127" t="s">
        <v>159</v>
      </c>
      <c r="R127" t="s">
        <v>1841</v>
      </c>
      <c r="S127" t="s">
        <v>1178</v>
      </c>
      <c r="T127" t="s">
        <v>1192</v>
      </c>
      <c r="U127" t="s">
        <v>599</v>
      </c>
      <c r="V127" t="s">
        <v>1842</v>
      </c>
      <c r="W127" t="s">
        <v>1843</v>
      </c>
      <c r="X127" t="s">
        <v>599</v>
      </c>
      <c r="Y127" t="s">
        <v>1182</v>
      </c>
      <c r="Z127" t="s">
        <v>1221</v>
      </c>
      <c r="AA127">
        <v>1860</v>
      </c>
      <c r="AB127">
        <v>1860</v>
      </c>
      <c r="AC127" t="s">
        <v>1844</v>
      </c>
      <c r="AD127" t="s">
        <v>1185</v>
      </c>
      <c r="AE127" t="s">
        <v>599</v>
      </c>
      <c r="AF127" t="s">
        <v>599</v>
      </c>
      <c r="AG127" t="s">
        <v>1845</v>
      </c>
      <c r="AH127" t="s">
        <v>599</v>
      </c>
      <c r="AI127" t="s">
        <v>599</v>
      </c>
      <c r="AJ127" t="s">
        <v>1846</v>
      </c>
      <c r="AK127" t="s">
        <v>1188</v>
      </c>
      <c r="AL127" t="s">
        <v>1847</v>
      </c>
      <c r="AM127" t="s">
        <v>1190</v>
      </c>
      <c r="AN127" t="s">
        <v>599</v>
      </c>
      <c r="AO127" t="s">
        <v>599</v>
      </c>
      <c r="AP127" t="s">
        <v>599</v>
      </c>
      <c r="AQ127" t="s">
        <v>599</v>
      </c>
      <c r="AR127" t="s">
        <v>599</v>
      </c>
      <c r="AS127" t="s">
        <v>599</v>
      </c>
      <c r="AT127" t="s">
        <v>599</v>
      </c>
    </row>
    <row r="128" spans="1:46" s="32" customFormat="1" ht="60" x14ac:dyDescent="0.25">
      <c r="A128" s="28">
        <v>10238</v>
      </c>
      <c r="B128" s="29">
        <v>804731</v>
      </c>
      <c r="C128" s="29">
        <v>1</v>
      </c>
      <c r="D128" s="28">
        <v>388</v>
      </c>
      <c r="E128" s="30" t="s">
        <v>159</v>
      </c>
      <c r="F128" s="31" t="s">
        <v>160</v>
      </c>
      <c r="G128" s="28" t="s">
        <v>161</v>
      </c>
      <c r="H128" s="35" t="s">
        <v>613</v>
      </c>
      <c r="I128" s="55" t="str">
        <f t="shared" si="3"/>
        <v>https://permalinkbnd.bnportugal.gov.pt/viewer/270138/?offset=#page=388&amp;viewer=picture&amp;o=info&amp;n=0&amp;q=</v>
      </c>
      <c r="J128" s="45"/>
      <c r="K128" s="45"/>
      <c r="L128" s="45"/>
      <c r="M128" t="s">
        <v>159</v>
      </c>
      <c r="N128">
        <v>270138</v>
      </c>
      <c r="O128" t="str">
        <f t="shared" si="2"/>
        <v>https://permalinkbnd.bnportugal.gov.pt/viewer/270138/?offset=#page=388&amp;viewer=picture&amp;o=info&amp;n=0&amp;q=</v>
      </c>
      <c r="P128">
        <v>804731</v>
      </c>
      <c r="Q128" t="s">
        <v>159</v>
      </c>
      <c r="R128" t="s">
        <v>599</v>
      </c>
      <c r="S128" t="s">
        <v>1178</v>
      </c>
      <c r="T128" t="s">
        <v>1192</v>
      </c>
      <c r="U128" t="s">
        <v>599</v>
      </c>
      <c r="V128" t="s">
        <v>1842</v>
      </c>
      <c r="W128" t="s">
        <v>1843</v>
      </c>
      <c r="X128" t="s">
        <v>599</v>
      </c>
      <c r="Y128" t="s">
        <v>1182</v>
      </c>
      <c r="Z128" t="s">
        <v>1221</v>
      </c>
      <c r="AA128">
        <v>1860</v>
      </c>
      <c r="AB128">
        <v>1860</v>
      </c>
      <c r="AC128" t="s">
        <v>1844</v>
      </c>
      <c r="AD128" t="s">
        <v>1185</v>
      </c>
      <c r="AE128" t="s">
        <v>599</v>
      </c>
      <c r="AF128" t="s">
        <v>599</v>
      </c>
      <c r="AG128" t="s">
        <v>1845</v>
      </c>
      <c r="AH128" t="s">
        <v>599</v>
      </c>
      <c r="AI128" t="s">
        <v>599</v>
      </c>
      <c r="AJ128" t="s">
        <v>1846</v>
      </c>
      <c r="AK128" t="s">
        <v>1188</v>
      </c>
      <c r="AL128" t="s">
        <v>1847</v>
      </c>
      <c r="AM128" t="s">
        <v>1190</v>
      </c>
      <c r="AN128" t="s">
        <v>599</v>
      </c>
      <c r="AO128" t="s">
        <v>599</v>
      </c>
      <c r="AP128" t="s">
        <v>599</v>
      </c>
      <c r="AQ128" t="s">
        <v>599</v>
      </c>
      <c r="AR128" t="s">
        <v>599</v>
      </c>
      <c r="AS128" t="s">
        <v>599</v>
      </c>
      <c r="AT128" t="s">
        <v>599</v>
      </c>
    </row>
    <row r="129" spans="1:46" s="32" customFormat="1" ht="30" x14ac:dyDescent="0.25">
      <c r="A129" s="28">
        <v>10239</v>
      </c>
      <c r="B129" s="29">
        <v>805036</v>
      </c>
      <c r="C129" s="29">
        <v>1</v>
      </c>
      <c r="D129" s="28">
        <v>7</v>
      </c>
      <c r="E129" s="30" t="s">
        <v>162</v>
      </c>
      <c r="F129" s="31">
        <v>7</v>
      </c>
      <c r="G129" s="28">
        <v>7</v>
      </c>
      <c r="H129" s="35" t="s">
        <v>626</v>
      </c>
      <c r="I129" s="55" t="str">
        <f t="shared" si="3"/>
        <v>https://permalinkbnd.bnportugal.gov.pt/viewer/270047/?offset=#page=7&amp;viewer=picture&amp;o=info&amp;n=0&amp;q=</v>
      </c>
      <c r="J129" s="45"/>
      <c r="K129" s="45"/>
      <c r="L129" s="45"/>
      <c r="M129" t="s">
        <v>162</v>
      </c>
      <c r="N129">
        <v>270047</v>
      </c>
      <c r="O129" t="str">
        <f t="shared" si="2"/>
        <v>https://permalinkbnd.bnportugal.gov.pt/viewer/270047/?offset=#page=7&amp;viewer=picture&amp;o=info&amp;n=0&amp;q=</v>
      </c>
      <c r="P129">
        <v>805036</v>
      </c>
      <c r="Q129" t="s">
        <v>162</v>
      </c>
      <c r="R129" t="s">
        <v>1848</v>
      </c>
      <c r="S129" t="s">
        <v>1178</v>
      </c>
      <c r="T129" t="s">
        <v>1192</v>
      </c>
      <c r="U129" t="s">
        <v>599</v>
      </c>
      <c r="V129" t="s">
        <v>1849</v>
      </c>
      <c r="W129" t="s">
        <v>1850</v>
      </c>
      <c r="X129" t="s">
        <v>599</v>
      </c>
      <c r="Y129" t="s">
        <v>1182</v>
      </c>
      <c r="Z129" t="s">
        <v>1437</v>
      </c>
      <c r="AA129">
        <v>1886</v>
      </c>
      <c r="AB129">
        <v>1886</v>
      </c>
      <c r="AC129" t="s">
        <v>1851</v>
      </c>
      <c r="AD129" t="s">
        <v>1185</v>
      </c>
      <c r="AE129" t="s">
        <v>599</v>
      </c>
      <c r="AF129" t="s">
        <v>599</v>
      </c>
      <c r="AG129" t="s">
        <v>1852</v>
      </c>
      <c r="AH129" t="s">
        <v>599</v>
      </c>
      <c r="AI129" t="s">
        <v>599</v>
      </c>
      <c r="AJ129" t="s">
        <v>1853</v>
      </c>
      <c r="AK129" t="s">
        <v>599</v>
      </c>
      <c r="AL129" t="s">
        <v>1854</v>
      </c>
      <c r="AM129" t="s">
        <v>1190</v>
      </c>
      <c r="AN129" t="s">
        <v>599</v>
      </c>
      <c r="AO129" t="s">
        <v>599</v>
      </c>
      <c r="AP129" t="s">
        <v>599</v>
      </c>
      <c r="AQ129" t="s">
        <v>599</v>
      </c>
      <c r="AR129" t="s">
        <v>599</v>
      </c>
      <c r="AS129" t="s">
        <v>599</v>
      </c>
      <c r="AT129" t="s">
        <v>599</v>
      </c>
    </row>
    <row r="130" spans="1:46" s="26" customFormat="1" ht="30" x14ac:dyDescent="0.25">
      <c r="A130" s="22">
        <v>10242</v>
      </c>
      <c r="B130" s="23">
        <v>807561</v>
      </c>
      <c r="C130" s="23">
        <v>1</v>
      </c>
      <c r="D130" s="27">
        <v>8</v>
      </c>
      <c r="E130" s="24" t="s">
        <v>163</v>
      </c>
      <c r="F130" s="25" t="s">
        <v>164</v>
      </c>
      <c r="G130" s="22"/>
      <c r="H130" s="27" t="s">
        <v>617</v>
      </c>
      <c r="I130" s="55" t="str">
        <f t="shared" si="3"/>
        <v>https://permalinkbnd.bnportugal.gov.pt/viewer/274169/?offset=#page=8&amp;viewer=picture&amp;o=info&amp;n=0&amp;q=</v>
      </c>
      <c r="J130" s="45"/>
      <c r="K130" s="45"/>
      <c r="L130" s="45"/>
      <c r="M130" t="s">
        <v>163</v>
      </c>
      <c r="N130">
        <v>274169</v>
      </c>
      <c r="O130" t="str">
        <f t="shared" ref="O130:O193" si="4">CONCATENATE("https://permalinkbnd.bnportugal.gov.pt/viewer/",N130,"/?offset=#page=",D130,"&amp;viewer=picture&amp;o=info&amp;n=0&amp;q=")</f>
        <v>https://permalinkbnd.bnportugal.gov.pt/viewer/274169/?offset=#page=8&amp;viewer=picture&amp;o=info&amp;n=0&amp;q=</v>
      </c>
      <c r="P130">
        <v>807561</v>
      </c>
      <c r="Q130" t="s">
        <v>163</v>
      </c>
      <c r="R130" t="s">
        <v>1855</v>
      </c>
      <c r="S130" t="s">
        <v>1178</v>
      </c>
      <c r="T130" t="s">
        <v>1179</v>
      </c>
      <c r="U130" t="s">
        <v>1192</v>
      </c>
      <c r="V130" t="s">
        <v>1180</v>
      </c>
      <c r="W130" t="s">
        <v>1181</v>
      </c>
      <c r="X130" t="s">
        <v>599</v>
      </c>
      <c r="Y130" t="s">
        <v>1182</v>
      </c>
      <c r="Z130" t="s">
        <v>1856</v>
      </c>
      <c r="AA130">
        <v>1862</v>
      </c>
      <c r="AB130">
        <v>1862</v>
      </c>
      <c r="AC130" t="s">
        <v>1857</v>
      </c>
      <c r="AD130" t="s">
        <v>1185</v>
      </c>
      <c r="AE130" t="s">
        <v>599</v>
      </c>
      <c r="AF130" t="s">
        <v>599</v>
      </c>
      <c r="AG130" t="s">
        <v>1858</v>
      </c>
      <c r="AH130" t="s">
        <v>599</v>
      </c>
      <c r="AI130" t="s">
        <v>599</v>
      </c>
      <c r="AJ130" t="s">
        <v>1859</v>
      </c>
      <c r="AK130" t="s">
        <v>1188</v>
      </c>
      <c r="AL130" t="s">
        <v>1860</v>
      </c>
      <c r="AM130" t="s">
        <v>1190</v>
      </c>
      <c r="AN130" t="s">
        <v>599</v>
      </c>
      <c r="AO130" t="s">
        <v>599</v>
      </c>
      <c r="AP130" t="s">
        <v>599</v>
      </c>
      <c r="AQ130" t="s">
        <v>599</v>
      </c>
      <c r="AR130" t="s">
        <v>599</v>
      </c>
      <c r="AS130" t="s">
        <v>599</v>
      </c>
      <c r="AT130" t="s">
        <v>599</v>
      </c>
    </row>
    <row r="131" spans="1:46" s="13" customFormat="1" ht="30" x14ac:dyDescent="0.25">
      <c r="A131" s="9">
        <v>10243</v>
      </c>
      <c r="B131" s="10">
        <v>807567</v>
      </c>
      <c r="C131" s="10">
        <v>1</v>
      </c>
      <c r="D131" s="9">
        <v>54</v>
      </c>
      <c r="E131" s="11" t="s">
        <v>165</v>
      </c>
      <c r="F131" s="12" t="s">
        <v>166</v>
      </c>
      <c r="G131" s="9">
        <v>54</v>
      </c>
      <c r="H131" s="34"/>
      <c r="I131" s="55" t="str">
        <f t="shared" ref="I131:I194" si="5">HYPERLINK(O131)</f>
        <v>https://permalinkbnd.bnportugal.gov.pt/viewer/270089/?offset=#page=54&amp;viewer=picture&amp;o=info&amp;n=0&amp;q=</v>
      </c>
      <c r="J131" s="45"/>
      <c r="K131" s="45"/>
      <c r="L131" s="45"/>
      <c r="M131" t="s">
        <v>165</v>
      </c>
      <c r="N131">
        <v>270089</v>
      </c>
      <c r="O131" t="str">
        <f t="shared" si="4"/>
        <v>https://permalinkbnd.bnportugal.gov.pt/viewer/270089/?offset=#page=54&amp;viewer=picture&amp;o=info&amp;n=0&amp;q=</v>
      </c>
      <c r="P131">
        <v>807567</v>
      </c>
      <c r="Q131" t="s">
        <v>165</v>
      </c>
      <c r="R131" t="s">
        <v>1861</v>
      </c>
      <c r="S131" t="s">
        <v>1178</v>
      </c>
      <c r="T131" t="s">
        <v>1502</v>
      </c>
      <c r="U131" t="s">
        <v>1192</v>
      </c>
      <c r="V131" t="s">
        <v>1862</v>
      </c>
      <c r="W131" t="s">
        <v>1863</v>
      </c>
      <c r="X131" t="s">
        <v>599</v>
      </c>
      <c r="Y131" t="s">
        <v>1864</v>
      </c>
      <c r="Z131" t="s">
        <v>1865</v>
      </c>
      <c r="AA131">
        <v>1791</v>
      </c>
      <c r="AB131">
        <v>1791</v>
      </c>
      <c r="AC131" t="s">
        <v>1241</v>
      </c>
      <c r="AD131" t="s">
        <v>1185</v>
      </c>
      <c r="AE131" t="s">
        <v>599</v>
      </c>
      <c r="AF131" t="s">
        <v>599</v>
      </c>
      <c r="AG131" t="s">
        <v>1866</v>
      </c>
      <c r="AH131" t="s">
        <v>599</v>
      </c>
      <c r="AI131" t="s">
        <v>599</v>
      </c>
      <c r="AJ131" t="s">
        <v>1867</v>
      </c>
      <c r="AK131" t="s">
        <v>1188</v>
      </c>
      <c r="AL131" t="s">
        <v>1868</v>
      </c>
      <c r="AM131" t="s">
        <v>1190</v>
      </c>
      <c r="AN131" t="s">
        <v>599</v>
      </c>
      <c r="AO131" t="s">
        <v>599</v>
      </c>
      <c r="AP131" t="s">
        <v>599</v>
      </c>
      <c r="AQ131" t="s">
        <v>599</v>
      </c>
      <c r="AR131" t="s">
        <v>599</v>
      </c>
      <c r="AS131" t="s">
        <v>599</v>
      </c>
      <c r="AT131" t="s">
        <v>599</v>
      </c>
    </row>
    <row r="132" spans="1:46" s="26" customFormat="1" ht="30" x14ac:dyDescent="0.25">
      <c r="A132" s="22">
        <v>10246</v>
      </c>
      <c r="B132" s="23">
        <v>807675</v>
      </c>
      <c r="C132" s="23">
        <v>1</v>
      </c>
      <c r="D132" s="33" t="s">
        <v>627</v>
      </c>
      <c r="E132" s="24" t="s">
        <v>167</v>
      </c>
      <c r="F132" s="25" t="s">
        <v>168</v>
      </c>
      <c r="G132" s="22"/>
      <c r="H132" s="27" t="s">
        <v>621</v>
      </c>
      <c r="I132" s="55" t="str">
        <f t="shared" si="5"/>
        <v>https://permalinkbnd.bnportugal.gov.pt/viewer/281023/?offset=#page=1 vs. 9&amp;viewer=picture&amp;o=info&amp;n=0&amp;q=</v>
      </c>
      <c r="J132" s="45"/>
      <c r="K132" s="45"/>
      <c r="L132" s="45"/>
      <c r="M132" t="s">
        <v>167</v>
      </c>
      <c r="N132">
        <v>281023</v>
      </c>
      <c r="O132" t="str">
        <f t="shared" si="4"/>
        <v>https://permalinkbnd.bnportugal.gov.pt/viewer/281023/?offset=#page=1 vs. 9&amp;viewer=picture&amp;o=info&amp;n=0&amp;q=</v>
      </c>
      <c r="P132">
        <v>807675</v>
      </c>
      <c r="Q132" t="s">
        <v>167</v>
      </c>
      <c r="R132" t="s">
        <v>599</v>
      </c>
      <c r="S132" t="s">
        <v>1178</v>
      </c>
      <c r="T132" t="s">
        <v>1179</v>
      </c>
      <c r="U132" t="s">
        <v>1192</v>
      </c>
      <c r="V132" t="s">
        <v>1869</v>
      </c>
      <c r="W132" t="s">
        <v>599</v>
      </c>
      <c r="X132" t="s">
        <v>599</v>
      </c>
      <c r="Y132" t="s">
        <v>1870</v>
      </c>
      <c r="Z132" t="s">
        <v>1871</v>
      </c>
      <c r="AA132">
        <v>1884</v>
      </c>
      <c r="AB132">
        <v>1884</v>
      </c>
      <c r="AC132" t="s">
        <v>1872</v>
      </c>
      <c r="AD132" t="s">
        <v>1185</v>
      </c>
      <c r="AE132" t="s">
        <v>599</v>
      </c>
      <c r="AF132" t="s">
        <v>599</v>
      </c>
      <c r="AG132" t="s">
        <v>1873</v>
      </c>
      <c r="AH132" t="s">
        <v>599</v>
      </c>
      <c r="AI132" t="s">
        <v>599</v>
      </c>
      <c r="AJ132" t="s">
        <v>1874</v>
      </c>
      <c r="AK132" t="s">
        <v>1188</v>
      </c>
      <c r="AL132" t="s">
        <v>1875</v>
      </c>
      <c r="AM132" t="s">
        <v>1190</v>
      </c>
      <c r="AN132" t="s">
        <v>599</v>
      </c>
      <c r="AO132" t="s">
        <v>599</v>
      </c>
      <c r="AP132" t="s">
        <v>599</v>
      </c>
      <c r="AQ132" t="s">
        <v>599</v>
      </c>
      <c r="AR132" t="s">
        <v>599</v>
      </c>
      <c r="AS132" t="s">
        <v>599</v>
      </c>
      <c r="AT132" t="s">
        <v>599</v>
      </c>
    </row>
    <row r="133" spans="1:46" s="13" customFormat="1" ht="30" x14ac:dyDescent="0.25">
      <c r="A133" s="9">
        <v>10247</v>
      </c>
      <c r="B133" s="10">
        <v>808481</v>
      </c>
      <c r="C133" s="10">
        <v>1</v>
      </c>
      <c r="D133" s="9">
        <v>17</v>
      </c>
      <c r="E133" s="11" t="s">
        <v>169</v>
      </c>
      <c r="F133" s="12" t="s">
        <v>170</v>
      </c>
      <c r="G133" s="9"/>
      <c r="H133" s="34" t="s">
        <v>628</v>
      </c>
      <c r="I133" s="55" t="str">
        <f t="shared" si="5"/>
        <v>https://permalinkbnd.bnportugal.gov.pt/viewer/274252/?offset=#page=17&amp;viewer=picture&amp;o=info&amp;n=0&amp;q=</v>
      </c>
      <c r="J133" s="45"/>
      <c r="K133" s="45"/>
      <c r="L133" s="45"/>
      <c r="M133" t="s">
        <v>169</v>
      </c>
      <c r="N133">
        <v>274252</v>
      </c>
      <c r="O133" t="str">
        <f t="shared" si="4"/>
        <v>https://permalinkbnd.bnportugal.gov.pt/viewer/274252/?offset=#page=17&amp;viewer=picture&amp;o=info&amp;n=0&amp;q=</v>
      </c>
      <c r="P133">
        <v>808481</v>
      </c>
      <c r="Q133" t="s">
        <v>169</v>
      </c>
      <c r="R133" t="s">
        <v>1876</v>
      </c>
      <c r="S133" t="s">
        <v>1178</v>
      </c>
      <c r="T133" t="s">
        <v>1192</v>
      </c>
      <c r="U133" t="s">
        <v>599</v>
      </c>
      <c r="V133" t="s">
        <v>1877</v>
      </c>
      <c r="W133" t="s">
        <v>599</v>
      </c>
      <c r="X133" t="s">
        <v>599</v>
      </c>
      <c r="Y133" t="s">
        <v>1182</v>
      </c>
      <c r="Z133" t="s">
        <v>1878</v>
      </c>
      <c r="AA133">
        <v>1887</v>
      </c>
      <c r="AB133">
        <v>1887</v>
      </c>
      <c r="AC133" t="s">
        <v>1879</v>
      </c>
      <c r="AD133" t="s">
        <v>1185</v>
      </c>
      <c r="AE133" t="s">
        <v>599</v>
      </c>
      <c r="AF133" t="s">
        <v>599</v>
      </c>
      <c r="AG133" t="s">
        <v>1880</v>
      </c>
      <c r="AH133" t="s">
        <v>599</v>
      </c>
      <c r="AI133" t="s">
        <v>599</v>
      </c>
      <c r="AJ133" t="s">
        <v>1881</v>
      </c>
      <c r="AK133" t="s">
        <v>1188</v>
      </c>
      <c r="AL133" t="s">
        <v>1882</v>
      </c>
      <c r="AM133" t="s">
        <v>1190</v>
      </c>
      <c r="AN133" t="s">
        <v>599</v>
      </c>
      <c r="AO133" t="s">
        <v>599</v>
      </c>
      <c r="AP133" t="s">
        <v>1883</v>
      </c>
      <c r="AQ133" t="s">
        <v>599</v>
      </c>
      <c r="AR133" t="s">
        <v>599</v>
      </c>
      <c r="AS133" t="s">
        <v>599</v>
      </c>
      <c r="AT133" t="s">
        <v>599</v>
      </c>
    </row>
    <row r="134" spans="1:46" s="13" customFormat="1" ht="30" x14ac:dyDescent="0.25">
      <c r="A134" s="9"/>
      <c r="B134" s="10">
        <v>808481</v>
      </c>
      <c r="C134" s="10">
        <v>1</v>
      </c>
      <c r="D134" s="9">
        <v>26</v>
      </c>
      <c r="E134" s="11" t="s">
        <v>169</v>
      </c>
      <c r="F134" s="12" t="s">
        <v>170</v>
      </c>
      <c r="G134" s="9"/>
      <c r="H134" s="34"/>
      <c r="I134" s="55" t="str">
        <f t="shared" si="5"/>
        <v>https://permalinkbnd.bnportugal.gov.pt/viewer/274252/?offset=#page=26&amp;viewer=picture&amp;o=info&amp;n=0&amp;q=</v>
      </c>
      <c r="J134" s="45"/>
      <c r="K134" s="45"/>
      <c r="L134" s="45"/>
      <c r="M134" t="s">
        <v>169</v>
      </c>
      <c r="N134">
        <v>274252</v>
      </c>
      <c r="O134" t="str">
        <f t="shared" si="4"/>
        <v>https://permalinkbnd.bnportugal.gov.pt/viewer/274252/?offset=#page=26&amp;viewer=picture&amp;o=info&amp;n=0&amp;q=</v>
      </c>
      <c r="P134">
        <v>808481</v>
      </c>
      <c r="Q134" t="s">
        <v>169</v>
      </c>
      <c r="R134" t="s">
        <v>599</v>
      </c>
      <c r="S134" t="s">
        <v>1178</v>
      </c>
      <c r="T134" t="s">
        <v>1192</v>
      </c>
      <c r="U134" t="s">
        <v>599</v>
      </c>
      <c r="V134" t="s">
        <v>1877</v>
      </c>
      <c r="W134" t="s">
        <v>599</v>
      </c>
      <c r="X134" t="s">
        <v>599</v>
      </c>
      <c r="Y134" t="s">
        <v>1182</v>
      </c>
      <c r="Z134" t="s">
        <v>1878</v>
      </c>
      <c r="AA134">
        <v>1887</v>
      </c>
      <c r="AB134">
        <v>1887</v>
      </c>
      <c r="AC134" t="s">
        <v>1879</v>
      </c>
      <c r="AD134" t="s">
        <v>1185</v>
      </c>
      <c r="AE134" t="s">
        <v>599</v>
      </c>
      <c r="AF134" t="s">
        <v>599</v>
      </c>
      <c r="AG134" t="s">
        <v>1880</v>
      </c>
      <c r="AH134" t="s">
        <v>599</v>
      </c>
      <c r="AI134" t="s">
        <v>599</v>
      </c>
      <c r="AJ134" t="s">
        <v>1881</v>
      </c>
      <c r="AK134" t="s">
        <v>1188</v>
      </c>
      <c r="AL134" t="s">
        <v>1882</v>
      </c>
      <c r="AM134" t="s">
        <v>1190</v>
      </c>
      <c r="AN134" t="s">
        <v>599</v>
      </c>
      <c r="AO134" t="s">
        <v>599</v>
      </c>
      <c r="AP134" t="s">
        <v>1883</v>
      </c>
      <c r="AQ134" t="s">
        <v>599</v>
      </c>
      <c r="AR134" t="s">
        <v>599</v>
      </c>
      <c r="AS134" t="s">
        <v>599</v>
      </c>
      <c r="AT134" t="s">
        <v>599</v>
      </c>
    </row>
    <row r="135" spans="1:46" s="13" customFormat="1" ht="30" x14ac:dyDescent="0.25">
      <c r="A135" s="9"/>
      <c r="B135" s="10">
        <v>808481</v>
      </c>
      <c r="C135" s="10">
        <v>1</v>
      </c>
      <c r="D135" s="9">
        <v>29</v>
      </c>
      <c r="E135" s="11" t="s">
        <v>169</v>
      </c>
      <c r="F135" s="12" t="s">
        <v>170</v>
      </c>
      <c r="G135" s="9"/>
      <c r="H135" s="34" t="s">
        <v>628</v>
      </c>
      <c r="I135" s="55" t="str">
        <f t="shared" si="5"/>
        <v>https://permalinkbnd.bnportugal.gov.pt/viewer/274252/?offset=#page=29&amp;viewer=picture&amp;o=info&amp;n=0&amp;q=</v>
      </c>
      <c r="J135" s="45"/>
      <c r="K135" s="45"/>
      <c r="L135" s="45"/>
      <c r="M135" t="s">
        <v>169</v>
      </c>
      <c r="N135">
        <v>274252</v>
      </c>
      <c r="O135" t="str">
        <f t="shared" si="4"/>
        <v>https://permalinkbnd.bnportugal.gov.pt/viewer/274252/?offset=#page=29&amp;viewer=picture&amp;o=info&amp;n=0&amp;q=</v>
      </c>
      <c r="P135">
        <v>808481</v>
      </c>
      <c r="Q135" t="s">
        <v>169</v>
      </c>
      <c r="R135" t="s">
        <v>1876</v>
      </c>
      <c r="S135" t="s">
        <v>1178</v>
      </c>
      <c r="T135" t="s">
        <v>1192</v>
      </c>
      <c r="U135" t="s">
        <v>599</v>
      </c>
      <c r="V135" t="s">
        <v>1877</v>
      </c>
      <c r="W135" t="s">
        <v>599</v>
      </c>
      <c r="X135" t="s">
        <v>599</v>
      </c>
      <c r="Y135" t="s">
        <v>1182</v>
      </c>
      <c r="Z135" t="s">
        <v>1878</v>
      </c>
      <c r="AA135">
        <v>1887</v>
      </c>
      <c r="AB135">
        <v>1887</v>
      </c>
      <c r="AC135" t="s">
        <v>1879</v>
      </c>
      <c r="AD135" t="s">
        <v>1185</v>
      </c>
      <c r="AE135" t="s">
        <v>599</v>
      </c>
      <c r="AF135" t="s">
        <v>599</v>
      </c>
      <c r="AG135" t="s">
        <v>1880</v>
      </c>
      <c r="AH135" t="s">
        <v>599</v>
      </c>
      <c r="AI135" t="s">
        <v>599</v>
      </c>
      <c r="AJ135" t="s">
        <v>1881</v>
      </c>
      <c r="AK135" t="s">
        <v>1188</v>
      </c>
      <c r="AL135" t="s">
        <v>1882</v>
      </c>
      <c r="AM135" t="s">
        <v>1190</v>
      </c>
      <c r="AN135" t="s">
        <v>599</v>
      </c>
      <c r="AO135" t="s">
        <v>599</v>
      </c>
      <c r="AP135" t="s">
        <v>1883</v>
      </c>
      <c r="AQ135" t="s">
        <v>599</v>
      </c>
      <c r="AR135" t="s">
        <v>599</v>
      </c>
      <c r="AS135" t="s">
        <v>599</v>
      </c>
      <c r="AT135" t="s">
        <v>599</v>
      </c>
    </row>
    <row r="136" spans="1:46" s="13" customFormat="1" ht="30" x14ac:dyDescent="0.25">
      <c r="A136" s="9">
        <v>10249</v>
      </c>
      <c r="B136" s="10">
        <v>808497</v>
      </c>
      <c r="C136" s="10">
        <v>1</v>
      </c>
      <c r="D136" s="9">
        <v>7</v>
      </c>
      <c r="E136" s="11" t="s">
        <v>171</v>
      </c>
      <c r="F136" s="12" t="s">
        <v>172</v>
      </c>
      <c r="G136" s="9"/>
      <c r="H136" s="34"/>
      <c r="I136" s="55" t="str">
        <f t="shared" si="5"/>
        <v>https://permalinkbnd.bnportugal.gov.pt/viewer/273233/?offset=#page=7&amp;viewer=picture&amp;o=info&amp;n=0&amp;q=</v>
      </c>
      <c r="J136" s="45"/>
      <c r="K136" s="45"/>
      <c r="L136" s="45"/>
      <c r="M136" t="s">
        <v>171</v>
      </c>
      <c r="N136">
        <v>273233</v>
      </c>
      <c r="O136" t="str">
        <f t="shared" si="4"/>
        <v>https://permalinkbnd.bnportugal.gov.pt/viewer/273233/?offset=#page=7&amp;viewer=picture&amp;o=info&amp;n=0&amp;q=</v>
      </c>
      <c r="P136">
        <v>808497</v>
      </c>
      <c r="Q136" t="s">
        <v>171</v>
      </c>
      <c r="R136" t="s">
        <v>1884</v>
      </c>
      <c r="S136" t="s">
        <v>1178</v>
      </c>
      <c r="T136" t="s">
        <v>1885</v>
      </c>
      <c r="U136" t="s">
        <v>1192</v>
      </c>
      <c r="V136" t="s">
        <v>1886</v>
      </c>
      <c r="W136" t="s">
        <v>599</v>
      </c>
      <c r="X136" t="s">
        <v>599</v>
      </c>
      <c r="Y136" t="s">
        <v>1182</v>
      </c>
      <c r="Z136" t="s">
        <v>1887</v>
      </c>
      <c r="AA136">
        <v>1893</v>
      </c>
      <c r="AB136">
        <v>1893</v>
      </c>
      <c r="AC136" t="s">
        <v>1888</v>
      </c>
      <c r="AD136" t="s">
        <v>599</v>
      </c>
      <c r="AE136" t="s">
        <v>599</v>
      </c>
      <c r="AF136" t="s">
        <v>599</v>
      </c>
      <c r="AG136" t="s">
        <v>1873</v>
      </c>
      <c r="AH136" t="s">
        <v>599</v>
      </c>
      <c r="AI136" t="s">
        <v>599</v>
      </c>
      <c r="AJ136" t="s">
        <v>1889</v>
      </c>
      <c r="AK136" t="s">
        <v>1188</v>
      </c>
      <c r="AL136" t="s">
        <v>1890</v>
      </c>
      <c r="AM136" t="s">
        <v>1190</v>
      </c>
      <c r="AN136" t="s">
        <v>599</v>
      </c>
      <c r="AO136" t="s">
        <v>599</v>
      </c>
      <c r="AP136" t="s">
        <v>599</v>
      </c>
      <c r="AQ136" t="s">
        <v>599</v>
      </c>
      <c r="AR136" t="s">
        <v>599</v>
      </c>
      <c r="AS136" t="s">
        <v>599</v>
      </c>
      <c r="AT136" t="s">
        <v>599</v>
      </c>
    </row>
    <row r="137" spans="1:46" s="13" customFormat="1" ht="30" x14ac:dyDescent="0.25">
      <c r="A137" s="9">
        <v>10250</v>
      </c>
      <c r="B137" s="10">
        <v>808502</v>
      </c>
      <c r="C137" s="10">
        <v>1</v>
      </c>
      <c r="D137" s="9">
        <v>12</v>
      </c>
      <c r="E137" s="11" t="s">
        <v>173</v>
      </c>
      <c r="F137" s="12" t="s">
        <v>174</v>
      </c>
      <c r="G137" s="9"/>
      <c r="H137" s="34"/>
      <c r="I137" s="55" t="str">
        <f t="shared" si="5"/>
        <v>https://permalinkbnd.bnportugal.gov.pt/viewer/270086/?offset=#page=12&amp;viewer=picture&amp;o=info&amp;n=0&amp;q=</v>
      </c>
      <c r="J137" s="45"/>
      <c r="K137" s="45"/>
      <c r="L137" s="45"/>
      <c r="M137" t="s">
        <v>173</v>
      </c>
      <c r="N137">
        <v>270086</v>
      </c>
      <c r="O137" t="str">
        <f t="shared" si="4"/>
        <v>https://permalinkbnd.bnportugal.gov.pt/viewer/270086/?offset=#page=12&amp;viewer=picture&amp;o=info&amp;n=0&amp;q=</v>
      </c>
      <c r="P137">
        <v>808502</v>
      </c>
      <c r="Q137" t="s">
        <v>173</v>
      </c>
      <c r="R137" t="s">
        <v>1891</v>
      </c>
      <c r="S137" t="s">
        <v>1178</v>
      </c>
      <c r="T137" t="s">
        <v>1885</v>
      </c>
      <c r="U137" t="s">
        <v>1192</v>
      </c>
      <c r="V137" t="s">
        <v>1892</v>
      </c>
      <c r="W137" t="s">
        <v>599</v>
      </c>
      <c r="X137" t="s">
        <v>599</v>
      </c>
      <c r="Y137" t="s">
        <v>1182</v>
      </c>
      <c r="Z137" t="s">
        <v>1446</v>
      </c>
      <c r="AA137">
        <v>1890</v>
      </c>
      <c r="AB137">
        <v>1890</v>
      </c>
      <c r="AC137" t="s">
        <v>1241</v>
      </c>
      <c r="AD137" t="s">
        <v>599</v>
      </c>
      <c r="AE137" t="s">
        <v>599</v>
      </c>
      <c r="AF137" t="s">
        <v>1185</v>
      </c>
      <c r="AG137" t="s">
        <v>1873</v>
      </c>
      <c r="AH137" t="s">
        <v>599</v>
      </c>
      <c r="AI137" t="s">
        <v>599</v>
      </c>
      <c r="AJ137" t="s">
        <v>1893</v>
      </c>
      <c r="AK137" t="s">
        <v>1188</v>
      </c>
      <c r="AL137" t="s">
        <v>1894</v>
      </c>
      <c r="AM137" t="s">
        <v>1190</v>
      </c>
      <c r="AN137" t="s">
        <v>599</v>
      </c>
      <c r="AO137" t="s">
        <v>599</v>
      </c>
      <c r="AP137" t="s">
        <v>599</v>
      </c>
      <c r="AQ137" t="s">
        <v>599</v>
      </c>
      <c r="AR137" t="s">
        <v>599</v>
      </c>
      <c r="AS137" t="s">
        <v>599</v>
      </c>
      <c r="AT137" t="s">
        <v>599</v>
      </c>
    </row>
    <row r="138" spans="1:46" s="13" customFormat="1" ht="30" x14ac:dyDescent="0.25">
      <c r="A138" s="9">
        <v>10251</v>
      </c>
      <c r="B138" s="10">
        <v>808536</v>
      </c>
      <c r="C138" s="10">
        <v>1</v>
      </c>
      <c r="D138" s="9">
        <v>7</v>
      </c>
      <c r="E138" s="11" t="s">
        <v>175</v>
      </c>
      <c r="F138" s="12" t="s">
        <v>176</v>
      </c>
      <c r="G138" s="9"/>
      <c r="H138" s="34"/>
      <c r="I138" s="55" t="str">
        <f t="shared" si="5"/>
        <v>https://permalinkbnd.bnportugal.gov.pt/viewer/270087/?offset=#page=7&amp;viewer=picture&amp;o=info&amp;n=0&amp;q=</v>
      </c>
      <c r="J138" s="45"/>
      <c r="K138" s="45"/>
      <c r="L138" s="45"/>
      <c r="M138" t="s">
        <v>175</v>
      </c>
      <c r="N138">
        <v>270087</v>
      </c>
      <c r="O138" t="str">
        <f t="shared" si="4"/>
        <v>https://permalinkbnd.bnportugal.gov.pt/viewer/270087/?offset=#page=7&amp;viewer=picture&amp;o=info&amp;n=0&amp;q=</v>
      </c>
      <c r="P138">
        <v>808536</v>
      </c>
      <c r="Q138" t="s">
        <v>175</v>
      </c>
      <c r="R138" t="s">
        <v>599</v>
      </c>
      <c r="S138" t="s">
        <v>1178</v>
      </c>
      <c r="T138" t="s">
        <v>1179</v>
      </c>
      <c r="U138" t="s">
        <v>1192</v>
      </c>
      <c r="V138" t="s">
        <v>1895</v>
      </c>
      <c r="W138" t="s">
        <v>599</v>
      </c>
      <c r="X138" t="s">
        <v>599</v>
      </c>
      <c r="Y138" t="s">
        <v>1182</v>
      </c>
      <c r="Z138" t="s">
        <v>1896</v>
      </c>
      <c r="AA138">
        <v>1899</v>
      </c>
      <c r="AB138">
        <v>1899</v>
      </c>
      <c r="AC138" t="s">
        <v>1241</v>
      </c>
      <c r="AD138" t="s">
        <v>599</v>
      </c>
      <c r="AE138" t="s">
        <v>599</v>
      </c>
      <c r="AF138" t="s">
        <v>599</v>
      </c>
      <c r="AG138" t="s">
        <v>1873</v>
      </c>
      <c r="AH138" t="s">
        <v>599</v>
      </c>
      <c r="AI138" t="s">
        <v>599</v>
      </c>
      <c r="AJ138" t="s">
        <v>1897</v>
      </c>
      <c r="AK138" t="s">
        <v>1188</v>
      </c>
      <c r="AL138" t="s">
        <v>1898</v>
      </c>
      <c r="AM138" t="s">
        <v>1190</v>
      </c>
      <c r="AN138" t="s">
        <v>599</v>
      </c>
      <c r="AO138" t="s">
        <v>599</v>
      </c>
      <c r="AP138" t="s">
        <v>599</v>
      </c>
      <c r="AQ138" t="s">
        <v>599</v>
      </c>
      <c r="AR138" t="s">
        <v>599</v>
      </c>
      <c r="AS138" t="s">
        <v>599</v>
      </c>
      <c r="AT138" t="s">
        <v>599</v>
      </c>
    </row>
    <row r="139" spans="1:46" s="13" customFormat="1" ht="30" x14ac:dyDescent="0.25">
      <c r="A139" s="9"/>
      <c r="B139" s="10">
        <v>808536</v>
      </c>
      <c r="C139" s="10">
        <v>1</v>
      </c>
      <c r="D139" s="9">
        <v>17</v>
      </c>
      <c r="E139" s="11" t="s">
        <v>175</v>
      </c>
      <c r="F139" s="12" t="s">
        <v>176</v>
      </c>
      <c r="G139" s="9"/>
      <c r="H139" s="34"/>
      <c r="I139" s="55" t="str">
        <f t="shared" si="5"/>
        <v>https://permalinkbnd.bnportugal.gov.pt/viewer/270087/?offset=#page=17&amp;viewer=picture&amp;o=info&amp;n=0&amp;q=</v>
      </c>
      <c r="J139" s="45"/>
      <c r="K139" s="45"/>
      <c r="L139" s="45"/>
      <c r="M139" t="s">
        <v>175</v>
      </c>
      <c r="N139">
        <v>270087</v>
      </c>
      <c r="O139" t="str">
        <f t="shared" si="4"/>
        <v>https://permalinkbnd.bnportugal.gov.pt/viewer/270087/?offset=#page=17&amp;viewer=picture&amp;o=info&amp;n=0&amp;q=</v>
      </c>
      <c r="P139">
        <v>808536</v>
      </c>
      <c r="Q139" t="s">
        <v>175</v>
      </c>
      <c r="R139" t="s">
        <v>1899</v>
      </c>
      <c r="S139" t="s">
        <v>1178</v>
      </c>
      <c r="T139" t="s">
        <v>1179</v>
      </c>
      <c r="U139" t="s">
        <v>1192</v>
      </c>
      <c r="V139" t="s">
        <v>1895</v>
      </c>
      <c r="W139" t="s">
        <v>599</v>
      </c>
      <c r="X139" t="s">
        <v>599</v>
      </c>
      <c r="Y139" t="s">
        <v>1182</v>
      </c>
      <c r="Z139" t="s">
        <v>1896</v>
      </c>
      <c r="AA139">
        <v>1899</v>
      </c>
      <c r="AB139">
        <v>1899</v>
      </c>
      <c r="AC139" t="s">
        <v>1241</v>
      </c>
      <c r="AD139" t="s">
        <v>599</v>
      </c>
      <c r="AE139" t="s">
        <v>599</v>
      </c>
      <c r="AF139" t="s">
        <v>599</v>
      </c>
      <c r="AG139" t="s">
        <v>1873</v>
      </c>
      <c r="AH139" t="s">
        <v>599</v>
      </c>
      <c r="AI139" t="s">
        <v>599</v>
      </c>
      <c r="AJ139" t="s">
        <v>1897</v>
      </c>
      <c r="AK139" t="s">
        <v>1188</v>
      </c>
      <c r="AL139" t="s">
        <v>1898</v>
      </c>
      <c r="AM139" t="s">
        <v>1190</v>
      </c>
      <c r="AN139" t="s">
        <v>599</v>
      </c>
      <c r="AO139" t="s">
        <v>599</v>
      </c>
      <c r="AP139" t="s">
        <v>599</v>
      </c>
      <c r="AQ139" t="s">
        <v>599</v>
      </c>
      <c r="AR139" t="s">
        <v>599</v>
      </c>
      <c r="AS139" t="s">
        <v>599</v>
      </c>
      <c r="AT139" t="s">
        <v>599</v>
      </c>
    </row>
    <row r="140" spans="1:46" s="13" customFormat="1" ht="30" x14ac:dyDescent="0.25">
      <c r="A140" s="9"/>
      <c r="B140" s="10">
        <v>808536</v>
      </c>
      <c r="C140" s="10">
        <v>1</v>
      </c>
      <c r="D140" s="9">
        <v>79</v>
      </c>
      <c r="E140" s="11" t="s">
        <v>175</v>
      </c>
      <c r="F140" s="12" t="s">
        <v>176</v>
      </c>
      <c r="G140" s="9"/>
      <c r="H140" s="34"/>
      <c r="I140" s="55" t="str">
        <f t="shared" si="5"/>
        <v>https://permalinkbnd.bnportugal.gov.pt/viewer/270087/?offset=#page=79&amp;viewer=picture&amp;o=info&amp;n=0&amp;q=</v>
      </c>
      <c r="J140" s="45"/>
      <c r="K140" s="45"/>
      <c r="L140" s="45"/>
      <c r="M140" t="s">
        <v>175</v>
      </c>
      <c r="N140">
        <v>270087</v>
      </c>
      <c r="O140" t="str">
        <f t="shared" si="4"/>
        <v>https://permalinkbnd.bnportugal.gov.pt/viewer/270087/?offset=#page=79&amp;viewer=picture&amp;o=info&amp;n=0&amp;q=</v>
      </c>
      <c r="P140">
        <v>808536</v>
      </c>
      <c r="Q140" t="s">
        <v>175</v>
      </c>
      <c r="R140" t="s">
        <v>1899</v>
      </c>
      <c r="S140" t="s">
        <v>1178</v>
      </c>
      <c r="T140" t="s">
        <v>1179</v>
      </c>
      <c r="U140" t="s">
        <v>1192</v>
      </c>
      <c r="V140" t="s">
        <v>1895</v>
      </c>
      <c r="W140" t="s">
        <v>599</v>
      </c>
      <c r="X140" t="s">
        <v>599</v>
      </c>
      <c r="Y140" t="s">
        <v>1182</v>
      </c>
      <c r="Z140" t="s">
        <v>1896</v>
      </c>
      <c r="AA140">
        <v>1899</v>
      </c>
      <c r="AB140">
        <v>1899</v>
      </c>
      <c r="AC140" t="s">
        <v>1241</v>
      </c>
      <c r="AD140" t="s">
        <v>599</v>
      </c>
      <c r="AE140" t="s">
        <v>599</v>
      </c>
      <c r="AF140" t="s">
        <v>599</v>
      </c>
      <c r="AG140" t="s">
        <v>1873</v>
      </c>
      <c r="AH140" t="s">
        <v>599</v>
      </c>
      <c r="AI140" t="s">
        <v>599</v>
      </c>
      <c r="AJ140" t="s">
        <v>1897</v>
      </c>
      <c r="AK140" t="s">
        <v>1188</v>
      </c>
      <c r="AL140" t="s">
        <v>1898</v>
      </c>
      <c r="AM140" t="s">
        <v>1190</v>
      </c>
      <c r="AN140" t="s">
        <v>599</v>
      </c>
      <c r="AO140" t="s">
        <v>599</v>
      </c>
      <c r="AP140" t="s">
        <v>599</v>
      </c>
      <c r="AQ140" t="s">
        <v>599</v>
      </c>
      <c r="AR140" t="s">
        <v>599</v>
      </c>
      <c r="AS140" t="s">
        <v>599</v>
      </c>
      <c r="AT140" t="s">
        <v>599</v>
      </c>
    </row>
    <row r="141" spans="1:46" s="13" customFormat="1" ht="30" x14ac:dyDescent="0.25">
      <c r="A141" s="9"/>
      <c r="B141" s="10">
        <v>808536</v>
      </c>
      <c r="C141" s="10">
        <v>1</v>
      </c>
      <c r="D141" s="9">
        <v>89</v>
      </c>
      <c r="E141" s="11" t="s">
        <v>175</v>
      </c>
      <c r="F141" s="12" t="s">
        <v>176</v>
      </c>
      <c r="G141" s="9"/>
      <c r="H141" s="34"/>
      <c r="I141" s="55" t="str">
        <f t="shared" si="5"/>
        <v>https://permalinkbnd.bnportugal.gov.pt/viewer/270087/?offset=#page=89&amp;viewer=picture&amp;o=info&amp;n=0&amp;q=</v>
      </c>
      <c r="J141" s="45"/>
      <c r="K141" s="45"/>
      <c r="L141" s="45"/>
      <c r="M141" t="s">
        <v>175</v>
      </c>
      <c r="N141">
        <v>270087</v>
      </c>
      <c r="O141" t="str">
        <f t="shared" si="4"/>
        <v>https://permalinkbnd.bnportugal.gov.pt/viewer/270087/?offset=#page=89&amp;viewer=picture&amp;o=info&amp;n=0&amp;q=</v>
      </c>
      <c r="P141">
        <v>808536</v>
      </c>
      <c r="Q141" t="s">
        <v>175</v>
      </c>
      <c r="R141" t="s">
        <v>599</v>
      </c>
      <c r="S141" t="s">
        <v>1178</v>
      </c>
      <c r="T141" t="s">
        <v>1179</v>
      </c>
      <c r="U141" t="s">
        <v>1192</v>
      </c>
      <c r="V141" t="s">
        <v>1895</v>
      </c>
      <c r="W141" t="s">
        <v>599</v>
      </c>
      <c r="X141" t="s">
        <v>599</v>
      </c>
      <c r="Y141" t="s">
        <v>1182</v>
      </c>
      <c r="Z141" t="s">
        <v>1896</v>
      </c>
      <c r="AA141">
        <v>1899</v>
      </c>
      <c r="AB141">
        <v>1899</v>
      </c>
      <c r="AC141" t="s">
        <v>1241</v>
      </c>
      <c r="AD141" t="s">
        <v>599</v>
      </c>
      <c r="AE141" t="s">
        <v>599</v>
      </c>
      <c r="AF141" t="s">
        <v>599</v>
      </c>
      <c r="AG141" t="s">
        <v>1873</v>
      </c>
      <c r="AH141" t="s">
        <v>599</v>
      </c>
      <c r="AI141" t="s">
        <v>599</v>
      </c>
      <c r="AJ141" t="s">
        <v>1897</v>
      </c>
      <c r="AK141" t="s">
        <v>1188</v>
      </c>
      <c r="AL141" t="s">
        <v>1898</v>
      </c>
      <c r="AM141" t="s">
        <v>1190</v>
      </c>
      <c r="AN141" t="s">
        <v>599</v>
      </c>
      <c r="AO141" t="s">
        <v>599</v>
      </c>
      <c r="AP141" t="s">
        <v>599</v>
      </c>
      <c r="AQ141" t="s">
        <v>599</v>
      </c>
      <c r="AR141" t="s">
        <v>599</v>
      </c>
      <c r="AS141" t="s">
        <v>599</v>
      </c>
      <c r="AT141" t="s">
        <v>599</v>
      </c>
    </row>
    <row r="142" spans="1:46" s="13" customFormat="1" ht="30" x14ac:dyDescent="0.25">
      <c r="A142" s="9"/>
      <c r="B142" s="10">
        <v>808536</v>
      </c>
      <c r="C142" s="10">
        <v>1</v>
      </c>
      <c r="D142" s="9">
        <v>97</v>
      </c>
      <c r="E142" s="11" t="s">
        <v>175</v>
      </c>
      <c r="F142" s="12" t="s">
        <v>176</v>
      </c>
      <c r="G142" s="9"/>
      <c r="H142" s="34"/>
      <c r="I142" s="55" t="str">
        <f t="shared" si="5"/>
        <v>https://permalinkbnd.bnportugal.gov.pt/viewer/270087/?offset=#page=97&amp;viewer=picture&amp;o=info&amp;n=0&amp;q=</v>
      </c>
      <c r="J142" s="45"/>
      <c r="K142" s="45"/>
      <c r="L142" s="45"/>
      <c r="M142" t="s">
        <v>175</v>
      </c>
      <c r="N142">
        <v>270087</v>
      </c>
      <c r="O142" t="str">
        <f t="shared" si="4"/>
        <v>https://permalinkbnd.bnportugal.gov.pt/viewer/270087/?offset=#page=97&amp;viewer=picture&amp;o=info&amp;n=0&amp;q=</v>
      </c>
      <c r="P142">
        <v>808536</v>
      </c>
      <c r="Q142" t="s">
        <v>175</v>
      </c>
      <c r="R142" t="s">
        <v>599</v>
      </c>
      <c r="S142" t="s">
        <v>1178</v>
      </c>
      <c r="T142" t="s">
        <v>1179</v>
      </c>
      <c r="U142" t="s">
        <v>1192</v>
      </c>
      <c r="V142" t="s">
        <v>1895</v>
      </c>
      <c r="W142" t="s">
        <v>599</v>
      </c>
      <c r="X142" t="s">
        <v>599</v>
      </c>
      <c r="Y142" t="s">
        <v>1182</v>
      </c>
      <c r="Z142" t="s">
        <v>1896</v>
      </c>
      <c r="AA142">
        <v>1899</v>
      </c>
      <c r="AB142">
        <v>1899</v>
      </c>
      <c r="AC142" t="s">
        <v>1241</v>
      </c>
      <c r="AD142" t="s">
        <v>599</v>
      </c>
      <c r="AE142" t="s">
        <v>599</v>
      </c>
      <c r="AF142" t="s">
        <v>599</v>
      </c>
      <c r="AG142" t="s">
        <v>1873</v>
      </c>
      <c r="AH142" t="s">
        <v>599</v>
      </c>
      <c r="AI142" t="s">
        <v>599</v>
      </c>
      <c r="AJ142" t="s">
        <v>1897</v>
      </c>
      <c r="AK142" t="s">
        <v>1188</v>
      </c>
      <c r="AL142" t="s">
        <v>1898</v>
      </c>
      <c r="AM142" t="s">
        <v>1190</v>
      </c>
      <c r="AN142" t="s">
        <v>599</v>
      </c>
      <c r="AO142" t="s">
        <v>599</v>
      </c>
      <c r="AP142" t="s">
        <v>599</v>
      </c>
      <c r="AQ142" t="s">
        <v>599</v>
      </c>
      <c r="AR142" t="s">
        <v>599</v>
      </c>
      <c r="AS142" t="s">
        <v>599</v>
      </c>
      <c r="AT142" t="s">
        <v>599</v>
      </c>
    </row>
    <row r="143" spans="1:46" s="13" customFormat="1" ht="30" x14ac:dyDescent="0.25">
      <c r="A143" s="9"/>
      <c r="B143" s="10">
        <v>808536</v>
      </c>
      <c r="C143" s="10">
        <v>1</v>
      </c>
      <c r="D143" s="9">
        <v>104</v>
      </c>
      <c r="E143" s="11" t="s">
        <v>175</v>
      </c>
      <c r="F143" s="12" t="s">
        <v>176</v>
      </c>
      <c r="G143" s="9"/>
      <c r="H143" s="34"/>
      <c r="I143" s="55" t="str">
        <f t="shared" si="5"/>
        <v>https://permalinkbnd.bnportugal.gov.pt/viewer/270087/?offset=#page=104&amp;viewer=picture&amp;o=info&amp;n=0&amp;q=</v>
      </c>
      <c r="J143" s="45"/>
      <c r="K143" s="45"/>
      <c r="L143" s="45"/>
      <c r="M143" t="s">
        <v>175</v>
      </c>
      <c r="N143">
        <v>270087</v>
      </c>
      <c r="O143" t="str">
        <f t="shared" si="4"/>
        <v>https://permalinkbnd.bnportugal.gov.pt/viewer/270087/?offset=#page=104&amp;viewer=picture&amp;o=info&amp;n=0&amp;q=</v>
      </c>
      <c r="P143">
        <v>808536</v>
      </c>
      <c r="Q143" t="s">
        <v>175</v>
      </c>
      <c r="R143" t="s">
        <v>599</v>
      </c>
      <c r="S143" t="s">
        <v>1178</v>
      </c>
      <c r="T143" t="s">
        <v>1179</v>
      </c>
      <c r="U143" t="s">
        <v>1192</v>
      </c>
      <c r="V143" t="s">
        <v>1895</v>
      </c>
      <c r="W143" t="s">
        <v>599</v>
      </c>
      <c r="X143" t="s">
        <v>599</v>
      </c>
      <c r="Y143" t="s">
        <v>1182</v>
      </c>
      <c r="Z143" t="s">
        <v>1896</v>
      </c>
      <c r="AA143">
        <v>1899</v>
      </c>
      <c r="AB143">
        <v>1899</v>
      </c>
      <c r="AC143" t="s">
        <v>1241</v>
      </c>
      <c r="AD143" t="s">
        <v>599</v>
      </c>
      <c r="AE143" t="s">
        <v>599</v>
      </c>
      <c r="AF143" t="s">
        <v>599</v>
      </c>
      <c r="AG143" t="s">
        <v>1873</v>
      </c>
      <c r="AH143" t="s">
        <v>599</v>
      </c>
      <c r="AI143" t="s">
        <v>599</v>
      </c>
      <c r="AJ143" t="s">
        <v>1897</v>
      </c>
      <c r="AK143" t="s">
        <v>1188</v>
      </c>
      <c r="AL143" t="s">
        <v>1898</v>
      </c>
      <c r="AM143" t="s">
        <v>1190</v>
      </c>
      <c r="AN143" t="s">
        <v>599</v>
      </c>
      <c r="AO143" t="s">
        <v>599</v>
      </c>
      <c r="AP143" t="s">
        <v>599</v>
      </c>
      <c r="AQ143" t="s">
        <v>599</v>
      </c>
      <c r="AR143" t="s">
        <v>599</v>
      </c>
      <c r="AS143" t="s">
        <v>599</v>
      </c>
      <c r="AT143" t="s">
        <v>599</v>
      </c>
    </row>
    <row r="144" spans="1:46" s="13" customFormat="1" ht="30" x14ac:dyDescent="0.25">
      <c r="A144" s="9"/>
      <c r="B144" s="10">
        <v>808536</v>
      </c>
      <c r="C144" s="10">
        <v>1</v>
      </c>
      <c r="D144" s="9">
        <v>105</v>
      </c>
      <c r="E144" s="11" t="s">
        <v>175</v>
      </c>
      <c r="F144" s="12" t="s">
        <v>176</v>
      </c>
      <c r="G144" s="9"/>
      <c r="H144" s="34"/>
      <c r="I144" s="55" t="str">
        <f t="shared" si="5"/>
        <v>https://permalinkbnd.bnportugal.gov.pt/viewer/270087/?offset=#page=105&amp;viewer=picture&amp;o=info&amp;n=0&amp;q=</v>
      </c>
      <c r="J144" s="45"/>
      <c r="K144" s="45"/>
      <c r="L144" s="45"/>
      <c r="M144" t="s">
        <v>175</v>
      </c>
      <c r="N144">
        <v>270087</v>
      </c>
      <c r="O144" t="str">
        <f t="shared" si="4"/>
        <v>https://permalinkbnd.bnportugal.gov.pt/viewer/270087/?offset=#page=105&amp;viewer=picture&amp;o=info&amp;n=0&amp;q=</v>
      </c>
      <c r="P144">
        <v>808536</v>
      </c>
      <c r="Q144" t="s">
        <v>175</v>
      </c>
      <c r="R144" t="s">
        <v>599</v>
      </c>
      <c r="S144" t="s">
        <v>1178</v>
      </c>
      <c r="T144" t="s">
        <v>1179</v>
      </c>
      <c r="U144" t="s">
        <v>1192</v>
      </c>
      <c r="V144" t="s">
        <v>1895</v>
      </c>
      <c r="W144" t="s">
        <v>599</v>
      </c>
      <c r="X144" t="s">
        <v>599</v>
      </c>
      <c r="Y144" t="s">
        <v>1182</v>
      </c>
      <c r="Z144" t="s">
        <v>1896</v>
      </c>
      <c r="AA144">
        <v>1899</v>
      </c>
      <c r="AB144">
        <v>1899</v>
      </c>
      <c r="AC144" t="s">
        <v>1241</v>
      </c>
      <c r="AD144" t="s">
        <v>599</v>
      </c>
      <c r="AE144" t="s">
        <v>599</v>
      </c>
      <c r="AF144" t="s">
        <v>599</v>
      </c>
      <c r="AG144" t="s">
        <v>1873</v>
      </c>
      <c r="AH144" t="s">
        <v>599</v>
      </c>
      <c r="AI144" t="s">
        <v>599</v>
      </c>
      <c r="AJ144" t="s">
        <v>1897</v>
      </c>
      <c r="AK144" t="s">
        <v>1188</v>
      </c>
      <c r="AL144" t="s">
        <v>1898</v>
      </c>
      <c r="AM144" t="s">
        <v>1190</v>
      </c>
      <c r="AN144" t="s">
        <v>599</v>
      </c>
      <c r="AO144" t="s">
        <v>599</v>
      </c>
      <c r="AP144" t="s">
        <v>599</v>
      </c>
      <c r="AQ144" t="s">
        <v>599</v>
      </c>
      <c r="AR144" t="s">
        <v>599</v>
      </c>
      <c r="AS144" t="s">
        <v>599</v>
      </c>
      <c r="AT144" t="s">
        <v>599</v>
      </c>
    </row>
    <row r="145" spans="1:46" s="13" customFormat="1" ht="30" x14ac:dyDescent="0.25">
      <c r="A145" s="9">
        <v>10252</v>
      </c>
      <c r="B145" s="10">
        <v>808766</v>
      </c>
      <c r="C145" s="10">
        <v>1</v>
      </c>
      <c r="D145" s="9">
        <v>10</v>
      </c>
      <c r="E145" s="11" t="s">
        <v>177</v>
      </c>
      <c r="F145" s="12" t="s">
        <v>178</v>
      </c>
      <c r="G145" s="9">
        <v>10</v>
      </c>
      <c r="H145" s="34"/>
      <c r="I145" s="55" t="str">
        <f t="shared" si="5"/>
        <v>https://permalinkbnd.bnportugal.gov.pt/viewer/273350/?offset=#page=10&amp;viewer=picture&amp;o=info&amp;n=0&amp;q=</v>
      </c>
      <c r="J145" s="45"/>
      <c r="K145" s="45"/>
      <c r="L145" s="45"/>
      <c r="M145" t="s">
        <v>177</v>
      </c>
      <c r="N145">
        <v>273350</v>
      </c>
      <c r="O145" t="str">
        <f t="shared" si="4"/>
        <v>https://permalinkbnd.bnportugal.gov.pt/viewer/273350/?offset=#page=10&amp;viewer=picture&amp;o=info&amp;n=0&amp;q=</v>
      </c>
      <c r="P145">
        <v>808766</v>
      </c>
      <c r="Q145" t="s">
        <v>177</v>
      </c>
      <c r="R145" t="s">
        <v>599</v>
      </c>
      <c r="S145" t="s">
        <v>1178</v>
      </c>
      <c r="T145" t="s">
        <v>1900</v>
      </c>
      <c r="U145" t="s">
        <v>1192</v>
      </c>
      <c r="V145" t="s">
        <v>1901</v>
      </c>
      <c r="W145" t="s">
        <v>599</v>
      </c>
      <c r="X145" t="s">
        <v>599</v>
      </c>
      <c r="Y145" t="s">
        <v>1182</v>
      </c>
      <c r="Z145" t="s">
        <v>1902</v>
      </c>
      <c r="AA145">
        <v>1899</v>
      </c>
      <c r="AB145">
        <v>1899</v>
      </c>
      <c r="AC145" t="s">
        <v>1903</v>
      </c>
      <c r="AD145" t="s">
        <v>1185</v>
      </c>
      <c r="AE145" t="s">
        <v>599</v>
      </c>
      <c r="AF145" t="s">
        <v>599</v>
      </c>
      <c r="AG145" t="s">
        <v>1904</v>
      </c>
      <c r="AH145" t="s">
        <v>599</v>
      </c>
      <c r="AI145" t="s">
        <v>599</v>
      </c>
      <c r="AJ145" t="s">
        <v>1905</v>
      </c>
      <c r="AK145" t="s">
        <v>1188</v>
      </c>
      <c r="AL145" t="s">
        <v>1906</v>
      </c>
      <c r="AM145" t="s">
        <v>1190</v>
      </c>
      <c r="AN145" t="s">
        <v>599</v>
      </c>
      <c r="AO145" t="s">
        <v>599</v>
      </c>
      <c r="AP145" t="s">
        <v>599</v>
      </c>
      <c r="AQ145" t="s">
        <v>599</v>
      </c>
      <c r="AR145" t="s">
        <v>599</v>
      </c>
      <c r="AS145" t="s">
        <v>599</v>
      </c>
      <c r="AT145" t="s">
        <v>599</v>
      </c>
    </row>
    <row r="146" spans="1:46" s="13" customFormat="1" ht="30" x14ac:dyDescent="0.25">
      <c r="A146" s="9">
        <v>10254</v>
      </c>
      <c r="B146" s="10">
        <v>810040</v>
      </c>
      <c r="C146" s="10">
        <v>1</v>
      </c>
      <c r="D146" s="9">
        <v>11</v>
      </c>
      <c r="E146" s="11" t="s">
        <v>23</v>
      </c>
      <c r="F146" s="12" t="s">
        <v>179</v>
      </c>
      <c r="G146" s="9">
        <v>11</v>
      </c>
      <c r="H146" s="34"/>
      <c r="I146" s="55" t="str">
        <f t="shared" si="5"/>
        <v>https://permalinkbnd.bnportugal.gov.pt/viewer/273316/?offset=#page=11&amp;viewer=picture&amp;o=info&amp;n=0&amp;q=</v>
      </c>
      <c r="J146" s="45"/>
      <c r="K146" s="45"/>
      <c r="L146" s="45"/>
      <c r="M146" t="s">
        <v>23</v>
      </c>
      <c r="N146">
        <v>273316</v>
      </c>
      <c r="O146" t="str">
        <f t="shared" si="4"/>
        <v>https://permalinkbnd.bnportugal.gov.pt/viewer/273316/?offset=#page=11&amp;viewer=picture&amp;o=info&amp;n=0&amp;q=</v>
      </c>
      <c r="P146">
        <v>810040</v>
      </c>
      <c r="Q146" t="s">
        <v>23</v>
      </c>
      <c r="R146" t="s">
        <v>1245</v>
      </c>
      <c r="S146" t="s">
        <v>1178</v>
      </c>
      <c r="T146" t="s">
        <v>1192</v>
      </c>
      <c r="U146" t="s">
        <v>599</v>
      </c>
      <c r="V146" t="s">
        <v>1907</v>
      </c>
      <c r="W146" t="s">
        <v>1908</v>
      </c>
      <c r="X146" t="s">
        <v>599</v>
      </c>
      <c r="Y146" t="s">
        <v>1182</v>
      </c>
      <c r="Z146" t="s">
        <v>1909</v>
      </c>
      <c r="AA146">
        <v>1898</v>
      </c>
      <c r="AB146">
        <v>1898</v>
      </c>
      <c r="AC146" t="s">
        <v>1910</v>
      </c>
      <c r="AD146" t="s">
        <v>1911</v>
      </c>
      <c r="AE146" t="s">
        <v>599</v>
      </c>
      <c r="AF146" t="s">
        <v>599</v>
      </c>
      <c r="AG146" t="s">
        <v>1432</v>
      </c>
      <c r="AH146" t="s">
        <v>599</v>
      </c>
      <c r="AI146" t="s">
        <v>599</v>
      </c>
      <c r="AJ146" t="s">
        <v>1912</v>
      </c>
      <c r="AK146" t="s">
        <v>1188</v>
      </c>
      <c r="AL146" t="s">
        <v>1913</v>
      </c>
      <c r="AM146" t="s">
        <v>1190</v>
      </c>
      <c r="AN146" t="s">
        <v>599</v>
      </c>
      <c r="AO146" t="s">
        <v>599</v>
      </c>
      <c r="AP146" t="s">
        <v>599</v>
      </c>
      <c r="AQ146" t="s">
        <v>599</v>
      </c>
      <c r="AR146" t="s">
        <v>599</v>
      </c>
      <c r="AS146" t="s">
        <v>599</v>
      </c>
      <c r="AT146" t="s">
        <v>599</v>
      </c>
    </row>
    <row r="147" spans="1:46" s="13" customFormat="1" ht="30" x14ac:dyDescent="0.25">
      <c r="A147" s="9">
        <v>10255</v>
      </c>
      <c r="B147" s="10">
        <v>810055</v>
      </c>
      <c r="C147" s="10">
        <v>1</v>
      </c>
      <c r="D147" s="9">
        <v>1</v>
      </c>
      <c r="E147" s="11" t="s">
        <v>180</v>
      </c>
      <c r="F147" s="12" t="s">
        <v>181</v>
      </c>
      <c r="G147" s="9"/>
      <c r="H147" s="34"/>
      <c r="I147" s="55" t="str">
        <f t="shared" si="5"/>
        <v>https://permalinkbnd.bnportugal.gov.pt/viewer/273346/?offset=#page=1&amp;viewer=picture&amp;o=info&amp;n=0&amp;q=</v>
      </c>
      <c r="J147" s="45"/>
      <c r="K147" s="45"/>
      <c r="L147" s="45"/>
      <c r="M147" t="s">
        <v>180</v>
      </c>
      <c r="N147">
        <v>273346</v>
      </c>
      <c r="O147" t="str">
        <f t="shared" si="4"/>
        <v>https://permalinkbnd.bnportugal.gov.pt/viewer/273346/?offset=#page=1&amp;viewer=picture&amp;o=info&amp;n=0&amp;q=</v>
      </c>
      <c r="P147">
        <v>810055</v>
      </c>
      <c r="Q147" t="s">
        <v>180</v>
      </c>
      <c r="R147" t="s">
        <v>599</v>
      </c>
      <c r="S147" t="s">
        <v>1178</v>
      </c>
      <c r="T147" t="s">
        <v>1914</v>
      </c>
      <c r="U147" t="s">
        <v>1192</v>
      </c>
      <c r="V147" t="s">
        <v>1915</v>
      </c>
      <c r="W147" t="s">
        <v>1916</v>
      </c>
      <c r="X147" t="s">
        <v>599</v>
      </c>
      <c r="Y147" t="s">
        <v>1182</v>
      </c>
      <c r="Z147" t="s">
        <v>1909</v>
      </c>
      <c r="AA147">
        <v>1898</v>
      </c>
      <c r="AB147">
        <v>1898</v>
      </c>
      <c r="AC147" t="s">
        <v>1917</v>
      </c>
      <c r="AD147" t="s">
        <v>1918</v>
      </c>
      <c r="AE147" t="s">
        <v>599</v>
      </c>
      <c r="AF147" t="s">
        <v>599</v>
      </c>
      <c r="AG147" t="s">
        <v>1919</v>
      </c>
      <c r="AH147" t="s">
        <v>599</v>
      </c>
      <c r="AI147" t="s">
        <v>599</v>
      </c>
      <c r="AJ147" t="s">
        <v>1920</v>
      </c>
      <c r="AK147" t="s">
        <v>1188</v>
      </c>
      <c r="AL147" t="s">
        <v>1921</v>
      </c>
      <c r="AM147" t="s">
        <v>1190</v>
      </c>
      <c r="AN147" t="s">
        <v>599</v>
      </c>
      <c r="AO147" t="s">
        <v>599</v>
      </c>
      <c r="AP147" t="s">
        <v>599</v>
      </c>
      <c r="AQ147" t="s">
        <v>599</v>
      </c>
      <c r="AR147" t="s">
        <v>599</v>
      </c>
      <c r="AS147" t="s">
        <v>599</v>
      </c>
      <c r="AT147" t="s">
        <v>599</v>
      </c>
    </row>
    <row r="148" spans="1:46" s="13" customFormat="1" ht="30" x14ac:dyDescent="0.25">
      <c r="A148" s="9"/>
      <c r="B148" s="10">
        <v>810055</v>
      </c>
      <c r="C148" s="10">
        <v>1</v>
      </c>
      <c r="D148" s="9">
        <v>5</v>
      </c>
      <c r="E148" s="11" t="s">
        <v>180</v>
      </c>
      <c r="F148" s="12" t="s">
        <v>600</v>
      </c>
      <c r="G148" s="9"/>
      <c r="H148" s="34"/>
      <c r="I148" s="55" t="str">
        <f t="shared" si="5"/>
        <v>https://permalinkbnd.bnportugal.gov.pt/viewer/273346/?offset=#page=5&amp;viewer=picture&amp;o=info&amp;n=0&amp;q=</v>
      </c>
      <c r="J148" s="45"/>
      <c r="K148" s="45"/>
      <c r="L148" s="45"/>
      <c r="M148" t="s">
        <v>180</v>
      </c>
      <c r="N148">
        <v>273346</v>
      </c>
      <c r="O148" t="str">
        <f t="shared" si="4"/>
        <v>https://permalinkbnd.bnportugal.gov.pt/viewer/273346/?offset=#page=5&amp;viewer=picture&amp;o=info&amp;n=0&amp;q=</v>
      </c>
      <c r="P148">
        <v>810055</v>
      </c>
      <c r="Q148" t="s">
        <v>180</v>
      </c>
      <c r="R148" t="s">
        <v>1922</v>
      </c>
      <c r="S148" t="s">
        <v>1178</v>
      </c>
      <c r="T148" t="s">
        <v>1914</v>
      </c>
      <c r="U148" t="s">
        <v>1192</v>
      </c>
      <c r="V148" t="s">
        <v>1915</v>
      </c>
      <c r="W148" t="s">
        <v>1916</v>
      </c>
      <c r="X148" t="s">
        <v>599</v>
      </c>
      <c r="Y148" t="s">
        <v>1182</v>
      </c>
      <c r="Z148" t="s">
        <v>1909</v>
      </c>
      <c r="AA148">
        <v>1898</v>
      </c>
      <c r="AB148">
        <v>1898</v>
      </c>
      <c r="AC148" t="s">
        <v>1917</v>
      </c>
      <c r="AD148" t="s">
        <v>1918</v>
      </c>
      <c r="AE148" t="s">
        <v>599</v>
      </c>
      <c r="AF148" t="s">
        <v>599</v>
      </c>
      <c r="AG148" t="s">
        <v>1919</v>
      </c>
      <c r="AH148" t="s">
        <v>599</v>
      </c>
      <c r="AI148" t="s">
        <v>599</v>
      </c>
      <c r="AJ148" t="s">
        <v>1920</v>
      </c>
      <c r="AK148" t="s">
        <v>1188</v>
      </c>
      <c r="AL148" t="s">
        <v>1921</v>
      </c>
      <c r="AM148" t="s">
        <v>1190</v>
      </c>
      <c r="AN148" t="s">
        <v>599</v>
      </c>
      <c r="AO148" t="s">
        <v>599</v>
      </c>
      <c r="AP148" t="s">
        <v>599</v>
      </c>
      <c r="AQ148" t="s">
        <v>599</v>
      </c>
      <c r="AR148" t="s">
        <v>599</v>
      </c>
      <c r="AS148" t="s">
        <v>599</v>
      </c>
      <c r="AT148" t="s">
        <v>599</v>
      </c>
    </row>
    <row r="149" spans="1:46" s="26" customFormat="1" ht="30" x14ac:dyDescent="0.25">
      <c r="A149" s="22">
        <v>10256</v>
      </c>
      <c r="B149" s="23">
        <v>810381</v>
      </c>
      <c r="C149" s="23">
        <v>1</v>
      </c>
      <c r="D149" s="27">
        <v>7</v>
      </c>
      <c r="E149" s="24" t="s">
        <v>182</v>
      </c>
      <c r="F149" s="25">
        <v>7</v>
      </c>
      <c r="G149" s="22"/>
      <c r="H149" s="27" t="s">
        <v>615</v>
      </c>
      <c r="I149" s="55" t="str">
        <f t="shared" si="5"/>
        <v>https://permalinkbnd.bnportugal.gov.pt/viewer/274342/?offset=#page=7&amp;viewer=picture&amp;o=info&amp;n=0&amp;q=</v>
      </c>
      <c r="J149" s="45"/>
      <c r="K149" s="45"/>
      <c r="L149" s="45"/>
      <c r="M149" t="s">
        <v>182</v>
      </c>
      <c r="N149">
        <v>274342</v>
      </c>
      <c r="O149" t="str">
        <f t="shared" si="4"/>
        <v>https://permalinkbnd.bnportugal.gov.pt/viewer/274342/?offset=#page=7&amp;viewer=picture&amp;o=info&amp;n=0&amp;q=</v>
      </c>
      <c r="P149">
        <v>810381</v>
      </c>
      <c r="Q149" t="s">
        <v>182</v>
      </c>
      <c r="R149" t="s">
        <v>1923</v>
      </c>
      <c r="S149" t="s">
        <v>1178</v>
      </c>
      <c r="T149" t="s">
        <v>1209</v>
      </c>
      <c r="U149" t="s">
        <v>599</v>
      </c>
      <c r="V149" t="s">
        <v>1924</v>
      </c>
      <c r="W149" t="s">
        <v>599</v>
      </c>
      <c r="X149" t="s">
        <v>599</v>
      </c>
      <c r="Y149" t="s">
        <v>1182</v>
      </c>
      <c r="Z149" t="s">
        <v>1925</v>
      </c>
      <c r="AA149">
        <v>1873</v>
      </c>
      <c r="AB149">
        <v>1873</v>
      </c>
      <c r="AC149" t="s">
        <v>1926</v>
      </c>
      <c r="AD149" t="s">
        <v>1927</v>
      </c>
      <c r="AE149" t="s">
        <v>599</v>
      </c>
      <c r="AF149" t="s">
        <v>1928</v>
      </c>
      <c r="AG149" t="s">
        <v>599</v>
      </c>
      <c r="AH149" t="s">
        <v>599</v>
      </c>
      <c r="AI149" t="s">
        <v>1929</v>
      </c>
      <c r="AJ149" t="s">
        <v>1930</v>
      </c>
      <c r="AK149" t="s">
        <v>1188</v>
      </c>
      <c r="AL149" t="s">
        <v>1931</v>
      </c>
      <c r="AM149" t="s">
        <v>1190</v>
      </c>
      <c r="AN149" t="s">
        <v>599</v>
      </c>
      <c r="AO149" t="s">
        <v>599</v>
      </c>
      <c r="AP149" t="s">
        <v>1932</v>
      </c>
      <c r="AQ149" t="s">
        <v>599</v>
      </c>
      <c r="AR149" t="s">
        <v>599</v>
      </c>
      <c r="AS149" t="s">
        <v>599</v>
      </c>
      <c r="AT149" t="s">
        <v>599</v>
      </c>
    </row>
    <row r="150" spans="1:46" s="13" customFormat="1" ht="30" x14ac:dyDescent="0.25">
      <c r="A150" s="9">
        <v>10264</v>
      </c>
      <c r="B150" s="10">
        <v>847196</v>
      </c>
      <c r="C150" s="10">
        <v>1</v>
      </c>
      <c r="D150" s="9">
        <v>3</v>
      </c>
      <c r="E150" s="11" t="s">
        <v>183</v>
      </c>
      <c r="F150" s="12">
        <v>3</v>
      </c>
      <c r="G150" s="9">
        <v>3</v>
      </c>
      <c r="H150" s="34"/>
      <c r="I150" s="55" t="str">
        <f t="shared" si="5"/>
        <v>https://permalinkbnd.bnportugal.gov.pt/viewer/273439/?offset=#page=3&amp;viewer=picture&amp;o=info&amp;n=0&amp;q=</v>
      </c>
      <c r="J150" s="45"/>
      <c r="K150" s="45"/>
      <c r="L150" s="45"/>
      <c r="M150" t="s">
        <v>183</v>
      </c>
      <c r="N150">
        <v>273439</v>
      </c>
      <c r="O150" t="str">
        <f t="shared" si="4"/>
        <v>https://permalinkbnd.bnportugal.gov.pt/viewer/273439/?offset=#page=3&amp;viewer=picture&amp;o=info&amp;n=0&amp;q=</v>
      </c>
      <c r="P150">
        <v>847196</v>
      </c>
      <c r="Q150" t="s">
        <v>183</v>
      </c>
      <c r="R150" t="s">
        <v>599</v>
      </c>
      <c r="S150" t="s">
        <v>1178</v>
      </c>
      <c r="T150" t="s">
        <v>1192</v>
      </c>
      <c r="U150" t="s">
        <v>599</v>
      </c>
      <c r="V150" t="s">
        <v>1105</v>
      </c>
      <c r="W150" t="s">
        <v>1933</v>
      </c>
      <c r="X150" t="s">
        <v>599</v>
      </c>
      <c r="Y150" t="s">
        <v>1182</v>
      </c>
      <c r="Z150" t="s">
        <v>1934</v>
      </c>
      <c r="AA150">
        <v>1880</v>
      </c>
      <c r="AB150">
        <v>1880</v>
      </c>
      <c r="AC150" t="s">
        <v>1935</v>
      </c>
      <c r="AD150" t="s">
        <v>1936</v>
      </c>
      <c r="AE150" t="s">
        <v>599</v>
      </c>
      <c r="AF150" t="s">
        <v>599</v>
      </c>
      <c r="AG150" t="s">
        <v>599</v>
      </c>
      <c r="AH150" t="s">
        <v>599</v>
      </c>
      <c r="AI150" t="s">
        <v>599</v>
      </c>
      <c r="AJ150" t="s">
        <v>1937</v>
      </c>
      <c r="AK150" t="s">
        <v>1188</v>
      </c>
      <c r="AL150" t="s">
        <v>1938</v>
      </c>
      <c r="AM150" t="s">
        <v>1190</v>
      </c>
      <c r="AN150" t="s">
        <v>599</v>
      </c>
      <c r="AO150" t="s">
        <v>599</v>
      </c>
      <c r="AP150" t="s">
        <v>599</v>
      </c>
      <c r="AQ150" t="s">
        <v>599</v>
      </c>
      <c r="AR150" t="s">
        <v>599</v>
      </c>
      <c r="AS150" t="s">
        <v>599</v>
      </c>
      <c r="AT150" t="s">
        <v>599</v>
      </c>
    </row>
    <row r="151" spans="1:46" s="26" customFormat="1" ht="30" x14ac:dyDescent="0.25">
      <c r="A151" s="22">
        <v>10277</v>
      </c>
      <c r="B151" s="23">
        <v>851350</v>
      </c>
      <c r="C151" s="23">
        <v>1</v>
      </c>
      <c r="D151" s="27">
        <v>5</v>
      </c>
      <c r="E151" s="24" t="s">
        <v>184</v>
      </c>
      <c r="F151" s="25" t="s">
        <v>185</v>
      </c>
      <c r="G151" s="22"/>
      <c r="H151" s="27" t="s">
        <v>618</v>
      </c>
      <c r="I151" s="55" t="str">
        <f t="shared" si="5"/>
        <v>https://permalinkbnd.bnportugal.gov.pt/viewer/273527/?offset=#page=5&amp;viewer=picture&amp;o=info&amp;n=0&amp;q=</v>
      </c>
      <c r="J151" s="45"/>
      <c r="K151" s="45"/>
      <c r="L151" s="45"/>
      <c r="M151" t="s">
        <v>184</v>
      </c>
      <c r="N151">
        <v>273527</v>
      </c>
      <c r="O151" t="str">
        <f t="shared" si="4"/>
        <v>https://permalinkbnd.bnportugal.gov.pt/viewer/273527/?offset=#page=5&amp;viewer=picture&amp;o=info&amp;n=0&amp;q=</v>
      </c>
      <c r="P151">
        <v>851350</v>
      </c>
      <c r="Q151" t="s">
        <v>184</v>
      </c>
      <c r="R151" t="s">
        <v>599</v>
      </c>
      <c r="S151" t="s">
        <v>1178</v>
      </c>
      <c r="T151" t="s">
        <v>1192</v>
      </c>
      <c r="U151" t="s">
        <v>599</v>
      </c>
      <c r="V151" t="s">
        <v>1939</v>
      </c>
      <c r="W151" t="s">
        <v>599</v>
      </c>
      <c r="X151" t="s">
        <v>599</v>
      </c>
      <c r="Y151" t="s">
        <v>1182</v>
      </c>
      <c r="Z151" t="s">
        <v>1940</v>
      </c>
      <c r="AA151">
        <v>1880</v>
      </c>
      <c r="AB151">
        <v>1880</v>
      </c>
      <c r="AC151" t="s">
        <v>1802</v>
      </c>
      <c r="AD151" t="s">
        <v>1941</v>
      </c>
      <c r="AE151" t="s">
        <v>599</v>
      </c>
      <c r="AF151" t="s">
        <v>599</v>
      </c>
      <c r="AG151" t="s">
        <v>599</v>
      </c>
      <c r="AH151" t="s">
        <v>599</v>
      </c>
      <c r="AI151" t="s">
        <v>599</v>
      </c>
      <c r="AJ151" t="s">
        <v>1942</v>
      </c>
      <c r="AK151" t="s">
        <v>1188</v>
      </c>
      <c r="AL151" t="s">
        <v>1943</v>
      </c>
      <c r="AM151" t="s">
        <v>1190</v>
      </c>
      <c r="AN151" t="s">
        <v>599</v>
      </c>
      <c r="AO151" t="s">
        <v>599</v>
      </c>
      <c r="AP151" t="s">
        <v>599</v>
      </c>
      <c r="AQ151" t="s">
        <v>599</v>
      </c>
      <c r="AR151" t="s">
        <v>599</v>
      </c>
      <c r="AS151" t="s">
        <v>599</v>
      </c>
      <c r="AT151" t="s">
        <v>599</v>
      </c>
    </row>
    <row r="152" spans="1:46" s="26" customFormat="1" ht="30" x14ac:dyDescent="0.25">
      <c r="A152" s="22">
        <v>10285</v>
      </c>
      <c r="B152" s="23">
        <v>852833</v>
      </c>
      <c r="C152" s="23">
        <v>1</v>
      </c>
      <c r="D152" s="27">
        <v>11</v>
      </c>
      <c r="E152" s="24" t="s">
        <v>186</v>
      </c>
      <c r="F152" s="25">
        <v>11</v>
      </c>
      <c r="G152" s="22"/>
      <c r="H152" s="27" t="s">
        <v>624</v>
      </c>
      <c r="I152" s="55" t="str">
        <f t="shared" si="5"/>
        <v>https://permalinkbnd.bnportugal.gov.pt/viewer/273731/?offset=#page=11&amp;viewer=picture&amp;o=info&amp;n=0&amp;q=</v>
      </c>
      <c r="J152" s="45"/>
      <c r="K152" s="45"/>
      <c r="L152" s="45"/>
      <c r="M152" t="s">
        <v>186</v>
      </c>
      <c r="N152">
        <v>273731</v>
      </c>
      <c r="O152" t="str">
        <f t="shared" si="4"/>
        <v>https://permalinkbnd.bnportugal.gov.pt/viewer/273731/?offset=#page=11&amp;viewer=picture&amp;o=info&amp;n=0&amp;q=</v>
      </c>
      <c r="P152">
        <v>852833</v>
      </c>
      <c r="Q152" t="s">
        <v>186</v>
      </c>
      <c r="R152" t="s">
        <v>599</v>
      </c>
      <c r="S152" t="s">
        <v>1178</v>
      </c>
      <c r="T152" t="s">
        <v>1192</v>
      </c>
      <c r="U152" t="s">
        <v>599</v>
      </c>
      <c r="V152" t="s">
        <v>1944</v>
      </c>
      <c r="W152" t="s">
        <v>599</v>
      </c>
      <c r="X152" t="s">
        <v>599</v>
      </c>
      <c r="Y152" t="s">
        <v>1182</v>
      </c>
      <c r="Z152" t="s">
        <v>1945</v>
      </c>
      <c r="AA152">
        <v>1891</v>
      </c>
      <c r="AB152">
        <v>1891</v>
      </c>
      <c r="AC152" t="s">
        <v>1946</v>
      </c>
      <c r="AD152" t="s">
        <v>1947</v>
      </c>
      <c r="AE152" t="s">
        <v>599</v>
      </c>
      <c r="AF152" t="s">
        <v>599</v>
      </c>
      <c r="AG152" t="s">
        <v>599</v>
      </c>
      <c r="AH152" t="s">
        <v>599</v>
      </c>
      <c r="AI152" t="s">
        <v>599</v>
      </c>
      <c r="AJ152" t="s">
        <v>1948</v>
      </c>
      <c r="AK152" t="s">
        <v>1188</v>
      </c>
      <c r="AL152" t="s">
        <v>1949</v>
      </c>
      <c r="AM152" t="s">
        <v>1190</v>
      </c>
      <c r="AN152" t="s">
        <v>599</v>
      </c>
      <c r="AO152" t="s">
        <v>599</v>
      </c>
      <c r="AP152" t="s">
        <v>599</v>
      </c>
      <c r="AQ152" t="s">
        <v>599</v>
      </c>
      <c r="AR152" t="s">
        <v>599</v>
      </c>
      <c r="AS152" t="s">
        <v>599</v>
      </c>
      <c r="AT152" t="s">
        <v>599</v>
      </c>
    </row>
    <row r="153" spans="1:46" s="26" customFormat="1" ht="30" x14ac:dyDescent="0.25">
      <c r="A153" s="22">
        <v>10287</v>
      </c>
      <c r="B153" s="23">
        <v>859037</v>
      </c>
      <c r="C153" s="23">
        <v>1</v>
      </c>
      <c r="D153" s="27">
        <v>3</v>
      </c>
      <c r="E153" s="24" t="s">
        <v>187</v>
      </c>
      <c r="F153" s="25" t="s">
        <v>188</v>
      </c>
      <c r="G153" s="22"/>
      <c r="H153" s="27" t="s">
        <v>616</v>
      </c>
      <c r="I153" s="55" t="str">
        <f t="shared" si="5"/>
        <v>https://permalinkbnd.bnportugal.gov.pt/viewer/272628/?offset=#page=3&amp;viewer=picture&amp;o=info&amp;n=0&amp;q=</v>
      </c>
      <c r="J153" s="45"/>
      <c r="K153" s="45"/>
      <c r="L153" s="45"/>
      <c r="M153" t="s">
        <v>187</v>
      </c>
      <c r="N153">
        <v>272628</v>
      </c>
      <c r="O153" t="str">
        <f t="shared" si="4"/>
        <v>https://permalinkbnd.bnportugal.gov.pt/viewer/272628/?offset=#page=3&amp;viewer=picture&amp;o=info&amp;n=0&amp;q=</v>
      </c>
      <c r="P153">
        <v>859037</v>
      </c>
      <c r="Q153" t="s">
        <v>187</v>
      </c>
      <c r="R153" t="s">
        <v>1950</v>
      </c>
      <c r="S153" t="s">
        <v>1178</v>
      </c>
      <c r="T153" t="s">
        <v>1192</v>
      </c>
      <c r="U153" t="s">
        <v>599</v>
      </c>
      <c r="V153" t="s">
        <v>1951</v>
      </c>
      <c r="W153" t="s">
        <v>599</v>
      </c>
      <c r="X153" t="s">
        <v>599</v>
      </c>
      <c r="Y153" t="s">
        <v>1182</v>
      </c>
      <c r="Z153" t="s">
        <v>1952</v>
      </c>
      <c r="AA153">
        <v>1920</v>
      </c>
      <c r="AB153">
        <v>1920</v>
      </c>
      <c r="AC153" t="s">
        <v>1953</v>
      </c>
      <c r="AD153" t="s">
        <v>1954</v>
      </c>
      <c r="AE153" t="s">
        <v>599</v>
      </c>
      <c r="AF153" t="s">
        <v>599</v>
      </c>
      <c r="AG153" t="s">
        <v>599</v>
      </c>
      <c r="AH153" t="s">
        <v>599</v>
      </c>
      <c r="AI153" t="s">
        <v>599</v>
      </c>
      <c r="AJ153" t="s">
        <v>1955</v>
      </c>
      <c r="AK153" t="s">
        <v>1188</v>
      </c>
      <c r="AL153" t="s">
        <v>1956</v>
      </c>
      <c r="AM153" t="s">
        <v>1190</v>
      </c>
      <c r="AN153" t="s">
        <v>599</v>
      </c>
      <c r="AO153" t="s">
        <v>599</v>
      </c>
      <c r="AP153" t="s">
        <v>599</v>
      </c>
      <c r="AQ153" t="s">
        <v>599</v>
      </c>
      <c r="AR153" t="s">
        <v>599</v>
      </c>
      <c r="AS153" t="s">
        <v>599</v>
      </c>
      <c r="AT153" t="s">
        <v>599</v>
      </c>
    </row>
    <row r="154" spans="1:46" s="13" customFormat="1" ht="30" x14ac:dyDescent="0.25">
      <c r="A154" s="9">
        <v>10288</v>
      </c>
      <c r="B154" s="10">
        <v>865410</v>
      </c>
      <c r="C154" s="10">
        <v>1</v>
      </c>
      <c r="D154" s="9">
        <v>1</v>
      </c>
      <c r="E154" s="11" t="s">
        <v>189</v>
      </c>
      <c r="F154" s="12">
        <v>1</v>
      </c>
      <c r="G154" s="9">
        <v>1</v>
      </c>
      <c r="H154" s="34"/>
      <c r="I154" s="55" t="str">
        <f t="shared" si="5"/>
        <v>https://permalinkbnd.bnportugal.gov.pt/viewer/281130/?offset=#page=1&amp;viewer=picture&amp;o=info&amp;n=0&amp;q=</v>
      </c>
      <c r="J154" s="45"/>
      <c r="K154" s="45"/>
      <c r="L154" s="45"/>
      <c r="M154" t="s">
        <v>189</v>
      </c>
      <c r="N154">
        <v>281130</v>
      </c>
      <c r="O154" t="str">
        <f t="shared" si="4"/>
        <v>https://permalinkbnd.bnportugal.gov.pt/viewer/281130/?offset=#page=1&amp;viewer=picture&amp;o=info&amp;n=0&amp;q=</v>
      </c>
      <c r="P154">
        <v>865410</v>
      </c>
      <c r="Q154" t="s">
        <v>189</v>
      </c>
      <c r="R154" t="s">
        <v>1957</v>
      </c>
      <c r="S154" t="s">
        <v>1178</v>
      </c>
      <c r="T154" t="s">
        <v>1192</v>
      </c>
      <c r="U154" t="s">
        <v>599</v>
      </c>
      <c r="V154" t="s">
        <v>1958</v>
      </c>
      <c r="W154" t="s">
        <v>599</v>
      </c>
      <c r="X154" t="s">
        <v>599</v>
      </c>
      <c r="Y154" t="s">
        <v>1182</v>
      </c>
      <c r="Z154" t="s">
        <v>1959</v>
      </c>
      <c r="AA154">
        <v>1880</v>
      </c>
      <c r="AB154">
        <v>1880</v>
      </c>
      <c r="AC154" t="s">
        <v>599</v>
      </c>
      <c r="AD154" t="s">
        <v>599</v>
      </c>
      <c r="AE154" t="s">
        <v>599</v>
      </c>
      <c r="AF154" t="s">
        <v>599</v>
      </c>
      <c r="AG154" t="s">
        <v>599</v>
      </c>
      <c r="AH154" t="s">
        <v>599</v>
      </c>
      <c r="AI154" t="s">
        <v>599</v>
      </c>
      <c r="AJ154" t="s">
        <v>1960</v>
      </c>
      <c r="AK154" t="s">
        <v>1188</v>
      </c>
      <c r="AL154" t="s">
        <v>1961</v>
      </c>
      <c r="AM154" t="s">
        <v>1190</v>
      </c>
      <c r="AN154" t="s">
        <v>599</v>
      </c>
      <c r="AO154" t="s">
        <v>599</v>
      </c>
      <c r="AP154" t="s">
        <v>599</v>
      </c>
      <c r="AQ154" t="s">
        <v>599</v>
      </c>
      <c r="AR154" t="s">
        <v>1962</v>
      </c>
      <c r="AS154" t="s">
        <v>599</v>
      </c>
      <c r="AT154" t="s">
        <v>599</v>
      </c>
    </row>
    <row r="155" spans="1:46" s="26" customFormat="1" ht="30" x14ac:dyDescent="0.25">
      <c r="A155" s="22">
        <v>10291</v>
      </c>
      <c r="B155" s="23">
        <v>874327</v>
      </c>
      <c r="C155" s="23">
        <v>1</v>
      </c>
      <c r="D155" s="22"/>
      <c r="E155" s="24" t="s">
        <v>190</v>
      </c>
      <c r="F155" s="25" t="s">
        <v>191</v>
      </c>
      <c r="G155" s="22"/>
      <c r="H155" s="27" t="s">
        <v>616</v>
      </c>
      <c r="I155" s="55" t="str">
        <f t="shared" si="5"/>
        <v>https://permalinkbnd.bnportugal.gov.pt/viewer/273183/?offset=#page=&amp;viewer=picture&amp;o=info&amp;n=0&amp;q=</v>
      </c>
      <c r="J155" s="45"/>
      <c r="K155" s="45"/>
      <c r="L155" s="45"/>
      <c r="M155" t="s">
        <v>190</v>
      </c>
      <c r="N155">
        <v>273183</v>
      </c>
      <c r="O155" t="str">
        <f t="shared" si="4"/>
        <v>https://permalinkbnd.bnportugal.gov.pt/viewer/273183/?offset=#page=&amp;viewer=picture&amp;o=info&amp;n=0&amp;q=</v>
      </c>
      <c r="P155">
        <v>874327</v>
      </c>
      <c r="Q155" t="s">
        <v>190</v>
      </c>
      <c r="R155" t="s">
        <v>1963</v>
      </c>
      <c r="S155" t="s">
        <v>1178</v>
      </c>
      <c r="T155" t="s">
        <v>1362</v>
      </c>
      <c r="U155" t="s">
        <v>599</v>
      </c>
      <c r="V155" t="s">
        <v>1964</v>
      </c>
      <c r="W155" t="s">
        <v>599</v>
      </c>
      <c r="X155" t="s">
        <v>599</v>
      </c>
      <c r="Y155" t="s">
        <v>1182</v>
      </c>
      <c r="Z155" t="s">
        <v>1965</v>
      </c>
      <c r="AA155">
        <v>1890</v>
      </c>
      <c r="AB155">
        <v>1890</v>
      </c>
      <c r="AC155" t="s">
        <v>1276</v>
      </c>
      <c r="AD155" t="s">
        <v>1966</v>
      </c>
      <c r="AE155" t="s">
        <v>599</v>
      </c>
      <c r="AF155" t="s">
        <v>599</v>
      </c>
      <c r="AG155" t="s">
        <v>1967</v>
      </c>
      <c r="AH155" t="s">
        <v>599</v>
      </c>
      <c r="AI155" t="s">
        <v>599</v>
      </c>
      <c r="AJ155" t="s">
        <v>1968</v>
      </c>
      <c r="AK155" t="s">
        <v>1188</v>
      </c>
      <c r="AL155" t="s">
        <v>1969</v>
      </c>
      <c r="AM155" t="s">
        <v>1190</v>
      </c>
      <c r="AN155" t="s">
        <v>1970</v>
      </c>
      <c r="AO155" t="s">
        <v>599</v>
      </c>
      <c r="AP155" t="s">
        <v>599</v>
      </c>
      <c r="AQ155" t="s">
        <v>599</v>
      </c>
      <c r="AR155" t="s">
        <v>599</v>
      </c>
      <c r="AS155" t="s">
        <v>599</v>
      </c>
      <c r="AT155" t="s">
        <v>599</v>
      </c>
    </row>
    <row r="156" spans="1:46" s="13" customFormat="1" ht="30" x14ac:dyDescent="0.25">
      <c r="A156" s="9">
        <v>10292</v>
      </c>
      <c r="B156" s="10">
        <v>917387</v>
      </c>
      <c r="C156" s="10">
        <v>1</v>
      </c>
      <c r="D156" s="9">
        <v>1</v>
      </c>
      <c r="E156" s="11" t="s">
        <v>192</v>
      </c>
      <c r="F156" s="12">
        <v>1</v>
      </c>
      <c r="G156" s="9">
        <v>1</v>
      </c>
      <c r="H156" s="34"/>
      <c r="I156" s="55" t="str">
        <f t="shared" si="5"/>
        <v>https://permalinkbnd.bnportugal.gov.pt/viewer/272728/?offset=#page=1&amp;viewer=picture&amp;o=info&amp;n=0&amp;q=</v>
      </c>
      <c r="J156" s="45"/>
      <c r="K156" s="45"/>
      <c r="L156" s="45"/>
      <c r="M156" t="s">
        <v>192</v>
      </c>
      <c r="N156">
        <v>272728</v>
      </c>
      <c r="O156" t="str">
        <f t="shared" si="4"/>
        <v>https://permalinkbnd.bnportugal.gov.pt/viewer/272728/?offset=#page=1&amp;viewer=picture&amp;o=info&amp;n=0&amp;q=</v>
      </c>
      <c r="P156">
        <v>917387</v>
      </c>
      <c r="Q156" t="s">
        <v>192</v>
      </c>
      <c r="R156" t="s">
        <v>1971</v>
      </c>
      <c r="S156" t="s">
        <v>1312</v>
      </c>
      <c r="T156" t="s">
        <v>1192</v>
      </c>
      <c r="U156" t="s">
        <v>599</v>
      </c>
      <c r="V156" t="s">
        <v>1972</v>
      </c>
      <c r="W156" t="s">
        <v>599</v>
      </c>
      <c r="X156" t="s">
        <v>599</v>
      </c>
      <c r="Y156" t="s">
        <v>1182</v>
      </c>
      <c r="Z156" t="s">
        <v>1973</v>
      </c>
      <c r="AA156">
        <v>1880</v>
      </c>
      <c r="AB156">
        <v>1880</v>
      </c>
      <c r="AC156" t="s">
        <v>1454</v>
      </c>
      <c r="AD156" t="s">
        <v>1974</v>
      </c>
      <c r="AE156" t="s">
        <v>599</v>
      </c>
      <c r="AF156" t="s">
        <v>599</v>
      </c>
      <c r="AG156" t="s">
        <v>599</v>
      </c>
      <c r="AH156" t="s">
        <v>599</v>
      </c>
      <c r="AI156" t="s">
        <v>599</v>
      </c>
      <c r="AJ156" t="s">
        <v>1975</v>
      </c>
      <c r="AK156" t="s">
        <v>1188</v>
      </c>
      <c r="AL156" t="s">
        <v>1976</v>
      </c>
      <c r="AM156" t="s">
        <v>1190</v>
      </c>
      <c r="AN156" t="s">
        <v>599</v>
      </c>
      <c r="AO156" t="s">
        <v>599</v>
      </c>
      <c r="AP156" t="s">
        <v>599</v>
      </c>
      <c r="AQ156" t="s">
        <v>599</v>
      </c>
      <c r="AR156" t="s">
        <v>599</v>
      </c>
      <c r="AS156" t="s">
        <v>599</v>
      </c>
      <c r="AT156" t="s">
        <v>599</v>
      </c>
    </row>
    <row r="157" spans="1:46" s="13" customFormat="1" ht="30" x14ac:dyDescent="0.25">
      <c r="A157" s="9">
        <v>10293</v>
      </c>
      <c r="B157" s="10">
        <v>931586</v>
      </c>
      <c r="C157" s="10">
        <v>1</v>
      </c>
      <c r="D157" s="9">
        <v>1</v>
      </c>
      <c r="E157" s="11" t="s">
        <v>193</v>
      </c>
      <c r="F157" s="12" t="s">
        <v>71</v>
      </c>
      <c r="G157" s="9">
        <v>1</v>
      </c>
      <c r="H157" s="34"/>
      <c r="I157" s="55" t="str">
        <f t="shared" si="5"/>
        <v>https://permalinkbnd.bnportugal.gov.pt/viewer/272733/?offset=#page=1&amp;viewer=picture&amp;o=info&amp;n=0&amp;q=</v>
      </c>
      <c r="J157" s="45"/>
      <c r="K157" s="45"/>
      <c r="L157" s="45"/>
      <c r="M157" t="s">
        <v>193</v>
      </c>
      <c r="N157">
        <v>272733</v>
      </c>
      <c r="O157" t="str">
        <f t="shared" si="4"/>
        <v>https://permalinkbnd.bnportugal.gov.pt/viewer/272733/?offset=#page=1&amp;viewer=picture&amp;o=info&amp;n=0&amp;q=</v>
      </c>
      <c r="P157">
        <v>931586</v>
      </c>
      <c r="Q157" t="s">
        <v>193</v>
      </c>
      <c r="R157" t="s">
        <v>1977</v>
      </c>
      <c r="S157" t="s">
        <v>1312</v>
      </c>
      <c r="T157" t="s">
        <v>599</v>
      </c>
      <c r="U157" t="s">
        <v>599</v>
      </c>
      <c r="V157" t="s">
        <v>1313</v>
      </c>
      <c r="W157" t="s">
        <v>599</v>
      </c>
      <c r="X157" t="s">
        <v>599</v>
      </c>
      <c r="Y157" t="s">
        <v>1182</v>
      </c>
      <c r="Z157" t="s">
        <v>1453</v>
      </c>
      <c r="AA157">
        <v>1890</v>
      </c>
      <c r="AB157">
        <v>1890</v>
      </c>
      <c r="AC157" t="s">
        <v>1978</v>
      </c>
      <c r="AD157" t="s">
        <v>599</v>
      </c>
      <c r="AE157" t="s">
        <v>599</v>
      </c>
      <c r="AF157" t="s">
        <v>599</v>
      </c>
      <c r="AG157" t="s">
        <v>599</v>
      </c>
      <c r="AH157" t="s">
        <v>599</v>
      </c>
      <c r="AI157" t="s">
        <v>599</v>
      </c>
      <c r="AJ157" t="s">
        <v>1979</v>
      </c>
      <c r="AK157" t="s">
        <v>1188</v>
      </c>
      <c r="AL157" t="s">
        <v>1980</v>
      </c>
      <c r="AM157" t="s">
        <v>1190</v>
      </c>
      <c r="AN157" t="s">
        <v>599</v>
      </c>
      <c r="AO157" t="s">
        <v>599</v>
      </c>
      <c r="AP157" t="s">
        <v>599</v>
      </c>
      <c r="AQ157" t="s">
        <v>599</v>
      </c>
      <c r="AR157" t="s">
        <v>599</v>
      </c>
      <c r="AS157" t="s">
        <v>599</v>
      </c>
      <c r="AT157" t="s">
        <v>599</v>
      </c>
    </row>
    <row r="158" spans="1:46" s="13" customFormat="1" ht="30" x14ac:dyDescent="0.25">
      <c r="A158" s="9">
        <v>10294</v>
      </c>
      <c r="B158" s="10">
        <v>950676</v>
      </c>
      <c r="C158" s="10">
        <v>1</v>
      </c>
      <c r="D158" s="9">
        <v>1</v>
      </c>
      <c r="E158" s="11" t="s">
        <v>194</v>
      </c>
      <c r="F158" s="12">
        <v>1</v>
      </c>
      <c r="G158" s="9">
        <v>1</v>
      </c>
      <c r="H158" s="34"/>
      <c r="I158" s="55" t="str">
        <f t="shared" si="5"/>
        <v>https://permalinkbnd.bnportugal.gov.pt/viewer/33718/?offset=#page=1&amp;viewer=picture&amp;o=info&amp;n=0&amp;q=</v>
      </c>
      <c r="J158" s="45"/>
      <c r="K158" s="45"/>
      <c r="L158" s="45"/>
      <c r="M158" t="s">
        <v>194</v>
      </c>
      <c r="N158">
        <v>33718</v>
      </c>
      <c r="O158" t="str">
        <f t="shared" si="4"/>
        <v>https://permalinkbnd.bnportugal.gov.pt/viewer/33718/?offset=#page=1&amp;viewer=picture&amp;o=info&amp;n=0&amp;q=</v>
      </c>
      <c r="P158">
        <v>950676</v>
      </c>
      <c r="Q158" t="s">
        <v>194</v>
      </c>
      <c r="R158" t="s">
        <v>599</v>
      </c>
      <c r="S158" t="s">
        <v>1312</v>
      </c>
      <c r="T158" t="s">
        <v>1362</v>
      </c>
      <c r="U158" t="s">
        <v>599</v>
      </c>
      <c r="V158" t="s">
        <v>1981</v>
      </c>
      <c r="W158" t="s">
        <v>599</v>
      </c>
      <c r="X158" t="s">
        <v>599</v>
      </c>
      <c r="Y158" t="s">
        <v>1182</v>
      </c>
      <c r="Z158" t="s">
        <v>1607</v>
      </c>
      <c r="AA158">
        <v>1840</v>
      </c>
      <c r="AB158">
        <v>1840</v>
      </c>
      <c r="AC158" t="s">
        <v>1454</v>
      </c>
      <c r="AD158" t="s">
        <v>1982</v>
      </c>
      <c r="AE158" t="s">
        <v>599</v>
      </c>
      <c r="AF158" t="s">
        <v>599</v>
      </c>
      <c r="AG158" t="s">
        <v>1983</v>
      </c>
      <c r="AH158" t="s">
        <v>599</v>
      </c>
      <c r="AI158" t="s">
        <v>599</v>
      </c>
      <c r="AJ158" t="s">
        <v>1984</v>
      </c>
      <c r="AK158" t="s">
        <v>599</v>
      </c>
      <c r="AL158" t="s">
        <v>1985</v>
      </c>
      <c r="AM158" t="s">
        <v>1190</v>
      </c>
      <c r="AN158" t="s">
        <v>599</v>
      </c>
      <c r="AO158" t="s">
        <v>599</v>
      </c>
      <c r="AP158" t="s">
        <v>599</v>
      </c>
      <c r="AQ158" t="s">
        <v>599</v>
      </c>
      <c r="AR158" t="s">
        <v>599</v>
      </c>
      <c r="AS158" t="s">
        <v>599</v>
      </c>
      <c r="AT158" t="s">
        <v>599</v>
      </c>
    </row>
    <row r="159" spans="1:46" s="13" customFormat="1" ht="30" x14ac:dyDescent="0.25">
      <c r="A159" s="9">
        <v>10295</v>
      </c>
      <c r="B159" s="10">
        <v>950691</v>
      </c>
      <c r="C159" s="10">
        <v>1</v>
      </c>
      <c r="D159" s="9">
        <v>1</v>
      </c>
      <c r="E159" s="11" t="s">
        <v>195</v>
      </c>
      <c r="F159" s="12">
        <v>1</v>
      </c>
      <c r="G159" s="9">
        <v>1</v>
      </c>
      <c r="H159" s="34"/>
      <c r="I159" s="55" t="str">
        <f t="shared" si="5"/>
        <v>https://permalinkbnd.bnportugal.gov.pt/viewer/33721/?offset=#page=1&amp;viewer=picture&amp;o=info&amp;n=0&amp;q=</v>
      </c>
      <c r="J159" s="45"/>
      <c r="K159" s="45"/>
      <c r="L159" s="45"/>
      <c r="M159" t="s">
        <v>195</v>
      </c>
      <c r="N159">
        <v>33721</v>
      </c>
      <c r="O159" t="str">
        <f t="shared" si="4"/>
        <v>https://permalinkbnd.bnportugal.gov.pt/viewer/33721/?offset=#page=1&amp;viewer=picture&amp;o=info&amp;n=0&amp;q=</v>
      </c>
      <c r="P159">
        <v>950691</v>
      </c>
      <c r="Q159" t="s">
        <v>195</v>
      </c>
      <c r="R159" t="s">
        <v>599</v>
      </c>
      <c r="S159" t="s">
        <v>1312</v>
      </c>
      <c r="T159" t="s">
        <v>1362</v>
      </c>
      <c r="U159" t="s">
        <v>599</v>
      </c>
      <c r="V159" t="s">
        <v>1986</v>
      </c>
      <c r="W159" t="s">
        <v>599</v>
      </c>
      <c r="X159" t="s">
        <v>599</v>
      </c>
      <c r="Y159" t="s">
        <v>1182</v>
      </c>
      <c r="Z159" t="s">
        <v>1607</v>
      </c>
      <c r="AA159">
        <v>1850</v>
      </c>
      <c r="AB159">
        <v>1850</v>
      </c>
      <c r="AC159" t="s">
        <v>1454</v>
      </c>
      <c r="AD159" t="s">
        <v>1987</v>
      </c>
      <c r="AE159" t="s">
        <v>599</v>
      </c>
      <c r="AF159" t="s">
        <v>1988</v>
      </c>
      <c r="AG159" t="s">
        <v>1989</v>
      </c>
      <c r="AH159" t="s">
        <v>599</v>
      </c>
      <c r="AI159" t="s">
        <v>599</v>
      </c>
      <c r="AJ159" t="s">
        <v>1990</v>
      </c>
      <c r="AK159" t="s">
        <v>599</v>
      </c>
      <c r="AL159" t="s">
        <v>1991</v>
      </c>
      <c r="AM159" t="s">
        <v>1190</v>
      </c>
      <c r="AN159" t="s">
        <v>599</v>
      </c>
      <c r="AO159" t="s">
        <v>599</v>
      </c>
      <c r="AP159" t="s">
        <v>599</v>
      </c>
      <c r="AQ159" t="s">
        <v>599</v>
      </c>
      <c r="AR159" t="s">
        <v>599</v>
      </c>
      <c r="AS159" t="s">
        <v>599</v>
      </c>
      <c r="AT159" t="s">
        <v>599</v>
      </c>
    </row>
    <row r="160" spans="1:46" s="13" customFormat="1" ht="30" x14ac:dyDescent="0.25">
      <c r="A160" s="9">
        <v>10296</v>
      </c>
      <c r="B160" s="10">
        <v>959409</v>
      </c>
      <c r="C160" s="10">
        <v>1</v>
      </c>
      <c r="D160" s="9">
        <v>1</v>
      </c>
      <c r="E160" s="11" t="s">
        <v>196</v>
      </c>
      <c r="F160" s="12">
        <v>1</v>
      </c>
      <c r="G160" s="9">
        <v>1</v>
      </c>
      <c r="H160" s="34"/>
      <c r="I160" s="55" t="str">
        <f t="shared" si="5"/>
        <v>https://permalinkbnd.bnportugal.gov.pt/viewer/36775/?offset=#page=1&amp;viewer=picture&amp;o=info&amp;n=0&amp;q=</v>
      </c>
      <c r="J160" s="45"/>
      <c r="K160" s="45"/>
      <c r="L160" s="45"/>
      <c r="M160" t="s">
        <v>196</v>
      </c>
      <c r="N160">
        <v>36775</v>
      </c>
      <c r="O160" t="str">
        <f t="shared" si="4"/>
        <v>https://permalinkbnd.bnportugal.gov.pt/viewer/36775/?offset=#page=1&amp;viewer=picture&amp;o=info&amp;n=0&amp;q=</v>
      </c>
      <c r="P160">
        <v>959409</v>
      </c>
      <c r="Q160" t="s">
        <v>196</v>
      </c>
      <c r="R160" t="s">
        <v>1992</v>
      </c>
      <c r="S160" t="s">
        <v>1312</v>
      </c>
      <c r="T160" t="s">
        <v>1192</v>
      </c>
      <c r="U160" t="s">
        <v>599</v>
      </c>
      <c r="V160" t="s">
        <v>1122</v>
      </c>
      <c r="W160" t="s">
        <v>1993</v>
      </c>
      <c r="X160" t="s">
        <v>599</v>
      </c>
      <c r="Y160" t="s">
        <v>1182</v>
      </c>
      <c r="Z160" t="s">
        <v>1437</v>
      </c>
      <c r="AA160">
        <v>1866</v>
      </c>
      <c r="AB160">
        <v>1866</v>
      </c>
      <c r="AC160" t="s">
        <v>1454</v>
      </c>
      <c r="AD160" t="s">
        <v>1994</v>
      </c>
      <c r="AE160" t="s">
        <v>599</v>
      </c>
      <c r="AF160" t="s">
        <v>599</v>
      </c>
      <c r="AG160" t="s">
        <v>1995</v>
      </c>
      <c r="AH160" t="s">
        <v>599</v>
      </c>
      <c r="AI160" t="s">
        <v>1996</v>
      </c>
      <c r="AJ160" t="s">
        <v>1997</v>
      </c>
      <c r="AK160" t="s">
        <v>1629</v>
      </c>
      <c r="AL160" t="s">
        <v>1998</v>
      </c>
      <c r="AM160" t="s">
        <v>1190</v>
      </c>
      <c r="AN160" t="s">
        <v>599</v>
      </c>
      <c r="AO160" t="s">
        <v>599</v>
      </c>
      <c r="AP160" t="s">
        <v>599</v>
      </c>
      <c r="AQ160" t="s">
        <v>599</v>
      </c>
      <c r="AR160" t="s">
        <v>599</v>
      </c>
      <c r="AS160" t="s">
        <v>599</v>
      </c>
      <c r="AT160" t="s">
        <v>599</v>
      </c>
    </row>
    <row r="161" spans="1:46" s="13" customFormat="1" ht="30" x14ac:dyDescent="0.25">
      <c r="A161" s="9">
        <v>10297</v>
      </c>
      <c r="B161" s="10">
        <v>1025381</v>
      </c>
      <c r="C161" s="10">
        <v>1</v>
      </c>
      <c r="D161" s="9">
        <v>3</v>
      </c>
      <c r="E161" s="11" t="s">
        <v>197</v>
      </c>
      <c r="F161" s="12">
        <v>3</v>
      </c>
      <c r="G161" s="9">
        <v>3</v>
      </c>
      <c r="H161" s="34"/>
      <c r="I161" s="55" t="str">
        <f t="shared" si="5"/>
        <v>https://permalinkbnd.bnportugal.gov.pt/viewer/274123/?offset=#page=3&amp;viewer=picture&amp;o=info&amp;n=0&amp;q=</v>
      </c>
      <c r="J161" s="45"/>
      <c r="K161" s="45"/>
      <c r="L161" s="45"/>
      <c r="M161" t="s">
        <v>197</v>
      </c>
      <c r="N161">
        <v>274123</v>
      </c>
      <c r="O161" t="str">
        <f t="shared" si="4"/>
        <v>https://permalinkbnd.bnportugal.gov.pt/viewer/274123/?offset=#page=3&amp;viewer=picture&amp;o=info&amp;n=0&amp;q=</v>
      </c>
      <c r="P161">
        <v>1025381</v>
      </c>
      <c r="Q161" t="s">
        <v>197</v>
      </c>
      <c r="R161" t="s">
        <v>1999</v>
      </c>
      <c r="S161" t="s">
        <v>1178</v>
      </c>
      <c r="T161" t="s">
        <v>1192</v>
      </c>
      <c r="U161" t="s">
        <v>599</v>
      </c>
      <c r="V161" t="s">
        <v>1293</v>
      </c>
      <c r="W161" t="s">
        <v>2000</v>
      </c>
      <c r="X161" t="s">
        <v>599</v>
      </c>
      <c r="Y161" t="s">
        <v>1182</v>
      </c>
      <c r="Z161" t="s">
        <v>2001</v>
      </c>
      <c r="AA161">
        <v>1880</v>
      </c>
      <c r="AB161">
        <v>1880</v>
      </c>
      <c r="AC161" t="s">
        <v>1463</v>
      </c>
      <c r="AD161" t="s">
        <v>599</v>
      </c>
      <c r="AE161" t="s">
        <v>599</v>
      </c>
      <c r="AF161" t="s">
        <v>599</v>
      </c>
      <c r="AG161" t="s">
        <v>2002</v>
      </c>
      <c r="AH161" t="s">
        <v>599</v>
      </c>
      <c r="AI161" t="s">
        <v>599</v>
      </c>
      <c r="AJ161" t="s">
        <v>2003</v>
      </c>
      <c r="AK161" t="s">
        <v>1188</v>
      </c>
      <c r="AL161" t="s">
        <v>2004</v>
      </c>
      <c r="AM161" t="s">
        <v>1190</v>
      </c>
      <c r="AN161" t="s">
        <v>599</v>
      </c>
      <c r="AO161" t="s">
        <v>599</v>
      </c>
      <c r="AP161" t="s">
        <v>599</v>
      </c>
      <c r="AQ161" t="s">
        <v>599</v>
      </c>
      <c r="AR161" t="s">
        <v>599</v>
      </c>
      <c r="AS161" t="s">
        <v>599</v>
      </c>
      <c r="AT161" t="s">
        <v>599</v>
      </c>
    </row>
    <row r="162" spans="1:46" s="13" customFormat="1" ht="30" x14ac:dyDescent="0.25">
      <c r="A162" s="9">
        <v>10299</v>
      </c>
      <c r="B162" s="10">
        <v>1044776</v>
      </c>
      <c r="C162" s="10">
        <v>1</v>
      </c>
      <c r="D162" s="9">
        <v>1</v>
      </c>
      <c r="E162" s="11" t="s">
        <v>198</v>
      </c>
      <c r="F162" s="12" t="s">
        <v>71</v>
      </c>
      <c r="G162" s="9">
        <v>1</v>
      </c>
      <c r="H162" s="34"/>
      <c r="I162" s="55" t="str">
        <f t="shared" si="5"/>
        <v>https://permalinkbnd.bnportugal.gov.pt/viewer/272738/?offset=#page=1&amp;viewer=picture&amp;o=info&amp;n=0&amp;q=</v>
      </c>
      <c r="J162" s="45"/>
      <c r="K162" s="45"/>
      <c r="L162" s="45"/>
      <c r="M162" t="s">
        <v>198</v>
      </c>
      <c r="N162">
        <v>272738</v>
      </c>
      <c r="O162" t="str">
        <f t="shared" si="4"/>
        <v>https://permalinkbnd.bnportugal.gov.pt/viewer/272738/?offset=#page=1&amp;viewer=picture&amp;o=info&amp;n=0&amp;q=</v>
      </c>
      <c r="P162">
        <v>1044776</v>
      </c>
      <c r="Q162" t="s">
        <v>198</v>
      </c>
      <c r="R162" t="s">
        <v>599</v>
      </c>
      <c r="S162" t="s">
        <v>1312</v>
      </c>
      <c r="T162" t="s">
        <v>1192</v>
      </c>
      <c r="U162" t="s">
        <v>599</v>
      </c>
      <c r="V162" t="s">
        <v>1551</v>
      </c>
      <c r="W162" t="s">
        <v>2005</v>
      </c>
      <c r="X162" t="s">
        <v>599</v>
      </c>
      <c r="Y162" t="s">
        <v>1182</v>
      </c>
      <c r="Z162" t="s">
        <v>2006</v>
      </c>
      <c r="AA162">
        <v>1880</v>
      </c>
      <c r="AB162">
        <v>1880</v>
      </c>
      <c r="AC162" t="s">
        <v>2007</v>
      </c>
      <c r="AD162" t="s">
        <v>2008</v>
      </c>
      <c r="AE162" t="s">
        <v>599</v>
      </c>
      <c r="AF162" t="s">
        <v>599</v>
      </c>
      <c r="AG162" t="s">
        <v>2009</v>
      </c>
      <c r="AH162" t="s">
        <v>599</v>
      </c>
      <c r="AI162" t="s">
        <v>599</v>
      </c>
      <c r="AJ162" t="s">
        <v>2010</v>
      </c>
      <c r="AK162" t="s">
        <v>1188</v>
      </c>
      <c r="AL162" t="s">
        <v>2011</v>
      </c>
      <c r="AM162" t="s">
        <v>1190</v>
      </c>
      <c r="AN162" t="s">
        <v>599</v>
      </c>
      <c r="AO162" t="s">
        <v>599</v>
      </c>
      <c r="AP162" t="s">
        <v>599</v>
      </c>
      <c r="AQ162" t="s">
        <v>599</v>
      </c>
      <c r="AR162" t="s">
        <v>599</v>
      </c>
      <c r="AS162" t="s">
        <v>599</v>
      </c>
      <c r="AT162" t="s">
        <v>599</v>
      </c>
    </row>
    <row r="163" spans="1:46" s="13" customFormat="1" ht="30" x14ac:dyDescent="0.25">
      <c r="A163" s="9">
        <v>10301</v>
      </c>
      <c r="B163" s="10">
        <v>1066418</v>
      </c>
      <c r="C163" s="10">
        <v>1</v>
      </c>
      <c r="D163" s="9">
        <v>126</v>
      </c>
      <c r="E163" s="11" t="s">
        <v>199</v>
      </c>
      <c r="F163" s="12" t="s">
        <v>200</v>
      </c>
      <c r="G163" s="9"/>
      <c r="H163" s="34" t="s">
        <v>628</v>
      </c>
      <c r="I163" s="55" t="str">
        <f t="shared" si="5"/>
        <v>https://permalinkbnd.bnportugal.gov.pt/viewer/274092/?offset=#page=126&amp;viewer=picture&amp;o=info&amp;n=0&amp;q=</v>
      </c>
      <c r="J163" s="45"/>
      <c r="K163" s="45"/>
      <c r="L163" s="45"/>
      <c r="M163" t="s">
        <v>199</v>
      </c>
      <c r="N163">
        <v>274092</v>
      </c>
      <c r="O163" t="str">
        <f t="shared" si="4"/>
        <v>https://permalinkbnd.bnportugal.gov.pt/viewer/274092/?offset=#page=126&amp;viewer=picture&amp;o=info&amp;n=0&amp;q=</v>
      </c>
      <c r="P163">
        <v>1066418</v>
      </c>
      <c r="Q163" t="s">
        <v>199</v>
      </c>
      <c r="R163" t="s">
        <v>2012</v>
      </c>
      <c r="S163" t="s">
        <v>1178</v>
      </c>
      <c r="T163" t="s">
        <v>2013</v>
      </c>
      <c r="U163" t="s">
        <v>599</v>
      </c>
      <c r="V163" t="s">
        <v>2014</v>
      </c>
      <c r="W163" t="s">
        <v>599</v>
      </c>
      <c r="X163" t="s">
        <v>599</v>
      </c>
      <c r="Y163" t="s">
        <v>1182</v>
      </c>
      <c r="Z163" t="s">
        <v>2015</v>
      </c>
      <c r="AA163">
        <v>1689</v>
      </c>
      <c r="AB163">
        <v>1689</v>
      </c>
      <c r="AC163" t="s">
        <v>2016</v>
      </c>
      <c r="AD163" t="s">
        <v>1185</v>
      </c>
      <c r="AE163" t="s">
        <v>599</v>
      </c>
      <c r="AF163" t="s">
        <v>599</v>
      </c>
      <c r="AG163" t="s">
        <v>2017</v>
      </c>
      <c r="AH163" t="s">
        <v>599</v>
      </c>
      <c r="AI163" t="s">
        <v>2018</v>
      </c>
      <c r="AJ163" t="s">
        <v>2019</v>
      </c>
      <c r="AK163" t="s">
        <v>1188</v>
      </c>
      <c r="AL163" t="s">
        <v>2020</v>
      </c>
      <c r="AM163" t="s">
        <v>1190</v>
      </c>
      <c r="AN163" t="s">
        <v>599</v>
      </c>
      <c r="AO163" t="s">
        <v>599</v>
      </c>
      <c r="AP163" t="s">
        <v>599</v>
      </c>
      <c r="AQ163" t="s">
        <v>599</v>
      </c>
      <c r="AR163" t="s">
        <v>599</v>
      </c>
      <c r="AS163" t="s">
        <v>599</v>
      </c>
      <c r="AT163" t="s">
        <v>599</v>
      </c>
    </row>
    <row r="164" spans="1:46" s="13" customFormat="1" ht="30" x14ac:dyDescent="0.25">
      <c r="A164" s="9"/>
      <c r="B164" s="10">
        <v>1066418</v>
      </c>
      <c r="C164" s="10">
        <v>1</v>
      </c>
      <c r="D164" s="9">
        <v>217</v>
      </c>
      <c r="E164" s="11" t="s">
        <v>199</v>
      </c>
      <c r="F164" s="12"/>
      <c r="G164" s="9"/>
      <c r="H164" s="34" t="s">
        <v>628</v>
      </c>
      <c r="I164" s="55" t="str">
        <f t="shared" si="5"/>
        <v>https://permalinkbnd.bnportugal.gov.pt/viewer/274092/?offset=#page=217&amp;viewer=picture&amp;o=info&amp;n=0&amp;q=</v>
      </c>
      <c r="J164" s="45"/>
      <c r="K164" s="45"/>
      <c r="L164" s="45"/>
      <c r="M164" t="s">
        <v>199</v>
      </c>
      <c r="N164">
        <v>274092</v>
      </c>
      <c r="O164" t="str">
        <f t="shared" si="4"/>
        <v>https://permalinkbnd.bnportugal.gov.pt/viewer/274092/?offset=#page=217&amp;viewer=picture&amp;o=info&amp;n=0&amp;q=</v>
      </c>
      <c r="P164">
        <v>1066418</v>
      </c>
      <c r="Q164" t="s">
        <v>199</v>
      </c>
      <c r="R164" t="s">
        <v>599</v>
      </c>
      <c r="S164" t="s">
        <v>1178</v>
      </c>
      <c r="T164" t="s">
        <v>2013</v>
      </c>
      <c r="U164" t="s">
        <v>599</v>
      </c>
      <c r="V164" t="s">
        <v>2014</v>
      </c>
      <c r="W164" t="s">
        <v>599</v>
      </c>
      <c r="X164" t="s">
        <v>599</v>
      </c>
      <c r="Y164" t="s">
        <v>1182</v>
      </c>
      <c r="Z164" t="s">
        <v>2015</v>
      </c>
      <c r="AA164">
        <v>1689</v>
      </c>
      <c r="AB164">
        <v>1689</v>
      </c>
      <c r="AC164" t="s">
        <v>2016</v>
      </c>
      <c r="AD164" t="s">
        <v>1185</v>
      </c>
      <c r="AE164" t="s">
        <v>599</v>
      </c>
      <c r="AF164" t="s">
        <v>599</v>
      </c>
      <c r="AG164" t="s">
        <v>2017</v>
      </c>
      <c r="AH164" t="s">
        <v>599</v>
      </c>
      <c r="AI164" t="s">
        <v>2018</v>
      </c>
      <c r="AJ164" t="s">
        <v>2019</v>
      </c>
      <c r="AK164" t="s">
        <v>1188</v>
      </c>
      <c r="AL164" t="s">
        <v>2020</v>
      </c>
      <c r="AM164" t="s">
        <v>1190</v>
      </c>
      <c r="AN164" t="s">
        <v>599</v>
      </c>
      <c r="AO164" t="s">
        <v>599</v>
      </c>
      <c r="AP164" t="s">
        <v>599</v>
      </c>
      <c r="AQ164" t="s">
        <v>599</v>
      </c>
      <c r="AR164" t="s">
        <v>599</v>
      </c>
      <c r="AS164" t="s">
        <v>599</v>
      </c>
      <c r="AT164" t="s">
        <v>599</v>
      </c>
    </row>
    <row r="165" spans="1:46" s="26" customFormat="1" ht="30" x14ac:dyDescent="0.25">
      <c r="A165" s="22">
        <v>10303</v>
      </c>
      <c r="B165" s="23">
        <v>1073960</v>
      </c>
      <c r="C165" s="23">
        <v>1</v>
      </c>
      <c r="D165" s="27">
        <v>9</v>
      </c>
      <c r="E165" s="24" t="s">
        <v>201</v>
      </c>
      <c r="F165" s="25">
        <v>9</v>
      </c>
      <c r="G165" s="22"/>
      <c r="H165" s="27" t="s">
        <v>622</v>
      </c>
      <c r="I165" s="55" t="str">
        <f t="shared" si="5"/>
        <v>https://permalinkbnd.bnportugal.gov.pt/viewer/272390/?offset=#page=9&amp;viewer=picture&amp;o=info&amp;n=0&amp;q=</v>
      </c>
      <c r="J165" s="45"/>
      <c r="K165" s="45"/>
      <c r="L165" s="45"/>
      <c r="M165" t="s">
        <v>201</v>
      </c>
      <c r="N165">
        <v>272390</v>
      </c>
      <c r="O165" t="str">
        <f t="shared" si="4"/>
        <v>https://permalinkbnd.bnportugal.gov.pt/viewer/272390/?offset=#page=9&amp;viewer=picture&amp;o=info&amp;n=0&amp;q=</v>
      </c>
      <c r="P165">
        <v>1073960</v>
      </c>
      <c r="Q165" t="s">
        <v>201</v>
      </c>
      <c r="R165" t="s">
        <v>2021</v>
      </c>
      <c r="S165" t="s">
        <v>1178</v>
      </c>
      <c r="T165" t="s">
        <v>1179</v>
      </c>
      <c r="U165" t="s">
        <v>599</v>
      </c>
      <c r="V165" t="s">
        <v>1584</v>
      </c>
      <c r="W165" t="s">
        <v>2022</v>
      </c>
      <c r="X165" t="s">
        <v>599</v>
      </c>
      <c r="Y165" t="s">
        <v>1182</v>
      </c>
      <c r="Z165" t="s">
        <v>2023</v>
      </c>
      <c r="AA165">
        <v>1852</v>
      </c>
      <c r="AB165">
        <v>1852</v>
      </c>
      <c r="AC165" t="s">
        <v>2024</v>
      </c>
      <c r="AD165" t="s">
        <v>599</v>
      </c>
      <c r="AE165" t="s">
        <v>599</v>
      </c>
      <c r="AF165" t="s">
        <v>599</v>
      </c>
      <c r="AG165" t="s">
        <v>2025</v>
      </c>
      <c r="AH165" t="s">
        <v>599</v>
      </c>
      <c r="AI165" t="s">
        <v>599</v>
      </c>
      <c r="AJ165" t="s">
        <v>2026</v>
      </c>
      <c r="AK165" t="s">
        <v>1188</v>
      </c>
      <c r="AL165" t="s">
        <v>2027</v>
      </c>
      <c r="AM165" t="s">
        <v>1190</v>
      </c>
      <c r="AN165" t="s">
        <v>599</v>
      </c>
      <c r="AO165" t="s">
        <v>599</v>
      </c>
      <c r="AP165" t="s">
        <v>2028</v>
      </c>
      <c r="AQ165" t="s">
        <v>599</v>
      </c>
      <c r="AR165" t="s">
        <v>599</v>
      </c>
      <c r="AS165" t="s">
        <v>599</v>
      </c>
      <c r="AT165" t="s">
        <v>599</v>
      </c>
    </row>
    <row r="166" spans="1:46" s="13" customFormat="1" ht="30" x14ac:dyDescent="0.25">
      <c r="A166" s="9">
        <v>10308</v>
      </c>
      <c r="B166" s="10">
        <v>1076546</v>
      </c>
      <c r="C166" s="10">
        <v>1</v>
      </c>
      <c r="D166" s="9">
        <v>1</v>
      </c>
      <c r="E166" s="11" t="s">
        <v>202</v>
      </c>
      <c r="F166" s="12" t="s">
        <v>203</v>
      </c>
      <c r="G166" s="9" t="s">
        <v>203</v>
      </c>
      <c r="H166" s="34"/>
      <c r="I166" s="55" t="str">
        <f t="shared" si="5"/>
        <v>https://permalinkbnd.bnportugal.gov.pt/viewer/280467/?offset=#page=1&amp;viewer=picture&amp;o=info&amp;n=0&amp;q=</v>
      </c>
      <c r="J166" s="45"/>
      <c r="K166" s="45"/>
      <c r="L166" s="45"/>
      <c r="M166" t="s">
        <v>202</v>
      </c>
      <c r="N166">
        <v>280467</v>
      </c>
      <c r="O166" t="str">
        <f t="shared" si="4"/>
        <v>https://permalinkbnd.bnportugal.gov.pt/viewer/280467/?offset=#page=1&amp;viewer=picture&amp;o=info&amp;n=0&amp;q=</v>
      </c>
      <c r="P166">
        <v>1076546</v>
      </c>
      <c r="Q166" t="s">
        <v>202</v>
      </c>
      <c r="R166" t="s">
        <v>2029</v>
      </c>
      <c r="S166" t="s">
        <v>1226</v>
      </c>
      <c r="T166" t="s">
        <v>1192</v>
      </c>
      <c r="U166" t="s">
        <v>599</v>
      </c>
      <c r="V166" t="s">
        <v>2030</v>
      </c>
      <c r="W166" t="s">
        <v>599</v>
      </c>
      <c r="X166" t="s">
        <v>599</v>
      </c>
      <c r="Y166" t="s">
        <v>1182</v>
      </c>
      <c r="Z166" t="s">
        <v>2031</v>
      </c>
      <c r="AA166">
        <v>1882</v>
      </c>
      <c r="AB166">
        <v>1882</v>
      </c>
      <c r="AC166" t="s">
        <v>599</v>
      </c>
      <c r="AD166" t="s">
        <v>599</v>
      </c>
      <c r="AE166" t="s">
        <v>599</v>
      </c>
      <c r="AF166" t="s">
        <v>599</v>
      </c>
      <c r="AG166" t="s">
        <v>2032</v>
      </c>
      <c r="AH166" t="s">
        <v>599</v>
      </c>
      <c r="AI166" t="s">
        <v>599</v>
      </c>
      <c r="AJ166" t="s">
        <v>2033</v>
      </c>
      <c r="AK166" t="s">
        <v>1188</v>
      </c>
      <c r="AL166" t="s">
        <v>2034</v>
      </c>
      <c r="AM166" t="s">
        <v>1190</v>
      </c>
      <c r="AN166" t="s">
        <v>599</v>
      </c>
      <c r="AO166" t="s">
        <v>599</v>
      </c>
      <c r="AP166" t="s">
        <v>599</v>
      </c>
      <c r="AQ166" t="s">
        <v>599</v>
      </c>
      <c r="AR166" t="s">
        <v>2035</v>
      </c>
      <c r="AS166" t="s">
        <v>599</v>
      </c>
      <c r="AT166" t="s">
        <v>599</v>
      </c>
    </row>
    <row r="167" spans="1:46" s="13" customFormat="1" ht="30" x14ac:dyDescent="0.25">
      <c r="A167" s="9">
        <v>10309</v>
      </c>
      <c r="B167" s="10">
        <v>1076546</v>
      </c>
      <c r="C167" s="10">
        <v>1</v>
      </c>
      <c r="D167" s="9">
        <v>13</v>
      </c>
      <c r="E167" s="11" t="s">
        <v>202</v>
      </c>
      <c r="F167" s="12" t="s">
        <v>203</v>
      </c>
      <c r="G167" s="9" t="s">
        <v>203</v>
      </c>
      <c r="H167" s="34"/>
      <c r="I167" s="55" t="str">
        <f t="shared" si="5"/>
        <v>https://permalinkbnd.bnportugal.gov.pt/viewer/280467/?offset=#page=13&amp;viewer=picture&amp;o=info&amp;n=0&amp;q=</v>
      </c>
      <c r="J167" s="45"/>
      <c r="K167" s="45"/>
      <c r="L167" s="45"/>
      <c r="M167" t="s">
        <v>202</v>
      </c>
      <c r="N167">
        <v>280467</v>
      </c>
      <c r="O167" t="str">
        <f t="shared" si="4"/>
        <v>https://permalinkbnd.bnportugal.gov.pt/viewer/280467/?offset=#page=13&amp;viewer=picture&amp;o=info&amp;n=0&amp;q=</v>
      </c>
      <c r="P167">
        <v>1076546</v>
      </c>
      <c r="Q167" t="s">
        <v>202</v>
      </c>
      <c r="R167" t="s">
        <v>2029</v>
      </c>
      <c r="S167" t="s">
        <v>1226</v>
      </c>
      <c r="T167" t="s">
        <v>1192</v>
      </c>
      <c r="U167" t="s">
        <v>599</v>
      </c>
      <c r="V167" t="s">
        <v>2030</v>
      </c>
      <c r="W167" t="s">
        <v>599</v>
      </c>
      <c r="X167" t="s">
        <v>599</v>
      </c>
      <c r="Y167" t="s">
        <v>1182</v>
      </c>
      <c r="Z167" t="s">
        <v>2031</v>
      </c>
      <c r="AA167">
        <v>1882</v>
      </c>
      <c r="AB167">
        <v>1882</v>
      </c>
      <c r="AC167" t="s">
        <v>599</v>
      </c>
      <c r="AD167" t="s">
        <v>599</v>
      </c>
      <c r="AE167" t="s">
        <v>599</v>
      </c>
      <c r="AF167" t="s">
        <v>599</v>
      </c>
      <c r="AG167" t="s">
        <v>2032</v>
      </c>
      <c r="AH167" t="s">
        <v>599</v>
      </c>
      <c r="AI167" t="s">
        <v>599</v>
      </c>
      <c r="AJ167" t="s">
        <v>2033</v>
      </c>
      <c r="AK167" t="s">
        <v>1188</v>
      </c>
      <c r="AL167" t="s">
        <v>2034</v>
      </c>
      <c r="AM167" t="s">
        <v>1190</v>
      </c>
      <c r="AN167" t="s">
        <v>599</v>
      </c>
      <c r="AO167" t="s">
        <v>599</v>
      </c>
      <c r="AP167" t="s">
        <v>599</v>
      </c>
      <c r="AQ167" t="s">
        <v>599</v>
      </c>
      <c r="AR167" t="s">
        <v>2035</v>
      </c>
      <c r="AS167" t="s">
        <v>599</v>
      </c>
      <c r="AT167" t="s">
        <v>599</v>
      </c>
    </row>
    <row r="168" spans="1:46" s="13" customFormat="1" ht="30" x14ac:dyDescent="0.25">
      <c r="A168" s="9">
        <v>10310</v>
      </c>
      <c r="B168" s="10">
        <v>1076546</v>
      </c>
      <c r="C168" s="10">
        <v>1</v>
      </c>
      <c r="D168" s="9">
        <v>35</v>
      </c>
      <c r="E168" s="11" t="s">
        <v>202</v>
      </c>
      <c r="F168" s="12" t="s">
        <v>203</v>
      </c>
      <c r="G168" s="9" t="s">
        <v>203</v>
      </c>
      <c r="H168" s="34"/>
      <c r="I168" s="55" t="str">
        <f t="shared" si="5"/>
        <v>https://permalinkbnd.bnportugal.gov.pt/viewer/280467/?offset=#page=35&amp;viewer=picture&amp;o=info&amp;n=0&amp;q=</v>
      </c>
      <c r="J168" s="45"/>
      <c r="K168" s="45"/>
      <c r="L168" s="45"/>
      <c r="M168" t="s">
        <v>202</v>
      </c>
      <c r="N168">
        <v>280467</v>
      </c>
      <c r="O168" t="str">
        <f t="shared" si="4"/>
        <v>https://permalinkbnd.bnportugal.gov.pt/viewer/280467/?offset=#page=35&amp;viewer=picture&amp;o=info&amp;n=0&amp;q=</v>
      </c>
      <c r="P168">
        <v>1076546</v>
      </c>
      <c r="Q168" t="s">
        <v>202</v>
      </c>
      <c r="R168" t="s">
        <v>2029</v>
      </c>
      <c r="S168" t="s">
        <v>1226</v>
      </c>
      <c r="T168" t="s">
        <v>1192</v>
      </c>
      <c r="U168" t="s">
        <v>599</v>
      </c>
      <c r="V168" t="s">
        <v>2030</v>
      </c>
      <c r="W168" t="s">
        <v>599</v>
      </c>
      <c r="X168" t="s">
        <v>599</v>
      </c>
      <c r="Y168" t="s">
        <v>1182</v>
      </c>
      <c r="Z168" t="s">
        <v>2031</v>
      </c>
      <c r="AA168">
        <v>1882</v>
      </c>
      <c r="AB168">
        <v>1882</v>
      </c>
      <c r="AC168" t="s">
        <v>599</v>
      </c>
      <c r="AD168" t="s">
        <v>599</v>
      </c>
      <c r="AE168" t="s">
        <v>599</v>
      </c>
      <c r="AF168" t="s">
        <v>599</v>
      </c>
      <c r="AG168" t="s">
        <v>2032</v>
      </c>
      <c r="AH168" t="s">
        <v>599</v>
      </c>
      <c r="AI168" t="s">
        <v>599</v>
      </c>
      <c r="AJ168" t="s">
        <v>2033</v>
      </c>
      <c r="AK168" t="s">
        <v>1188</v>
      </c>
      <c r="AL168" t="s">
        <v>2034</v>
      </c>
      <c r="AM168" t="s">
        <v>1190</v>
      </c>
      <c r="AN168" t="s">
        <v>599</v>
      </c>
      <c r="AO168" t="s">
        <v>599</v>
      </c>
      <c r="AP168" t="s">
        <v>599</v>
      </c>
      <c r="AQ168" t="s">
        <v>599</v>
      </c>
      <c r="AR168" t="s">
        <v>2035</v>
      </c>
      <c r="AS168" t="s">
        <v>599</v>
      </c>
      <c r="AT168" t="s">
        <v>599</v>
      </c>
    </row>
    <row r="169" spans="1:46" s="13" customFormat="1" ht="30" x14ac:dyDescent="0.25">
      <c r="A169" s="9">
        <v>10311</v>
      </c>
      <c r="B169" s="10">
        <v>1306834</v>
      </c>
      <c r="C169" s="10">
        <v>1</v>
      </c>
      <c r="D169" s="9">
        <v>1</v>
      </c>
      <c r="E169" s="11" t="s">
        <v>204</v>
      </c>
      <c r="F169" s="12">
        <v>1</v>
      </c>
      <c r="G169" s="9">
        <v>1</v>
      </c>
      <c r="H169" s="34"/>
      <c r="I169" s="55" t="str">
        <f t="shared" si="5"/>
        <v>https://permalinkbnd.bnportugal.gov.pt/viewer/36160/?offset=#page=1&amp;viewer=picture&amp;o=info&amp;n=0&amp;q=</v>
      </c>
      <c r="J169" s="45"/>
      <c r="K169" s="45"/>
      <c r="L169" s="45"/>
      <c r="M169" t="s">
        <v>204</v>
      </c>
      <c r="N169">
        <v>36160</v>
      </c>
      <c r="O169" t="str">
        <f t="shared" si="4"/>
        <v>https://permalinkbnd.bnportugal.gov.pt/viewer/36160/?offset=#page=1&amp;viewer=picture&amp;o=info&amp;n=0&amp;q=</v>
      </c>
      <c r="P169">
        <v>1306834</v>
      </c>
      <c r="Q169" t="s">
        <v>204</v>
      </c>
      <c r="R169" t="s">
        <v>599</v>
      </c>
      <c r="S169" t="s">
        <v>1312</v>
      </c>
      <c r="T169" t="s">
        <v>1362</v>
      </c>
      <c r="U169" t="s">
        <v>599</v>
      </c>
      <c r="V169" t="s">
        <v>2036</v>
      </c>
      <c r="W169" t="s">
        <v>599</v>
      </c>
      <c r="X169" t="s">
        <v>599</v>
      </c>
      <c r="Y169" t="s">
        <v>1182</v>
      </c>
      <c r="Z169" t="s">
        <v>1453</v>
      </c>
      <c r="AA169">
        <v>1845</v>
      </c>
      <c r="AB169">
        <v>1845</v>
      </c>
      <c r="AC169" t="s">
        <v>1454</v>
      </c>
      <c r="AD169" t="s">
        <v>2037</v>
      </c>
      <c r="AE169" t="s">
        <v>599</v>
      </c>
      <c r="AF169" t="s">
        <v>2038</v>
      </c>
      <c r="AG169" t="s">
        <v>2039</v>
      </c>
      <c r="AH169" t="s">
        <v>599</v>
      </c>
      <c r="AI169" t="s">
        <v>599</v>
      </c>
      <c r="AJ169" t="s">
        <v>2040</v>
      </c>
      <c r="AK169" t="s">
        <v>1629</v>
      </c>
      <c r="AL169" t="s">
        <v>2041</v>
      </c>
      <c r="AM169" t="s">
        <v>1190</v>
      </c>
      <c r="AN169" t="s">
        <v>599</v>
      </c>
      <c r="AO169" t="s">
        <v>599</v>
      </c>
      <c r="AP169" t="s">
        <v>599</v>
      </c>
      <c r="AQ169" t="s">
        <v>599</v>
      </c>
      <c r="AR169" t="s">
        <v>599</v>
      </c>
      <c r="AS169" t="s">
        <v>599</v>
      </c>
      <c r="AT169" t="s">
        <v>599</v>
      </c>
    </row>
    <row r="170" spans="1:46" s="13" customFormat="1" ht="30" x14ac:dyDescent="0.25">
      <c r="A170" s="9">
        <v>10312</v>
      </c>
      <c r="B170" s="10">
        <v>1313328</v>
      </c>
      <c r="C170" s="10">
        <v>1</v>
      </c>
      <c r="D170" s="9">
        <v>1</v>
      </c>
      <c r="E170" s="11" t="s">
        <v>205</v>
      </c>
      <c r="F170" s="12">
        <v>1</v>
      </c>
      <c r="G170" s="9">
        <v>1</v>
      </c>
      <c r="H170" s="34"/>
      <c r="I170" s="55" t="str">
        <f t="shared" si="5"/>
        <v>https://permalinkbnd.bnportugal.gov.pt/viewer/272788/?offset=#page=1&amp;viewer=picture&amp;o=info&amp;n=0&amp;q=</v>
      </c>
      <c r="J170" s="45"/>
      <c r="K170" s="45"/>
      <c r="L170" s="45"/>
      <c r="M170" t="s">
        <v>205</v>
      </c>
      <c r="N170">
        <v>272788</v>
      </c>
      <c r="O170" t="str">
        <f t="shared" si="4"/>
        <v>https://permalinkbnd.bnportugal.gov.pt/viewer/272788/?offset=#page=1&amp;viewer=picture&amp;o=info&amp;n=0&amp;q=</v>
      </c>
      <c r="P170">
        <v>1313328</v>
      </c>
      <c r="Q170" t="s">
        <v>205</v>
      </c>
      <c r="R170" t="s">
        <v>2042</v>
      </c>
      <c r="S170" t="s">
        <v>1226</v>
      </c>
      <c r="T170" t="s">
        <v>1192</v>
      </c>
      <c r="U170" t="s">
        <v>599</v>
      </c>
      <c r="V170" t="s">
        <v>2043</v>
      </c>
      <c r="W170" t="s">
        <v>2044</v>
      </c>
      <c r="X170" t="s">
        <v>599</v>
      </c>
      <c r="Y170" t="s">
        <v>1182</v>
      </c>
      <c r="Z170" t="s">
        <v>2045</v>
      </c>
      <c r="AA170">
        <v>1850</v>
      </c>
      <c r="AB170">
        <v>1850</v>
      </c>
      <c r="AC170" t="s">
        <v>2046</v>
      </c>
      <c r="AD170" t="s">
        <v>2047</v>
      </c>
      <c r="AE170" t="s">
        <v>599</v>
      </c>
      <c r="AF170" t="s">
        <v>599</v>
      </c>
      <c r="AG170" t="s">
        <v>2048</v>
      </c>
      <c r="AH170" t="s">
        <v>599</v>
      </c>
      <c r="AI170" t="s">
        <v>2049</v>
      </c>
      <c r="AJ170" t="s">
        <v>2050</v>
      </c>
      <c r="AK170" t="s">
        <v>1188</v>
      </c>
      <c r="AL170" t="s">
        <v>2051</v>
      </c>
      <c r="AM170" t="s">
        <v>1190</v>
      </c>
      <c r="AN170" t="s">
        <v>599</v>
      </c>
      <c r="AO170" t="s">
        <v>599</v>
      </c>
      <c r="AP170" t="s">
        <v>599</v>
      </c>
      <c r="AQ170" t="s">
        <v>599</v>
      </c>
      <c r="AR170" t="s">
        <v>2052</v>
      </c>
      <c r="AS170" t="s">
        <v>599</v>
      </c>
      <c r="AT170" t="s">
        <v>599</v>
      </c>
    </row>
    <row r="171" spans="1:46" s="13" customFormat="1" ht="30" x14ac:dyDescent="0.25">
      <c r="A171" s="9">
        <v>10317</v>
      </c>
      <c r="B171" s="10">
        <v>1376687</v>
      </c>
      <c r="C171" s="10">
        <v>1</v>
      </c>
      <c r="D171" s="9">
        <v>1</v>
      </c>
      <c r="E171" s="11" t="s">
        <v>206</v>
      </c>
      <c r="F171" s="12">
        <v>1</v>
      </c>
      <c r="G171" s="9">
        <v>1</v>
      </c>
      <c r="H171" s="34"/>
      <c r="I171" s="55" t="str">
        <f t="shared" si="5"/>
        <v>https://permalinkbnd.bnportugal.gov.pt/viewer/88185/?offset=#page=1&amp;viewer=picture&amp;o=info&amp;n=0&amp;q=</v>
      </c>
      <c r="J171" s="45"/>
      <c r="K171" s="45"/>
      <c r="L171" s="45"/>
      <c r="M171" t="s">
        <v>206</v>
      </c>
      <c r="N171">
        <v>88185</v>
      </c>
      <c r="O171" t="str">
        <f t="shared" si="4"/>
        <v>https://permalinkbnd.bnportugal.gov.pt/viewer/88185/?offset=#page=1&amp;viewer=picture&amp;o=info&amp;n=0&amp;q=</v>
      </c>
      <c r="P171">
        <v>1376687</v>
      </c>
      <c r="Q171" t="s">
        <v>206</v>
      </c>
      <c r="R171" t="s">
        <v>2053</v>
      </c>
      <c r="S171" t="s">
        <v>1312</v>
      </c>
      <c r="T171" t="s">
        <v>1502</v>
      </c>
      <c r="U171" t="s">
        <v>599</v>
      </c>
      <c r="V171" t="s">
        <v>2054</v>
      </c>
      <c r="W171" t="s">
        <v>2055</v>
      </c>
      <c r="X171" t="s">
        <v>599</v>
      </c>
      <c r="Y171" t="s">
        <v>1182</v>
      </c>
      <c r="Z171" t="s">
        <v>1453</v>
      </c>
      <c r="AA171">
        <v>1930</v>
      </c>
      <c r="AB171">
        <v>1930</v>
      </c>
      <c r="AC171" t="s">
        <v>2056</v>
      </c>
      <c r="AD171" t="s">
        <v>599</v>
      </c>
      <c r="AE171" t="s">
        <v>599</v>
      </c>
      <c r="AF171" t="s">
        <v>599</v>
      </c>
      <c r="AG171" t="s">
        <v>599</v>
      </c>
      <c r="AH171" t="s">
        <v>599</v>
      </c>
      <c r="AI171" t="s">
        <v>599</v>
      </c>
      <c r="AJ171" t="s">
        <v>2057</v>
      </c>
      <c r="AK171" t="s">
        <v>599</v>
      </c>
      <c r="AL171" t="s">
        <v>2058</v>
      </c>
      <c r="AM171" t="s">
        <v>1190</v>
      </c>
      <c r="AN171" t="s">
        <v>599</v>
      </c>
      <c r="AO171" t="s">
        <v>599</v>
      </c>
      <c r="AP171" t="s">
        <v>599</v>
      </c>
      <c r="AQ171" t="s">
        <v>599</v>
      </c>
      <c r="AR171" t="s">
        <v>599</v>
      </c>
      <c r="AS171" t="s">
        <v>599</v>
      </c>
      <c r="AT171" t="s">
        <v>599</v>
      </c>
    </row>
    <row r="172" spans="1:46" s="13" customFormat="1" ht="30" x14ac:dyDescent="0.25">
      <c r="A172" s="9">
        <v>10318</v>
      </c>
      <c r="B172" s="10">
        <v>1376717</v>
      </c>
      <c r="C172" s="10">
        <v>1</v>
      </c>
      <c r="D172" s="9">
        <v>1</v>
      </c>
      <c r="E172" s="11" t="s">
        <v>207</v>
      </c>
      <c r="F172" s="12">
        <v>1</v>
      </c>
      <c r="G172" s="9">
        <v>1</v>
      </c>
      <c r="H172" s="34"/>
      <c r="I172" s="55" t="str">
        <f t="shared" si="5"/>
        <v>https://permalinkbnd.bnportugal.gov.pt/viewer/272785/?offset=#page=1&amp;viewer=picture&amp;o=info&amp;n=0&amp;q=</v>
      </c>
      <c r="J172" s="45"/>
      <c r="K172" s="45"/>
      <c r="L172" s="45"/>
      <c r="M172" t="s">
        <v>207</v>
      </c>
      <c r="N172">
        <v>272785</v>
      </c>
      <c r="O172" t="str">
        <f t="shared" si="4"/>
        <v>https://permalinkbnd.bnportugal.gov.pt/viewer/272785/?offset=#page=1&amp;viewer=picture&amp;o=info&amp;n=0&amp;q=</v>
      </c>
      <c r="P172">
        <v>1376717</v>
      </c>
      <c r="Q172" t="s">
        <v>207</v>
      </c>
      <c r="R172" t="s">
        <v>2059</v>
      </c>
      <c r="S172" t="s">
        <v>1312</v>
      </c>
      <c r="T172" t="s">
        <v>1502</v>
      </c>
      <c r="U172" t="s">
        <v>599</v>
      </c>
      <c r="V172" t="s">
        <v>2060</v>
      </c>
      <c r="W172" t="s">
        <v>599</v>
      </c>
      <c r="X172" t="s">
        <v>599</v>
      </c>
      <c r="Y172" t="s">
        <v>1182</v>
      </c>
      <c r="Z172" t="s">
        <v>2061</v>
      </c>
      <c r="AA172">
        <v>1910</v>
      </c>
      <c r="AB172">
        <v>1910</v>
      </c>
      <c r="AC172" t="s">
        <v>2056</v>
      </c>
      <c r="AD172" t="s">
        <v>599</v>
      </c>
      <c r="AE172" t="s">
        <v>599</v>
      </c>
      <c r="AF172" t="s">
        <v>599</v>
      </c>
      <c r="AG172" t="s">
        <v>599</v>
      </c>
      <c r="AH172" t="s">
        <v>599</v>
      </c>
      <c r="AI172" t="s">
        <v>599</v>
      </c>
      <c r="AJ172" t="s">
        <v>2062</v>
      </c>
      <c r="AK172" t="s">
        <v>1188</v>
      </c>
      <c r="AL172" t="s">
        <v>2063</v>
      </c>
      <c r="AM172" t="s">
        <v>1190</v>
      </c>
      <c r="AN172" t="s">
        <v>599</v>
      </c>
      <c r="AO172" t="s">
        <v>599</v>
      </c>
      <c r="AP172" t="s">
        <v>599</v>
      </c>
      <c r="AQ172" t="s">
        <v>599</v>
      </c>
      <c r="AR172" t="s">
        <v>599</v>
      </c>
      <c r="AS172" t="s">
        <v>599</v>
      </c>
      <c r="AT172" t="s">
        <v>599</v>
      </c>
    </row>
    <row r="173" spans="1:46" s="13" customFormat="1" ht="30" x14ac:dyDescent="0.25">
      <c r="A173" s="9">
        <v>10319</v>
      </c>
      <c r="B173" s="10">
        <v>1380949</v>
      </c>
      <c r="C173" s="10">
        <v>1</v>
      </c>
      <c r="D173" s="9">
        <v>1</v>
      </c>
      <c r="E173" s="11" t="s">
        <v>208</v>
      </c>
      <c r="F173" s="12">
        <v>1</v>
      </c>
      <c r="G173" s="9">
        <v>1</v>
      </c>
      <c r="H173" s="34"/>
      <c r="I173" s="55" t="str">
        <f t="shared" si="5"/>
        <v>https://permalinkbnd.bnportugal.gov.pt/viewer/38463/?offset=#page=1&amp;viewer=picture&amp;o=info&amp;n=0&amp;q=</v>
      </c>
      <c r="J173" s="45"/>
      <c r="K173" s="45"/>
      <c r="L173" s="45"/>
      <c r="M173" t="s">
        <v>208</v>
      </c>
      <c r="N173">
        <v>38463</v>
      </c>
      <c r="O173" t="str">
        <f t="shared" si="4"/>
        <v>https://permalinkbnd.bnportugal.gov.pt/viewer/38463/?offset=#page=1&amp;viewer=picture&amp;o=info&amp;n=0&amp;q=</v>
      </c>
      <c r="P173">
        <v>1380949</v>
      </c>
      <c r="Q173" t="s">
        <v>208</v>
      </c>
      <c r="R173" t="s">
        <v>2064</v>
      </c>
      <c r="S173" t="s">
        <v>1312</v>
      </c>
      <c r="T173" t="s">
        <v>1362</v>
      </c>
      <c r="U173" t="s">
        <v>599</v>
      </c>
      <c r="V173" t="s">
        <v>2065</v>
      </c>
      <c r="W173" t="s">
        <v>599</v>
      </c>
      <c r="X173" t="s">
        <v>599</v>
      </c>
      <c r="Y173" t="s">
        <v>1182</v>
      </c>
      <c r="Z173" t="s">
        <v>1453</v>
      </c>
      <c r="AA173">
        <v>1831</v>
      </c>
      <c r="AB173">
        <v>1831</v>
      </c>
      <c r="AC173" t="s">
        <v>1454</v>
      </c>
      <c r="AD173" t="s">
        <v>2066</v>
      </c>
      <c r="AE173" t="s">
        <v>599</v>
      </c>
      <c r="AF173" t="s">
        <v>599</v>
      </c>
      <c r="AG173" t="s">
        <v>2067</v>
      </c>
      <c r="AH173" t="s">
        <v>599</v>
      </c>
      <c r="AI173" t="s">
        <v>2068</v>
      </c>
      <c r="AJ173" t="s">
        <v>2069</v>
      </c>
      <c r="AK173" t="s">
        <v>599</v>
      </c>
      <c r="AL173" t="s">
        <v>2070</v>
      </c>
      <c r="AM173" t="s">
        <v>1190</v>
      </c>
      <c r="AN173" t="s">
        <v>599</v>
      </c>
      <c r="AO173" t="s">
        <v>599</v>
      </c>
      <c r="AP173" t="s">
        <v>599</v>
      </c>
      <c r="AQ173" t="s">
        <v>599</v>
      </c>
      <c r="AR173" t="s">
        <v>599</v>
      </c>
      <c r="AS173" t="s">
        <v>599</v>
      </c>
      <c r="AT173" t="s">
        <v>599</v>
      </c>
    </row>
    <row r="174" spans="1:46" s="13" customFormat="1" ht="30" x14ac:dyDescent="0.25">
      <c r="A174" s="9">
        <v>10320</v>
      </c>
      <c r="B174" s="10">
        <v>1381028</v>
      </c>
      <c r="C174" s="10">
        <v>1</v>
      </c>
      <c r="D174" s="9">
        <v>1</v>
      </c>
      <c r="E174" s="11" t="s">
        <v>209</v>
      </c>
      <c r="F174" s="12">
        <v>1</v>
      </c>
      <c r="G174" s="9">
        <v>1</v>
      </c>
      <c r="H174" s="34"/>
      <c r="I174" s="55" t="str">
        <f t="shared" si="5"/>
        <v>https://permalinkbnd.bnportugal.gov.pt/viewer/38591/?offset=#page=1&amp;viewer=picture&amp;o=info&amp;n=0&amp;q=</v>
      </c>
      <c r="J174" s="45"/>
      <c r="K174" s="45"/>
      <c r="L174" s="45"/>
      <c r="M174" t="s">
        <v>209</v>
      </c>
      <c r="N174">
        <v>38591</v>
      </c>
      <c r="O174" t="str">
        <f t="shared" si="4"/>
        <v>https://permalinkbnd.bnportugal.gov.pt/viewer/38591/?offset=#page=1&amp;viewer=picture&amp;o=info&amp;n=0&amp;q=</v>
      </c>
      <c r="P174">
        <v>1381028</v>
      </c>
      <c r="Q174" t="s">
        <v>209</v>
      </c>
      <c r="R174" t="s">
        <v>2071</v>
      </c>
      <c r="S174" t="s">
        <v>1312</v>
      </c>
      <c r="T174" t="s">
        <v>1192</v>
      </c>
      <c r="U174" t="s">
        <v>599</v>
      </c>
      <c r="V174" t="s">
        <v>1313</v>
      </c>
      <c r="W174" t="s">
        <v>2072</v>
      </c>
      <c r="X174" t="s">
        <v>599</v>
      </c>
      <c r="Y174" t="s">
        <v>1182</v>
      </c>
      <c r="Z174" t="s">
        <v>1453</v>
      </c>
      <c r="AA174">
        <v>1890</v>
      </c>
      <c r="AB174">
        <v>1890</v>
      </c>
      <c r="AC174" t="s">
        <v>1315</v>
      </c>
      <c r="AD174" t="s">
        <v>599</v>
      </c>
      <c r="AE174" t="s">
        <v>599</v>
      </c>
      <c r="AF174" t="s">
        <v>2073</v>
      </c>
      <c r="AG174" t="s">
        <v>2074</v>
      </c>
      <c r="AH174" t="s">
        <v>599</v>
      </c>
      <c r="AI174" t="s">
        <v>599</v>
      </c>
      <c r="AJ174" t="s">
        <v>2075</v>
      </c>
      <c r="AK174" t="s">
        <v>1188</v>
      </c>
      <c r="AL174" t="s">
        <v>2076</v>
      </c>
      <c r="AM174" t="s">
        <v>1190</v>
      </c>
      <c r="AN174" t="s">
        <v>599</v>
      </c>
      <c r="AO174" t="s">
        <v>2077</v>
      </c>
      <c r="AP174" t="s">
        <v>599</v>
      </c>
      <c r="AQ174" t="s">
        <v>599</v>
      </c>
      <c r="AR174" t="s">
        <v>599</v>
      </c>
      <c r="AS174" t="s">
        <v>599</v>
      </c>
      <c r="AT174" t="s">
        <v>599</v>
      </c>
    </row>
    <row r="175" spans="1:46" s="13" customFormat="1" ht="30" x14ac:dyDescent="0.25">
      <c r="A175" s="9">
        <v>10321</v>
      </c>
      <c r="B175" s="10">
        <v>1381084</v>
      </c>
      <c r="C175" s="10">
        <v>1</v>
      </c>
      <c r="D175" s="9">
        <v>1</v>
      </c>
      <c r="E175" s="11" t="s">
        <v>210</v>
      </c>
      <c r="F175" s="12">
        <v>1</v>
      </c>
      <c r="G175" s="9">
        <v>1</v>
      </c>
      <c r="H175" s="34"/>
      <c r="I175" s="55" t="str">
        <f t="shared" si="5"/>
        <v>https://permalinkbnd.bnportugal.gov.pt/viewer/1843/?offset=#page=1&amp;viewer=picture&amp;o=info&amp;n=0&amp;q=</v>
      </c>
      <c r="J175" s="45"/>
      <c r="K175" s="45"/>
      <c r="L175" s="45"/>
      <c r="M175" t="s">
        <v>210</v>
      </c>
      <c r="N175">
        <v>1843</v>
      </c>
      <c r="O175" t="str">
        <f t="shared" si="4"/>
        <v>https://permalinkbnd.bnportugal.gov.pt/viewer/1843/?offset=#page=1&amp;viewer=picture&amp;o=info&amp;n=0&amp;q=</v>
      </c>
      <c r="P175">
        <v>1381084</v>
      </c>
      <c r="Q175" t="s">
        <v>210</v>
      </c>
      <c r="R175" t="s">
        <v>2078</v>
      </c>
      <c r="S175" t="s">
        <v>1312</v>
      </c>
      <c r="T175" t="s">
        <v>1192</v>
      </c>
      <c r="U175" t="s">
        <v>599</v>
      </c>
      <c r="V175" t="s">
        <v>2079</v>
      </c>
      <c r="W175" t="s">
        <v>2080</v>
      </c>
      <c r="X175" t="s">
        <v>599</v>
      </c>
      <c r="Y175" t="s">
        <v>1182</v>
      </c>
      <c r="Z175" t="s">
        <v>1437</v>
      </c>
      <c r="AA175">
        <v>1843</v>
      </c>
      <c r="AB175">
        <v>1843</v>
      </c>
      <c r="AC175" t="s">
        <v>1454</v>
      </c>
      <c r="AD175" t="s">
        <v>2081</v>
      </c>
      <c r="AE175" t="s">
        <v>599</v>
      </c>
      <c r="AF175" t="s">
        <v>2082</v>
      </c>
      <c r="AG175" t="s">
        <v>2083</v>
      </c>
      <c r="AH175" t="s">
        <v>599</v>
      </c>
      <c r="AI175" t="s">
        <v>2084</v>
      </c>
      <c r="AJ175" t="s">
        <v>2085</v>
      </c>
      <c r="AK175" t="s">
        <v>599</v>
      </c>
      <c r="AL175" t="s">
        <v>2086</v>
      </c>
      <c r="AM175" t="s">
        <v>1190</v>
      </c>
      <c r="AN175" t="s">
        <v>599</v>
      </c>
      <c r="AO175" t="s">
        <v>599</v>
      </c>
      <c r="AP175" t="s">
        <v>599</v>
      </c>
      <c r="AQ175" t="s">
        <v>599</v>
      </c>
      <c r="AR175" t="s">
        <v>2087</v>
      </c>
      <c r="AS175" t="s">
        <v>599</v>
      </c>
      <c r="AT175" t="s">
        <v>599</v>
      </c>
    </row>
    <row r="176" spans="1:46" s="13" customFormat="1" ht="30" x14ac:dyDescent="0.25">
      <c r="A176" s="9">
        <v>10322</v>
      </c>
      <c r="B176" s="10">
        <v>1381142</v>
      </c>
      <c r="C176" s="10">
        <v>1</v>
      </c>
      <c r="D176" s="9">
        <v>1</v>
      </c>
      <c r="E176" s="11" t="s">
        <v>211</v>
      </c>
      <c r="F176" s="12">
        <v>1</v>
      </c>
      <c r="G176" s="9">
        <v>1</v>
      </c>
      <c r="H176" s="34"/>
      <c r="I176" s="55" t="str">
        <f t="shared" si="5"/>
        <v>https://permalinkbnd.bnportugal.gov.pt/viewer/37955/?offset=#page=1&amp;viewer=picture&amp;o=info&amp;n=0&amp;q=</v>
      </c>
      <c r="J176" s="45"/>
      <c r="K176" s="45"/>
      <c r="L176" s="45"/>
      <c r="M176" t="s">
        <v>211</v>
      </c>
      <c r="N176">
        <v>37955</v>
      </c>
      <c r="O176" t="str">
        <f t="shared" si="4"/>
        <v>https://permalinkbnd.bnportugal.gov.pt/viewer/37955/?offset=#page=1&amp;viewer=picture&amp;o=info&amp;n=0&amp;q=</v>
      </c>
      <c r="P176">
        <v>1381142</v>
      </c>
      <c r="Q176" t="s">
        <v>211</v>
      </c>
      <c r="R176" t="s">
        <v>2088</v>
      </c>
      <c r="S176" t="s">
        <v>1312</v>
      </c>
      <c r="T176" t="s">
        <v>1192</v>
      </c>
      <c r="U176" t="s">
        <v>599</v>
      </c>
      <c r="V176" t="s">
        <v>1603</v>
      </c>
      <c r="W176" t="s">
        <v>599</v>
      </c>
      <c r="X176" t="s">
        <v>599</v>
      </c>
      <c r="Y176" t="s">
        <v>1182</v>
      </c>
      <c r="Z176" t="s">
        <v>1437</v>
      </c>
      <c r="AA176">
        <v>1841</v>
      </c>
      <c r="AB176">
        <v>1841</v>
      </c>
      <c r="AC176" t="s">
        <v>1454</v>
      </c>
      <c r="AD176" t="s">
        <v>2089</v>
      </c>
      <c r="AE176" t="s">
        <v>599</v>
      </c>
      <c r="AF176" t="s">
        <v>599</v>
      </c>
      <c r="AG176" t="s">
        <v>599</v>
      </c>
      <c r="AH176" t="s">
        <v>599</v>
      </c>
      <c r="AI176" t="s">
        <v>2084</v>
      </c>
      <c r="AJ176" t="s">
        <v>2090</v>
      </c>
      <c r="AK176" t="s">
        <v>599</v>
      </c>
      <c r="AL176" t="s">
        <v>2091</v>
      </c>
      <c r="AM176" t="s">
        <v>1190</v>
      </c>
      <c r="AN176" t="s">
        <v>599</v>
      </c>
      <c r="AO176" t="s">
        <v>599</v>
      </c>
      <c r="AP176" t="s">
        <v>599</v>
      </c>
      <c r="AQ176" t="s">
        <v>599</v>
      </c>
      <c r="AR176" t="s">
        <v>599</v>
      </c>
      <c r="AS176" t="s">
        <v>599</v>
      </c>
      <c r="AT176" t="s">
        <v>599</v>
      </c>
    </row>
    <row r="177" spans="1:46" s="13" customFormat="1" ht="30" x14ac:dyDescent="0.25">
      <c r="A177" s="9">
        <v>10323</v>
      </c>
      <c r="B177" s="10">
        <v>1381247</v>
      </c>
      <c r="C177" s="10">
        <v>1</v>
      </c>
      <c r="D177" s="9">
        <v>1</v>
      </c>
      <c r="E177" s="11" t="s">
        <v>212</v>
      </c>
      <c r="F177" s="12">
        <v>1</v>
      </c>
      <c r="G177" s="9">
        <v>1</v>
      </c>
      <c r="H177" s="34"/>
      <c r="I177" s="55" t="str">
        <f t="shared" si="5"/>
        <v>https://permalinkbnd.bnportugal.gov.pt/viewer/38270/?offset=#page=1&amp;viewer=picture&amp;o=info&amp;n=0&amp;q=</v>
      </c>
      <c r="J177" s="45"/>
      <c r="K177" s="45"/>
      <c r="L177" s="45"/>
      <c r="M177" t="s">
        <v>212</v>
      </c>
      <c r="N177">
        <v>38270</v>
      </c>
      <c r="O177" t="str">
        <f t="shared" si="4"/>
        <v>https://permalinkbnd.bnportugal.gov.pt/viewer/38270/?offset=#page=1&amp;viewer=picture&amp;o=info&amp;n=0&amp;q=</v>
      </c>
      <c r="P177">
        <v>1381247</v>
      </c>
      <c r="Q177" t="s">
        <v>212</v>
      </c>
      <c r="R177" t="s">
        <v>2092</v>
      </c>
      <c r="S177" t="s">
        <v>1312</v>
      </c>
      <c r="T177" t="s">
        <v>1192</v>
      </c>
      <c r="U177" t="s">
        <v>599</v>
      </c>
      <c r="V177" t="s">
        <v>1105</v>
      </c>
      <c r="W177" t="s">
        <v>2093</v>
      </c>
      <c r="X177" t="s">
        <v>599</v>
      </c>
      <c r="Y177" t="s">
        <v>1182</v>
      </c>
      <c r="Z177" t="s">
        <v>1437</v>
      </c>
      <c r="AA177">
        <v>1841</v>
      </c>
      <c r="AB177">
        <v>1841</v>
      </c>
      <c r="AC177" t="s">
        <v>1454</v>
      </c>
      <c r="AD177" t="s">
        <v>2089</v>
      </c>
      <c r="AE177" t="s">
        <v>599</v>
      </c>
      <c r="AF177" t="s">
        <v>599</v>
      </c>
      <c r="AG177" t="s">
        <v>599</v>
      </c>
      <c r="AH177" t="s">
        <v>599</v>
      </c>
      <c r="AI177" t="s">
        <v>2084</v>
      </c>
      <c r="AJ177" t="s">
        <v>2094</v>
      </c>
      <c r="AK177" t="s">
        <v>599</v>
      </c>
      <c r="AL177" t="s">
        <v>2095</v>
      </c>
      <c r="AM177" t="s">
        <v>1190</v>
      </c>
      <c r="AN177" t="s">
        <v>599</v>
      </c>
      <c r="AO177" t="s">
        <v>599</v>
      </c>
      <c r="AP177" t="s">
        <v>599</v>
      </c>
      <c r="AQ177" t="s">
        <v>599</v>
      </c>
      <c r="AR177" t="s">
        <v>599</v>
      </c>
      <c r="AS177" t="s">
        <v>599</v>
      </c>
      <c r="AT177" t="s">
        <v>599</v>
      </c>
    </row>
    <row r="178" spans="1:46" s="13" customFormat="1" ht="30" x14ac:dyDescent="0.25">
      <c r="A178" s="9">
        <v>10324</v>
      </c>
      <c r="B178" s="10">
        <v>1384320</v>
      </c>
      <c r="C178" s="10">
        <v>1</v>
      </c>
      <c r="D178" s="9">
        <v>1</v>
      </c>
      <c r="E178" s="11" t="s">
        <v>213</v>
      </c>
      <c r="F178" s="12">
        <v>1</v>
      </c>
      <c r="G178" s="9">
        <v>1</v>
      </c>
      <c r="H178" s="34"/>
      <c r="I178" s="55" t="str">
        <f t="shared" si="5"/>
        <v>https://permalinkbnd.bnportugal.gov.pt/viewer/39315/?offset=#page=1&amp;viewer=picture&amp;o=info&amp;n=0&amp;q=</v>
      </c>
      <c r="J178" s="45"/>
      <c r="K178" s="45"/>
      <c r="L178" s="45"/>
      <c r="M178" t="s">
        <v>213</v>
      </c>
      <c r="N178">
        <v>39315</v>
      </c>
      <c r="O178" t="str">
        <f t="shared" si="4"/>
        <v>https://permalinkbnd.bnportugal.gov.pt/viewer/39315/?offset=#page=1&amp;viewer=picture&amp;o=info&amp;n=0&amp;q=</v>
      </c>
      <c r="P178">
        <v>1384320</v>
      </c>
      <c r="Q178" t="s">
        <v>213</v>
      </c>
      <c r="R178" t="s">
        <v>2096</v>
      </c>
      <c r="S178" t="s">
        <v>1312</v>
      </c>
      <c r="T178" t="s">
        <v>1192</v>
      </c>
      <c r="U178" t="s">
        <v>599</v>
      </c>
      <c r="V178" t="s">
        <v>1603</v>
      </c>
      <c r="W178" t="s">
        <v>599</v>
      </c>
      <c r="X178" t="s">
        <v>599</v>
      </c>
      <c r="Y178" t="s">
        <v>1182</v>
      </c>
      <c r="Z178" t="s">
        <v>1453</v>
      </c>
      <c r="AA178">
        <v>1880</v>
      </c>
      <c r="AB178">
        <v>1880</v>
      </c>
      <c r="AC178" t="s">
        <v>1454</v>
      </c>
      <c r="AD178" t="s">
        <v>599</v>
      </c>
      <c r="AE178" t="s">
        <v>599</v>
      </c>
      <c r="AF178" t="s">
        <v>599</v>
      </c>
      <c r="AG178" t="s">
        <v>599</v>
      </c>
      <c r="AH178" t="s">
        <v>599</v>
      </c>
      <c r="AI178" t="s">
        <v>599</v>
      </c>
      <c r="AJ178" t="s">
        <v>2097</v>
      </c>
      <c r="AK178" t="s">
        <v>599</v>
      </c>
      <c r="AL178" t="s">
        <v>2098</v>
      </c>
      <c r="AM178" t="s">
        <v>1190</v>
      </c>
      <c r="AN178" t="s">
        <v>599</v>
      </c>
      <c r="AO178" t="s">
        <v>599</v>
      </c>
      <c r="AP178" t="s">
        <v>599</v>
      </c>
      <c r="AQ178" t="s">
        <v>599</v>
      </c>
      <c r="AR178" t="s">
        <v>599</v>
      </c>
      <c r="AS178" t="s">
        <v>599</v>
      </c>
      <c r="AT178" t="s">
        <v>599</v>
      </c>
    </row>
    <row r="179" spans="1:46" s="13" customFormat="1" ht="30" x14ac:dyDescent="0.25">
      <c r="A179" s="9">
        <v>10329</v>
      </c>
      <c r="B179" s="10">
        <v>1651190</v>
      </c>
      <c r="C179" s="10">
        <v>1</v>
      </c>
      <c r="D179" s="9">
        <v>1</v>
      </c>
      <c r="E179" s="11" t="s">
        <v>214</v>
      </c>
      <c r="F179" s="12">
        <v>1</v>
      </c>
      <c r="G179" s="9">
        <v>1</v>
      </c>
      <c r="H179" s="34"/>
      <c r="I179" s="55" t="str">
        <f t="shared" si="5"/>
        <v>https://permalinkbnd.bnportugal.gov.pt/viewer/272735/?offset=#page=1&amp;viewer=picture&amp;o=info&amp;n=0&amp;q=</v>
      </c>
      <c r="J179" s="45"/>
      <c r="K179" s="45"/>
      <c r="L179" s="45"/>
      <c r="M179" t="s">
        <v>214</v>
      </c>
      <c r="N179">
        <v>272735</v>
      </c>
      <c r="O179" t="str">
        <f t="shared" si="4"/>
        <v>https://permalinkbnd.bnportugal.gov.pt/viewer/272735/?offset=#page=1&amp;viewer=picture&amp;o=info&amp;n=0&amp;q=</v>
      </c>
      <c r="P179">
        <v>1651190</v>
      </c>
      <c r="Q179" t="s">
        <v>214</v>
      </c>
      <c r="R179" t="s">
        <v>2099</v>
      </c>
      <c r="S179" t="s">
        <v>1312</v>
      </c>
      <c r="T179" t="s">
        <v>1518</v>
      </c>
      <c r="U179" t="s">
        <v>599</v>
      </c>
      <c r="V179" t="s">
        <v>2100</v>
      </c>
      <c r="W179" t="s">
        <v>2101</v>
      </c>
      <c r="X179" t="s">
        <v>599</v>
      </c>
      <c r="Y179" t="s">
        <v>1182</v>
      </c>
      <c r="Z179" t="s">
        <v>1453</v>
      </c>
      <c r="AA179">
        <v>1880</v>
      </c>
      <c r="AB179">
        <v>1880</v>
      </c>
      <c r="AC179" t="s">
        <v>1315</v>
      </c>
      <c r="AD179" t="s">
        <v>2102</v>
      </c>
      <c r="AE179" t="s">
        <v>599</v>
      </c>
      <c r="AF179" t="s">
        <v>599</v>
      </c>
      <c r="AG179" t="s">
        <v>599</v>
      </c>
      <c r="AH179" t="s">
        <v>599</v>
      </c>
      <c r="AI179" t="s">
        <v>599</v>
      </c>
      <c r="AJ179" t="s">
        <v>2103</v>
      </c>
      <c r="AK179" t="s">
        <v>1188</v>
      </c>
      <c r="AL179" t="s">
        <v>2104</v>
      </c>
      <c r="AM179" t="s">
        <v>1190</v>
      </c>
      <c r="AN179" t="s">
        <v>599</v>
      </c>
      <c r="AO179" t="s">
        <v>599</v>
      </c>
      <c r="AP179" t="s">
        <v>599</v>
      </c>
      <c r="AQ179" t="s">
        <v>599</v>
      </c>
      <c r="AR179" t="s">
        <v>599</v>
      </c>
      <c r="AS179" t="s">
        <v>599</v>
      </c>
      <c r="AT179" t="s">
        <v>599</v>
      </c>
    </row>
    <row r="180" spans="1:46" s="13" customFormat="1" ht="30" x14ac:dyDescent="0.25">
      <c r="A180" s="9">
        <v>10331</v>
      </c>
      <c r="B180" s="10">
        <v>1669786</v>
      </c>
      <c r="C180" s="10">
        <v>1</v>
      </c>
      <c r="D180" s="9">
        <v>1</v>
      </c>
      <c r="E180" s="11" t="s">
        <v>215</v>
      </c>
      <c r="F180" s="12">
        <v>1</v>
      </c>
      <c r="G180" s="9">
        <v>1</v>
      </c>
      <c r="H180" s="34"/>
      <c r="I180" s="55" t="str">
        <f t="shared" si="5"/>
        <v>https://permalinkbnd.bnportugal.gov.pt/viewer/272737/?offset=#page=1&amp;viewer=picture&amp;o=info&amp;n=0&amp;q=</v>
      </c>
      <c r="J180" s="45"/>
      <c r="K180" s="45"/>
      <c r="L180" s="45"/>
      <c r="M180" t="s">
        <v>215</v>
      </c>
      <c r="N180">
        <v>272737</v>
      </c>
      <c r="O180" t="str">
        <f t="shared" si="4"/>
        <v>https://permalinkbnd.bnportugal.gov.pt/viewer/272737/?offset=#page=1&amp;viewer=picture&amp;o=info&amp;n=0&amp;q=</v>
      </c>
      <c r="P180">
        <v>1669786</v>
      </c>
      <c r="Q180" t="s">
        <v>215</v>
      </c>
      <c r="R180" t="s">
        <v>2105</v>
      </c>
      <c r="S180" t="s">
        <v>1312</v>
      </c>
      <c r="T180" t="s">
        <v>1362</v>
      </c>
      <c r="U180" t="s">
        <v>599</v>
      </c>
      <c r="V180" t="s">
        <v>2106</v>
      </c>
      <c r="W180" t="s">
        <v>2107</v>
      </c>
      <c r="X180" t="s">
        <v>599</v>
      </c>
      <c r="Y180" t="s">
        <v>1182</v>
      </c>
      <c r="Z180" t="s">
        <v>1453</v>
      </c>
      <c r="AA180">
        <v>1880</v>
      </c>
      <c r="AB180">
        <v>1880</v>
      </c>
      <c r="AC180" t="s">
        <v>1454</v>
      </c>
      <c r="AD180" t="s">
        <v>2108</v>
      </c>
      <c r="AE180" t="s">
        <v>599</v>
      </c>
      <c r="AF180" t="s">
        <v>599</v>
      </c>
      <c r="AG180" t="s">
        <v>2109</v>
      </c>
      <c r="AH180" t="s">
        <v>599</v>
      </c>
      <c r="AI180" t="s">
        <v>599</v>
      </c>
      <c r="AJ180" t="s">
        <v>2110</v>
      </c>
      <c r="AK180" t="s">
        <v>1188</v>
      </c>
      <c r="AL180" t="s">
        <v>2111</v>
      </c>
      <c r="AM180" t="s">
        <v>1190</v>
      </c>
      <c r="AN180" t="s">
        <v>599</v>
      </c>
      <c r="AO180" t="s">
        <v>2112</v>
      </c>
      <c r="AP180" t="s">
        <v>599</v>
      </c>
      <c r="AQ180" t="s">
        <v>599</v>
      </c>
      <c r="AR180" t="s">
        <v>599</v>
      </c>
      <c r="AS180" t="s">
        <v>599</v>
      </c>
      <c r="AT180" t="s">
        <v>599</v>
      </c>
    </row>
    <row r="181" spans="1:46" s="13" customFormat="1" ht="30" x14ac:dyDescent="0.25">
      <c r="A181" s="9">
        <v>10332</v>
      </c>
      <c r="B181" s="10">
        <v>1671826</v>
      </c>
      <c r="C181" s="10">
        <v>1</v>
      </c>
      <c r="D181" s="9">
        <v>1</v>
      </c>
      <c r="E181" s="11" t="s">
        <v>216</v>
      </c>
      <c r="F181" s="12">
        <v>1</v>
      </c>
      <c r="G181" s="9">
        <v>1</v>
      </c>
      <c r="H181" s="34"/>
      <c r="I181" s="55" t="str">
        <f t="shared" si="5"/>
        <v>https://permalinkbnd.bnportugal.gov.pt/viewer/272727/?offset=#page=1&amp;viewer=picture&amp;o=info&amp;n=0&amp;q=</v>
      </c>
      <c r="J181" s="45"/>
      <c r="K181" s="45"/>
      <c r="L181" s="45"/>
      <c r="M181" t="s">
        <v>216</v>
      </c>
      <c r="N181">
        <v>272727</v>
      </c>
      <c r="O181" t="str">
        <f t="shared" si="4"/>
        <v>https://permalinkbnd.bnportugal.gov.pt/viewer/272727/?offset=#page=1&amp;viewer=picture&amp;o=info&amp;n=0&amp;q=</v>
      </c>
      <c r="P181">
        <v>1671826</v>
      </c>
      <c r="Q181" t="s">
        <v>216</v>
      </c>
      <c r="R181" t="s">
        <v>2113</v>
      </c>
      <c r="S181" t="s">
        <v>1312</v>
      </c>
      <c r="T181" t="s">
        <v>1192</v>
      </c>
      <c r="U181" t="s">
        <v>599</v>
      </c>
      <c r="V181" t="s">
        <v>2114</v>
      </c>
      <c r="W181" t="s">
        <v>2115</v>
      </c>
      <c r="X181" t="s">
        <v>599</v>
      </c>
      <c r="Y181" t="s">
        <v>1182</v>
      </c>
      <c r="Z181" t="s">
        <v>1437</v>
      </c>
      <c r="AA181">
        <v>1924</v>
      </c>
      <c r="AB181">
        <v>1924</v>
      </c>
      <c r="AC181" t="s">
        <v>2007</v>
      </c>
      <c r="AD181" t="s">
        <v>599</v>
      </c>
      <c r="AE181" t="s">
        <v>599</v>
      </c>
      <c r="AF181" t="s">
        <v>599</v>
      </c>
      <c r="AG181" t="s">
        <v>599</v>
      </c>
      <c r="AH181" t="s">
        <v>599</v>
      </c>
      <c r="AI181" t="s">
        <v>599</v>
      </c>
      <c r="AJ181" t="s">
        <v>2116</v>
      </c>
      <c r="AK181" t="s">
        <v>1188</v>
      </c>
      <c r="AL181" t="s">
        <v>2117</v>
      </c>
      <c r="AM181" t="s">
        <v>1190</v>
      </c>
      <c r="AN181" t="s">
        <v>599</v>
      </c>
      <c r="AO181" t="s">
        <v>599</v>
      </c>
      <c r="AP181" t="s">
        <v>599</v>
      </c>
      <c r="AQ181" t="s">
        <v>599</v>
      </c>
      <c r="AR181" t="s">
        <v>599</v>
      </c>
      <c r="AS181" t="s">
        <v>599</v>
      </c>
      <c r="AT181" t="s">
        <v>599</v>
      </c>
    </row>
    <row r="182" spans="1:46" s="13" customFormat="1" ht="30" x14ac:dyDescent="0.25">
      <c r="A182" s="9">
        <v>10334</v>
      </c>
      <c r="B182" s="10">
        <v>1684166</v>
      </c>
      <c r="C182" s="10">
        <v>1</v>
      </c>
      <c r="D182" s="9">
        <v>1</v>
      </c>
      <c r="E182" s="11" t="s">
        <v>217</v>
      </c>
      <c r="F182" s="12">
        <v>1</v>
      </c>
      <c r="G182" s="9">
        <v>1</v>
      </c>
      <c r="H182" s="34"/>
      <c r="I182" s="55" t="str">
        <f t="shared" si="5"/>
        <v>https://permalinkbnd.bnportugal.gov.pt/viewer/272736/?offset=#page=1&amp;viewer=picture&amp;o=info&amp;n=0&amp;q=</v>
      </c>
      <c r="J182" s="45"/>
      <c r="K182" s="45"/>
      <c r="L182" s="45"/>
      <c r="M182" t="s">
        <v>217</v>
      </c>
      <c r="N182">
        <v>272736</v>
      </c>
      <c r="O182" t="str">
        <f t="shared" si="4"/>
        <v>https://permalinkbnd.bnportugal.gov.pt/viewer/272736/?offset=#page=1&amp;viewer=picture&amp;o=info&amp;n=0&amp;q=</v>
      </c>
      <c r="P182">
        <v>1684166</v>
      </c>
      <c r="Q182" t="s">
        <v>217</v>
      </c>
      <c r="R182" t="s">
        <v>2118</v>
      </c>
      <c r="S182" t="s">
        <v>1312</v>
      </c>
      <c r="T182" t="s">
        <v>1192</v>
      </c>
      <c r="U182" t="s">
        <v>599</v>
      </c>
      <c r="V182" t="s">
        <v>2119</v>
      </c>
      <c r="W182" t="s">
        <v>2120</v>
      </c>
      <c r="X182" t="s">
        <v>599</v>
      </c>
      <c r="Y182" t="s">
        <v>1182</v>
      </c>
      <c r="Z182" t="s">
        <v>1437</v>
      </c>
      <c r="AA182">
        <v>1898</v>
      </c>
      <c r="AB182">
        <v>1898</v>
      </c>
      <c r="AC182" t="s">
        <v>1454</v>
      </c>
      <c r="AD182" t="s">
        <v>599</v>
      </c>
      <c r="AE182" t="s">
        <v>599</v>
      </c>
      <c r="AF182" t="s">
        <v>2121</v>
      </c>
      <c r="AG182" t="s">
        <v>599</v>
      </c>
      <c r="AH182" t="s">
        <v>599</v>
      </c>
      <c r="AI182" t="s">
        <v>2122</v>
      </c>
      <c r="AJ182" t="s">
        <v>2123</v>
      </c>
      <c r="AK182" t="s">
        <v>1188</v>
      </c>
      <c r="AL182" t="s">
        <v>2124</v>
      </c>
      <c r="AM182" t="s">
        <v>1190</v>
      </c>
      <c r="AN182" t="s">
        <v>599</v>
      </c>
      <c r="AO182" t="s">
        <v>599</v>
      </c>
      <c r="AP182" t="s">
        <v>599</v>
      </c>
      <c r="AQ182" t="s">
        <v>2125</v>
      </c>
      <c r="AR182" t="s">
        <v>599</v>
      </c>
      <c r="AS182" t="s">
        <v>599</v>
      </c>
      <c r="AT182" t="s">
        <v>599</v>
      </c>
    </row>
    <row r="183" spans="1:46" s="13" customFormat="1" ht="30" x14ac:dyDescent="0.25">
      <c r="A183" s="9">
        <v>10337</v>
      </c>
      <c r="B183" s="10">
        <v>1718418</v>
      </c>
      <c r="C183" s="10">
        <v>1</v>
      </c>
      <c r="D183" s="9">
        <v>1</v>
      </c>
      <c r="E183" s="11" t="s">
        <v>218</v>
      </c>
      <c r="F183" s="12" t="s">
        <v>219</v>
      </c>
      <c r="G183" s="9" t="s">
        <v>220</v>
      </c>
      <c r="H183" s="34"/>
      <c r="I183" s="55" t="str">
        <f t="shared" si="5"/>
        <v>https://permalinkbnd.bnportugal.gov.pt/viewer/16732/?offset=#page=1&amp;viewer=picture&amp;o=info&amp;n=0&amp;q=</v>
      </c>
      <c r="J183" s="45"/>
      <c r="K183" s="45"/>
      <c r="L183" s="45"/>
      <c r="M183" t="s">
        <v>218</v>
      </c>
      <c r="N183">
        <v>16732</v>
      </c>
      <c r="O183" t="str">
        <f t="shared" si="4"/>
        <v>https://permalinkbnd.bnportugal.gov.pt/viewer/16732/?offset=#page=1&amp;viewer=picture&amp;o=info&amp;n=0&amp;q=</v>
      </c>
      <c r="P183">
        <v>1718418</v>
      </c>
      <c r="Q183" t="s">
        <v>218</v>
      </c>
      <c r="R183" t="s">
        <v>2126</v>
      </c>
      <c r="S183" t="s">
        <v>2127</v>
      </c>
      <c r="T183" t="s">
        <v>1192</v>
      </c>
      <c r="U183" t="s">
        <v>599</v>
      </c>
      <c r="V183" t="s">
        <v>2128</v>
      </c>
      <c r="W183" t="s">
        <v>599</v>
      </c>
      <c r="X183" t="s">
        <v>599</v>
      </c>
      <c r="Y183" t="s">
        <v>1182</v>
      </c>
      <c r="Z183" t="s">
        <v>2129</v>
      </c>
      <c r="AA183">
        <v>1870</v>
      </c>
      <c r="AB183">
        <v>1870</v>
      </c>
      <c r="AC183" t="s">
        <v>2130</v>
      </c>
      <c r="AD183" t="s">
        <v>2131</v>
      </c>
      <c r="AE183" t="s">
        <v>599</v>
      </c>
      <c r="AF183" t="s">
        <v>599</v>
      </c>
      <c r="AG183" t="s">
        <v>2132</v>
      </c>
      <c r="AH183" t="s">
        <v>599</v>
      </c>
      <c r="AI183" t="s">
        <v>2133</v>
      </c>
      <c r="AJ183" t="s">
        <v>2134</v>
      </c>
      <c r="AK183" t="s">
        <v>1188</v>
      </c>
      <c r="AL183" t="s">
        <v>2135</v>
      </c>
      <c r="AM183" t="s">
        <v>1190</v>
      </c>
      <c r="AN183" t="s">
        <v>599</v>
      </c>
      <c r="AO183" t="s">
        <v>599</v>
      </c>
      <c r="AP183" t="s">
        <v>599</v>
      </c>
      <c r="AQ183" t="s">
        <v>599</v>
      </c>
      <c r="AR183" t="s">
        <v>2136</v>
      </c>
      <c r="AS183" t="s">
        <v>599</v>
      </c>
      <c r="AT183" t="s">
        <v>599</v>
      </c>
    </row>
    <row r="184" spans="1:46" s="13" customFormat="1" ht="30" x14ac:dyDescent="0.25">
      <c r="A184" s="9">
        <v>10338</v>
      </c>
      <c r="B184" s="10">
        <v>1718418</v>
      </c>
      <c r="C184" s="10">
        <v>1</v>
      </c>
      <c r="D184" s="9">
        <v>3</v>
      </c>
      <c r="E184" s="11" t="s">
        <v>218</v>
      </c>
      <c r="F184" s="12" t="s">
        <v>219</v>
      </c>
      <c r="G184" s="9" t="s">
        <v>220</v>
      </c>
      <c r="H184" s="34"/>
      <c r="I184" s="55" t="str">
        <f t="shared" si="5"/>
        <v>https://permalinkbnd.bnportugal.gov.pt/viewer/16732/?offset=#page=3&amp;viewer=picture&amp;o=info&amp;n=0&amp;q=</v>
      </c>
      <c r="J184" s="45"/>
      <c r="K184" s="45"/>
      <c r="L184" s="45"/>
      <c r="M184" t="s">
        <v>218</v>
      </c>
      <c r="N184">
        <v>16732</v>
      </c>
      <c r="O184" t="str">
        <f t="shared" si="4"/>
        <v>https://permalinkbnd.bnportugal.gov.pt/viewer/16732/?offset=#page=3&amp;viewer=picture&amp;o=info&amp;n=0&amp;q=</v>
      </c>
      <c r="P184">
        <v>1718418</v>
      </c>
      <c r="Q184" t="s">
        <v>218</v>
      </c>
      <c r="R184" t="s">
        <v>2126</v>
      </c>
      <c r="S184" t="s">
        <v>2127</v>
      </c>
      <c r="T184" t="s">
        <v>1192</v>
      </c>
      <c r="U184" t="s">
        <v>599</v>
      </c>
      <c r="V184" t="s">
        <v>2128</v>
      </c>
      <c r="W184" t="s">
        <v>599</v>
      </c>
      <c r="X184" t="s">
        <v>599</v>
      </c>
      <c r="Y184" t="s">
        <v>1182</v>
      </c>
      <c r="Z184" t="s">
        <v>2129</v>
      </c>
      <c r="AA184">
        <v>1870</v>
      </c>
      <c r="AB184">
        <v>1870</v>
      </c>
      <c r="AC184" t="s">
        <v>2130</v>
      </c>
      <c r="AD184" t="s">
        <v>2131</v>
      </c>
      <c r="AE184" t="s">
        <v>599</v>
      </c>
      <c r="AF184" t="s">
        <v>599</v>
      </c>
      <c r="AG184" t="s">
        <v>2132</v>
      </c>
      <c r="AH184" t="s">
        <v>599</v>
      </c>
      <c r="AI184" t="s">
        <v>2133</v>
      </c>
      <c r="AJ184" t="s">
        <v>2134</v>
      </c>
      <c r="AK184" t="s">
        <v>1188</v>
      </c>
      <c r="AL184" t="s">
        <v>2135</v>
      </c>
      <c r="AM184" t="s">
        <v>1190</v>
      </c>
      <c r="AN184" t="s">
        <v>599</v>
      </c>
      <c r="AO184" t="s">
        <v>599</v>
      </c>
      <c r="AP184" t="s">
        <v>599</v>
      </c>
      <c r="AQ184" t="s">
        <v>599</v>
      </c>
      <c r="AR184" t="s">
        <v>2136</v>
      </c>
      <c r="AS184" t="s">
        <v>599</v>
      </c>
      <c r="AT184" t="s">
        <v>599</v>
      </c>
    </row>
    <row r="185" spans="1:46" s="13" customFormat="1" ht="30" x14ac:dyDescent="0.25">
      <c r="A185" s="9">
        <v>10343</v>
      </c>
      <c r="B185" s="10">
        <v>1724855</v>
      </c>
      <c r="C185" s="10">
        <v>1</v>
      </c>
      <c r="D185" s="9">
        <v>1</v>
      </c>
      <c r="E185" s="11" t="s">
        <v>221</v>
      </c>
      <c r="F185" s="12">
        <v>1</v>
      </c>
      <c r="G185" s="9">
        <v>1</v>
      </c>
      <c r="H185" s="34"/>
      <c r="I185" s="55" t="str">
        <f t="shared" si="5"/>
        <v>https://permalinkbnd.bnportugal.gov.pt/viewer/268841/?offset=#page=1&amp;viewer=picture&amp;o=info&amp;n=0&amp;q=</v>
      </c>
      <c r="J185" s="45"/>
      <c r="K185" s="45"/>
      <c r="L185" s="45"/>
      <c r="M185" t="s">
        <v>221</v>
      </c>
      <c r="N185">
        <v>268841</v>
      </c>
      <c r="O185" t="str">
        <f t="shared" si="4"/>
        <v>https://permalinkbnd.bnportugal.gov.pt/viewer/268841/?offset=#page=1&amp;viewer=picture&amp;o=info&amp;n=0&amp;q=</v>
      </c>
      <c r="P185">
        <v>1724855</v>
      </c>
      <c r="Q185" t="s">
        <v>221</v>
      </c>
      <c r="R185" t="s">
        <v>2137</v>
      </c>
      <c r="S185" t="s">
        <v>2127</v>
      </c>
      <c r="T185" t="s">
        <v>1192</v>
      </c>
      <c r="U185" t="s">
        <v>599</v>
      </c>
      <c r="V185" t="s">
        <v>2138</v>
      </c>
      <c r="W185" t="s">
        <v>2139</v>
      </c>
      <c r="X185" t="s">
        <v>599</v>
      </c>
      <c r="Y185" t="s">
        <v>1182</v>
      </c>
      <c r="Z185" t="s">
        <v>2140</v>
      </c>
      <c r="AA185">
        <v>1880</v>
      </c>
      <c r="AB185">
        <v>1880</v>
      </c>
      <c r="AC185" t="s">
        <v>2141</v>
      </c>
      <c r="AD185" t="s">
        <v>2142</v>
      </c>
      <c r="AE185" t="s">
        <v>599</v>
      </c>
      <c r="AF185" t="s">
        <v>599</v>
      </c>
      <c r="AG185" t="s">
        <v>599</v>
      </c>
      <c r="AH185" t="s">
        <v>599</v>
      </c>
      <c r="AI185" t="s">
        <v>2143</v>
      </c>
      <c r="AJ185" t="s">
        <v>2144</v>
      </c>
      <c r="AK185" t="s">
        <v>1188</v>
      </c>
      <c r="AL185" t="s">
        <v>2145</v>
      </c>
      <c r="AM185" t="s">
        <v>1190</v>
      </c>
      <c r="AN185" t="s">
        <v>599</v>
      </c>
      <c r="AO185" t="s">
        <v>599</v>
      </c>
      <c r="AP185" t="s">
        <v>599</v>
      </c>
      <c r="AQ185" t="s">
        <v>599</v>
      </c>
      <c r="AR185" t="s">
        <v>2146</v>
      </c>
      <c r="AS185" t="s">
        <v>599</v>
      </c>
      <c r="AT185" t="s">
        <v>599</v>
      </c>
    </row>
    <row r="186" spans="1:46" s="13" customFormat="1" ht="30" x14ac:dyDescent="0.25">
      <c r="A186" s="9">
        <v>10350</v>
      </c>
      <c r="B186" s="10">
        <v>1752559</v>
      </c>
      <c r="C186" s="10">
        <v>1</v>
      </c>
      <c r="D186" s="9">
        <v>1</v>
      </c>
      <c r="E186" s="11" t="s">
        <v>222</v>
      </c>
      <c r="F186" s="12">
        <v>1</v>
      </c>
      <c r="G186" s="9">
        <v>1</v>
      </c>
      <c r="H186" s="34"/>
      <c r="I186" s="55" t="str">
        <f t="shared" si="5"/>
        <v>https://permalinkbnd.bnportugal.gov.pt/viewer/33216/?offset=#page=1&amp;viewer=picture&amp;o=info&amp;n=0&amp;q=</v>
      </c>
      <c r="J186" s="45"/>
      <c r="K186" s="45"/>
      <c r="L186" s="45"/>
      <c r="M186" t="s">
        <v>222</v>
      </c>
      <c r="N186">
        <v>33216</v>
      </c>
      <c r="O186" t="str">
        <f t="shared" si="4"/>
        <v>https://permalinkbnd.bnportugal.gov.pt/viewer/33216/?offset=#page=1&amp;viewer=picture&amp;o=info&amp;n=0&amp;q=</v>
      </c>
      <c r="P186">
        <v>1752559</v>
      </c>
      <c r="Q186" t="s">
        <v>222</v>
      </c>
      <c r="R186" t="s">
        <v>2147</v>
      </c>
      <c r="S186" t="s">
        <v>1312</v>
      </c>
      <c r="T186" t="s">
        <v>1192</v>
      </c>
      <c r="U186" t="s">
        <v>599</v>
      </c>
      <c r="V186" t="s">
        <v>2148</v>
      </c>
      <c r="W186" t="s">
        <v>599</v>
      </c>
      <c r="X186" t="s">
        <v>599</v>
      </c>
      <c r="Y186" t="s">
        <v>1182</v>
      </c>
      <c r="Z186" t="s">
        <v>599</v>
      </c>
      <c r="AA186">
        <v>1866</v>
      </c>
      <c r="AB186">
        <v>1866</v>
      </c>
      <c r="AC186" t="s">
        <v>1670</v>
      </c>
      <c r="AD186" t="s">
        <v>1604</v>
      </c>
      <c r="AE186" t="s">
        <v>599</v>
      </c>
      <c r="AF186" t="s">
        <v>599</v>
      </c>
      <c r="AG186" t="s">
        <v>599</v>
      </c>
      <c r="AH186" t="s">
        <v>599</v>
      </c>
      <c r="AI186" t="s">
        <v>599</v>
      </c>
      <c r="AJ186" t="s">
        <v>2149</v>
      </c>
      <c r="AK186" t="s">
        <v>1188</v>
      </c>
      <c r="AL186" t="s">
        <v>2150</v>
      </c>
      <c r="AM186" t="s">
        <v>1190</v>
      </c>
      <c r="AN186" t="s">
        <v>599</v>
      </c>
      <c r="AO186" t="s">
        <v>599</v>
      </c>
      <c r="AP186" t="s">
        <v>599</v>
      </c>
      <c r="AQ186" t="s">
        <v>2151</v>
      </c>
      <c r="AR186" t="s">
        <v>599</v>
      </c>
      <c r="AS186" t="s">
        <v>599</v>
      </c>
      <c r="AT186" t="s">
        <v>599</v>
      </c>
    </row>
    <row r="187" spans="1:46" s="13" customFormat="1" ht="30" x14ac:dyDescent="0.25">
      <c r="A187" s="9">
        <v>10352</v>
      </c>
      <c r="B187" s="10">
        <v>1779910</v>
      </c>
      <c r="C187" s="10">
        <v>1</v>
      </c>
      <c r="D187" s="9">
        <v>1</v>
      </c>
      <c r="E187" s="11" t="s">
        <v>223</v>
      </c>
      <c r="F187" s="12" t="s">
        <v>71</v>
      </c>
      <c r="G187" s="9">
        <v>1</v>
      </c>
      <c r="H187" s="34"/>
      <c r="I187" s="55" t="str">
        <f t="shared" si="5"/>
        <v>https://permalinkbnd.bnportugal.gov.pt/viewer/272731/?offset=#page=1&amp;viewer=picture&amp;o=info&amp;n=0&amp;q=</v>
      </c>
      <c r="J187" s="45"/>
      <c r="K187" s="45"/>
      <c r="L187" s="45"/>
      <c r="M187" t="s">
        <v>223</v>
      </c>
      <c r="N187">
        <v>272731</v>
      </c>
      <c r="O187" t="str">
        <f t="shared" si="4"/>
        <v>https://permalinkbnd.bnportugal.gov.pt/viewer/272731/?offset=#page=1&amp;viewer=picture&amp;o=info&amp;n=0&amp;q=</v>
      </c>
      <c r="P187">
        <v>1779910</v>
      </c>
      <c r="Q187" t="s">
        <v>223</v>
      </c>
      <c r="R187" t="s">
        <v>2152</v>
      </c>
      <c r="S187" t="s">
        <v>1312</v>
      </c>
      <c r="T187" t="s">
        <v>1209</v>
      </c>
      <c r="U187" t="s">
        <v>599</v>
      </c>
      <c r="V187" t="s">
        <v>2153</v>
      </c>
      <c r="W187" t="s">
        <v>599</v>
      </c>
      <c r="X187" t="s">
        <v>599</v>
      </c>
      <c r="Y187" t="s">
        <v>1182</v>
      </c>
      <c r="Z187" t="s">
        <v>1453</v>
      </c>
      <c r="AA187">
        <v>1800</v>
      </c>
      <c r="AB187">
        <v>1800</v>
      </c>
      <c r="AC187" t="s">
        <v>1454</v>
      </c>
      <c r="AD187" t="s">
        <v>599</v>
      </c>
      <c r="AE187" t="s">
        <v>599</v>
      </c>
      <c r="AF187" t="s">
        <v>599</v>
      </c>
      <c r="AG187" t="s">
        <v>599</v>
      </c>
      <c r="AH187" t="s">
        <v>599</v>
      </c>
      <c r="AI187" t="s">
        <v>599</v>
      </c>
      <c r="AJ187" t="s">
        <v>2154</v>
      </c>
      <c r="AK187" t="s">
        <v>1188</v>
      </c>
      <c r="AL187" t="s">
        <v>2155</v>
      </c>
      <c r="AM187" t="s">
        <v>1190</v>
      </c>
      <c r="AN187" t="s">
        <v>599</v>
      </c>
      <c r="AO187" t="s">
        <v>599</v>
      </c>
      <c r="AP187" t="s">
        <v>599</v>
      </c>
      <c r="AQ187" t="s">
        <v>599</v>
      </c>
      <c r="AR187" t="s">
        <v>599</v>
      </c>
      <c r="AS187" t="s">
        <v>599</v>
      </c>
      <c r="AT187" t="s">
        <v>599</v>
      </c>
    </row>
    <row r="188" spans="1:46" s="13" customFormat="1" ht="30" x14ac:dyDescent="0.25">
      <c r="A188" s="9">
        <v>10353</v>
      </c>
      <c r="B188" s="10">
        <v>1784317</v>
      </c>
      <c r="C188" s="10">
        <v>1</v>
      </c>
      <c r="D188" s="9">
        <v>1</v>
      </c>
      <c r="E188" s="11" t="s">
        <v>224</v>
      </c>
      <c r="F188" s="12" t="s">
        <v>71</v>
      </c>
      <c r="G188" s="9">
        <v>1</v>
      </c>
      <c r="H188" s="34"/>
      <c r="I188" s="55" t="str">
        <f t="shared" si="5"/>
        <v>https://permalinkbnd.bnportugal.gov.pt/viewer/272732/?offset=#page=1&amp;viewer=picture&amp;o=info&amp;n=0&amp;q=</v>
      </c>
      <c r="J188" s="45"/>
      <c r="K188" s="45"/>
      <c r="L188" s="45"/>
      <c r="M188" t="s">
        <v>224</v>
      </c>
      <c r="N188">
        <v>272732</v>
      </c>
      <c r="O188" t="str">
        <f t="shared" si="4"/>
        <v>https://permalinkbnd.bnportugal.gov.pt/viewer/272732/?offset=#page=1&amp;viewer=picture&amp;o=info&amp;n=0&amp;q=</v>
      </c>
      <c r="P188">
        <v>1784317</v>
      </c>
      <c r="Q188" t="s">
        <v>224</v>
      </c>
      <c r="R188" t="s">
        <v>2156</v>
      </c>
      <c r="S188" t="s">
        <v>1312</v>
      </c>
      <c r="T188" t="s">
        <v>1362</v>
      </c>
      <c r="U188" t="s">
        <v>599</v>
      </c>
      <c r="V188" t="s">
        <v>2157</v>
      </c>
      <c r="W188" t="s">
        <v>599</v>
      </c>
      <c r="X188" t="s">
        <v>599</v>
      </c>
      <c r="Y188" t="s">
        <v>1182</v>
      </c>
      <c r="Z188" t="s">
        <v>1453</v>
      </c>
      <c r="AA188">
        <v>1810</v>
      </c>
      <c r="AB188">
        <v>1810</v>
      </c>
      <c r="AC188" t="s">
        <v>1454</v>
      </c>
      <c r="AD188" t="s">
        <v>599</v>
      </c>
      <c r="AE188" t="s">
        <v>599</v>
      </c>
      <c r="AF188" t="s">
        <v>599</v>
      </c>
      <c r="AG188" t="s">
        <v>2158</v>
      </c>
      <c r="AH188" t="s">
        <v>599</v>
      </c>
      <c r="AI188" t="s">
        <v>599</v>
      </c>
      <c r="AJ188" t="s">
        <v>2159</v>
      </c>
      <c r="AK188" t="s">
        <v>1188</v>
      </c>
      <c r="AL188" t="s">
        <v>2160</v>
      </c>
      <c r="AM188" t="s">
        <v>1190</v>
      </c>
      <c r="AN188" t="s">
        <v>599</v>
      </c>
      <c r="AO188" t="s">
        <v>2161</v>
      </c>
      <c r="AP188" t="s">
        <v>599</v>
      </c>
      <c r="AQ188" t="s">
        <v>599</v>
      </c>
      <c r="AR188" t="s">
        <v>599</v>
      </c>
      <c r="AS188" t="s">
        <v>599</v>
      </c>
      <c r="AT188" t="s">
        <v>599</v>
      </c>
    </row>
    <row r="189" spans="1:46" s="13" customFormat="1" ht="30" x14ac:dyDescent="0.25">
      <c r="A189" s="9">
        <v>10354</v>
      </c>
      <c r="B189" s="10">
        <v>1790475</v>
      </c>
      <c r="C189" s="10">
        <v>1</v>
      </c>
      <c r="D189" s="9">
        <v>1</v>
      </c>
      <c r="E189" s="11" t="s">
        <v>225</v>
      </c>
      <c r="F189" s="12">
        <v>1</v>
      </c>
      <c r="G189" s="9">
        <v>1</v>
      </c>
      <c r="H189" s="34"/>
      <c r="I189" s="55" t="str">
        <f t="shared" si="5"/>
        <v>https://permalinkbnd.bnportugal.gov.pt/viewer/272729/?offset=#page=1&amp;viewer=picture&amp;o=info&amp;n=0&amp;q=</v>
      </c>
      <c r="J189" s="45"/>
      <c r="K189" s="45"/>
      <c r="L189" s="45"/>
      <c r="M189" t="s">
        <v>225</v>
      </c>
      <c r="N189">
        <v>272729</v>
      </c>
      <c r="O189" t="str">
        <f t="shared" si="4"/>
        <v>https://permalinkbnd.bnportugal.gov.pt/viewer/272729/?offset=#page=1&amp;viewer=picture&amp;o=info&amp;n=0&amp;q=</v>
      </c>
      <c r="P189">
        <v>1790475</v>
      </c>
      <c r="Q189" t="s">
        <v>225</v>
      </c>
      <c r="R189" t="s">
        <v>2162</v>
      </c>
      <c r="S189" t="s">
        <v>1312</v>
      </c>
      <c r="T189" t="s">
        <v>1192</v>
      </c>
      <c r="U189" t="s">
        <v>599</v>
      </c>
      <c r="V189" t="s">
        <v>2163</v>
      </c>
      <c r="W189" t="s">
        <v>2164</v>
      </c>
      <c r="X189" t="s">
        <v>599</v>
      </c>
      <c r="Y189" t="s">
        <v>1182</v>
      </c>
      <c r="Z189" t="s">
        <v>1437</v>
      </c>
      <c r="AA189">
        <v>1793</v>
      </c>
      <c r="AB189">
        <v>1793</v>
      </c>
      <c r="AC189" t="s">
        <v>1454</v>
      </c>
      <c r="AD189" t="s">
        <v>599</v>
      </c>
      <c r="AE189" t="s">
        <v>599</v>
      </c>
      <c r="AF189" t="s">
        <v>599</v>
      </c>
      <c r="AG189" t="s">
        <v>2165</v>
      </c>
      <c r="AH189" t="s">
        <v>599</v>
      </c>
      <c r="AI189" t="s">
        <v>599</v>
      </c>
      <c r="AJ189" t="s">
        <v>2166</v>
      </c>
      <c r="AK189" t="s">
        <v>1188</v>
      </c>
      <c r="AL189" t="s">
        <v>2167</v>
      </c>
      <c r="AM189" t="s">
        <v>1190</v>
      </c>
      <c r="AN189" t="s">
        <v>599</v>
      </c>
      <c r="AO189" t="s">
        <v>599</v>
      </c>
      <c r="AP189" t="s">
        <v>599</v>
      </c>
      <c r="AQ189" t="s">
        <v>599</v>
      </c>
      <c r="AR189" t="s">
        <v>599</v>
      </c>
      <c r="AS189" t="s">
        <v>599</v>
      </c>
      <c r="AT189" t="s">
        <v>599</v>
      </c>
    </row>
    <row r="190" spans="1:46" s="13" customFormat="1" ht="105" x14ac:dyDescent="0.25">
      <c r="A190" s="9">
        <v>10355</v>
      </c>
      <c r="B190" s="10">
        <v>1888900</v>
      </c>
      <c r="C190" s="10">
        <v>1</v>
      </c>
      <c r="D190" s="9">
        <v>1</v>
      </c>
      <c r="E190" s="11" t="s">
        <v>226</v>
      </c>
      <c r="F190" s="12" t="s">
        <v>227</v>
      </c>
      <c r="G190" s="9" t="s">
        <v>228</v>
      </c>
      <c r="H190" s="34"/>
      <c r="I190" s="55" t="str">
        <f t="shared" si="5"/>
        <v>https://permalinkbnd.bnportugal.gov.pt/viewer/272786/?offset=#page=1&amp;viewer=picture&amp;o=info&amp;n=0&amp;q=</v>
      </c>
      <c r="J190" s="45"/>
      <c r="K190" s="45"/>
      <c r="L190" s="45"/>
      <c r="M190" t="s">
        <v>226</v>
      </c>
      <c r="N190">
        <v>272786</v>
      </c>
      <c r="O190" t="str">
        <f t="shared" si="4"/>
        <v>https://permalinkbnd.bnportugal.gov.pt/viewer/272786/?offset=#page=1&amp;viewer=picture&amp;o=info&amp;n=0&amp;q=</v>
      </c>
      <c r="P190">
        <v>1888900</v>
      </c>
      <c r="Q190" t="s">
        <v>226</v>
      </c>
      <c r="R190" t="s">
        <v>2168</v>
      </c>
      <c r="S190" t="s">
        <v>1178</v>
      </c>
      <c r="T190" t="s">
        <v>1192</v>
      </c>
      <c r="U190" t="s">
        <v>599</v>
      </c>
      <c r="V190" t="s">
        <v>1193</v>
      </c>
      <c r="W190" t="s">
        <v>599</v>
      </c>
      <c r="X190" t="s">
        <v>599</v>
      </c>
      <c r="Y190" t="s">
        <v>1182</v>
      </c>
      <c r="Z190" t="s">
        <v>2169</v>
      </c>
      <c r="AA190">
        <v>1958</v>
      </c>
      <c r="AB190">
        <v>1958</v>
      </c>
      <c r="AC190" t="s">
        <v>2170</v>
      </c>
      <c r="AD190" t="s">
        <v>1185</v>
      </c>
      <c r="AE190" t="s">
        <v>599</v>
      </c>
      <c r="AF190" t="s">
        <v>599</v>
      </c>
      <c r="AG190" t="s">
        <v>2171</v>
      </c>
      <c r="AH190" t="s">
        <v>599</v>
      </c>
      <c r="AI190" t="s">
        <v>599</v>
      </c>
      <c r="AJ190" t="s">
        <v>2172</v>
      </c>
      <c r="AK190" t="s">
        <v>1188</v>
      </c>
      <c r="AL190" t="s">
        <v>2173</v>
      </c>
      <c r="AM190" t="s">
        <v>1190</v>
      </c>
      <c r="AN190" t="s">
        <v>599</v>
      </c>
      <c r="AO190" t="s">
        <v>599</v>
      </c>
      <c r="AP190" t="s">
        <v>599</v>
      </c>
      <c r="AQ190" t="s">
        <v>599</v>
      </c>
      <c r="AR190" t="s">
        <v>599</v>
      </c>
      <c r="AS190" t="s">
        <v>599</v>
      </c>
      <c r="AT190" t="s">
        <v>599</v>
      </c>
    </row>
    <row r="191" spans="1:46" s="13" customFormat="1" ht="105" x14ac:dyDescent="0.25">
      <c r="A191" s="9">
        <v>10356</v>
      </c>
      <c r="B191" s="10">
        <v>1888900</v>
      </c>
      <c r="C191" s="10">
        <v>1</v>
      </c>
      <c r="D191" s="9">
        <v>8</v>
      </c>
      <c r="E191" s="11" t="s">
        <v>226</v>
      </c>
      <c r="F191" s="12" t="s">
        <v>227</v>
      </c>
      <c r="G191" s="9" t="s">
        <v>228</v>
      </c>
      <c r="H191" s="34"/>
      <c r="I191" s="55" t="str">
        <f t="shared" si="5"/>
        <v>https://permalinkbnd.bnportugal.gov.pt/viewer/272786/?offset=#page=8&amp;viewer=picture&amp;o=info&amp;n=0&amp;q=</v>
      </c>
      <c r="J191" s="45"/>
      <c r="K191" s="45"/>
      <c r="L191" s="45"/>
      <c r="M191" t="s">
        <v>226</v>
      </c>
      <c r="N191">
        <v>272786</v>
      </c>
      <c r="O191" t="str">
        <f t="shared" si="4"/>
        <v>https://permalinkbnd.bnportugal.gov.pt/viewer/272786/?offset=#page=8&amp;viewer=picture&amp;o=info&amp;n=0&amp;q=</v>
      </c>
      <c r="P191">
        <v>1888900</v>
      </c>
      <c r="Q191" t="s">
        <v>226</v>
      </c>
      <c r="R191" t="s">
        <v>2168</v>
      </c>
      <c r="S191" t="s">
        <v>1178</v>
      </c>
      <c r="T191" t="s">
        <v>1192</v>
      </c>
      <c r="U191" t="s">
        <v>599</v>
      </c>
      <c r="V191" t="s">
        <v>1193</v>
      </c>
      <c r="W191" t="s">
        <v>599</v>
      </c>
      <c r="X191" t="s">
        <v>599</v>
      </c>
      <c r="Y191" t="s">
        <v>1182</v>
      </c>
      <c r="Z191" t="s">
        <v>2169</v>
      </c>
      <c r="AA191">
        <v>1958</v>
      </c>
      <c r="AB191">
        <v>1958</v>
      </c>
      <c r="AC191" t="s">
        <v>2170</v>
      </c>
      <c r="AD191" t="s">
        <v>1185</v>
      </c>
      <c r="AE191" t="s">
        <v>599</v>
      </c>
      <c r="AF191" t="s">
        <v>599</v>
      </c>
      <c r="AG191" t="s">
        <v>2171</v>
      </c>
      <c r="AH191" t="s">
        <v>599</v>
      </c>
      <c r="AI191" t="s">
        <v>599</v>
      </c>
      <c r="AJ191" t="s">
        <v>2172</v>
      </c>
      <c r="AK191" t="s">
        <v>1188</v>
      </c>
      <c r="AL191" t="s">
        <v>2173</v>
      </c>
      <c r="AM191" t="s">
        <v>1190</v>
      </c>
      <c r="AN191" t="s">
        <v>599</v>
      </c>
      <c r="AO191" t="s">
        <v>599</v>
      </c>
      <c r="AP191" t="s">
        <v>599</v>
      </c>
      <c r="AQ191" t="s">
        <v>599</v>
      </c>
      <c r="AR191" t="s">
        <v>599</v>
      </c>
      <c r="AS191" t="s">
        <v>599</v>
      </c>
      <c r="AT191" t="s">
        <v>599</v>
      </c>
    </row>
    <row r="192" spans="1:46" s="13" customFormat="1" ht="105" x14ac:dyDescent="0.25">
      <c r="A192" s="9">
        <v>10357</v>
      </c>
      <c r="B192" s="10">
        <v>1888900</v>
      </c>
      <c r="C192" s="10">
        <v>1</v>
      </c>
      <c r="D192" s="9">
        <v>10</v>
      </c>
      <c r="E192" s="11" t="s">
        <v>226</v>
      </c>
      <c r="F192" s="12" t="s">
        <v>227</v>
      </c>
      <c r="G192" s="9" t="s">
        <v>228</v>
      </c>
      <c r="H192" s="34"/>
      <c r="I192" s="55" t="str">
        <f t="shared" si="5"/>
        <v>https://permalinkbnd.bnportugal.gov.pt/viewer/272786/?offset=#page=10&amp;viewer=picture&amp;o=info&amp;n=0&amp;q=</v>
      </c>
      <c r="J192" s="45"/>
      <c r="K192" s="45"/>
      <c r="L192" s="45"/>
      <c r="M192" t="s">
        <v>226</v>
      </c>
      <c r="N192">
        <v>272786</v>
      </c>
      <c r="O192" t="str">
        <f t="shared" si="4"/>
        <v>https://permalinkbnd.bnportugal.gov.pt/viewer/272786/?offset=#page=10&amp;viewer=picture&amp;o=info&amp;n=0&amp;q=</v>
      </c>
      <c r="P192">
        <v>1888900</v>
      </c>
      <c r="Q192" t="s">
        <v>226</v>
      </c>
      <c r="R192" t="s">
        <v>2168</v>
      </c>
      <c r="S192" t="s">
        <v>1178</v>
      </c>
      <c r="T192" t="s">
        <v>1192</v>
      </c>
      <c r="U192" t="s">
        <v>599</v>
      </c>
      <c r="V192" t="s">
        <v>1193</v>
      </c>
      <c r="W192" t="s">
        <v>599</v>
      </c>
      <c r="X192" t="s">
        <v>599</v>
      </c>
      <c r="Y192" t="s">
        <v>1182</v>
      </c>
      <c r="Z192" t="s">
        <v>2169</v>
      </c>
      <c r="AA192">
        <v>1958</v>
      </c>
      <c r="AB192">
        <v>1958</v>
      </c>
      <c r="AC192" t="s">
        <v>2170</v>
      </c>
      <c r="AD192" t="s">
        <v>1185</v>
      </c>
      <c r="AE192" t="s">
        <v>599</v>
      </c>
      <c r="AF192" t="s">
        <v>599</v>
      </c>
      <c r="AG192" t="s">
        <v>2171</v>
      </c>
      <c r="AH192" t="s">
        <v>599</v>
      </c>
      <c r="AI192" t="s">
        <v>599</v>
      </c>
      <c r="AJ192" t="s">
        <v>2172</v>
      </c>
      <c r="AK192" t="s">
        <v>1188</v>
      </c>
      <c r="AL192" t="s">
        <v>2173</v>
      </c>
      <c r="AM192" t="s">
        <v>1190</v>
      </c>
      <c r="AN192" t="s">
        <v>599</v>
      </c>
      <c r="AO192" t="s">
        <v>599</v>
      </c>
      <c r="AP192" t="s">
        <v>599</v>
      </c>
      <c r="AQ192" t="s">
        <v>599</v>
      </c>
      <c r="AR192" t="s">
        <v>599</v>
      </c>
      <c r="AS192" t="s">
        <v>599</v>
      </c>
      <c r="AT192" t="s">
        <v>599</v>
      </c>
    </row>
    <row r="193" spans="1:46" s="13" customFormat="1" ht="105" x14ac:dyDescent="0.25">
      <c r="A193" s="9">
        <v>10358</v>
      </c>
      <c r="B193" s="10">
        <v>1888900</v>
      </c>
      <c r="C193" s="10">
        <v>1</v>
      </c>
      <c r="D193" s="9">
        <v>12</v>
      </c>
      <c r="E193" s="11" t="s">
        <v>226</v>
      </c>
      <c r="F193" s="12" t="s">
        <v>227</v>
      </c>
      <c r="G193" s="9" t="s">
        <v>228</v>
      </c>
      <c r="H193" s="34"/>
      <c r="I193" s="55" t="str">
        <f t="shared" si="5"/>
        <v>https://permalinkbnd.bnportugal.gov.pt/viewer/272786/?offset=#page=12&amp;viewer=picture&amp;o=info&amp;n=0&amp;q=</v>
      </c>
      <c r="J193" s="45"/>
      <c r="K193" s="45"/>
      <c r="L193" s="45"/>
      <c r="M193" t="s">
        <v>226</v>
      </c>
      <c r="N193">
        <v>272786</v>
      </c>
      <c r="O193" t="str">
        <f t="shared" si="4"/>
        <v>https://permalinkbnd.bnportugal.gov.pt/viewer/272786/?offset=#page=12&amp;viewer=picture&amp;o=info&amp;n=0&amp;q=</v>
      </c>
      <c r="P193">
        <v>1888900</v>
      </c>
      <c r="Q193" t="s">
        <v>226</v>
      </c>
      <c r="R193" t="s">
        <v>2168</v>
      </c>
      <c r="S193" t="s">
        <v>1178</v>
      </c>
      <c r="T193" t="s">
        <v>1192</v>
      </c>
      <c r="U193" t="s">
        <v>599</v>
      </c>
      <c r="V193" t="s">
        <v>1193</v>
      </c>
      <c r="W193" t="s">
        <v>599</v>
      </c>
      <c r="X193" t="s">
        <v>599</v>
      </c>
      <c r="Y193" t="s">
        <v>1182</v>
      </c>
      <c r="Z193" t="s">
        <v>2169</v>
      </c>
      <c r="AA193">
        <v>1958</v>
      </c>
      <c r="AB193">
        <v>1958</v>
      </c>
      <c r="AC193" t="s">
        <v>2170</v>
      </c>
      <c r="AD193" t="s">
        <v>1185</v>
      </c>
      <c r="AE193" t="s">
        <v>599</v>
      </c>
      <c r="AF193" t="s">
        <v>599</v>
      </c>
      <c r="AG193" t="s">
        <v>2171</v>
      </c>
      <c r="AH193" t="s">
        <v>599</v>
      </c>
      <c r="AI193" t="s">
        <v>599</v>
      </c>
      <c r="AJ193" t="s">
        <v>2172</v>
      </c>
      <c r="AK193" t="s">
        <v>1188</v>
      </c>
      <c r="AL193" t="s">
        <v>2173</v>
      </c>
      <c r="AM193" t="s">
        <v>1190</v>
      </c>
      <c r="AN193" t="s">
        <v>599</v>
      </c>
      <c r="AO193" t="s">
        <v>599</v>
      </c>
      <c r="AP193" t="s">
        <v>599</v>
      </c>
      <c r="AQ193" t="s">
        <v>599</v>
      </c>
      <c r="AR193" t="s">
        <v>599</v>
      </c>
      <c r="AS193" t="s">
        <v>599</v>
      </c>
      <c r="AT193" t="s">
        <v>599</v>
      </c>
    </row>
    <row r="194" spans="1:46" s="13" customFormat="1" ht="105" x14ac:dyDescent="0.25">
      <c r="A194" s="9">
        <v>10359</v>
      </c>
      <c r="B194" s="10">
        <v>1888900</v>
      </c>
      <c r="C194" s="10">
        <v>1</v>
      </c>
      <c r="D194" s="9">
        <v>52</v>
      </c>
      <c r="E194" s="11" t="s">
        <v>226</v>
      </c>
      <c r="F194" s="12" t="s">
        <v>227</v>
      </c>
      <c r="G194" s="9" t="s">
        <v>228</v>
      </c>
      <c r="H194" s="34"/>
      <c r="I194" s="55" t="str">
        <f t="shared" si="5"/>
        <v>https://permalinkbnd.bnportugal.gov.pt/viewer/272786/?offset=#page=52&amp;viewer=picture&amp;o=info&amp;n=0&amp;q=</v>
      </c>
      <c r="J194" s="45"/>
      <c r="K194" s="45"/>
      <c r="L194" s="45"/>
      <c r="M194" t="s">
        <v>226</v>
      </c>
      <c r="N194">
        <v>272786</v>
      </c>
      <c r="O194" t="str">
        <f t="shared" ref="O194:O257" si="6">CONCATENATE("https://permalinkbnd.bnportugal.gov.pt/viewer/",N194,"/?offset=#page=",D194,"&amp;viewer=picture&amp;o=info&amp;n=0&amp;q=")</f>
        <v>https://permalinkbnd.bnportugal.gov.pt/viewer/272786/?offset=#page=52&amp;viewer=picture&amp;o=info&amp;n=0&amp;q=</v>
      </c>
      <c r="P194">
        <v>1888900</v>
      </c>
      <c r="Q194" t="s">
        <v>226</v>
      </c>
      <c r="R194" t="s">
        <v>2168</v>
      </c>
      <c r="S194" t="s">
        <v>1178</v>
      </c>
      <c r="T194" t="s">
        <v>1192</v>
      </c>
      <c r="U194" t="s">
        <v>599</v>
      </c>
      <c r="V194" t="s">
        <v>1193</v>
      </c>
      <c r="W194" t="s">
        <v>599</v>
      </c>
      <c r="X194" t="s">
        <v>599</v>
      </c>
      <c r="Y194" t="s">
        <v>1182</v>
      </c>
      <c r="Z194" t="s">
        <v>2169</v>
      </c>
      <c r="AA194">
        <v>1958</v>
      </c>
      <c r="AB194">
        <v>1958</v>
      </c>
      <c r="AC194" t="s">
        <v>2170</v>
      </c>
      <c r="AD194" t="s">
        <v>1185</v>
      </c>
      <c r="AE194" t="s">
        <v>599</v>
      </c>
      <c r="AF194" t="s">
        <v>599</v>
      </c>
      <c r="AG194" t="s">
        <v>2171</v>
      </c>
      <c r="AH194" t="s">
        <v>599</v>
      </c>
      <c r="AI194" t="s">
        <v>599</v>
      </c>
      <c r="AJ194" t="s">
        <v>2172</v>
      </c>
      <c r="AK194" t="s">
        <v>1188</v>
      </c>
      <c r="AL194" t="s">
        <v>2173</v>
      </c>
      <c r="AM194" t="s">
        <v>1190</v>
      </c>
      <c r="AN194" t="s">
        <v>599</v>
      </c>
      <c r="AO194" t="s">
        <v>599</v>
      </c>
      <c r="AP194" t="s">
        <v>599</v>
      </c>
      <c r="AQ194" t="s">
        <v>599</v>
      </c>
      <c r="AR194" t="s">
        <v>599</v>
      </c>
      <c r="AS194" t="s">
        <v>599</v>
      </c>
      <c r="AT194" t="s">
        <v>599</v>
      </c>
    </row>
    <row r="195" spans="1:46" s="13" customFormat="1" ht="105" x14ac:dyDescent="0.25">
      <c r="A195" s="9">
        <v>10360</v>
      </c>
      <c r="B195" s="10">
        <v>1888900</v>
      </c>
      <c r="C195" s="10">
        <v>1</v>
      </c>
      <c r="D195" s="9">
        <v>53</v>
      </c>
      <c r="E195" s="11" t="s">
        <v>226</v>
      </c>
      <c r="F195" s="12" t="s">
        <v>227</v>
      </c>
      <c r="G195" s="9" t="s">
        <v>228</v>
      </c>
      <c r="H195" s="34"/>
      <c r="I195" s="55" t="str">
        <f t="shared" ref="I195:I258" si="7">HYPERLINK(O195)</f>
        <v>https://permalinkbnd.bnportugal.gov.pt/viewer/272786/?offset=#page=53&amp;viewer=picture&amp;o=info&amp;n=0&amp;q=</v>
      </c>
      <c r="J195" s="45"/>
      <c r="K195" s="45"/>
      <c r="L195" s="45"/>
      <c r="M195" t="s">
        <v>226</v>
      </c>
      <c r="N195">
        <v>272786</v>
      </c>
      <c r="O195" t="str">
        <f t="shared" si="6"/>
        <v>https://permalinkbnd.bnportugal.gov.pt/viewer/272786/?offset=#page=53&amp;viewer=picture&amp;o=info&amp;n=0&amp;q=</v>
      </c>
      <c r="P195">
        <v>1888900</v>
      </c>
      <c r="Q195" t="s">
        <v>226</v>
      </c>
      <c r="R195" t="s">
        <v>2168</v>
      </c>
      <c r="S195" t="s">
        <v>1178</v>
      </c>
      <c r="T195" t="s">
        <v>1192</v>
      </c>
      <c r="U195" t="s">
        <v>599</v>
      </c>
      <c r="V195" t="s">
        <v>1193</v>
      </c>
      <c r="W195" t="s">
        <v>599</v>
      </c>
      <c r="X195" t="s">
        <v>599</v>
      </c>
      <c r="Y195" t="s">
        <v>1182</v>
      </c>
      <c r="Z195" t="s">
        <v>2169</v>
      </c>
      <c r="AA195">
        <v>1958</v>
      </c>
      <c r="AB195">
        <v>1958</v>
      </c>
      <c r="AC195" t="s">
        <v>2170</v>
      </c>
      <c r="AD195" t="s">
        <v>1185</v>
      </c>
      <c r="AE195" t="s">
        <v>599</v>
      </c>
      <c r="AF195" t="s">
        <v>599</v>
      </c>
      <c r="AG195" t="s">
        <v>2171</v>
      </c>
      <c r="AH195" t="s">
        <v>599</v>
      </c>
      <c r="AI195" t="s">
        <v>599</v>
      </c>
      <c r="AJ195" t="s">
        <v>2172</v>
      </c>
      <c r="AK195" t="s">
        <v>1188</v>
      </c>
      <c r="AL195" t="s">
        <v>2173</v>
      </c>
      <c r="AM195" t="s">
        <v>1190</v>
      </c>
      <c r="AN195" t="s">
        <v>599</v>
      </c>
      <c r="AO195" t="s">
        <v>599</v>
      </c>
      <c r="AP195" t="s">
        <v>599</v>
      </c>
      <c r="AQ195" t="s">
        <v>599</v>
      </c>
      <c r="AR195" t="s">
        <v>599</v>
      </c>
      <c r="AS195" t="s">
        <v>599</v>
      </c>
      <c r="AT195" t="s">
        <v>599</v>
      </c>
    </row>
    <row r="196" spans="1:46" s="13" customFormat="1" ht="105" x14ac:dyDescent="0.25">
      <c r="A196" s="9">
        <v>10361</v>
      </c>
      <c r="B196" s="10">
        <v>1888900</v>
      </c>
      <c r="C196" s="10">
        <v>1</v>
      </c>
      <c r="D196" s="9">
        <v>86</v>
      </c>
      <c r="E196" s="11" t="s">
        <v>226</v>
      </c>
      <c r="F196" s="12" t="s">
        <v>227</v>
      </c>
      <c r="G196" s="9" t="s">
        <v>228</v>
      </c>
      <c r="H196" s="34"/>
      <c r="I196" s="55" t="str">
        <f t="shared" si="7"/>
        <v>https://permalinkbnd.bnportugal.gov.pt/viewer/272786/?offset=#page=86&amp;viewer=picture&amp;o=info&amp;n=0&amp;q=</v>
      </c>
      <c r="J196" s="45"/>
      <c r="K196" s="45"/>
      <c r="L196" s="45"/>
      <c r="M196" t="s">
        <v>226</v>
      </c>
      <c r="N196">
        <v>272786</v>
      </c>
      <c r="O196" t="str">
        <f t="shared" si="6"/>
        <v>https://permalinkbnd.bnportugal.gov.pt/viewer/272786/?offset=#page=86&amp;viewer=picture&amp;o=info&amp;n=0&amp;q=</v>
      </c>
      <c r="P196">
        <v>1888900</v>
      </c>
      <c r="Q196" t="s">
        <v>226</v>
      </c>
      <c r="R196" t="s">
        <v>2168</v>
      </c>
      <c r="S196" t="s">
        <v>1178</v>
      </c>
      <c r="T196" t="s">
        <v>1192</v>
      </c>
      <c r="U196" t="s">
        <v>599</v>
      </c>
      <c r="V196" t="s">
        <v>1193</v>
      </c>
      <c r="W196" t="s">
        <v>599</v>
      </c>
      <c r="X196" t="s">
        <v>599</v>
      </c>
      <c r="Y196" t="s">
        <v>1182</v>
      </c>
      <c r="Z196" t="s">
        <v>2169</v>
      </c>
      <c r="AA196">
        <v>1958</v>
      </c>
      <c r="AB196">
        <v>1958</v>
      </c>
      <c r="AC196" t="s">
        <v>2170</v>
      </c>
      <c r="AD196" t="s">
        <v>1185</v>
      </c>
      <c r="AE196" t="s">
        <v>599</v>
      </c>
      <c r="AF196" t="s">
        <v>599</v>
      </c>
      <c r="AG196" t="s">
        <v>2171</v>
      </c>
      <c r="AH196" t="s">
        <v>599</v>
      </c>
      <c r="AI196" t="s">
        <v>599</v>
      </c>
      <c r="AJ196" t="s">
        <v>2172</v>
      </c>
      <c r="AK196" t="s">
        <v>1188</v>
      </c>
      <c r="AL196" t="s">
        <v>2173</v>
      </c>
      <c r="AM196" t="s">
        <v>1190</v>
      </c>
      <c r="AN196" t="s">
        <v>599</v>
      </c>
      <c r="AO196" t="s">
        <v>599</v>
      </c>
      <c r="AP196" t="s">
        <v>599</v>
      </c>
      <c r="AQ196" t="s">
        <v>599</v>
      </c>
      <c r="AR196" t="s">
        <v>599</v>
      </c>
      <c r="AS196" t="s">
        <v>599</v>
      </c>
      <c r="AT196" t="s">
        <v>599</v>
      </c>
    </row>
    <row r="197" spans="1:46" s="13" customFormat="1" ht="105" x14ac:dyDescent="0.25">
      <c r="A197" s="9">
        <v>10362</v>
      </c>
      <c r="B197" s="10">
        <v>1888900</v>
      </c>
      <c r="C197" s="10">
        <v>1</v>
      </c>
      <c r="D197" s="9">
        <v>87</v>
      </c>
      <c r="E197" s="11" t="s">
        <v>226</v>
      </c>
      <c r="F197" s="12" t="s">
        <v>227</v>
      </c>
      <c r="G197" s="9" t="s">
        <v>228</v>
      </c>
      <c r="H197" s="34"/>
      <c r="I197" s="55" t="str">
        <f t="shared" si="7"/>
        <v>https://permalinkbnd.bnportugal.gov.pt/viewer/272786/?offset=#page=87&amp;viewer=picture&amp;o=info&amp;n=0&amp;q=</v>
      </c>
      <c r="J197" s="45"/>
      <c r="K197" s="45"/>
      <c r="L197" s="45"/>
      <c r="M197" t="s">
        <v>226</v>
      </c>
      <c r="N197">
        <v>272786</v>
      </c>
      <c r="O197" t="str">
        <f t="shared" si="6"/>
        <v>https://permalinkbnd.bnportugal.gov.pt/viewer/272786/?offset=#page=87&amp;viewer=picture&amp;o=info&amp;n=0&amp;q=</v>
      </c>
      <c r="P197">
        <v>1888900</v>
      </c>
      <c r="Q197" t="s">
        <v>226</v>
      </c>
      <c r="R197" t="s">
        <v>2168</v>
      </c>
      <c r="S197" t="s">
        <v>1178</v>
      </c>
      <c r="T197" t="s">
        <v>1192</v>
      </c>
      <c r="U197" t="s">
        <v>599</v>
      </c>
      <c r="V197" t="s">
        <v>1193</v>
      </c>
      <c r="W197" t="s">
        <v>599</v>
      </c>
      <c r="X197" t="s">
        <v>599</v>
      </c>
      <c r="Y197" t="s">
        <v>1182</v>
      </c>
      <c r="Z197" t="s">
        <v>2169</v>
      </c>
      <c r="AA197">
        <v>1958</v>
      </c>
      <c r="AB197">
        <v>1958</v>
      </c>
      <c r="AC197" t="s">
        <v>2170</v>
      </c>
      <c r="AD197" t="s">
        <v>1185</v>
      </c>
      <c r="AE197" t="s">
        <v>599</v>
      </c>
      <c r="AF197" t="s">
        <v>599</v>
      </c>
      <c r="AG197" t="s">
        <v>2171</v>
      </c>
      <c r="AH197" t="s">
        <v>599</v>
      </c>
      <c r="AI197" t="s">
        <v>599</v>
      </c>
      <c r="AJ197" t="s">
        <v>2172</v>
      </c>
      <c r="AK197" t="s">
        <v>1188</v>
      </c>
      <c r="AL197" t="s">
        <v>2173</v>
      </c>
      <c r="AM197" t="s">
        <v>1190</v>
      </c>
      <c r="AN197" t="s">
        <v>599</v>
      </c>
      <c r="AO197" t="s">
        <v>599</v>
      </c>
      <c r="AP197" t="s">
        <v>599</v>
      </c>
      <c r="AQ197" t="s">
        <v>599</v>
      </c>
      <c r="AR197" t="s">
        <v>599</v>
      </c>
      <c r="AS197" t="s">
        <v>599</v>
      </c>
      <c r="AT197" t="s">
        <v>599</v>
      </c>
    </row>
    <row r="198" spans="1:46" s="13" customFormat="1" ht="105" x14ac:dyDescent="0.25">
      <c r="A198" s="9">
        <v>10363</v>
      </c>
      <c r="B198" s="10">
        <v>1888900</v>
      </c>
      <c r="C198" s="10">
        <v>1</v>
      </c>
      <c r="D198" s="9">
        <v>88</v>
      </c>
      <c r="E198" s="11" t="s">
        <v>226</v>
      </c>
      <c r="F198" s="12" t="s">
        <v>227</v>
      </c>
      <c r="G198" s="9" t="s">
        <v>228</v>
      </c>
      <c r="H198" s="34"/>
      <c r="I198" s="55" t="str">
        <f t="shared" si="7"/>
        <v>https://permalinkbnd.bnportugal.gov.pt/viewer/272786/?offset=#page=88&amp;viewer=picture&amp;o=info&amp;n=0&amp;q=</v>
      </c>
      <c r="J198" s="45"/>
      <c r="K198" s="45"/>
      <c r="L198" s="45"/>
      <c r="M198" t="s">
        <v>226</v>
      </c>
      <c r="N198">
        <v>272786</v>
      </c>
      <c r="O198" t="str">
        <f t="shared" si="6"/>
        <v>https://permalinkbnd.bnportugal.gov.pt/viewer/272786/?offset=#page=88&amp;viewer=picture&amp;o=info&amp;n=0&amp;q=</v>
      </c>
      <c r="P198">
        <v>1888900</v>
      </c>
      <c r="Q198" t="s">
        <v>226</v>
      </c>
      <c r="R198" t="s">
        <v>2168</v>
      </c>
      <c r="S198" t="s">
        <v>1178</v>
      </c>
      <c r="T198" t="s">
        <v>1192</v>
      </c>
      <c r="U198" t="s">
        <v>599</v>
      </c>
      <c r="V198" t="s">
        <v>1193</v>
      </c>
      <c r="W198" t="s">
        <v>599</v>
      </c>
      <c r="X198" t="s">
        <v>599</v>
      </c>
      <c r="Y198" t="s">
        <v>1182</v>
      </c>
      <c r="Z198" t="s">
        <v>2169</v>
      </c>
      <c r="AA198">
        <v>1958</v>
      </c>
      <c r="AB198">
        <v>1958</v>
      </c>
      <c r="AC198" t="s">
        <v>2170</v>
      </c>
      <c r="AD198" t="s">
        <v>1185</v>
      </c>
      <c r="AE198" t="s">
        <v>599</v>
      </c>
      <c r="AF198" t="s">
        <v>599</v>
      </c>
      <c r="AG198" t="s">
        <v>2171</v>
      </c>
      <c r="AH198" t="s">
        <v>599</v>
      </c>
      <c r="AI198" t="s">
        <v>599</v>
      </c>
      <c r="AJ198" t="s">
        <v>2172</v>
      </c>
      <c r="AK198" t="s">
        <v>1188</v>
      </c>
      <c r="AL198" t="s">
        <v>2173</v>
      </c>
      <c r="AM198" t="s">
        <v>1190</v>
      </c>
      <c r="AN198" t="s">
        <v>599</v>
      </c>
      <c r="AO198" t="s">
        <v>599</v>
      </c>
      <c r="AP198" t="s">
        <v>599</v>
      </c>
      <c r="AQ198" t="s">
        <v>599</v>
      </c>
      <c r="AR198" t="s">
        <v>599</v>
      </c>
      <c r="AS198" t="s">
        <v>599</v>
      </c>
      <c r="AT198" t="s">
        <v>599</v>
      </c>
    </row>
    <row r="199" spans="1:46" s="13" customFormat="1" ht="105" x14ac:dyDescent="0.25">
      <c r="A199" s="9">
        <v>10364</v>
      </c>
      <c r="B199" s="10">
        <v>1888900</v>
      </c>
      <c r="C199" s="10">
        <v>1</v>
      </c>
      <c r="D199" s="9">
        <v>166</v>
      </c>
      <c r="E199" s="11" t="s">
        <v>226</v>
      </c>
      <c r="F199" s="12" t="s">
        <v>227</v>
      </c>
      <c r="G199" s="9" t="s">
        <v>228</v>
      </c>
      <c r="H199" s="34"/>
      <c r="I199" s="55" t="str">
        <f t="shared" si="7"/>
        <v>https://permalinkbnd.bnportugal.gov.pt/viewer/272786/?offset=#page=166&amp;viewer=picture&amp;o=info&amp;n=0&amp;q=</v>
      </c>
      <c r="J199" s="45"/>
      <c r="K199" s="45"/>
      <c r="L199" s="45"/>
      <c r="M199" t="s">
        <v>226</v>
      </c>
      <c r="N199">
        <v>272786</v>
      </c>
      <c r="O199" t="str">
        <f t="shared" si="6"/>
        <v>https://permalinkbnd.bnportugal.gov.pt/viewer/272786/?offset=#page=166&amp;viewer=picture&amp;o=info&amp;n=0&amp;q=</v>
      </c>
      <c r="P199">
        <v>1888900</v>
      </c>
      <c r="Q199" t="s">
        <v>226</v>
      </c>
      <c r="R199" t="s">
        <v>599</v>
      </c>
      <c r="S199" t="s">
        <v>1178</v>
      </c>
      <c r="T199" t="s">
        <v>1192</v>
      </c>
      <c r="U199" t="s">
        <v>599</v>
      </c>
      <c r="V199" t="s">
        <v>1193</v>
      </c>
      <c r="W199" t="s">
        <v>599</v>
      </c>
      <c r="X199" t="s">
        <v>599</v>
      </c>
      <c r="Y199" t="s">
        <v>1182</v>
      </c>
      <c r="Z199" t="s">
        <v>2169</v>
      </c>
      <c r="AA199">
        <v>1958</v>
      </c>
      <c r="AB199">
        <v>1958</v>
      </c>
      <c r="AC199" t="s">
        <v>2170</v>
      </c>
      <c r="AD199" t="s">
        <v>1185</v>
      </c>
      <c r="AE199" t="s">
        <v>599</v>
      </c>
      <c r="AF199" t="s">
        <v>599</v>
      </c>
      <c r="AG199" t="s">
        <v>2171</v>
      </c>
      <c r="AH199" t="s">
        <v>599</v>
      </c>
      <c r="AI199" t="s">
        <v>599</v>
      </c>
      <c r="AJ199" t="s">
        <v>2172</v>
      </c>
      <c r="AK199" t="s">
        <v>1188</v>
      </c>
      <c r="AL199" t="s">
        <v>2173</v>
      </c>
      <c r="AM199" t="s">
        <v>1190</v>
      </c>
      <c r="AN199" t="s">
        <v>599</v>
      </c>
      <c r="AO199" t="s">
        <v>599</v>
      </c>
      <c r="AP199" t="s">
        <v>599</v>
      </c>
      <c r="AQ199" t="s">
        <v>599</v>
      </c>
      <c r="AR199" t="s">
        <v>599</v>
      </c>
      <c r="AS199" t="s">
        <v>599</v>
      </c>
      <c r="AT199" t="s">
        <v>599</v>
      </c>
    </row>
    <row r="200" spans="1:46" s="13" customFormat="1" ht="105" x14ac:dyDescent="0.25">
      <c r="A200" s="9">
        <v>10365</v>
      </c>
      <c r="B200" s="10">
        <v>1888900</v>
      </c>
      <c r="C200" s="10">
        <v>1</v>
      </c>
      <c r="D200" s="9">
        <v>167</v>
      </c>
      <c r="E200" s="11" t="s">
        <v>226</v>
      </c>
      <c r="F200" s="12" t="s">
        <v>227</v>
      </c>
      <c r="G200" s="9" t="s">
        <v>228</v>
      </c>
      <c r="H200" s="34"/>
      <c r="I200" s="55" t="str">
        <f t="shared" si="7"/>
        <v>https://permalinkbnd.bnportugal.gov.pt/viewer/272786/?offset=#page=167&amp;viewer=picture&amp;o=info&amp;n=0&amp;q=</v>
      </c>
      <c r="J200" s="45"/>
      <c r="K200" s="45"/>
      <c r="L200" s="45"/>
      <c r="M200" t="s">
        <v>226</v>
      </c>
      <c r="N200">
        <v>272786</v>
      </c>
      <c r="O200" t="str">
        <f t="shared" si="6"/>
        <v>https://permalinkbnd.bnportugal.gov.pt/viewer/272786/?offset=#page=167&amp;viewer=picture&amp;o=info&amp;n=0&amp;q=</v>
      </c>
      <c r="P200">
        <v>1888900</v>
      </c>
      <c r="Q200" t="s">
        <v>226</v>
      </c>
      <c r="R200" t="s">
        <v>599</v>
      </c>
      <c r="S200" t="s">
        <v>1178</v>
      </c>
      <c r="T200" t="s">
        <v>1192</v>
      </c>
      <c r="U200" t="s">
        <v>599</v>
      </c>
      <c r="V200" t="s">
        <v>1193</v>
      </c>
      <c r="W200" t="s">
        <v>599</v>
      </c>
      <c r="X200" t="s">
        <v>599</v>
      </c>
      <c r="Y200" t="s">
        <v>1182</v>
      </c>
      <c r="Z200" t="s">
        <v>2169</v>
      </c>
      <c r="AA200">
        <v>1958</v>
      </c>
      <c r="AB200">
        <v>1958</v>
      </c>
      <c r="AC200" t="s">
        <v>2170</v>
      </c>
      <c r="AD200" t="s">
        <v>1185</v>
      </c>
      <c r="AE200" t="s">
        <v>599</v>
      </c>
      <c r="AF200" t="s">
        <v>599</v>
      </c>
      <c r="AG200" t="s">
        <v>2171</v>
      </c>
      <c r="AH200" t="s">
        <v>599</v>
      </c>
      <c r="AI200" t="s">
        <v>599</v>
      </c>
      <c r="AJ200" t="s">
        <v>2172</v>
      </c>
      <c r="AK200" t="s">
        <v>1188</v>
      </c>
      <c r="AL200" t="s">
        <v>2173</v>
      </c>
      <c r="AM200" t="s">
        <v>1190</v>
      </c>
      <c r="AN200" t="s">
        <v>599</v>
      </c>
      <c r="AO200" t="s">
        <v>599</v>
      </c>
      <c r="AP200" t="s">
        <v>599</v>
      </c>
      <c r="AQ200" t="s">
        <v>599</v>
      </c>
      <c r="AR200" t="s">
        <v>599</v>
      </c>
      <c r="AS200" t="s">
        <v>599</v>
      </c>
      <c r="AT200" t="s">
        <v>599</v>
      </c>
    </row>
    <row r="201" spans="1:46" s="13" customFormat="1" ht="105" x14ac:dyDescent="0.25">
      <c r="A201" s="9">
        <v>10366</v>
      </c>
      <c r="B201" s="10">
        <v>1888900</v>
      </c>
      <c r="C201" s="10">
        <v>1</v>
      </c>
      <c r="D201" s="9">
        <v>168</v>
      </c>
      <c r="E201" s="11" t="s">
        <v>226</v>
      </c>
      <c r="F201" s="12" t="s">
        <v>227</v>
      </c>
      <c r="G201" s="9" t="s">
        <v>228</v>
      </c>
      <c r="H201" s="34"/>
      <c r="I201" s="55" t="str">
        <f t="shared" si="7"/>
        <v>https://permalinkbnd.bnportugal.gov.pt/viewer/272786/?offset=#page=168&amp;viewer=picture&amp;o=info&amp;n=0&amp;q=</v>
      </c>
      <c r="J201" s="45"/>
      <c r="K201" s="45"/>
      <c r="L201" s="45"/>
      <c r="M201" t="s">
        <v>226</v>
      </c>
      <c r="N201">
        <v>272786</v>
      </c>
      <c r="O201" t="str">
        <f t="shared" si="6"/>
        <v>https://permalinkbnd.bnportugal.gov.pt/viewer/272786/?offset=#page=168&amp;viewer=picture&amp;o=info&amp;n=0&amp;q=</v>
      </c>
      <c r="P201">
        <v>1888900</v>
      </c>
      <c r="Q201" t="s">
        <v>226</v>
      </c>
      <c r="R201" t="s">
        <v>599</v>
      </c>
      <c r="S201" t="s">
        <v>1178</v>
      </c>
      <c r="T201" t="s">
        <v>1192</v>
      </c>
      <c r="U201" t="s">
        <v>599</v>
      </c>
      <c r="V201" t="s">
        <v>1193</v>
      </c>
      <c r="W201" t="s">
        <v>599</v>
      </c>
      <c r="X201" t="s">
        <v>599</v>
      </c>
      <c r="Y201" t="s">
        <v>1182</v>
      </c>
      <c r="Z201" t="s">
        <v>2169</v>
      </c>
      <c r="AA201">
        <v>1958</v>
      </c>
      <c r="AB201">
        <v>1958</v>
      </c>
      <c r="AC201" t="s">
        <v>2170</v>
      </c>
      <c r="AD201" t="s">
        <v>1185</v>
      </c>
      <c r="AE201" t="s">
        <v>599</v>
      </c>
      <c r="AF201" t="s">
        <v>599</v>
      </c>
      <c r="AG201" t="s">
        <v>2171</v>
      </c>
      <c r="AH201" t="s">
        <v>599</v>
      </c>
      <c r="AI201" t="s">
        <v>599</v>
      </c>
      <c r="AJ201" t="s">
        <v>2172</v>
      </c>
      <c r="AK201" t="s">
        <v>1188</v>
      </c>
      <c r="AL201" t="s">
        <v>2173</v>
      </c>
      <c r="AM201" t="s">
        <v>1190</v>
      </c>
      <c r="AN201" t="s">
        <v>599</v>
      </c>
      <c r="AO201" t="s">
        <v>599</v>
      </c>
      <c r="AP201" t="s">
        <v>599</v>
      </c>
      <c r="AQ201" t="s">
        <v>599</v>
      </c>
      <c r="AR201" t="s">
        <v>599</v>
      </c>
      <c r="AS201" t="s">
        <v>599</v>
      </c>
      <c r="AT201" t="s">
        <v>599</v>
      </c>
    </row>
    <row r="202" spans="1:46" s="13" customFormat="1" ht="105" x14ac:dyDescent="0.25">
      <c r="A202" s="9">
        <v>10367</v>
      </c>
      <c r="B202" s="10">
        <v>1888900</v>
      </c>
      <c r="C202" s="10">
        <v>1</v>
      </c>
      <c r="D202" s="9">
        <v>241</v>
      </c>
      <c r="E202" s="11" t="s">
        <v>226</v>
      </c>
      <c r="F202" s="12" t="s">
        <v>227</v>
      </c>
      <c r="G202" s="9" t="s">
        <v>228</v>
      </c>
      <c r="H202" s="34"/>
      <c r="I202" s="55" t="str">
        <f t="shared" si="7"/>
        <v>https://permalinkbnd.bnportugal.gov.pt/viewer/272786/?offset=#page=241&amp;viewer=picture&amp;o=info&amp;n=0&amp;q=</v>
      </c>
      <c r="J202" s="45"/>
      <c r="K202" s="45"/>
      <c r="L202" s="45"/>
      <c r="M202" t="s">
        <v>226</v>
      </c>
      <c r="N202">
        <v>272786</v>
      </c>
      <c r="O202" t="str">
        <f t="shared" si="6"/>
        <v>https://permalinkbnd.bnportugal.gov.pt/viewer/272786/?offset=#page=241&amp;viewer=picture&amp;o=info&amp;n=0&amp;q=</v>
      </c>
      <c r="P202">
        <v>1888900</v>
      </c>
      <c r="Q202" t="s">
        <v>226</v>
      </c>
      <c r="R202" t="s">
        <v>2168</v>
      </c>
      <c r="S202" t="s">
        <v>1178</v>
      </c>
      <c r="T202" t="s">
        <v>1192</v>
      </c>
      <c r="U202" t="s">
        <v>599</v>
      </c>
      <c r="V202" t="s">
        <v>1193</v>
      </c>
      <c r="W202" t="s">
        <v>599</v>
      </c>
      <c r="X202" t="s">
        <v>599</v>
      </c>
      <c r="Y202" t="s">
        <v>1182</v>
      </c>
      <c r="Z202" t="s">
        <v>2169</v>
      </c>
      <c r="AA202">
        <v>1958</v>
      </c>
      <c r="AB202">
        <v>1958</v>
      </c>
      <c r="AC202" t="s">
        <v>2170</v>
      </c>
      <c r="AD202" t="s">
        <v>1185</v>
      </c>
      <c r="AE202" t="s">
        <v>599</v>
      </c>
      <c r="AF202" t="s">
        <v>599</v>
      </c>
      <c r="AG202" t="s">
        <v>2171</v>
      </c>
      <c r="AH202" t="s">
        <v>599</v>
      </c>
      <c r="AI202" t="s">
        <v>599</v>
      </c>
      <c r="AJ202" t="s">
        <v>2172</v>
      </c>
      <c r="AK202" t="s">
        <v>1188</v>
      </c>
      <c r="AL202" t="s">
        <v>2173</v>
      </c>
      <c r="AM202" t="s">
        <v>1190</v>
      </c>
      <c r="AN202" t="s">
        <v>599</v>
      </c>
      <c r="AO202" t="s">
        <v>599</v>
      </c>
      <c r="AP202" t="s">
        <v>599</v>
      </c>
      <c r="AQ202" t="s">
        <v>599</v>
      </c>
      <c r="AR202" t="s">
        <v>599</v>
      </c>
      <c r="AS202" t="s">
        <v>599</v>
      </c>
      <c r="AT202" t="s">
        <v>599</v>
      </c>
    </row>
    <row r="203" spans="1:46" s="13" customFormat="1" ht="105" x14ac:dyDescent="0.25">
      <c r="A203" s="9">
        <v>10368</v>
      </c>
      <c r="B203" s="10">
        <v>1888900</v>
      </c>
      <c r="C203" s="10">
        <v>1</v>
      </c>
      <c r="D203" s="9">
        <v>329</v>
      </c>
      <c r="E203" s="11" t="s">
        <v>226</v>
      </c>
      <c r="F203" s="12" t="s">
        <v>227</v>
      </c>
      <c r="G203" s="9" t="s">
        <v>228</v>
      </c>
      <c r="H203" s="34"/>
      <c r="I203" s="55" t="str">
        <f t="shared" si="7"/>
        <v>https://permalinkbnd.bnportugal.gov.pt/viewer/272786/?offset=#page=329&amp;viewer=picture&amp;o=info&amp;n=0&amp;q=</v>
      </c>
      <c r="J203" s="45"/>
      <c r="K203" s="45"/>
      <c r="L203" s="45"/>
      <c r="M203" t="s">
        <v>226</v>
      </c>
      <c r="N203">
        <v>272786</v>
      </c>
      <c r="O203" t="str">
        <f t="shared" si="6"/>
        <v>https://permalinkbnd.bnportugal.gov.pt/viewer/272786/?offset=#page=329&amp;viewer=picture&amp;o=info&amp;n=0&amp;q=</v>
      </c>
      <c r="P203">
        <v>1888900</v>
      </c>
      <c r="Q203" t="s">
        <v>226</v>
      </c>
      <c r="R203" t="s">
        <v>599</v>
      </c>
      <c r="S203" t="s">
        <v>1178</v>
      </c>
      <c r="T203" t="s">
        <v>1192</v>
      </c>
      <c r="U203" t="s">
        <v>599</v>
      </c>
      <c r="V203" t="s">
        <v>1193</v>
      </c>
      <c r="W203" t="s">
        <v>599</v>
      </c>
      <c r="X203" t="s">
        <v>599</v>
      </c>
      <c r="Y203" t="s">
        <v>1182</v>
      </c>
      <c r="Z203" t="s">
        <v>2169</v>
      </c>
      <c r="AA203">
        <v>1958</v>
      </c>
      <c r="AB203">
        <v>1958</v>
      </c>
      <c r="AC203" t="s">
        <v>2170</v>
      </c>
      <c r="AD203" t="s">
        <v>1185</v>
      </c>
      <c r="AE203" t="s">
        <v>599</v>
      </c>
      <c r="AF203" t="s">
        <v>599</v>
      </c>
      <c r="AG203" t="s">
        <v>2171</v>
      </c>
      <c r="AH203" t="s">
        <v>599</v>
      </c>
      <c r="AI203" t="s">
        <v>599</v>
      </c>
      <c r="AJ203" t="s">
        <v>2172</v>
      </c>
      <c r="AK203" t="s">
        <v>1188</v>
      </c>
      <c r="AL203" t="s">
        <v>2173</v>
      </c>
      <c r="AM203" t="s">
        <v>1190</v>
      </c>
      <c r="AN203" t="s">
        <v>599</v>
      </c>
      <c r="AO203" t="s">
        <v>599</v>
      </c>
      <c r="AP203" t="s">
        <v>599</v>
      </c>
      <c r="AQ203" t="s">
        <v>599</v>
      </c>
      <c r="AR203" t="s">
        <v>599</v>
      </c>
      <c r="AS203" t="s">
        <v>599</v>
      </c>
      <c r="AT203" t="s">
        <v>599</v>
      </c>
    </row>
    <row r="204" spans="1:46" s="13" customFormat="1" ht="105" x14ac:dyDescent="0.25">
      <c r="A204" s="9">
        <v>10369</v>
      </c>
      <c r="B204" s="10">
        <v>1888900</v>
      </c>
      <c r="C204" s="10">
        <v>1</v>
      </c>
      <c r="D204" s="9">
        <v>330</v>
      </c>
      <c r="E204" s="11" t="s">
        <v>226</v>
      </c>
      <c r="F204" s="12" t="s">
        <v>227</v>
      </c>
      <c r="G204" s="9" t="s">
        <v>228</v>
      </c>
      <c r="H204" s="34"/>
      <c r="I204" s="55" t="str">
        <f t="shared" si="7"/>
        <v>https://permalinkbnd.bnportugal.gov.pt/viewer/272786/?offset=#page=330&amp;viewer=picture&amp;o=info&amp;n=0&amp;q=</v>
      </c>
      <c r="J204" s="45"/>
      <c r="K204" s="45"/>
      <c r="L204" s="45"/>
      <c r="M204" t="s">
        <v>226</v>
      </c>
      <c r="N204">
        <v>272786</v>
      </c>
      <c r="O204" t="str">
        <f t="shared" si="6"/>
        <v>https://permalinkbnd.bnportugal.gov.pt/viewer/272786/?offset=#page=330&amp;viewer=picture&amp;o=info&amp;n=0&amp;q=</v>
      </c>
      <c r="P204">
        <v>1888900</v>
      </c>
      <c r="Q204" t="s">
        <v>226</v>
      </c>
      <c r="R204" t="s">
        <v>2168</v>
      </c>
      <c r="S204" t="s">
        <v>1178</v>
      </c>
      <c r="T204" t="s">
        <v>1192</v>
      </c>
      <c r="U204" t="s">
        <v>599</v>
      </c>
      <c r="V204" t="s">
        <v>1193</v>
      </c>
      <c r="W204" t="s">
        <v>599</v>
      </c>
      <c r="X204" t="s">
        <v>599</v>
      </c>
      <c r="Y204" t="s">
        <v>1182</v>
      </c>
      <c r="Z204" t="s">
        <v>2169</v>
      </c>
      <c r="AA204">
        <v>1958</v>
      </c>
      <c r="AB204">
        <v>1958</v>
      </c>
      <c r="AC204" t="s">
        <v>2170</v>
      </c>
      <c r="AD204" t="s">
        <v>1185</v>
      </c>
      <c r="AE204" t="s">
        <v>599</v>
      </c>
      <c r="AF204" t="s">
        <v>599</v>
      </c>
      <c r="AG204" t="s">
        <v>2171</v>
      </c>
      <c r="AH204" t="s">
        <v>599</v>
      </c>
      <c r="AI204" t="s">
        <v>599</v>
      </c>
      <c r="AJ204" t="s">
        <v>2172</v>
      </c>
      <c r="AK204" t="s">
        <v>1188</v>
      </c>
      <c r="AL204" t="s">
        <v>2173</v>
      </c>
      <c r="AM204" t="s">
        <v>1190</v>
      </c>
      <c r="AN204" t="s">
        <v>599</v>
      </c>
      <c r="AO204" t="s">
        <v>599</v>
      </c>
      <c r="AP204" t="s">
        <v>599</v>
      </c>
      <c r="AQ204" t="s">
        <v>599</v>
      </c>
      <c r="AR204" t="s">
        <v>599</v>
      </c>
      <c r="AS204" t="s">
        <v>599</v>
      </c>
      <c r="AT204" t="s">
        <v>599</v>
      </c>
    </row>
    <row r="205" spans="1:46" s="13" customFormat="1" ht="105" x14ac:dyDescent="0.25">
      <c r="A205" s="9">
        <v>10370</v>
      </c>
      <c r="B205" s="10">
        <v>1888900</v>
      </c>
      <c r="C205" s="10">
        <v>1</v>
      </c>
      <c r="D205" s="9">
        <v>389</v>
      </c>
      <c r="E205" s="11" t="s">
        <v>226</v>
      </c>
      <c r="F205" s="12" t="s">
        <v>227</v>
      </c>
      <c r="G205" s="9" t="s">
        <v>228</v>
      </c>
      <c r="H205" s="34"/>
      <c r="I205" s="55" t="str">
        <f t="shared" si="7"/>
        <v>https://permalinkbnd.bnportugal.gov.pt/viewer/272786/?offset=#page=389&amp;viewer=picture&amp;o=info&amp;n=0&amp;q=</v>
      </c>
      <c r="J205" s="45"/>
      <c r="K205" s="45"/>
      <c r="L205" s="45"/>
      <c r="M205" t="s">
        <v>226</v>
      </c>
      <c r="N205">
        <v>272786</v>
      </c>
      <c r="O205" t="str">
        <f t="shared" si="6"/>
        <v>https://permalinkbnd.bnportugal.gov.pt/viewer/272786/?offset=#page=389&amp;viewer=picture&amp;o=info&amp;n=0&amp;q=</v>
      </c>
      <c r="P205">
        <v>1888900</v>
      </c>
      <c r="Q205" t="s">
        <v>226</v>
      </c>
      <c r="R205" t="s">
        <v>2168</v>
      </c>
      <c r="S205" t="s">
        <v>1178</v>
      </c>
      <c r="T205" t="s">
        <v>1192</v>
      </c>
      <c r="U205" t="s">
        <v>599</v>
      </c>
      <c r="V205" t="s">
        <v>1193</v>
      </c>
      <c r="W205" t="s">
        <v>599</v>
      </c>
      <c r="X205" t="s">
        <v>599</v>
      </c>
      <c r="Y205" t="s">
        <v>1182</v>
      </c>
      <c r="Z205" t="s">
        <v>2169</v>
      </c>
      <c r="AA205">
        <v>1958</v>
      </c>
      <c r="AB205">
        <v>1958</v>
      </c>
      <c r="AC205" t="s">
        <v>2170</v>
      </c>
      <c r="AD205" t="s">
        <v>1185</v>
      </c>
      <c r="AE205" t="s">
        <v>599</v>
      </c>
      <c r="AF205" t="s">
        <v>599</v>
      </c>
      <c r="AG205" t="s">
        <v>2171</v>
      </c>
      <c r="AH205" t="s">
        <v>599</v>
      </c>
      <c r="AI205" t="s">
        <v>599</v>
      </c>
      <c r="AJ205" t="s">
        <v>2172</v>
      </c>
      <c r="AK205" t="s">
        <v>1188</v>
      </c>
      <c r="AL205" t="s">
        <v>2173</v>
      </c>
      <c r="AM205" t="s">
        <v>1190</v>
      </c>
      <c r="AN205" t="s">
        <v>599</v>
      </c>
      <c r="AO205" t="s">
        <v>599</v>
      </c>
      <c r="AP205" t="s">
        <v>599</v>
      </c>
      <c r="AQ205" t="s">
        <v>599</v>
      </c>
      <c r="AR205" t="s">
        <v>599</v>
      </c>
      <c r="AS205" t="s">
        <v>599</v>
      </c>
      <c r="AT205" t="s">
        <v>599</v>
      </c>
    </row>
    <row r="206" spans="1:46" s="13" customFormat="1" ht="105" x14ac:dyDescent="0.25">
      <c r="A206" s="9">
        <v>10371</v>
      </c>
      <c r="B206" s="10">
        <v>1888900</v>
      </c>
      <c r="C206" s="10">
        <v>1</v>
      </c>
      <c r="D206" s="9">
        <v>390</v>
      </c>
      <c r="E206" s="11" t="s">
        <v>226</v>
      </c>
      <c r="F206" s="12" t="s">
        <v>227</v>
      </c>
      <c r="G206" s="9" t="s">
        <v>228</v>
      </c>
      <c r="H206" s="34"/>
      <c r="I206" s="55" t="str">
        <f t="shared" si="7"/>
        <v>https://permalinkbnd.bnportugal.gov.pt/viewer/272786/?offset=#page=390&amp;viewer=picture&amp;o=info&amp;n=0&amp;q=</v>
      </c>
      <c r="J206" s="45"/>
      <c r="K206" s="45"/>
      <c r="L206" s="45"/>
      <c r="M206" t="s">
        <v>226</v>
      </c>
      <c r="N206">
        <v>272786</v>
      </c>
      <c r="O206" t="str">
        <f t="shared" si="6"/>
        <v>https://permalinkbnd.bnportugal.gov.pt/viewer/272786/?offset=#page=390&amp;viewer=picture&amp;o=info&amp;n=0&amp;q=</v>
      </c>
      <c r="P206">
        <v>1888900</v>
      </c>
      <c r="Q206" t="s">
        <v>226</v>
      </c>
      <c r="R206" t="s">
        <v>2168</v>
      </c>
      <c r="S206" t="s">
        <v>1178</v>
      </c>
      <c r="T206" t="s">
        <v>1192</v>
      </c>
      <c r="U206" t="s">
        <v>599</v>
      </c>
      <c r="V206" t="s">
        <v>1193</v>
      </c>
      <c r="W206" t="s">
        <v>599</v>
      </c>
      <c r="X206" t="s">
        <v>599</v>
      </c>
      <c r="Y206" t="s">
        <v>1182</v>
      </c>
      <c r="Z206" t="s">
        <v>2169</v>
      </c>
      <c r="AA206">
        <v>1958</v>
      </c>
      <c r="AB206">
        <v>1958</v>
      </c>
      <c r="AC206" t="s">
        <v>2170</v>
      </c>
      <c r="AD206" t="s">
        <v>1185</v>
      </c>
      <c r="AE206" t="s">
        <v>599</v>
      </c>
      <c r="AF206" t="s">
        <v>599</v>
      </c>
      <c r="AG206" t="s">
        <v>2171</v>
      </c>
      <c r="AH206" t="s">
        <v>599</v>
      </c>
      <c r="AI206" t="s">
        <v>599</v>
      </c>
      <c r="AJ206" t="s">
        <v>2172</v>
      </c>
      <c r="AK206" t="s">
        <v>1188</v>
      </c>
      <c r="AL206" t="s">
        <v>2173</v>
      </c>
      <c r="AM206" t="s">
        <v>1190</v>
      </c>
      <c r="AN206" t="s">
        <v>599</v>
      </c>
      <c r="AO206" t="s">
        <v>599</v>
      </c>
      <c r="AP206" t="s">
        <v>599</v>
      </c>
      <c r="AQ206" t="s">
        <v>599</v>
      </c>
      <c r="AR206" t="s">
        <v>599</v>
      </c>
      <c r="AS206" t="s">
        <v>599</v>
      </c>
      <c r="AT206" t="s">
        <v>599</v>
      </c>
    </row>
    <row r="207" spans="1:46" s="13" customFormat="1" ht="105" x14ac:dyDescent="0.25">
      <c r="A207" s="9">
        <v>10372</v>
      </c>
      <c r="B207" s="10">
        <v>1888900</v>
      </c>
      <c r="C207" s="10">
        <v>1</v>
      </c>
      <c r="D207" s="9">
        <v>449</v>
      </c>
      <c r="E207" s="11" t="s">
        <v>226</v>
      </c>
      <c r="F207" s="12" t="s">
        <v>227</v>
      </c>
      <c r="G207" s="9" t="s">
        <v>228</v>
      </c>
      <c r="H207" s="34"/>
      <c r="I207" s="55" t="str">
        <f t="shared" si="7"/>
        <v>https://permalinkbnd.bnportugal.gov.pt/viewer/272786/?offset=#page=449&amp;viewer=picture&amp;o=info&amp;n=0&amp;q=</v>
      </c>
      <c r="J207" s="45"/>
      <c r="K207" s="45"/>
      <c r="L207" s="45"/>
      <c r="M207" t="s">
        <v>226</v>
      </c>
      <c r="N207">
        <v>272786</v>
      </c>
      <c r="O207" t="str">
        <f t="shared" si="6"/>
        <v>https://permalinkbnd.bnportugal.gov.pt/viewer/272786/?offset=#page=449&amp;viewer=picture&amp;o=info&amp;n=0&amp;q=</v>
      </c>
      <c r="P207">
        <v>1888900</v>
      </c>
      <c r="Q207" t="s">
        <v>226</v>
      </c>
      <c r="R207" t="s">
        <v>599</v>
      </c>
      <c r="S207" t="s">
        <v>1178</v>
      </c>
      <c r="T207" t="s">
        <v>1192</v>
      </c>
      <c r="U207" t="s">
        <v>599</v>
      </c>
      <c r="V207" t="s">
        <v>1193</v>
      </c>
      <c r="W207" t="s">
        <v>599</v>
      </c>
      <c r="X207" t="s">
        <v>599</v>
      </c>
      <c r="Y207" t="s">
        <v>1182</v>
      </c>
      <c r="Z207" t="s">
        <v>2169</v>
      </c>
      <c r="AA207">
        <v>1958</v>
      </c>
      <c r="AB207">
        <v>1958</v>
      </c>
      <c r="AC207" t="s">
        <v>2170</v>
      </c>
      <c r="AD207" t="s">
        <v>1185</v>
      </c>
      <c r="AE207" t="s">
        <v>599</v>
      </c>
      <c r="AF207" t="s">
        <v>599</v>
      </c>
      <c r="AG207" t="s">
        <v>2171</v>
      </c>
      <c r="AH207" t="s">
        <v>599</v>
      </c>
      <c r="AI207" t="s">
        <v>599</v>
      </c>
      <c r="AJ207" t="s">
        <v>2172</v>
      </c>
      <c r="AK207" t="s">
        <v>1188</v>
      </c>
      <c r="AL207" t="s">
        <v>2173</v>
      </c>
      <c r="AM207" t="s">
        <v>1190</v>
      </c>
      <c r="AN207" t="s">
        <v>599</v>
      </c>
      <c r="AO207" t="s">
        <v>599</v>
      </c>
      <c r="AP207" t="s">
        <v>599</v>
      </c>
      <c r="AQ207" t="s">
        <v>599</v>
      </c>
      <c r="AR207" t="s">
        <v>599</v>
      </c>
      <c r="AS207" t="s">
        <v>599</v>
      </c>
      <c r="AT207" t="s">
        <v>599</v>
      </c>
    </row>
    <row r="208" spans="1:46" s="13" customFormat="1" ht="105" x14ac:dyDescent="0.25">
      <c r="A208" s="9">
        <v>10373</v>
      </c>
      <c r="B208" s="10">
        <v>1888900</v>
      </c>
      <c r="C208" s="10">
        <v>1</v>
      </c>
      <c r="D208" s="9">
        <v>450</v>
      </c>
      <c r="E208" s="11" t="s">
        <v>226</v>
      </c>
      <c r="F208" s="12" t="s">
        <v>227</v>
      </c>
      <c r="G208" s="9" t="s">
        <v>228</v>
      </c>
      <c r="H208" s="34"/>
      <c r="I208" s="55" t="str">
        <f t="shared" si="7"/>
        <v>https://permalinkbnd.bnportugal.gov.pt/viewer/272786/?offset=#page=450&amp;viewer=picture&amp;o=info&amp;n=0&amp;q=</v>
      </c>
      <c r="J208" s="45"/>
      <c r="K208" s="45"/>
      <c r="L208" s="45"/>
      <c r="M208" t="s">
        <v>226</v>
      </c>
      <c r="N208">
        <v>272786</v>
      </c>
      <c r="O208" t="str">
        <f t="shared" si="6"/>
        <v>https://permalinkbnd.bnportugal.gov.pt/viewer/272786/?offset=#page=450&amp;viewer=picture&amp;o=info&amp;n=0&amp;q=</v>
      </c>
      <c r="P208">
        <v>1888900</v>
      </c>
      <c r="Q208" t="s">
        <v>226</v>
      </c>
      <c r="R208" t="s">
        <v>2168</v>
      </c>
      <c r="S208" t="s">
        <v>1178</v>
      </c>
      <c r="T208" t="s">
        <v>1192</v>
      </c>
      <c r="U208" t="s">
        <v>599</v>
      </c>
      <c r="V208" t="s">
        <v>1193</v>
      </c>
      <c r="W208" t="s">
        <v>599</v>
      </c>
      <c r="X208" t="s">
        <v>599</v>
      </c>
      <c r="Y208" t="s">
        <v>1182</v>
      </c>
      <c r="Z208" t="s">
        <v>2169</v>
      </c>
      <c r="AA208">
        <v>1958</v>
      </c>
      <c r="AB208">
        <v>1958</v>
      </c>
      <c r="AC208" t="s">
        <v>2170</v>
      </c>
      <c r="AD208" t="s">
        <v>1185</v>
      </c>
      <c r="AE208" t="s">
        <v>599</v>
      </c>
      <c r="AF208" t="s">
        <v>599</v>
      </c>
      <c r="AG208" t="s">
        <v>2171</v>
      </c>
      <c r="AH208" t="s">
        <v>599</v>
      </c>
      <c r="AI208" t="s">
        <v>599</v>
      </c>
      <c r="AJ208" t="s">
        <v>2172</v>
      </c>
      <c r="AK208" t="s">
        <v>1188</v>
      </c>
      <c r="AL208" t="s">
        <v>2173</v>
      </c>
      <c r="AM208" t="s">
        <v>1190</v>
      </c>
      <c r="AN208" t="s">
        <v>599</v>
      </c>
      <c r="AO208" t="s">
        <v>599</v>
      </c>
      <c r="AP208" t="s">
        <v>599</v>
      </c>
      <c r="AQ208" t="s">
        <v>599</v>
      </c>
      <c r="AR208" t="s">
        <v>599</v>
      </c>
      <c r="AS208" t="s">
        <v>599</v>
      </c>
      <c r="AT208" t="s">
        <v>599</v>
      </c>
    </row>
    <row r="209" spans="1:46" s="13" customFormat="1" ht="105" x14ac:dyDescent="0.25">
      <c r="A209" s="9">
        <v>10374</v>
      </c>
      <c r="B209" s="10">
        <v>1888900</v>
      </c>
      <c r="C209" s="10">
        <v>1</v>
      </c>
      <c r="D209" s="9">
        <v>505</v>
      </c>
      <c r="E209" s="11" t="s">
        <v>226</v>
      </c>
      <c r="F209" s="12" t="s">
        <v>227</v>
      </c>
      <c r="G209" s="9" t="s">
        <v>228</v>
      </c>
      <c r="H209" s="34"/>
      <c r="I209" s="55" t="str">
        <f t="shared" si="7"/>
        <v>https://permalinkbnd.bnportugal.gov.pt/viewer/272786/?offset=#page=505&amp;viewer=picture&amp;o=info&amp;n=0&amp;q=</v>
      </c>
      <c r="J209" s="45"/>
      <c r="K209" s="45"/>
      <c r="L209" s="45"/>
      <c r="M209" t="s">
        <v>226</v>
      </c>
      <c r="N209">
        <v>272786</v>
      </c>
      <c r="O209" t="str">
        <f t="shared" si="6"/>
        <v>https://permalinkbnd.bnportugal.gov.pt/viewer/272786/?offset=#page=505&amp;viewer=picture&amp;o=info&amp;n=0&amp;q=</v>
      </c>
      <c r="P209">
        <v>1888900</v>
      </c>
      <c r="Q209" t="s">
        <v>226</v>
      </c>
      <c r="R209" t="s">
        <v>599</v>
      </c>
      <c r="S209" t="s">
        <v>1178</v>
      </c>
      <c r="T209" t="s">
        <v>1192</v>
      </c>
      <c r="U209" t="s">
        <v>599</v>
      </c>
      <c r="V209" t="s">
        <v>1193</v>
      </c>
      <c r="W209" t="s">
        <v>599</v>
      </c>
      <c r="X209" t="s">
        <v>599</v>
      </c>
      <c r="Y209" t="s">
        <v>1182</v>
      </c>
      <c r="Z209" t="s">
        <v>2169</v>
      </c>
      <c r="AA209">
        <v>1958</v>
      </c>
      <c r="AB209">
        <v>1958</v>
      </c>
      <c r="AC209" t="s">
        <v>2170</v>
      </c>
      <c r="AD209" t="s">
        <v>1185</v>
      </c>
      <c r="AE209" t="s">
        <v>599</v>
      </c>
      <c r="AF209" t="s">
        <v>599</v>
      </c>
      <c r="AG209" t="s">
        <v>2171</v>
      </c>
      <c r="AH209" t="s">
        <v>599</v>
      </c>
      <c r="AI209" t="s">
        <v>599</v>
      </c>
      <c r="AJ209" t="s">
        <v>2172</v>
      </c>
      <c r="AK209" t="s">
        <v>1188</v>
      </c>
      <c r="AL209" t="s">
        <v>2173</v>
      </c>
      <c r="AM209" t="s">
        <v>1190</v>
      </c>
      <c r="AN209" t="s">
        <v>599</v>
      </c>
      <c r="AO209" t="s">
        <v>599</v>
      </c>
      <c r="AP209" t="s">
        <v>599</v>
      </c>
      <c r="AQ209" t="s">
        <v>599</v>
      </c>
      <c r="AR209" t="s">
        <v>599</v>
      </c>
      <c r="AS209" t="s">
        <v>599</v>
      </c>
      <c r="AT209" t="s">
        <v>599</v>
      </c>
    </row>
    <row r="210" spans="1:46" s="13" customFormat="1" ht="105" x14ac:dyDescent="0.25">
      <c r="A210" s="9">
        <v>10375</v>
      </c>
      <c r="B210" s="10">
        <v>1888900</v>
      </c>
      <c r="C210" s="10">
        <v>1</v>
      </c>
      <c r="D210" s="9">
        <v>506</v>
      </c>
      <c r="E210" s="11" t="s">
        <v>226</v>
      </c>
      <c r="F210" s="12" t="s">
        <v>227</v>
      </c>
      <c r="G210" s="9" t="s">
        <v>228</v>
      </c>
      <c r="H210" s="34"/>
      <c r="I210" s="55" t="str">
        <f t="shared" si="7"/>
        <v>https://permalinkbnd.bnportugal.gov.pt/viewer/272786/?offset=#page=506&amp;viewer=picture&amp;o=info&amp;n=0&amp;q=</v>
      </c>
      <c r="J210" s="45"/>
      <c r="K210" s="45"/>
      <c r="L210" s="45"/>
      <c r="M210" t="s">
        <v>226</v>
      </c>
      <c r="N210">
        <v>272786</v>
      </c>
      <c r="O210" t="str">
        <f t="shared" si="6"/>
        <v>https://permalinkbnd.bnportugal.gov.pt/viewer/272786/?offset=#page=506&amp;viewer=picture&amp;o=info&amp;n=0&amp;q=</v>
      </c>
      <c r="P210">
        <v>1888900</v>
      </c>
      <c r="Q210" t="s">
        <v>226</v>
      </c>
      <c r="R210" t="s">
        <v>599</v>
      </c>
      <c r="S210" t="s">
        <v>1178</v>
      </c>
      <c r="T210" t="s">
        <v>1192</v>
      </c>
      <c r="U210" t="s">
        <v>599</v>
      </c>
      <c r="V210" t="s">
        <v>1193</v>
      </c>
      <c r="W210" t="s">
        <v>599</v>
      </c>
      <c r="X210" t="s">
        <v>599</v>
      </c>
      <c r="Y210" t="s">
        <v>1182</v>
      </c>
      <c r="Z210" t="s">
        <v>2169</v>
      </c>
      <c r="AA210">
        <v>1958</v>
      </c>
      <c r="AB210">
        <v>1958</v>
      </c>
      <c r="AC210" t="s">
        <v>2170</v>
      </c>
      <c r="AD210" t="s">
        <v>1185</v>
      </c>
      <c r="AE210" t="s">
        <v>599</v>
      </c>
      <c r="AF210" t="s">
        <v>599</v>
      </c>
      <c r="AG210" t="s">
        <v>2171</v>
      </c>
      <c r="AH210" t="s">
        <v>599</v>
      </c>
      <c r="AI210" t="s">
        <v>599</v>
      </c>
      <c r="AJ210" t="s">
        <v>2172</v>
      </c>
      <c r="AK210" t="s">
        <v>1188</v>
      </c>
      <c r="AL210" t="s">
        <v>2173</v>
      </c>
      <c r="AM210" t="s">
        <v>1190</v>
      </c>
      <c r="AN210" t="s">
        <v>599</v>
      </c>
      <c r="AO210" t="s">
        <v>599</v>
      </c>
      <c r="AP210" t="s">
        <v>599</v>
      </c>
      <c r="AQ210" t="s">
        <v>599</v>
      </c>
      <c r="AR210" t="s">
        <v>599</v>
      </c>
      <c r="AS210" t="s">
        <v>599</v>
      </c>
      <c r="AT210" t="s">
        <v>599</v>
      </c>
    </row>
    <row r="211" spans="1:46" s="13" customFormat="1" ht="105" x14ac:dyDescent="0.25">
      <c r="A211" s="9">
        <v>10376</v>
      </c>
      <c r="B211" s="10">
        <v>1888900</v>
      </c>
      <c r="C211" s="10">
        <v>1</v>
      </c>
      <c r="D211" s="9">
        <v>559</v>
      </c>
      <c r="E211" s="11" t="s">
        <v>226</v>
      </c>
      <c r="F211" s="12" t="s">
        <v>227</v>
      </c>
      <c r="G211" s="9" t="s">
        <v>228</v>
      </c>
      <c r="H211" s="34"/>
      <c r="I211" s="55" t="str">
        <f t="shared" si="7"/>
        <v>https://permalinkbnd.bnportugal.gov.pt/viewer/272786/?offset=#page=559&amp;viewer=picture&amp;o=info&amp;n=0&amp;q=</v>
      </c>
      <c r="J211" s="45"/>
      <c r="K211" s="45"/>
      <c r="L211" s="45"/>
      <c r="M211" t="s">
        <v>226</v>
      </c>
      <c r="N211">
        <v>272786</v>
      </c>
      <c r="O211" t="str">
        <f t="shared" si="6"/>
        <v>https://permalinkbnd.bnportugal.gov.pt/viewer/272786/?offset=#page=559&amp;viewer=picture&amp;o=info&amp;n=0&amp;q=</v>
      </c>
      <c r="P211">
        <v>1888900</v>
      </c>
      <c r="Q211" t="s">
        <v>226</v>
      </c>
      <c r="R211" t="s">
        <v>2168</v>
      </c>
      <c r="S211" t="s">
        <v>1178</v>
      </c>
      <c r="T211" t="s">
        <v>1192</v>
      </c>
      <c r="U211" t="s">
        <v>599</v>
      </c>
      <c r="V211" t="s">
        <v>1193</v>
      </c>
      <c r="W211" t="s">
        <v>599</v>
      </c>
      <c r="X211" t="s">
        <v>599</v>
      </c>
      <c r="Y211" t="s">
        <v>1182</v>
      </c>
      <c r="Z211" t="s">
        <v>2169</v>
      </c>
      <c r="AA211">
        <v>1958</v>
      </c>
      <c r="AB211">
        <v>1958</v>
      </c>
      <c r="AC211" t="s">
        <v>2170</v>
      </c>
      <c r="AD211" t="s">
        <v>1185</v>
      </c>
      <c r="AE211" t="s">
        <v>599</v>
      </c>
      <c r="AF211" t="s">
        <v>599</v>
      </c>
      <c r="AG211" t="s">
        <v>2171</v>
      </c>
      <c r="AH211" t="s">
        <v>599</v>
      </c>
      <c r="AI211" t="s">
        <v>599</v>
      </c>
      <c r="AJ211" t="s">
        <v>2172</v>
      </c>
      <c r="AK211" t="s">
        <v>1188</v>
      </c>
      <c r="AL211" t="s">
        <v>2173</v>
      </c>
      <c r="AM211" t="s">
        <v>1190</v>
      </c>
      <c r="AN211" t="s">
        <v>599</v>
      </c>
      <c r="AO211" t="s">
        <v>599</v>
      </c>
      <c r="AP211" t="s">
        <v>599</v>
      </c>
      <c r="AQ211" t="s">
        <v>599</v>
      </c>
      <c r="AR211" t="s">
        <v>599</v>
      </c>
      <c r="AS211" t="s">
        <v>599</v>
      </c>
      <c r="AT211" t="s">
        <v>599</v>
      </c>
    </row>
    <row r="212" spans="1:46" s="13" customFormat="1" ht="105" x14ac:dyDescent="0.25">
      <c r="A212" s="9">
        <v>10377</v>
      </c>
      <c r="B212" s="10">
        <v>1888900</v>
      </c>
      <c r="C212" s="10">
        <v>1</v>
      </c>
      <c r="D212" s="9">
        <v>560</v>
      </c>
      <c r="E212" s="11" t="s">
        <v>226</v>
      </c>
      <c r="F212" s="12" t="s">
        <v>227</v>
      </c>
      <c r="G212" s="9" t="s">
        <v>228</v>
      </c>
      <c r="H212" s="34"/>
      <c r="I212" s="55" t="str">
        <f t="shared" si="7"/>
        <v>https://permalinkbnd.bnportugal.gov.pt/viewer/272786/?offset=#page=560&amp;viewer=picture&amp;o=info&amp;n=0&amp;q=</v>
      </c>
      <c r="J212" s="45"/>
      <c r="K212" s="45"/>
      <c r="L212" s="45"/>
      <c r="M212" t="s">
        <v>226</v>
      </c>
      <c r="N212">
        <v>272786</v>
      </c>
      <c r="O212" t="str">
        <f t="shared" si="6"/>
        <v>https://permalinkbnd.bnportugal.gov.pt/viewer/272786/?offset=#page=560&amp;viewer=picture&amp;o=info&amp;n=0&amp;q=</v>
      </c>
      <c r="P212">
        <v>1888900</v>
      </c>
      <c r="Q212" t="s">
        <v>226</v>
      </c>
      <c r="R212" t="s">
        <v>2168</v>
      </c>
      <c r="S212" t="s">
        <v>1178</v>
      </c>
      <c r="T212" t="s">
        <v>1192</v>
      </c>
      <c r="U212" t="s">
        <v>599</v>
      </c>
      <c r="V212" t="s">
        <v>1193</v>
      </c>
      <c r="W212" t="s">
        <v>599</v>
      </c>
      <c r="X212" t="s">
        <v>599</v>
      </c>
      <c r="Y212" t="s">
        <v>1182</v>
      </c>
      <c r="Z212" t="s">
        <v>2169</v>
      </c>
      <c r="AA212">
        <v>1958</v>
      </c>
      <c r="AB212">
        <v>1958</v>
      </c>
      <c r="AC212" t="s">
        <v>2170</v>
      </c>
      <c r="AD212" t="s">
        <v>1185</v>
      </c>
      <c r="AE212" t="s">
        <v>599</v>
      </c>
      <c r="AF212" t="s">
        <v>599</v>
      </c>
      <c r="AG212" t="s">
        <v>2171</v>
      </c>
      <c r="AH212" t="s">
        <v>599</v>
      </c>
      <c r="AI212" t="s">
        <v>599</v>
      </c>
      <c r="AJ212" t="s">
        <v>2172</v>
      </c>
      <c r="AK212" t="s">
        <v>1188</v>
      </c>
      <c r="AL212" t="s">
        <v>2173</v>
      </c>
      <c r="AM212" t="s">
        <v>1190</v>
      </c>
      <c r="AN212" t="s">
        <v>599</v>
      </c>
      <c r="AO212" t="s">
        <v>599</v>
      </c>
      <c r="AP212" t="s">
        <v>599</v>
      </c>
      <c r="AQ212" t="s">
        <v>599</v>
      </c>
      <c r="AR212" t="s">
        <v>599</v>
      </c>
      <c r="AS212" t="s">
        <v>599</v>
      </c>
      <c r="AT212" t="s">
        <v>599</v>
      </c>
    </row>
    <row r="213" spans="1:46" s="13" customFormat="1" ht="105" x14ac:dyDescent="0.25">
      <c r="A213" s="9">
        <v>10378</v>
      </c>
      <c r="B213" s="10">
        <v>1888900</v>
      </c>
      <c r="C213" s="10">
        <v>1</v>
      </c>
      <c r="D213" s="9">
        <v>615</v>
      </c>
      <c r="E213" s="11" t="s">
        <v>226</v>
      </c>
      <c r="F213" s="12" t="s">
        <v>227</v>
      </c>
      <c r="G213" s="9" t="s">
        <v>228</v>
      </c>
      <c r="H213" s="34"/>
      <c r="I213" s="55" t="str">
        <f t="shared" si="7"/>
        <v>https://permalinkbnd.bnportugal.gov.pt/viewer/272786/?offset=#page=615&amp;viewer=picture&amp;o=info&amp;n=0&amp;q=</v>
      </c>
      <c r="J213" s="45"/>
      <c r="K213" s="45"/>
      <c r="L213" s="45"/>
      <c r="M213" t="s">
        <v>226</v>
      </c>
      <c r="N213">
        <v>272786</v>
      </c>
      <c r="O213" t="str">
        <f t="shared" si="6"/>
        <v>https://permalinkbnd.bnportugal.gov.pt/viewer/272786/?offset=#page=615&amp;viewer=picture&amp;o=info&amp;n=0&amp;q=</v>
      </c>
      <c r="P213">
        <v>1888900</v>
      </c>
      <c r="Q213" t="s">
        <v>226</v>
      </c>
      <c r="R213" t="s">
        <v>599</v>
      </c>
      <c r="S213" t="s">
        <v>1178</v>
      </c>
      <c r="T213" t="s">
        <v>1192</v>
      </c>
      <c r="U213" t="s">
        <v>599</v>
      </c>
      <c r="V213" t="s">
        <v>1193</v>
      </c>
      <c r="W213" t="s">
        <v>599</v>
      </c>
      <c r="X213" t="s">
        <v>599</v>
      </c>
      <c r="Y213" t="s">
        <v>1182</v>
      </c>
      <c r="Z213" t="s">
        <v>2169</v>
      </c>
      <c r="AA213">
        <v>1958</v>
      </c>
      <c r="AB213">
        <v>1958</v>
      </c>
      <c r="AC213" t="s">
        <v>2170</v>
      </c>
      <c r="AD213" t="s">
        <v>1185</v>
      </c>
      <c r="AE213" t="s">
        <v>599</v>
      </c>
      <c r="AF213" t="s">
        <v>599</v>
      </c>
      <c r="AG213" t="s">
        <v>2171</v>
      </c>
      <c r="AH213" t="s">
        <v>599</v>
      </c>
      <c r="AI213" t="s">
        <v>599</v>
      </c>
      <c r="AJ213" t="s">
        <v>2172</v>
      </c>
      <c r="AK213" t="s">
        <v>1188</v>
      </c>
      <c r="AL213" t="s">
        <v>2173</v>
      </c>
      <c r="AM213" t="s">
        <v>1190</v>
      </c>
      <c r="AN213" t="s">
        <v>599</v>
      </c>
      <c r="AO213" t="s">
        <v>599</v>
      </c>
      <c r="AP213" t="s">
        <v>599</v>
      </c>
      <c r="AQ213" t="s">
        <v>599</v>
      </c>
      <c r="AR213" t="s">
        <v>599</v>
      </c>
      <c r="AS213" t="s">
        <v>599</v>
      </c>
      <c r="AT213" t="s">
        <v>599</v>
      </c>
    </row>
    <row r="214" spans="1:46" s="13" customFormat="1" ht="105" x14ac:dyDescent="0.25">
      <c r="A214" s="9">
        <v>10379</v>
      </c>
      <c r="B214" s="10">
        <v>1888900</v>
      </c>
      <c r="C214" s="10">
        <v>1</v>
      </c>
      <c r="D214" s="9">
        <v>616</v>
      </c>
      <c r="E214" s="11" t="s">
        <v>226</v>
      </c>
      <c r="F214" s="12" t="s">
        <v>227</v>
      </c>
      <c r="G214" s="9" t="s">
        <v>228</v>
      </c>
      <c r="H214" s="34"/>
      <c r="I214" s="55" t="str">
        <f t="shared" si="7"/>
        <v>https://permalinkbnd.bnportugal.gov.pt/viewer/272786/?offset=#page=616&amp;viewer=picture&amp;o=info&amp;n=0&amp;q=</v>
      </c>
      <c r="J214" s="45"/>
      <c r="K214" s="45"/>
      <c r="L214" s="45"/>
      <c r="M214" t="s">
        <v>226</v>
      </c>
      <c r="N214">
        <v>272786</v>
      </c>
      <c r="O214" t="str">
        <f t="shared" si="6"/>
        <v>https://permalinkbnd.bnportugal.gov.pt/viewer/272786/?offset=#page=616&amp;viewer=picture&amp;o=info&amp;n=0&amp;q=</v>
      </c>
      <c r="P214">
        <v>1888900</v>
      </c>
      <c r="Q214" t="s">
        <v>226</v>
      </c>
      <c r="R214" t="s">
        <v>599</v>
      </c>
      <c r="S214" t="s">
        <v>1178</v>
      </c>
      <c r="T214" t="s">
        <v>1192</v>
      </c>
      <c r="U214" t="s">
        <v>599</v>
      </c>
      <c r="V214" t="s">
        <v>1193</v>
      </c>
      <c r="W214" t="s">
        <v>599</v>
      </c>
      <c r="X214" t="s">
        <v>599</v>
      </c>
      <c r="Y214" t="s">
        <v>1182</v>
      </c>
      <c r="Z214" t="s">
        <v>2169</v>
      </c>
      <c r="AA214">
        <v>1958</v>
      </c>
      <c r="AB214">
        <v>1958</v>
      </c>
      <c r="AC214" t="s">
        <v>2170</v>
      </c>
      <c r="AD214" t="s">
        <v>1185</v>
      </c>
      <c r="AE214" t="s">
        <v>599</v>
      </c>
      <c r="AF214" t="s">
        <v>599</v>
      </c>
      <c r="AG214" t="s">
        <v>2171</v>
      </c>
      <c r="AH214" t="s">
        <v>599</v>
      </c>
      <c r="AI214" t="s">
        <v>599</v>
      </c>
      <c r="AJ214" t="s">
        <v>2172</v>
      </c>
      <c r="AK214" t="s">
        <v>1188</v>
      </c>
      <c r="AL214" t="s">
        <v>2173</v>
      </c>
      <c r="AM214" t="s">
        <v>1190</v>
      </c>
      <c r="AN214" t="s">
        <v>599</v>
      </c>
      <c r="AO214" t="s">
        <v>599</v>
      </c>
      <c r="AP214" t="s">
        <v>599</v>
      </c>
      <c r="AQ214" t="s">
        <v>599</v>
      </c>
      <c r="AR214" t="s">
        <v>599</v>
      </c>
      <c r="AS214" t="s">
        <v>599</v>
      </c>
      <c r="AT214" t="s">
        <v>599</v>
      </c>
    </row>
    <row r="215" spans="1:46" s="13" customFormat="1" ht="105" x14ac:dyDescent="0.25">
      <c r="A215" s="9">
        <v>10380</v>
      </c>
      <c r="B215" s="10">
        <v>1888900</v>
      </c>
      <c r="C215" s="10">
        <v>1</v>
      </c>
      <c r="D215" s="9">
        <v>670</v>
      </c>
      <c r="E215" s="11" t="s">
        <v>226</v>
      </c>
      <c r="F215" s="12" t="s">
        <v>227</v>
      </c>
      <c r="G215" s="9" t="s">
        <v>228</v>
      </c>
      <c r="H215" s="34"/>
      <c r="I215" s="55" t="str">
        <f t="shared" si="7"/>
        <v>https://permalinkbnd.bnportugal.gov.pt/viewer/272786/?offset=#page=670&amp;viewer=picture&amp;o=info&amp;n=0&amp;q=</v>
      </c>
      <c r="J215" s="45"/>
      <c r="K215" s="45"/>
      <c r="L215" s="45"/>
      <c r="M215" t="s">
        <v>226</v>
      </c>
      <c r="N215">
        <v>272786</v>
      </c>
      <c r="O215" t="str">
        <f t="shared" si="6"/>
        <v>https://permalinkbnd.bnportugal.gov.pt/viewer/272786/?offset=#page=670&amp;viewer=picture&amp;o=info&amp;n=0&amp;q=</v>
      </c>
      <c r="P215">
        <v>1888900</v>
      </c>
      <c r="Q215" t="s">
        <v>226</v>
      </c>
      <c r="R215" t="s">
        <v>599</v>
      </c>
      <c r="S215" t="s">
        <v>1178</v>
      </c>
      <c r="T215" t="s">
        <v>1192</v>
      </c>
      <c r="U215" t="s">
        <v>599</v>
      </c>
      <c r="V215" t="s">
        <v>1193</v>
      </c>
      <c r="W215" t="s">
        <v>599</v>
      </c>
      <c r="X215" t="s">
        <v>599</v>
      </c>
      <c r="Y215" t="s">
        <v>1182</v>
      </c>
      <c r="Z215" t="s">
        <v>2169</v>
      </c>
      <c r="AA215">
        <v>1958</v>
      </c>
      <c r="AB215">
        <v>1958</v>
      </c>
      <c r="AC215" t="s">
        <v>2170</v>
      </c>
      <c r="AD215" t="s">
        <v>1185</v>
      </c>
      <c r="AE215" t="s">
        <v>599</v>
      </c>
      <c r="AF215" t="s">
        <v>599</v>
      </c>
      <c r="AG215" t="s">
        <v>2171</v>
      </c>
      <c r="AH215" t="s">
        <v>599</v>
      </c>
      <c r="AI215" t="s">
        <v>599</v>
      </c>
      <c r="AJ215" t="s">
        <v>2172</v>
      </c>
      <c r="AK215" t="s">
        <v>1188</v>
      </c>
      <c r="AL215" t="s">
        <v>2173</v>
      </c>
      <c r="AM215" t="s">
        <v>1190</v>
      </c>
      <c r="AN215" t="s">
        <v>599</v>
      </c>
      <c r="AO215" t="s">
        <v>599</v>
      </c>
      <c r="AP215" t="s">
        <v>599</v>
      </c>
      <c r="AQ215" t="s">
        <v>599</v>
      </c>
      <c r="AR215" t="s">
        <v>599</v>
      </c>
      <c r="AS215" t="s">
        <v>599</v>
      </c>
      <c r="AT215" t="s">
        <v>599</v>
      </c>
    </row>
    <row r="216" spans="1:46" s="13" customFormat="1" ht="105" x14ac:dyDescent="0.25">
      <c r="A216" s="9">
        <v>10381</v>
      </c>
      <c r="B216" s="10">
        <v>1888900</v>
      </c>
      <c r="C216" s="10">
        <v>1</v>
      </c>
      <c r="D216" s="9">
        <v>671</v>
      </c>
      <c r="E216" s="11" t="s">
        <v>226</v>
      </c>
      <c r="F216" s="12" t="s">
        <v>227</v>
      </c>
      <c r="G216" s="9" t="s">
        <v>228</v>
      </c>
      <c r="H216" s="34"/>
      <c r="I216" s="55" t="str">
        <f t="shared" si="7"/>
        <v>https://permalinkbnd.bnportugal.gov.pt/viewer/272786/?offset=#page=671&amp;viewer=picture&amp;o=info&amp;n=0&amp;q=</v>
      </c>
      <c r="J216" s="45"/>
      <c r="K216" s="45"/>
      <c r="L216" s="45"/>
      <c r="M216" t="s">
        <v>226</v>
      </c>
      <c r="N216">
        <v>272786</v>
      </c>
      <c r="O216" t="str">
        <f t="shared" si="6"/>
        <v>https://permalinkbnd.bnportugal.gov.pt/viewer/272786/?offset=#page=671&amp;viewer=picture&amp;o=info&amp;n=0&amp;q=</v>
      </c>
      <c r="P216">
        <v>1888900</v>
      </c>
      <c r="Q216" t="s">
        <v>226</v>
      </c>
      <c r="R216" t="s">
        <v>599</v>
      </c>
      <c r="S216" t="s">
        <v>1178</v>
      </c>
      <c r="T216" t="s">
        <v>1192</v>
      </c>
      <c r="U216" t="s">
        <v>599</v>
      </c>
      <c r="V216" t="s">
        <v>1193</v>
      </c>
      <c r="W216" t="s">
        <v>599</v>
      </c>
      <c r="X216" t="s">
        <v>599</v>
      </c>
      <c r="Y216" t="s">
        <v>1182</v>
      </c>
      <c r="Z216" t="s">
        <v>2169</v>
      </c>
      <c r="AA216">
        <v>1958</v>
      </c>
      <c r="AB216">
        <v>1958</v>
      </c>
      <c r="AC216" t="s">
        <v>2170</v>
      </c>
      <c r="AD216" t="s">
        <v>1185</v>
      </c>
      <c r="AE216" t="s">
        <v>599</v>
      </c>
      <c r="AF216" t="s">
        <v>599</v>
      </c>
      <c r="AG216" t="s">
        <v>2171</v>
      </c>
      <c r="AH216" t="s">
        <v>599</v>
      </c>
      <c r="AI216" t="s">
        <v>599</v>
      </c>
      <c r="AJ216" t="s">
        <v>2172</v>
      </c>
      <c r="AK216" t="s">
        <v>1188</v>
      </c>
      <c r="AL216" t="s">
        <v>2173</v>
      </c>
      <c r="AM216" t="s">
        <v>1190</v>
      </c>
      <c r="AN216" t="s">
        <v>599</v>
      </c>
      <c r="AO216" t="s">
        <v>599</v>
      </c>
      <c r="AP216" t="s">
        <v>599</v>
      </c>
      <c r="AQ216" t="s">
        <v>599</v>
      </c>
      <c r="AR216" t="s">
        <v>599</v>
      </c>
      <c r="AS216" t="s">
        <v>599</v>
      </c>
      <c r="AT216" t="s">
        <v>599</v>
      </c>
    </row>
    <row r="217" spans="1:46" s="13" customFormat="1" ht="105" x14ac:dyDescent="0.25">
      <c r="A217" s="9">
        <v>10382</v>
      </c>
      <c r="B217" s="10">
        <v>1888900</v>
      </c>
      <c r="C217" s="10">
        <v>1</v>
      </c>
      <c r="D217" s="9">
        <v>672</v>
      </c>
      <c r="E217" s="11" t="s">
        <v>226</v>
      </c>
      <c r="F217" s="12" t="s">
        <v>227</v>
      </c>
      <c r="G217" s="9" t="s">
        <v>228</v>
      </c>
      <c r="H217" s="34"/>
      <c r="I217" s="55" t="str">
        <f t="shared" si="7"/>
        <v>https://permalinkbnd.bnportugal.gov.pt/viewer/272786/?offset=#page=672&amp;viewer=picture&amp;o=info&amp;n=0&amp;q=</v>
      </c>
      <c r="J217" s="45"/>
      <c r="K217" s="45"/>
      <c r="L217" s="45"/>
      <c r="M217" t="s">
        <v>226</v>
      </c>
      <c r="N217">
        <v>272786</v>
      </c>
      <c r="O217" t="str">
        <f t="shared" si="6"/>
        <v>https://permalinkbnd.bnportugal.gov.pt/viewer/272786/?offset=#page=672&amp;viewer=picture&amp;o=info&amp;n=0&amp;q=</v>
      </c>
      <c r="P217">
        <v>1888900</v>
      </c>
      <c r="Q217" t="s">
        <v>226</v>
      </c>
      <c r="R217" t="s">
        <v>599</v>
      </c>
      <c r="S217" t="s">
        <v>1178</v>
      </c>
      <c r="T217" t="s">
        <v>1192</v>
      </c>
      <c r="U217" t="s">
        <v>599</v>
      </c>
      <c r="V217" t="s">
        <v>1193</v>
      </c>
      <c r="W217" t="s">
        <v>599</v>
      </c>
      <c r="X217" t="s">
        <v>599</v>
      </c>
      <c r="Y217" t="s">
        <v>1182</v>
      </c>
      <c r="Z217" t="s">
        <v>2169</v>
      </c>
      <c r="AA217">
        <v>1958</v>
      </c>
      <c r="AB217">
        <v>1958</v>
      </c>
      <c r="AC217" t="s">
        <v>2170</v>
      </c>
      <c r="AD217" t="s">
        <v>1185</v>
      </c>
      <c r="AE217" t="s">
        <v>599</v>
      </c>
      <c r="AF217" t="s">
        <v>599</v>
      </c>
      <c r="AG217" t="s">
        <v>2171</v>
      </c>
      <c r="AH217" t="s">
        <v>599</v>
      </c>
      <c r="AI217" t="s">
        <v>599</v>
      </c>
      <c r="AJ217" t="s">
        <v>2172</v>
      </c>
      <c r="AK217" t="s">
        <v>1188</v>
      </c>
      <c r="AL217" t="s">
        <v>2173</v>
      </c>
      <c r="AM217" t="s">
        <v>1190</v>
      </c>
      <c r="AN217" t="s">
        <v>599</v>
      </c>
      <c r="AO217" t="s">
        <v>599</v>
      </c>
      <c r="AP217" t="s">
        <v>599</v>
      </c>
      <c r="AQ217" t="s">
        <v>599</v>
      </c>
      <c r="AR217" t="s">
        <v>599</v>
      </c>
      <c r="AS217" t="s">
        <v>599</v>
      </c>
      <c r="AT217" t="s">
        <v>599</v>
      </c>
    </row>
    <row r="218" spans="1:46" s="13" customFormat="1" ht="105" x14ac:dyDescent="0.25">
      <c r="A218" s="9">
        <v>10383</v>
      </c>
      <c r="B218" s="10">
        <v>1888900</v>
      </c>
      <c r="C218" s="10">
        <v>1</v>
      </c>
      <c r="D218" s="9">
        <v>792</v>
      </c>
      <c r="E218" s="11" t="s">
        <v>226</v>
      </c>
      <c r="F218" s="12" t="s">
        <v>227</v>
      </c>
      <c r="G218" s="9" t="s">
        <v>228</v>
      </c>
      <c r="H218" s="34"/>
      <c r="I218" s="55" t="str">
        <f t="shared" si="7"/>
        <v>https://permalinkbnd.bnportugal.gov.pt/viewer/272786/?offset=#page=792&amp;viewer=picture&amp;o=info&amp;n=0&amp;q=</v>
      </c>
      <c r="J218" s="45"/>
      <c r="K218" s="45"/>
      <c r="L218" s="45"/>
      <c r="M218" t="s">
        <v>226</v>
      </c>
      <c r="N218">
        <v>272786</v>
      </c>
      <c r="O218" t="str">
        <f t="shared" si="6"/>
        <v>https://permalinkbnd.bnportugal.gov.pt/viewer/272786/?offset=#page=792&amp;viewer=picture&amp;o=info&amp;n=0&amp;q=</v>
      </c>
      <c r="P218">
        <v>1888900</v>
      </c>
      <c r="Q218" t="s">
        <v>226</v>
      </c>
      <c r="R218" t="s">
        <v>2168</v>
      </c>
      <c r="S218" t="s">
        <v>1178</v>
      </c>
      <c r="T218" t="s">
        <v>1192</v>
      </c>
      <c r="U218" t="s">
        <v>599</v>
      </c>
      <c r="V218" t="s">
        <v>1193</v>
      </c>
      <c r="W218" t="s">
        <v>599</v>
      </c>
      <c r="X218" t="s">
        <v>599</v>
      </c>
      <c r="Y218" t="s">
        <v>1182</v>
      </c>
      <c r="Z218" t="s">
        <v>2169</v>
      </c>
      <c r="AA218">
        <v>1958</v>
      </c>
      <c r="AB218">
        <v>1958</v>
      </c>
      <c r="AC218" t="s">
        <v>2170</v>
      </c>
      <c r="AD218" t="s">
        <v>1185</v>
      </c>
      <c r="AE218" t="s">
        <v>599</v>
      </c>
      <c r="AF218" t="s">
        <v>599</v>
      </c>
      <c r="AG218" t="s">
        <v>2171</v>
      </c>
      <c r="AH218" t="s">
        <v>599</v>
      </c>
      <c r="AI218" t="s">
        <v>599</v>
      </c>
      <c r="AJ218" t="s">
        <v>2172</v>
      </c>
      <c r="AK218" t="s">
        <v>1188</v>
      </c>
      <c r="AL218" t="s">
        <v>2173</v>
      </c>
      <c r="AM218" t="s">
        <v>1190</v>
      </c>
      <c r="AN218" t="s">
        <v>599</v>
      </c>
      <c r="AO218" t="s">
        <v>599</v>
      </c>
      <c r="AP218" t="s">
        <v>599</v>
      </c>
      <c r="AQ218" t="s">
        <v>599</v>
      </c>
      <c r="AR218" t="s">
        <v>599</v>
      </c>
      <c r="AS218" t="s">
        <v>599</v>
      </c>
      <c r="AT218" t="s">
        <v>599</v>
      </c>
    </row>
    <row r="219" spans="1:46" s="13" customFormat="1" ht="105" x14ac:dyDescent="0.25">
      <c r="A219" s="9">
        <v>10384</v>
      </c>
      <c r="B219" s="10">
        <v>1888900</v>
      </c>
      <c r="C219" s="10">
        <v>1</v>
      </c>
      <c r="D219" s="9">
        <v>793</v>
      </c>
      <c r="E219" s="11" t="s">
        <v>226</v>
      </c>
      <c r="F219" s="12" t="s">
        <v>227</v>
      </c>
      <c r="G219" s="9" t="s">
        <v>228</v>
      </c>
      <c r="H219" s="34"/>
      <c r="I219" s="55" t="str">
        <f t="shared" si="7"/>
        <v>https://permalinkbnd.bnportugal.gov.pt/viewer/272786/?offset=#page=793&amp;viewer=picture&amp;o=info&amp;n=0&amp;q=</v>
      </c>
      <c r="J219" s="45"/>
      <c r="K219" s="45"/>
      <c r="L219" s="45"/>
      <c r="M219" t="s">
        <v>226</v>
      </c>
      <c r="N219">
        <v>272786</v>
      </c>
      <c r="O219" t="str">
        <f t="shared" si="6"/>
        <v>https://permalinkbnd.bnportugal.gov.pt/viewer/272786/?offset=#page=793&amp;viewer=picture&amp;o=info&amp;n=0&amp;q=</v>
      </c>
      <c r="P219">
        <v>1888900</v>
      </c>
      <c r="Q219" t="s">
        <v>226</v>
      </c>
      <c r="R219" t="s">
        <v>599</v>
      </c>
      <c r="S219" t="s">
        <v>1178</v>
      </c>
      <c r="T219" t="s">
        <v>1192</v>
      </c>
      <c r="U219" t="s">
        <v>599</v>
      </c>
      <c r="V219" t="s">
        <v>1193</v>
      </c>
      <c r="W219" t="s">
        <v>599</v>
      </c>
      <c r="X219" t="s">
        <v>599</v>
      </c>
      <c r="Y219" t="s">
        <v>1182</v>
      </c>
      <c r="Z219" t="s">
        <v>2169</v>
      </c>
      <c r="AA219">
        <v>1958</v>
      </c>
      <c r="AB219">
        <v>1958</v>
      </c>
      <c r="AC219" t="s">
        <v>2170</v>
      </c>
      <c r="AD219" t="s">
        <v>1185</v>
      </c>
      <c r="AE219" t="s">
        <v>599</v>
      </c>
      <c r="AF219" t="s">
        <v>599</v>
      </c>
      <c r="AG219" t="s">
        <v>2171</v>
      </c>
      <c r="AH219" t="s">
        <v>599</v>
      </c>
      <c r="AI219" t="s">
        <v>599</v>
      </c>
      <c r="AJ219" t="s">
        <v>2172</v>
      </c>
      <c r="AK219" t="s">
        <v>1188</v>
      </c>
      <c r="AL219" t="s">
        <v>2173</v>
      </c>
      <c r="AM219" t="s">
        <v>1190</v>
      </c>
      <c r="AN219" t="s">
        <v>599</v>
      </c>
      <c r="AO219" t="s">
        <v>599</v>
      </c>
      <c r="AP219" t="s">
        <v>599</v>
      </c>
      <c r="AQ219" t="s">
        <v>599</v>
      </c>
      <c r="AR219" t="s">
        <v>599</v>
      </c>
      <c r="AS219" t="s">
        <v>599</v>
      </c>
      <c r="AT219" t="s">
        <v>599</v>
      </c>
    </row>
    <row r="220" spans="1:46" s="13" customFormat="1" ht="105" x14ac:dyDescent="0.25">
      <c r="A220" s="9">
        <v>10385</v>
      </c>
      <c r="B220" s="10">
        <v>1888900</v>
      </c>
      <c r="C220" s="10">
        <v>1</v>
      </c>
      <c r="D220" s="9">
        <v>794</v>
      </c>
      <c r="E220" s="11" t="s">
        <v>226</v>
      </c>
      <c r="F220" s="12" t="s">
        <v>227</v>
      </c>
      <c r="G220" s="9" t="s">
        <v>228</v>
      </c>
      <c r="H220" s="34"/>
      <c r="I220" s="55" t="str">
        <f t="shared" si="7"/>
        <v>https://permalinkbnd.bnportugal.gov.pt/viewer/272786/?offset=#page=794&amp;viewer=picture&amp;o=info&amp;n=0&amp;q=</v>
      </c>
      <c r="J220" s="45"/>
      <c r="K220" s="45"/>
      <c r="L220" s="45"/>
      <c r="M220" t="s">
        <v>226</v>
      </c>
      <c r="N220">
        <v>272786</v>
      </c>
      <c r="O220" t="str">
        <f t="shared" si="6"/>
        <v>https://permalinkbnd.bnportugal.gov.pt/viewer/272786/?offset=#page=794&amp;viewer=picture&amp;o=info&amp;n=0&amp;q=</v>
      </c>
      <c r="P220">
        <v>1888900</v>
      </c>
      <c r="Q220" t="s">
        <v>226</v>
      </c>
      <c r="R220" t="s">
        <v>599</v>
      </c>
      <c r="S220" t="s">
        <v>1178</v>
      </c>
      <c r="T220" t="s">
        <v>1192</v>
      </c>
      <c r="U220" t="s">
        <v>599</v>
      </c>
      <c r="V220" t="s">
        <v>1193</v>
      </c>
      <c r="W220" t="s">
        <v>599</v>
      </c>
      <c r="X220" t="s">
        <v>599</v>
      </c>
      <c r="Y220" t="s">
        <v>1182</v>
      </c>
      <c r="Z220" t="s">
        <v>2169</v>
      </c>
      <c r="AA220">
        <v>1958</v>
      </c>
      <c r="AB220">
        <v>1958</v>
      </c>
      <c r="AC220" t="s">
        <v>2170</v>
      </c>
      <c r="AD220" t="s">
        <v>1185</v>
      </c>
      <c r="AE220" t="s">
        <v>599</v>
      </c>
      <c r="AF220" t="s">
        <v>599</v>
      </c>
      <c r="AG220" t="s">
        <v>2171</v>
      </c>
      <c r="AH220" t="s">
        <v>599</v>
      </c>
      <c r="AI220" t="s">
        <v>599</v>
      </c>
      <c r="AJ220" t="s">
        <v>2172</v>
      </c>
      <c r="AK220" t="s">
        <v>1188</v>
      </c>
      <c r="AL220" t="s">
        <v>2173</v>
      </c>
      <c r="AM220" t="s">
        <v>1190</v>
      </c>
      <c r="AN220" t="s">
        <v>599</v>
      </c>
      <c r="AO220" t="s">
        <v>599</v>
      </c>
      <c r="AP220" t="s">
        <v>599</v>
      </c>
      <c r="AQ220" t="s">
        <v>599</v>
      </c>
      <c r="AR220" t="s">
        <v>599</v>
      </c>
      <c r="AS220" t="s">
        <v>599</v>
      </c>
      <c r="AT220" t="s">
        <v>599</v>
      </c>
    </row>
    <row r="221" spans="1:46" s="13" customFormat="1" ht="105" x14ac:dyDescent="0.25">
      <c r="A221" s="9">
        <v>10386</v>
      </c>
      <c r="B221" s="10">
        <v>1888900</v>
      </c>
      <c r="C221" s="10">
        <v>1</v>
      </c>
      <c r="D221" s="9">
        <v>795</v>
      </c>
      <c r="E221" s="11" t="s">
        <v>226</v>
      </c>
      <c r="F221" s="12" t="s">
        <v>227</v>
      </c>
      <c r="G221" s="9" t="s">
        <v>228</v>
      </c>
      <c r="H221" s="34"/>
      <c r="I221" s="55" t="str">
        <f t="shared" si="7"/>
        <v>https://permalinkbnd.bnportugal.gov.pt/viewer/272786/?offset=#page=795&amp;viewer=picture&amp;o=info&amp;n=0&amp;q=</v>
      </c>
      <c r="J221" s="45"/>
      <c r="K221" s="45"/>
      <c r="L221" s="45"/>
      <c r="M221" t="s">
        <v>226</v>
      </c>
      <c r="N221">
        <v>272786</v>
      </c>
      <c r="O221" t="str">
        <f t="shared" si="6"/>
        <v>https://permalinkbnd.bnportugal.gov.pt/viewer/272786/?offset=#page=795&amp;viewer=picture&amp;o=info&amp;n=0&amp;q=</v>
      </c>
      <c r="P221">
        <v>1888900</v>
      </c>
      <c r="Q221" t="s">
        <v>226</v>
      </c>
      <c r="R221" t="s">
        <v>2168</v>
      </c>
      <c r="S221" t="s">
        <v>1178</v>
      </c>
      <c r="T221" t="s">
        <v>1192</v>
      </c>
      <c r="U221" t="s">
        <v>599</v>
      </c>
      <c r="V221" t="s">
        <v>1193</v>
      </c>
      <c r="W221" t="s">
        <v>599</v>
      </c>
      <c r="X221" t="s">
        <v>599</v>
      </c>
      <c r="Y221" t="s">
        <v>1182</v>
      </c>
      <c r="Z221" t="s">
        <v>2169</v>
      </c>
      <c r="AA221">
        <v>1958</v>
      </c>
      <c r="AB221">
        <v>1958</v>
      </c>
      <c r="AC221" t="s">
        <v>2170</v>
      </c>
      <c r="AD221" t="s">
        <v>1185</v>
      </c>
      <c r="AE221" t="s">
        <v>599</v>
      </c>
      <c r="AF221" t="s">
        <v>599</v>
      </c>
      <c r="AG221" t="s">
        <v>2171</v>
      </c>
      <c r="AH221" t="s">
        <v>599</v>
      </c>
      <c r="AI221" t="s">
        <v>599</v>
      </c>
      <c r="AJ221" t="s">
        <v>2172</v>
      </c>
      <c r="AK221" t="s">
        <v>1188</v>
      </c>
      <c r="AL221" t="s">
        <v>2173</v>
      </c>
      <c r="AM221" t="s">
        <v>1190</v>
      </c>
      <c r="AN221" t="s">
        <v>599</v>
      </c>
      <c r="AO221" t="s">
        <v>599</v>
      </c>
      <c r="AP221" t="s">
        <v>599</v>
      </c>
      <c r="AQ221" t="s">
        <v>599</v>
      </c>
      <c r="AR221" t="s">
        <v>599</v>
      </c>
      <c r="AS221" t="s">
        <v>599</v>
      </c>
      <c r="AT221" t="s">
        <v>599</v>
      </c>
    </row>
    <row r="222" spans="1:46" s="13" customFormat="1" ht="105" x14ac:dyDescent="0.25">
      <c r="A222" s="9">
        <v>10387</v>
      </c>
      <c r="B222" s="10">
        <v>1888900</v>
      </c>
      <c r="C222" s="10">
        <v>1</v>
      </c>
      <c r="D222" s="9">
        <v>796</v>
      </c>
      <c r="E222" s="11" t="s">
        <v>226</v>
      </c>
      <c r="F222" s="12" t="s">
        <v>227</v>
      </c>
      <c r="G222" s="9" t="s">
        <v>228</v>
      </c>
      <c r="H222" s="34"/>
      <c r="I222" s="55" t="str">
        <f t="shared" si="7"/>
        <v>https://permalinkbnd.bnportugal.gov.pt/viewer/272786/?offset=#page=796&amp;viewer=picture&amp;o=info&amp;n=0&amp;q=</v>
      </c>
      <c r="J222" s="45"/>
      <c r="K222" s="45"/>
      <c r="L222" s="45"/>
      <c r="M222" t="s">
        <v>226</v>
      </c>
      <c r="N222">
        <v>272786</v>
      </c>
      <c r="O222" t="str">
        <f t="shared" si="6"/>
        <v>https://permalinkbnd.bnportugal.gov.pt/viewer/272786/?offset=#page=796&amp;viewer=picture&amp;o=info&amp;n=0&amp;q=</v>
      </c>
      <c r="P222">
        <v>1888900</v>
      </c>
      <c r="Q222" t="s">
        <v>226</v>
      </c>
      <c r="R222" t="s">
        <v>2168</v>
      </c>
      <c r="S222" t="s">
        <v>1178</v>
      </c>
      <c r="T222" t="s">
        <v>1192</v>
      </c>
      <c r="U222" t="s">
        <v>599</v>
      </c>
      <c r="V222" t="s">
        <v>1193</v>
      </c>
      <c r="W222" t="s">
        <v>599</v>
      </c>
      <c r="X222" t="s">
        <v>599</v>
      </c>
      <c r="Y222" t="s">
        <v>1182</v>
      </c>
      <c r="Z222" t="s">
        <v>2169</v>
      </c>
      <c r="AA222">
        <v>1958</v>
      </c>
      <c r="AB222">
        <v>1958</v>
      </c>
      <c r="AC222" t="s">
        <v>2170</v>
      </c>
      <c r="AD222" t="s">
        <v>1185</v>
      </c>
      <c r="AE222" t="s">
        <v>599</v>
      </c>
      <c r="AF222" t="s">
        <v>599</v>
      </c>
      <c r="AG222" t="s">
        <v>2171</v>
      </c>
      <c r="AH222" t="s">
        <v>599</v>
      </c>
      <c r="AI222" t="s">
        <v>599</v>
      </c>
      <c r="AJ222" t="s">
        <v>2172</v>
      </c>
      <c r="AK222" t="s">
        <v>1188</v>
      </c>
      <c r="AL222" t="s">
        <v>2173</v>
      </c>
      <c r="AM222" t="s">
        <v>1190</v>
      </c>
      <c r="AN222" t="s">
        <v>599</v>
      </c>
      <c r="AO222" t="s">
        <v>599</v>
      </c>
      <c r="AP222" t="s">
        <v>599</v>
      </c>
      <c r="AQ222" t="s">
        <v>599</v>
      </c>
      <c r="AR222" t="s">
        <v>599</v>
      </c>
      <c r="AS222" t="s">
        <v>599</v>
      </c>
      <c r="AT222" t="s">
        <v>599</v>
      </c>
    </row>
    <row r="223" spans="1:46" s="13" customFormat="1" ht="105" x14ac:dyDescent="0.25">
      <c r="A223" s="9">
        <v>10388</v>
      </c>
      <c r="B223" s="10">
        <v>1888900</v>
      </c>
      <c r="C223" s="10">
        <v>1</v>
      </c>
      <c r="D223" s="9">
        <v>797</v>
      </c>
      <c r="E223" s="11" t="s">
        <v>226</v>
      </c>
      <c r="F223" s="12" t="s">
        <v>227</v>
      </c>
      <c r="G223" s="9" t="s">
        <v>228</v>
      </c>
      <c r="H223" s="34"/>
      <c r="I223" s="55" t="str">
        <f t="shared" si="7"/>
        <v>https://permalinkbnd.bnportugal.gov.pt/viewer/272786/?offset=#page=797&amp;viewer=picture&amp;o=info&amp;n=0&amp;q=</v>
      </c>
      <c r="J223" s="45"/>
      <c r="K223" s="45"/>
      <c r="L223" s="45"/>
      <c r="M223" t="s">
        <v>226</v>
      </c>
      <c r="N223">
        <v>272786</v>
      </c>
      <c r="O223" t="str">
        <f t="shared" si="6"/>
        <v>https://permalinkbnd.bnportugal.gov.pt/viewer/272786/?offset=#page=797&amp;viewer=picture&amp;o=info&amp;n=0&amp;q=</v>
      </c>
      <c r="P223">
        <v>1888900</v>
      </c>
      <c r="Q223" t="s">
        <v>226</v>
      </c>
      <c r="R223" t="s">
        <v>2168</v>
      </c>
      <c r="S223" t="s">
        <v>1178</v>
      </c>
      <c r="T223" t="s">
        <v>1192</v>
      </c>
      <c r="U223" t="s">
        <v>599</v>
      </c>
      <c r="V223" t="s">
        <v>1193</v>
      </c>
      <c r="W223" t="s">
        <v>599</v>
      </c>
      <c r="X223" t="s">
        <v>599</v>
      </c>
      <c r="Y223" t="s">
        <v>1182</v>
      </c>
      <c r="Z223" t="s">
        <v>2169</v>
      </c>
      <c r="AA223">
        <v>1958</v>
      </c>
      <c r="AB223">
        <v>1958</v>
      </c>
      <c r="AC223" t="s">
        <v>2170</v>
      </c>
      <c r="AD223" t="s">
        <v>1185</v>
      </c>
      <c r="AE223" t="s">
        <v>599</v>
      </c>
      <c r="AF223" t="s">
        <v>599</v>
      </c>
      <c r="AG223" t="s">
        <v>2171</v>
      </c>
      <c r="AH223" t="s">
        <v>599</v>
      </c>
      <c r="AI223" t="s">
        <v>599</v>
      </c>
      <c r="AJ223" t="s">
        <v>2172</v>
      </c>
      <c r="AK223" t="s">
        <v>1188</v>
      </c>
      <c r="AL223" t="s">
        <v>2173</v>
      </c>
      <c r="AM223" t="s">
        <v>1190</v>
      </c>
      <c r="AN223" t="s">
        <v>599</v>
      </c>
      <c r="AO223" t="s">
        <v>599</v>
      </c>
      <c r="AP223" t="s">
        <v>599</v>
      </c>
      <c r="AQ223" t="s">
        <v>599</v>
      </c>
      <c r="AR223" t="s">
        <v>599</v>
      </c>
      <c r="AS223" t="s">
        <v>599</v>
      </c>
      <c r="AT223" t="s">
        <v>599</v>
      </c>
    </row>
    <row r="224" spans="1:46" s="13" customFormat="1" ht="105" x14ac:dyDescent="0.25">
      <c r="A224" s="9">
        <v>10389</v>
      </c>
      <c r="B224" s="10">
        <v>1888900</v>
      </c>
      <c r="C224" s="10">
        <v>1</v>
      </c>
      <c r="D224" s="9">
        <v>798</v>
      </c>
      <c r="E224" s="11" t="s">
        <v>226</v>
      </c>
      <c r="F224" s="12" t="s">
        <v>227</v>
      </c>
      <c r="G224" s="9" t="s">
        <v>228</v>
      </c>
      <c r="H224" s="34"/>
      <c r="I224" s="55" t="str">
        <f t="shared" si="7"/>
        <v>https://permalinkbnd.bnportugal.gov.pt/viewer/272786/?offset=#page=798&amp;viewer=picture&amp;o=info&amp;n=0&amp;q=</v>
      </c>
      <c r="J224" s="45"/>
      <c r="K224" s="45"/>
      <c r="L224" s="45"/>
      <c r="M224" t="s">
        <v>226</v>
      </c>
      <c r="N224">
        <v>272786</v>
      </c>
      <c r="O224" t="str">
        <f t="shared" si="6"/>
        <v>https://permalinkbnd.bnportugal.gov.pt/viewer/272786/?offset=#page=798&amp;viewer=picture&amp;o=info&amp;n=0&amp;q=</v>
      </c>
      <c r="P224">
        <v>1888900</v>
      </c>
      <c r="Q224" t="s">
        <v>226</v>
      </c>
      <c r="R224" t="s">
        <v>2168</v>
      </c>
      <c r="S224" t="s">
        <v>1178</v>
      </c>
      <c r="T224" t="s">
        <v>1192</v>
      </c>
      <c r="U224" t="s">
        <v>599</v>
      </c>
      <c r="V224" t="s">
        <v>1193</v>
      </c>
      <c r="W224" t="s">
        <v>599</v>
      </c>
      <c r="X224" t="s">
        <v>599</v>
      </c>
      <c r="Y224" t="s">
        <v>1182</v>
      </c>
      <c r="Z224" t="s">
        <v>2169</v>
      </c>
      <c r="AA224">
        <v>1958</v>
      </c>
      <c r="AB224">
        <v>1958</v>
      </c>
      <c r="AC224" t="s">
        <v>2170</v>
      </c>
      <c r="AD224" t="s">
        <v>1185</v>
      </c>
      <c r="AE224" t="s">
        <v>599</v>
      </c>
      <c r="AF224" t="s">
        <v>599</v>
      </c>
      <c r="AG224" t="s">
        <v>2171</v>
      </c>
      <c r="AH224" t="s">
        <v>599</v>
      </c>
      <c r="AI224" t="s">
        <v>599</v>
      </c>
      <c r="AJ224" t="s">
        <v>2172</v>
      </c>
      <c r="AK224" t="s">
        <v>1188</v>
      </c>
      <c r="AL224" t="s">
        <v>2173</v>
      </c>
      <c r="AM224" t="s">
        <v>1190</v>
      </c>
      <c r="AN224" t="s">
        <v>599</v>
      </c>
      <c r="AO224" t="s">
        <v>599</v>
      </c>
      <c r="AP224" t="s">
        <v>599</v>
      </c>
      <c r="AQ224" t="s">
        <v>599</v>
      </c>
      <c r="AR224" t="s">
        <v>599</v>
      </c>
      <c r="AS224" t="s">
        <v>599</v>
      </c>
      <c r="AT224" t="s">
        <v>599</v>
      </c>
    </row>
    <row r="225" spans="1:46" s="13" customFormat="1" ht="105" x14ac:dyDescent="0.25">
      <c r="A225" s="9">
        <v>10390</v>
      </c>
      <c r="B225" s="10">
        <v>1888900</v>
      </c>
      <c r="C225" s="10">
        <v>1</v>
      </c>
      <c r="D225" s="9">
        <v>799</v>
      </c>
      <c r="E225" s="11" t="s">
        <v>226</v>
      </c>
      <c r="F225" s="12" t="s">
        <v>227</v>
      </c>
      <c r="G225" s="9" t="s">
        <v>228</v>
      </c>
      <c r="H225" s="34"/>
      <c r="I225" s="55" t="str">
        <f t="shared" si="7"/>
        <v>https://permalinkbnd.bnportugal.gov.pt/viewer/272786/?offset=#page=799&amp;viewer=picture&amp;o=info&amp;n=0&amp;q=</v>
      </c>
      <c r="J225" s="45"/>
      <c r="K225" s="45"/>
      <c r="L225" s="45"/>
      <c r="M225" t="s">
        <v>226</v>
      </c>
      <c r="N225">
        <v>272786</v>
      </c>
      <c r="O225" t="str">
        <f t="shared" si="6"/>
        <v>https://permalinkbnd.bnportugal.gov.pt/viewer/272786/?offset=#page=799&amp;viewer=picture&amp;o=info&amp;n=0&amp;q=</v>
      </c>
      <c r="P225">
        <v>1888900</v>
      </c>
      <c r="Q225" t="s">
        <v>226</v>
      </c>
      <c r="R225" t="s">
        <v>2168</v>
      </c>
      <c r="S225" t="s">
        <v>1178</v>
      </c>
      <c r="T225" t="s">
        <v>1192</v>
      </c>
      <c r="U225" t="s">
        <v>599</v>
      </c>
      <c r="V225" t="s">
        <v>1193</v>
      </c>
      <c r="W225" t="s">
        <v>599</v>
      </c>
      <c r="X225" t="s">
        <v>599</v>
      </c>
      <c r="Y225" t="s">
        <v>1182</v>
      </c>
      <c r="Z225" t="s">
        <v>2169</v>
      </c>
      <c r="AA225">
        <v>1958</v>
      </c>
      <c r="AB225">
        <v>1958</v>
      </c>
      <c r="AC225" t="s">
        <v>2170</v>
      </c>
      <c r="AD225" t="s">
        <v>1185</v>
      </c>
      <c r="AE225" t="s">
        <v>599</v>
      </c>
      <c r="AF225" t="s">
        <v>599</v>
      </c>
      <c r="AG225" t="s">
        <v>2171</v>
      </c>
      <c r="AH225" t="s">
        <v>599</v>
      </c>
      <c r="AI225" t="s">
        <v>599</v>
      </c>
      <c r="AJ225" t="s">
        <v>2172</v>
      </c>
      <c r="AK225" t="s">
        <v>1188</v>
      </c>
      <c r="AL225" t="s">
        <v>2173</v>
      </c>
      <c r="AM225" t="s">
        <v>1190</v>
      </c>
      <c r="AN225" t="s">
        <v>599</v>
      </c>
      <c r="AO225" t="s">
        <v>599</v>
      </c>
      <c r="AP225" t="s">
        <v>599</v>
      </c>
      <c r="AQ225" t="s">
        <v>599</v>
      </c>
      <c r="AR225" t="s">
        <v>599</v>
      </c>
      <c r="AS225" t="s">
        <v>599</v>
      </c>
      <c r="AT225" t="s">
        <v>599</v>
      </c>
    </row>
    <row r="226" spans="1:46" s="13" customFormat="1" ht="105" x14ac:dyDescent="0.25">
      <c r="A226" s="9">
        <v>10391</v>
      </c>
      <c r="B226" s="10">
        <v>1888900</v>
      </c>
      <c r="C226" s="10">
        <v>1</v>
      </c>
      <c r="D226" s="9">
        <v>800</v>
      </c>
      <c r="E226" s="11" t="s">
        <v>226</v>
      </c>
      <c r="F226" s="12" t="s">
        <v>227</v>
      </c>
      <c r="G226" s="9" t="s">
        <v>228</v>
      </c>
      <c r="H226" s="34"/>
      <c r="I226" s="55" t="str">
        <f t="shared" si="7"/>
        <v>https://permalinkbnd.bnportugal.gov.pt/viewer/272786/?offset=#page=800&amp;viewer=picture&amp;o=info&amp;n=0&amp;q=</v>
      </c>
      <c r="J226" s="45"/>
      <c r="K226" s="45"/>
      <c r="L226" s="45"/>
      <c r="M226" t="s">
        <v>226</v>
      </c>
      <c r="N226">
        <v>272786</v>
      </c>
      <c r="O226" t="str">
        <f t="shared" si="6"/>
        <v>https://permalinkbnd.bnportugal.gov.pt/viewer/272786/?offset=#page=800&amp;viewer=picture&amp;o=info&amp;n=0&amp;q=</v>
      </c>
      <c r="P226">
        <v>1888900</v>
      </c>
      <c r="Q226" t="s">
        <v>226</v>
      </c>
      <c r="R226" t="s">
        <v>2168</v>
      </c>
      <c r="S226" t="s">
        <v>1178</v>
      </c>
      <c r="T226" t="s">
        <v>1192</v>
      </c>
      <c r="U226" t="s">
        <v>599</v>
      </c>
      <c r="V226" t="s">
        <v>1193</v>
      </c>
      <c r="W226" t="s">
        <v>599</v>
      </c>
      <c r="X226" t="s">
        <v>599</v>
      </c>
      <c r="Y226" t="s">
        <v>1182</v>
      </c>
      <c r="Z226" t="s">
        <v>2169</v>
      </c>
      <c r="AA226">
        <v>1958</v>
      </c>
      <c r="AB226">
        <v>1958</v>
      </c>
      <c r="AC226" t="s">
        <v>2170</v>
      </c>
      <c r="AD226" t="s">
        <v>1185</v>
      </c>
      <c r="AE226" t="s">
        <v>599</v>
      </c>
      <c r="AF226" t="s">
        <v>599</v>
      </c>
      <c r="AG226" t="s">
        <v>2171</v>
      </c>
      <c r="AH226" t="s">
        <v>599</v>
      </c>
      <c r="AI226" t="s">
        <v>599</v>
      </c>
      <c r="AJ226" t="s">
        <v>2172</v>
      </c>
      <c r="AK226" t="s">
        <v>1188</v>
      </c>
      <c r="AL226" t="s">
        <v>2173</v>
      </c>
      <c r="AM226" t="s">
        <v>1190</v>
      </c>
      <c r="AN226" t="s">
        <v>599</v>
      </c>
      <c r="AO226" t="s">
        <v>599</v>
      </c>
      <c r="AP226" t="s">
        <v>599</v>
      </c>
      <c r="AQ226" t="s">
        <v>599</v>
      </c>
      <c r="AR226" t="s">
        <v>599</v>
      </c>
      <c r="AS226" t="s">
        <v>599</v>
      </c>
      <c r="AT226" t="s">
        <v>599</v>
      </c>
    </row>
    <row r="227" spans="1:46" s="13" customFormat="1" ht="105" x14ac:dyDescent="0.25">
      <c r="A227" s="9">
        <v>10392</v>
      </c>
      <c r="B227" s="10">
        <v>1888900</v>
      </c>
      <c r="C227" s="10">
        <v>1</v>
      </c>
      <c r="D227" s="9">
        <v>804</v>
      </c>
      <c r="E227" s="11" t="s">
        <v>226</v>
      </c>
      <c r="F227" s="12" t="s">
        <v>227</v>
      </c>
      <c r="G227" s="9" t="s">
        <v>228</v>
      </c>
      <c r="H227" s="34"/>
      <c r="I227" s="55" t="str">
        <f t="shared" si="7"/>
        <v>https://permalinkbnd.bnportugal.gov.pt/viewer/272786/?offset=#page=804&amp;viewer=picture&amp;o=info&amp;n=0&amp;q=</v>
      </c>
      <c r="J227" s="45"/>
      <c r="K227" s="45"/>
      <c r="L227" s="45"/>
      <c r="M227" t="s">
        <v>226</v>
      </c>
      <c r="N227">
        <v>272786</v>
      </c>
      <c r="O227" t="str">
        <f t="shared" si="6"/>
        <v>https://permalinkbnd.bnportugal.gov.pt/viewer/272786/?offset=#page=804&amp;viewer=picture&amp;o=info&amp;n=0&amp;q=</v>
      </c>
      <c r="P227">
        <v>1888900</v>
      </c>
      <c r="Q227" t="s">
        <v>226</v>
      </c>
      <c r="R227" t="s">
        <v>2168</v>
      </c>
      <c r="S227" t="s">
        <v>1178</v>
      </c>
      <c r="T227" t="s">
        <v>1192</v>
      </c>
      <c r="U227" t="s">
        <v>599</v>
      </c>
      <c r="V227" t="s">
        <v>1193</v>
      </c>
      <c r="W227" t="s">
        <v>599</v>
      </c>
      <c r="X227" t="s">
        <v>599</v>
      </c>
      <c r="Y227" t="s">
        <v>1182</v>
      </c>
      <c r="Z227" t="s">
        <v>2169</v>
      </c>
      <c r="AA227">
        <v>1958</v>
      </c>
      <c r="AB227">
        <v>1958</v>
      </c>
      <c r="AC227" t="s">
        <v>2170</v>
      </c>
      <c r="AD227" t="s">
        <v>1185</v>
      </c>
      <c r="AE227" t="s">
        <v>599</v>
      </c>
      <c r="AF227" t="s">
        <v>599</v>
      </c>
      <c r="AG227" t="s">
        <v>2171</v>
      </c>
      <c r="AH227" t="s">
        <v>599</v>
      </c>
      <c r="AI227" t="s">
        <v>599</v>
      </c>
      <c r="AJ227" t="s">
        <v>2172</v>
      </c>
      <c r="AK227" t="s">
        <v>1188</v>
      </c>
      <c r="AL227" t="s">
        <v>2173</v>
      </c>
      <c r="AM227" t="s">
        <v>1190</v>
      </c>
      <c r="AN227" t="s">
        <v>599</v>
      </c>
      <c r="AO227" t="s">
        <v>599</v>
      </c>
      <c r="AP227" t="s">
        <v>599</v>
      </c>
      <c r="AQ227" t="s">
        <v>599</v>
      </c>
      <c r="AR227" t="s">
        <v>599</v>
      </c>
      <c r="AS227" t="s">
        <v>599</v>
      </c>
      <c r="AT227" t="s">
        <v>599</v>
      </c>
    </row>
    <row r="228" spans="1:46" s="13" customFormat="1" ht="30" x14ac:dyDescent="0.25">
      <c r="A228" s="9">
        <v>10393</v>
      </c>
      <c r="B228" s="10">
        <v>1891325</v>
      </c>
      <c r="C228" s="10">
        <v>1</v>
      </c>
      <c r="D228" s="9">
        <v>1</v>
      </c>
      <c r="E228" s="11" t="s">
        <v>229</v>
      </c>
      <c r="F228" s="12">
        <v>1</v>
      </c>
      <c r="G228" s="9">
        <v>1</v>
      </c>
      <c r="H228" s="34"/>
      <c r="I228" s="55" t="str">
        <f t="shared" si="7"/>
        <v>https://permalinkbnd.bnportugal.gov.pt/viewer/272730/?offset=#page=1&amp;viewer=picture&amp;o=info&amp;n=0&amp;q=</v>
      </c>
      <c r="J228" s="45"/>
      <c r="K228" s="45"/>
      <c r="L228" s="45"/>
      <c r="M228" t="s">
        <v>229</v>
      </c>
      <c r="N228">
        <v>272730</v>
      </c>
      <c r="O228" t="str">
        <f t="shared" si="6"/>
        <v>https://permalinkbnd.bnportugal.gov.pt/viewer/272730/?offset=#page=1&amp;viewer=picture&amp;o=info&amp;n=0&amp;q=</v>
      </c>
      <c r="P228">
        <v>1891325</v>
      </c>
      <c r="Q228" t="s">
        <v>229</v>
      </c>
      <c r="R228" t="s">
        <v>2174</v>
      </c>
      <c r="S228" t="s">
        <v>1312</v>
      </c>
      <c r="T228" t="s">
        <v>1192</v>
      </c>
      <c r="U228" t="s">
        <v>599</v>
      </c>
      <c r="V228" t="s">
        <v>2175</v>
      </c>
      <c r="W228" t="s">
        <v>2176</v>
      </c>
      <c r="X228" t="s">
        <v>599</v>
      </c>
      <c r="Y228" t="s">
        <v>1182</v>
      </c>
      <c r="Z228" t="s">
        <v>1453</v>
      </c>
      <c r="AA228">
        <v>1890</v>
      </c>
      <c r="AB228">
        <v>1890</v>
      </c>
      <c r="AC228" t="s">
        <v>1454</v>
      </c>
      <c r="AD228" t="s">
        <v>599</v>
      </c>
      <c r="AE228" t="s">
        <v>599</v>
      </c>
      <c r="AF228" t="s">
        <v>599</v>
      </c>
      <c r="AG228" t="s">
        <v>2177</v>
      </c>
      <c r="AH228" t="s">
        <v>599</v>
      </c>
      <c r="AI228" t="s">
        <v>599</v>
      </c>
      <c r="AJ228" t="s">
        <v>2178</v>
      </c>
      <c r="AK228" t="s">
        <v>1188</v>
      </c>
      <c r="AL228" t="s">
        <v>2179</v>
      </c>
      <c r="AM228" t="s">
        <v>1190</v>
      </c>
      <c r="AN228" t="s">
        <v>599</v>
      </c>
      <c r="AO228" t="s">
        <v>2180</v>
      </c>
      <c r="AP228" t="s">
        <v>599</v>
      </c>
      <c r="AQ228" t="s">
        <v>599</v>
      </c>
      <c r="AR228" t="s">
        <v>599</v>
      </c>
      <c r="AS228" t="s">
        <v>599</v>
      </c>
      <c r="AT228" t="s">
        <v>599</v>
      </c>
    </row>
    <row r="229" spans="1:46" s="13" customFormat="1" ht="30" x14ac:dyDescent="0.25">
      <c r="A229" s="9">
        <v>10396</v>
      </c>
      <c r="B229" s="10">
        <v>1915110</v>
      </c>
      <c r="C229" s="10">
        <v>1</v>
      </c>
      <c r="D229" s="9">
        <v>3</v>
      </c>
      <c r="E229" s="11" t="s">
        <v>230</v>
      </c>
      <c r="F229" s="12">
        <v>3</v>
      </c>
      <c r="G229" s="9">
        <v>3</v>
      </c>
      <c r="H229" s="34"/>
      <c r="I229" s="55" t="str">
        <f t="shared" si="7"/>
        <v>https://permalinkbnd.bnportugal.gov.pt/viewer/67153/?offset=#page=3&amp;viewer=picture&amp;o=info&amp;n=0&amp;q=</v>
      </c>
      <c r="J229" s="45"/>
      <c r="K229" s="45"/>
      <c r="L229" s="45"/>
      <c r="M229" t="s">
        <v>230</v>
      </c>
      <c r="N229">
        <v>67153</v>
      </c>
      <c r="O229" t="str">
        <f t="shared" si="6"/>
        <v>https://permalinkbnd.bnportugal.gov.pt/viewer/67153/?offset=#page=3&amp;viewer=picture&amp;o=info&amp;n=0&amp;q=</v>
      </c>
      <c r="P229">
        <v>1915110</v>
      </c>
      <c r="Q229" t="s">
        <v>230</v>
      </c>
      <c r="R229" t="s">
        <v>2181</v>
      </c>
      <c r="S229" t="s">
        <v>2127</v>
      </c>
      <c r="T229" t="s">
        <v>1362</v>
      </c>
      <c r="U229" t="s">
        <v>599</v>
      </c>
      <c r="V229" t="s">
        <v>2182</v>
      </c>
      <c r="W229" t="s">
        <v>2183</v>
      </c>
      <c r="X229" t="s">
        <v>599</v>
      </c>
      <c r="Y229" t="s">
        <v>1182</v>
      </c>
      <c r="Z229" t="s">
        <v>2184</v>
      </c>
      <c r="AA229">
        <v>1867</v>
      </c>
      <c r="AB229">
        <v>1867</v>
      </c>
      <c r="AC229" t="s">
        <v>599</v>
      </c>
      <c r="AD229" t="s">
        <v>2185</v>
      </c>
      <c r="AE229" t="s">
        <v>599</v>
      </c>
      <c r="AF229" t="s">
        <v>599</v>
      </c>
      <c r="AG229" t="s">
        <v>2186</v>
      </c>
      <c r="AH229" t="s">
        <v>599</v>
      </c>
      <c r="AI229" t="s">
        <v>2187</v>
      </c>
      <c r="AJ229" t="s">
        <v>2188</v>
      </c>
      <c r="AK229" t="s">
        <v>1188</v>
      </c>
      <c r="AL229" t="s">
        <v>2189</v>
      </c>
      <c r="AM229" t="s">
        <v>1190</v>
      </c>
      <c r="AN229" t="s">
        <v>2190</v>
      </c>
      <c r="AO229" t="s">
        <v>599</v>
      </c>
      <c r="AP229" t="s">
        <v>599</v>
      </c>
      <c r="AQ229" t="s">
        <v>599</v>
      </c>
      <c r="AR229" t="s">
        <v>599</v>
      </c>
      <c r="AS229" t="s">
        <v>2191</v>
      </c>
      <c r="AT229" t="s">
        <v>599</v>
      </c>
    </row>
    <row r="230" spans="1:46" s="13" customFormat="1" ht="30" x14ac:dyDescent="0.25">
      <c r="A230" s="9">
        <v>10399</v>
      </c>
      <c r="B230" s="10">
        <v>1976927</v>
      </c>
      <c r="C230" s="10">
        <v>1</v>
      </c>
      <c r="D230" s="9">
        <v>1</v>
      </c>
      <c r="E230" s="11" t="s">
        <v>231</v>
      </c>
      <c r="F230" s="12">
        <v>1</v>
      </c>
      <c r="G230" s="9">
        <v>1</v>
      </c>
      <c r="H230" s="34"/>
      <c r="I230" s="55" t="str">
        <f t="shared" si="7"/>
        <v>https://permalinkbnd.bnportugal.gov.pt/viewer/272792/?offset=#page=1&amp;viewer=picture&amp;o=info&amp;n=0&amp;q=</v>
      </c>
      <c r="J230" s="45"/>
      <c r="K230" s="45"/>
      <c r="L230" s="45"/>
      <c r="M230" t="s">
        <v>231</v>
      </c>
      <c r="N230">
        <v>272792</v>
      </c>
      <c r="O230" t="str">
        <f t="shared" si="6"/>
        <v>https://permalinkbnd.bnportugal.gov.pt/viewer/272792/?offset=#page=1&amp;viewer=picture&amp;o=info&amp;n=0&amp;q=</v>
      </c>
      <c r="P230">
        <v>1976927</v>
      </c>
      <c r="Q230" t="s">
        <v>231</v>
      </c>
      <c r="R230" t="s">
        <v>2192</v>
      </c>
      <c r="S230" t="s">
        <v>1312</v>
      </c>
      <c r="T230" t="s">
        <v>1192</v>
      </c>
      <c r="U230" t="s">
        <v>599</v>
      </c>
      <c r="V230" t="s">
        <v>2193</v>
      </c>
      <c r="W230" t="s">
        <v>2194</v>
      </c>
      <c r="X230" t="s">
        <v>599</v>
      </c>
      <c r="Y230" t="s">
        <v>1182</v>
      </c>
      <c r="Z230" t="s">
        <v>2195</v>
      </c>
      <c r="AA230">
        <v>1903</v>
      </c>
      <c r="AB230">
        <v>1903</v>
      </c>
      <c r="AC230" t="s">
        <v>2056</v>
      </c>
      <c r="AD230" t="s">
        <v>2196</v>
      </c>
      <c r="AE230" t="s">
        <v>599</v>
      </c>
      <c r="AF230" t="s">
        <v>599</v>
      </c>
      <c r="AG230" t="s">
        <v>2197</v>
      </c>
      <c r="AH230" t="s">
        <v>599</v>
      </c>
      <c r="AI230" t="s">
        <v>599</v>
      </c>
      <c r="AJ230" t="s">
        <v>2198</v>
      </c>
      <c r="AK230" t="s">
        <v>1188</v>
      </c>
      <c r="AL230" t="s">
        <v>2199</v>
      </c>
      <c r="AM230" t="s">
        <v>1190</v>
      </c>
      <c r="AN230" t="s">
        <v>599</v>
      </c>
      <c r="AO230" t="s">
        <v>599</v>
      </c>
      <c r="AP230" t="s">
        <v>599</v>
      </c>
      <c r="AQ230" t="s">
        <v>599</v>
      </c>
      <c r="AR230" t="s">
        <v>599</v>
      </c>
      <c r="AS230" t="s">
        <v>599</v>
      </c>
      <c r="AT230" t="s">
        <v>599</v>
      </c>
    </row>
    <row r="231" spans="1:46" s="13" customFormat="1" ht="30" x14ac:dyDescent="0.25">
      <c r="A231" s="9">
        <v>10400</v>
      </c>
      <c r="B231" s="10">
        <v>1979399</v>
      </c>
      <c r="C231" s="10">
        <v>1</v>
      </c>
      <c r="D231" s="9">
        <v>1</v>
      </c>
      <c r="E231" s="11" t="s">
        <v>232</v>
      </c>
      <c r="F231" s="12">
        <v>1</v>
      </c>
      <c r="G231" s="9">
        <v>1</v>
      </c>
      <c r="H231" s="34"/>
      <c r="I231" s="55" t="str">
        <f t="shared" si="7"/>
        <v>https://permalinkbnd.bnportugal.gov.pt/viewer/272811/?offset=#page=1&amp;viewer=picture&amp;o=info&amp;n=0&amp;q=</v>
      </c>
      <c r="J231" s="45"/>
      <c r="K231" s="45"/>
      <c r="L231" s="45"/>
      <c r="M231" t="s">
        <v>232</v>
      </c>
      <c r="N231">
        <v>272811</v>
      </c>
      <c r="O231" t="str">
        <f t="shared" si="6"/>
        <v>https://permalinkbnd.bnportugal.gov.pt/viewer/272811/?offset=#page=1&amp;viewer=picture&amp;o=info&amp;n=0&amp;q=</v>
      </c>
      <c r="P231">
        <v>1979399</v>
      </c>
      <c r="Q231" t="s">
        <v>232</v>
      </c>
      <c r="R231" t="s">
        <v>2200</v>
      </c>
      <c r="S231" t="s">
        <v>1312</v>
      </c>
      <c r="T231" t="s">
        <v>1192</v>
      </c>
      <c r="U231" t="s">
        <v>599</v>
      </c>
      <c r="V231" t="s">
        <v>2201</v>
      </c>
      <c r="W231" t="s">
        <v>599</v>
      </c>
      <c r="X231" t="s">
        <v>599</v>
      </c>
      <c r="Y231" t="s">
        <v>1182</v>
      </c>
      <c r="Z231" t="s">
        <v>2202</v>
      </c>
      <c r="AA231">
        <v>1911</v>
      </c>
      <c r="AB231">
        <v>1911</v>
      </c>
      <c r="AC231" t="s">
        <v>2203</v>
      </c>
      <c r="AD231" t="s">
        <v>599</v>
      </c>
      <c r="AE231" t="s">
        <v>2204</v>
      </c>
      <c r="AF231" t="s">
        <v>599</v>
      </c>
      <c r="AG231" t="s">
        <v>599</v>
      </c>
      <c r="AH231" t="s">
        <v>599</v>
      </c>
      <c r="AI231" t="s">
        <v>599</v>
      </c>
      <c r="AJ231" t="s">
        <v>2205</v>
      </c>
      <c r="AK231" t="s">
        <v>1188</v>
      </c>
      <c r="AL231" t="s">
        <v>2206</v>
      </c>
      <c r="AM231" t="s">
        <v>1190</v>
      </c>
      <c r="AN231" t="s">
        <v>599</v>
      </c>
      <c r="AO231" t="s">
        <v>599</v>
      </c>
      <c r="AP231" t="s">
        <v>2207</v>
      </c>
      <c r="AQ231" t="s">
        <v>599</v>
      </c>
      <c r="AR231" t="s">
        <v>599</v>
      </c>
      <c r="AS231" t="s">
        <v>599</v>
      </c>
      <c r="AT231" t="s">
        <v>599</v>
      </c>
    </row>
    <row r="232" spans="1:46" s="13" customFormat="1" ht="30" x14ac:dyDescent="0.25">
      <c r="A232" s="9">
        <v>10401</v>
      </c>
      <c r="B232" s="10">
        <v>1979400</v>
      </c>
      <c r="C232" s="10">
        <v>1</v>
      </c>
      <c r="D232" s="9">
        <v>1</v>
      </c>
      <c r="E232" s="11" t="s">
        <v>233</v>
      </c>
      <c r="F232" s="12">
        <v>1</v>
      </c>
      <c r="G232" s="9">
        <v>1</v>
      </c>
      <c r="H232" s="34"/>
      <c r="I232" s="55" t="str">
        <f t="shared" si="7"/>
        <v>https://permalinkbnd.bnportugal.gov.pt/viewer/272812/?offset=#page=1&amp;viewer=picture&amp;o=info&amp;n=0&amp;q=</v>
      </c>
      <c r="J232" s="45"/>
      <c r="K232" s="45"/>
      <c r="L232" s="45"/>
      <c r="M232" t="s">
        <v>233</v>
      </c>
      <c r="N232">
        <v>272812</v>
      </c>
      <c r="O232" t="str">
        <f t="shared" si="6"/>
        <v>https://permalinkbnd.bnportugal.gov.pt/viewer/272812/?offset=#page=1&amp;viewer=picture&amp;o=info&amp;n=0&amp;q=</v>
      </c>
      <c r="P232">
        <v>1979400</v>
      </c>
      <c r="Q232" t="s">
        <v>233</v>
      </c>
      <c r="R232" t="s">
        <v>2208</v>
      </c>
      <c r="S232" t="s">
        <v>1312</v>
      </c>
      <c r="T232" t="s">
        <v>1192</v>
      </c>
      <c r="U232" t="s">
        <v>599</v>
      </c>
      <c r="V232" t="s">
        <v>2209</v>
      </c>
      <c r="W232" t="s">
        <v>599</v>
      </c>
      <c r="X232" t="s">
        <v>599</v>
      </c>
      <c r="Y232" t="s">
        <v>1182</v>
      </c>
      <c r="Z232" t="s">
        <v>2202</v>
      </c>
      <c r="AA232">
        <v>1911</v>
      </c>
      <c r="AB232">
        <v>1911</v>
      </c>
      <c r="AC232" t="s">
        <v>2203</v>
      </c>
      <c r="AD232" t="s">
        <v>599</v>
      </c>
      <c r="AE232" t="s">
        <v>2204</v>
      </c>
      <c r="AF232" t="s">
        <v>599</v>
      </c>
      <c r="AG232" t="s">
        <v>599</v>
      </c>
      <c r="AH232" t="s">
        <v>599</v>
      </c>
      <c r="AI232" t="s">
        <v>599</v>
      </c>
      <c r="AJ232" t="s">
        <v>2210</v>
      </c>
      <c r="AK232" t="s">
        <v>1188</v>
      </c>
      <c r="AL232" t="s">
        <v>2211</v>
      </c>
      <c r="AM232" t="s">
        <v>1190</v>
      </c>
      <c r="AN232" t="s">
        <v>599</v>
      </c>
      <c r="AO232" t="s">
        <v>599</v>
      </c>
      <c r="AP232" t="s">
        <v>2207</v>
      </c>
      <c r="AQ232" t="s">
        <v>599</v>
      </c>
      <c r="AR232" t="s">
        <v>599</v>
      </c>
      <c r="AS232" t="s">
        <v>599</v>
      </c>
      <c r="AT232" t="s">
        <v>599</v>
      </c>
    </row>
    <row r="233" spans="1:46" s="13" customFormat="1" ht="30" x14ac:dyDescent="0.25">
      <c r="A233" s="9">
        <v>10418</v>
      </c>
      <c r="B233" s="10">
        <v>2129622</v>
      </c>
      <c r="C233" s="10">
        <v>1</v>
      </c>
      <c r="D233" s="9">
        <v>7</v>
      </c>
      <c r="E233" s="11" t="s">
        <v>234</v>
      </c>
      <c r="F233" s="12" t="s">
        <v>235</v>
      </c>
      <c r="G233" s="9" t="s">
        <v>236</v>
      </c>
      <c r="H233" s="34"/>
      <c r="I233" s="55" t="str">
        <f t="shared" si="7"/>
        <v>https://permalinkbnd.bnportugal.gov.pt/viewer/281142/?offset=#page=7&amp;viewer=picture&amp;o=info&amp;n=0&amp;q=</v>
      </c>
      <c r="J233" s="45"/>
      <c r="K233" s="45"/>
      <c r="L233" s="45"/>
      <c r="M233" t="s">
        <v>234</v>
      </c>
      <c r="N233">
        <v>281142</v>
      </c>
      <c r="O233" t="str">
        <f t="shared" si="6"/>
        <v>https://permalinkbnd.bnportugal.gov.pt/viewer/281142/?offset=#page=7&amp;viewer=picture&amp;o=info&amp;n=0&amp;q=</v>
      </c>
      <c r="P233">
        <v>2129622</v>
      </c>
      <c r="Q233" t="s">
        <v>234</v>
      </c>
      <c r="R233" t="s">
        <v>2212</v>
      </c>
      <c r="S233" t="s">
        <v>1517</v>
      </c>
      <c r="T233" t="s">
        <v>2213</v>
      </c>
      <c r="U233" t="s">
        <v>599</v>
      </c>
      <c r="V233" t="s">
        <v>2214</v>
      </c>
      <c r="W233" t="s">
        <v>599</v>
      </c>
      <c r="X233" t="s">
        <v>599</v>
      </c>
      <c r="Y233" t="s">
        <v>1182</v>
      </c>
      <c r="Z233" t="s">
        <v>599</v>
      </c>
      <c r="AA233">
        <v>1712</v>
      </c>
      <c r="AB233">
        <v>1712</v>
      </c>
      <c r="AC233" t="s">
        <v>2215</v>
      </c>
      <c r="AD233" t="s">
        <v>599</v>
      </c>
      <c r="AE233" t="s">
        <v>599</v>
      </c>
      <c r="AF233" t="s">
        <v>2216</v>
      </c>
      <c r="AG233" t="s">
        <v>599</v>
      </c>
      <c r="AH233" t="s">
        <v>599</v>
      </c>
      <c r="AI233" t="s">
        <v>599</v>
      </c>
      <c r="AJ233" t="s">
        <v>2217</v>
      </c>
      <c r="AK233" t="s">
        <v>1188</v>
      </c>
      <c r="AL233" t="s">
        <v>2218</v>
      </c>
      <c r="AM233" t="s">
        <v>1190</v>
      </c>
      <c r="AN233" t="s">
        <v>2219</v>
      </c>
      <c r="AO233" t="s">
        <v>2220</v>
      </c>
      <c r="AP233" t="s">
        <v>2221</v>
      </c>
      <c r="AQ233" t="s">
        <v>599</v>
      </c>
      <c r="AR233" t="s">
        <v>599</v>
      </c>
      <c r="AS233" t="s">
        <v>599</v>
      </c>
      <c r="AT233" t="s">
        <v>599</v>
      </c>
    </row>
    <row r="234" spans="1:46" s="13" customFormat="1" ht="30" x14ac:dyDescent="0.25">
      <c r="A234" s="9">
        <v>10419</v>
      </c>
      <c r="B234" s="10">
        <v>2129622</v>
      </c>
      <c r="C234" s="10">
        <v>1</v>
      </c>
      <c r="D234" s="9">
        <v>9</v>
      </c>
      <c r="E234" s="11" t="s">
        <v>234</v>
      </c>
      <c r="F234" s="12" t="s">
        <v>235</v>
      </c>
      <c r="G234" s="9" t="s">
        <v>236</v>
      </c>
      <c r="H234" s="34"/>
      <c r="I234" s="55" t="str">
        <f t="shared" si="7"/>
        <v>https://permalinkbnd.bnportugal.gov.pt/viewer/281142/?offset=#page=9&amp;viewer=picture&amp;o=info&amp;n=0&amp;q=</v>
      </c>
      <c r="J234" s="45"/>
      <c r="K234" s="45"/>
      <c r="L234" s="45"/>
      <c r="M234" t="s">
        <v>234</v>
      </c>
      <c r="N234">
        <v>281142</v>
      </c>
      <c r="O234" t="str">
        <f t="shared" si="6"/>
        <v>https://permalinkbnd.bnportugal.gov.pt/viewer/281142/?offset=#page=9&amp;viewer=picture&amp;o=info&amp;n=0&amp;q=</v>
      </c>
      <c r="P234">
        <v>2129622</v>
      </c>
      <c r="Q234" t="s">
        <v>234</v>
      </c>
      <c r="R234" t="s">
        <v>2212</v>
      </c>
      <c r="S234" t="s">
        <v>1517</v>
      </c>
      <c r="T234" t="s">
        <v>2213</v>
      </c>
      <c r="U234" t="s">
        <v>599</v>
      </c>
      <c r="V234" t="s">
        <v>2214</v>
      </c>
      <c r="W234" t="s">
        <v>599</v>
      </c>
      <c r="X234" t="s">
        <v>599</v>
      </c>
      <c r="Y234" t="s">
        <v>1182</v>
      </c>
      <c r="Z234" t="s">
        <v>599</v>
      </c>
      <c r="AA234">
        <v>1712</v>
      </c>
      <c r="AB234">
        <v>1712</v>
      </c>
      <c r="AC234" t="s">
        <v>2215</v>
      </c>
      <c r="AD234" t="s">
        <v>599</v>
      </c>
      <c r="AE234" t="s">
        <v>599</v>
      </c>
      <c r="AF234" t="s">
        <v>2216</v>
      </c>
      <c r="AG234" t="s">
        <v>599</v>
      </c>
      <c r="AH234" t="s">
        <v>599</v>
      </c>
      <c r="AI234" t="s">
        <v>599</v>
      </c>
      <c r="AJ234" t="s">
        <v>2217</v>
      </c>
      <c r="AK234" t="s">
        <v>1188</v>
      </c>
      <c r="AL234" t="s">
        <v>2218</v>
      </c>
      <c r="AM234" t="s">
        <v>1190</v>
      </c>
      <c r="AN234" t="s">
        <v>2219</v>
      </c>
      <c r="AO234" t="s">
        <v>2220</v>
      </c>
      <c r="AP234" t="s">
        <v>2221</v>
      </c>
      <c r="AQ234" t="s">
        <v>599</v>
      </c>
      <c r="AR234" t="s">
        <v>599</v>
      </c>
      <c r="AS234" t="s">
        <v>599</v>
      </c>
      <c r="AT234" t="s">
        <v>599</v>
      </c>
    </row>
    <row r="235" spans="1:46" s="13" customFormat="1" ht="30" x14ac:dyDescent="0.25">
      <c r="A235" s="9">
        <v>10426</v>
      </c>
      <c r="B235" s="10">
        <v>586409</v>
      </c>
      <c r="C235" s="10">
        <v>1</v>
      </c>
      <c r="D235" s="9">
        <v>1</v>
      </c>
      <c r="E235" s="11" t="s">
        <v>237</v>
      </c>
      <c r="F235" s="12">
        <v>1</v>
      </c>
      <c r="G235" s="9">
        <v>1</v>
      </c>
      <c r="H235" s="34"/>
      <c r="I235" s="55" t="str">
        <f t="shared" si="7"/>
        <v>https://permalinkbnd.bnportugal.gov.pt/viewer/276786/?offset=#page=1&amp;viewer=picture&amp;o=info&amp;n=0&amp;q=</v>
      </c>
      <c r="J235" s="45"/>
      <c r="K235" s="45"/>
      <c r="L235" s="45"/>
      <c r="M235" t="s">
        <v>237</v>
      </c>
      <c r="N235">
        <v>276786</v>
      </c>
      <c r="O235" t="str">
        <f t="shared" si="6"/>
        <v>https://permalinkbnd.bnportugal.gov.pt/viewer/276786/?offset=#page=1&amp;viewer=picture&amp;o=info&amp;n=0&amp;q=</v>
      </c>
      <c r="P235">
        <v>586409</v>
      </c>
      <c r="Q235" t="s">
        <v>237</v>
      </c>
      <c r="R235" t="s">
        <v>2222</v>
      </c>
      <c r="S235" t="s">
        <v>1178</v>
      </c>
      <c r="T235" t="s">
        <v>1192</v>
      </c>
      <c r="U235" t="s">
        <v>599</v>
      </c>
      <c r="V235" t="s">
        <v>2223</v>
      </c>
      <c r="W235" t="s">
        <v>2224</v>
      </c>
      <c r="X235" t="s">
        <v>599</v>
      </c>
      <c r="Y235" t="s">
        <v>1182</v>
      </c>
      <c r="Z235" t="s">
        <v>2225</v>
      </c>
      <c r="AA235">
        <v>1850</v>
      </c>
      <c r="AB235">
        <v>1850</v>
      </c>
      <c r="AC235" t="s">
        <v>1391</v>
      </c>
      <c r="AD235" t="s">
        <v>2226</v>
      </c>
      <c r="AE235" t="s">
        <v>599</v>
      </c>
      <c r="AF235" t="s">
        <v>599</v>
      </c>
      <c r="AG235" t="s">
        <v>599</v>
      </c>
      <c r="AH235" t="s">
        <v>599</v>
      </c>
      <c r="AI235" t="s">
        <v>599</v>
      </c>
      <c r="AJ235" t="s">
        <v>2227</v>
      </c>
      <c r="AK235" t="s">
        <v>1441</v>
      </c>
      <c r="AL235" t="s">
        <v>2228</v>
      </c>
      <c r="AM235" t="s">
        <v>1190</v>
      </c>
      <c r="AN235" t="s">
        <v>599</v>
      </c>
      <c r="AO235" t="s">
        <v>599</v>
      </c>
      <c r="AP235" t="s">
        <v>599</v>
      </c>
      <c r="AQ235" t="s">
        <v>599</v>
      </c>
      <c r="AR235" t="s">
        <v>2229</v>
      </c>
      <c r="AS235" t="s">
        <v>599</v>
      </c>
      <c r="AT235" t="s">
        <v>599</v>
      </c>
    </row>
    <row r="236" spans="1:46" s="13" customFormat="1" ht="30" x14ac:dyDescent="0.25">
      <c r="A236" s="9">
        <v>10450</v>
      </c>
      <c r="B236" s="10">
        <v>811645</v>
      </c>
      <c r="C236" s="10">
        <v>1</v>
      </c>
      <c r="D236" s="9">
        <v>1</v>
      </c>
      <c r="E236" s="11" t="s">
        <v>238</v>
      </c>
      <c r="F236" s="12">
        <v>1</v>
      </c>
      <c r="G236" s="9">
        <v>1</v>
      </c>
      <c r="H236" s="34"/>
      <c r="I236" s="55" t="str">
        <f t="shared" si="7"/>
        <v>https://permalinkbnd.bnportugal.gov.pt/viewer/274457/?offset=#page=1&amp;viewer=picture&amp;o=info&amp;n=0&amp;q=</v>
      </c>
      <c r="J236" s="45"/>
      <c r="K236" s="45"/>
      <c r="L236" s="45"/>
      <c r="M236" t="s">
        <v>238</v>
      </c>
      <c r="N236">
        <v>274457</v>
      </c>
      <c r="O236" t="str">
        <f t="shared" si="6"/>
        <v>https://permalinkbnd.bnportugal.gov.pt/viewer/274457/?offset=#page=1&amp;viewer=picture&amp;o=info&amp;n=0&amp;q=</v>
      </c>
      <c r="P236">
        <v>811645</v>
      </c>
      <c r="Q236" t="s">
        <v>238</v>
      </c>
      <c r="R236" t="s">
        <v>2230</v>
      </c>
      <c r="S236" t="s">
        <v>1178</v>
      </c>
      <c r="T236" t="s">
        <v>1362</v>
      </c>
      <c r="U236" t="s">
        <v>599</v>
      </c>
      <c r="V236" t="s">
        <v>2231</v>
      </c>
      <c r="W236" t="s">
        <v>2232</v>
      </c>
      <c r="X236" t="s">
        <v>599</v>
      </c>
      <c r="Y236" t="s">
        <v>1182</v>
      </c>
      <c r="Z236" t="s">
        <v>2233</v>
      </c>
      <c r="AA236">
        <v>1884</v>
      </c>
      <c r="AB236">
        <v>1884</v>
      </c>
      <c r="AC236" t="s">
        <v>2234</v>
      </c>
      <c r="AD236" t="s">
        <v>599</v>
      </c>
      <c r="AE236" t="s">
        <v>599</v>
      </c>
      <c r="AF236" t="s">
        <v>599</v>
      </c>
      <c r="AG236" t="s">
        <v>2235</v>
      </c>
      <c r="AH236" t="s">
        <v>599</v>
      </c>
      <c r="AI236" t="s">
        <v>599</v>
      </c>
      <c r="AJ236" t="s">
        <v>2236</v>
      </c>
      <c r="AK236" t="s">
        <v>1188</v>
      </c>
      <c r="AL236" t="s">
        <v>2237</v>
      </c>
      <c r="AM236" t="s">
        <v>1190</v>
      </c>
      <c r="AN236" t="s">
        <v>599</v>
      </c>
      <c r="AO236" t="s">
        <v>599</v>
      </c>
      <c r="AP236" t="s">
        <v>599</v>
      </c>
      <c r="AQ236" t="s">
        <v>599</v>
      </c>
      <c r="AR236" t="s">
        <v>599</v>
      </c>
      <c r="AS236" t="s">
        <v>599</v>
      </c>
      <c r="AT236" t="s">
        <v>599</v>
      </c>
    </row>
    <row r="237" spans="1:46" s="13" customFormat="1" ht="30" x14ac:dyDescent="0.25">
      <c r="A237" s="9">
        <v>10452</v>
      </c>
      <c r="B237" s="10">
        <v>742175</v>
      </c>
      <c r="C237" s="10">
        <v>1</v>
      </c>
      <c r="D237" s="9">
        <v>7</v>
      </c>
      <c r="E237" s="11" t="s">
        <v>239</v>
      </c>
      <c r="F237" s="12" t="s">
        <v>172</v>
      </c>
      <c r="G237" s="9"/>
      <c r="H237" s="34"/>
      <c r="I237" s="55" t="str">
        <f t="shared" si="7"/>
        <v>https://permalinkbnd.bnportugal.gov.pt/viewer/274458/?offset=#page=7&amp;viewer=picture&amp;o=info&amp;n=0&amp;q=</v>
      </c>
      <c r="J237" s="45"/>
      <c r="K237" s="45"/>
      <c r="L237" s="45"/>
      <c r="M237" t="s">
        <v>239</v>
      </c>
      <c r="N237">
        <v>274458</v>
      </c>
      <c r="O237" t="str">
        <f t="shared" si="6"/>
        <v>https://permalinkbnd.bnportugal.gov.pt/viewer/274458/?offset=#page=7&amp;viewer=picture&amp;o=info&amp;n=0&amp;q=</v>
      </c>
      <c r="P237">
        <v>742175</v>
      </c>
      <c r="Q237" t="s">
        <v>239</v>
      </c>
      <c r="R237" t="s">
        <v>2238</v>
      </c>
      <c r="S237" t="s">
        <v>1178</v>
      </c>
      <c r="T237" t="s">
        <v>1179</v>
      </c>
      <c r="U237" t="s">
        <v>1192</v>
      </c>
      <c r="V237" t="s">
        <v>2239</v>
      </c>
      <c r="W237" t="s">
        <v>2240</v>
      </c>
      <c r="X237" t="s">
        <v>599</v>
      </c>
      <c r="Y237" t="s">
        <v>1182</v>
      </c>
      <c r="Z237" t="s">
        <v>2241</v>
      </c>
      <c r="AA237">
        <v>1898</v>
      </c>
      <c r="AB237">
        <v>1898</v>
      </c>
      <c r="AC237" t="s">
        <v>2242</v>
      </c>
      <c r="AD237" t="s">
        <v>1185</v>
      </c>
      <c r="AE237" t="s">
        <v>599</v>
      </c>
      <c r="AF237" t="s">
        <v>599</v>
      </c>
      <c r="AG237" t="s">
        <v>2243</v>
      </c>
      <c r="AH237" t="s">
        <v>599</v>
      </c>
      <c r="AI237" t="s">
        <v>599</v>
      </c>
      <c r="AJ237" t="s">
        <v>2244</v>
      </c>
      <c r="AK237" t="s">
        <v>1188</v>
      </c>
      <c r="AL237" t="s">
        <v>2245</v>
      </c>
      <c r="AM237" t="s">
        <v>1190</v>
      </c>
      <c r="AN237" t="s">
        <v>599</v>
      </c>
      <c r="AO237" t="s">
        <v>599</v>
      </c>
      <c r="AP237" t="s">
        <v>599</v>
      </c>
      <c r="AQ237" t="s">
        <v>599</v>
      </c>
      <c r="AR237" t="s">
        <v>599</v>
      </c>
      <c r="AS237" t="s">
        <v>599</v>
      </c>
      <c r="AT237" t="s">
        <v>599</v>
      </c>
    </row>
    <row r="238" spans="1:46" s="13" customFormat="1" ht="30" x14ac:dyDescent="0.25">
      <c r="A238" s="9">
        <v>10453</v>
      </c>
      <c r="B238" s="10">
        <v>742176</v>
      </c>
      <c r="C238" s="10">
        <v>1</v>
      </c>
      <c r="D238" s="9">
        <v>3</v>
      </c>
      <c r="E238" s="11" t="s">
        <v>240</v>
      </c>
      <c r="F238" s="12" t="s">
        <v>188</v>
      </c>
      <c r="G238" s="9"/>
      <c r="H238" s="34"/>
      <c r="I238" s="55" t="str">
        <f t="shared" si="7"/>
        <v>https://permalinkbnd.bnportugal.gov.pt/viewer/274459/?offset=#page=3&amp;viewer=picture&amp;o=info&amp;n=0&amp;q=</v>
      </c>
      <c r="J238" s="45"/>
      <c r="K238" s="45"/>
      <c r="L238" s="45"/>
      <c r="M238" t="s">
        <v>240</v>
      </c>
      <c r="N238">
        <v>274459</v>
      </c>
      <c r="O238" t="str">
        <f t="shared" si="6"/>
        <v>https://permalinkbnd.bnportugal.gov.pt/viewer/274459/?offset=#page=3&amp;viewer=picture&amp;o=info&amp;n=0&amp;q=</v>
      </c>
      <c r="P238">
        <v>742176</v>
      </c>
      <c r="Q238" t="s">
        <v>240</v>
      </c>
      <c r="R238" t="s">
        <v>2246</v>
      </c>
      <c r="S238" t="s">
        <v>1178</v>
      </c>
      <c r="T238" t="s">
        <v>1192</v>
      </c>
      <c r="U238" t="s">
        <v>599</v>
      </c>
      <c r="V238" t="s">
        <v>2247</v>
      </c>
      <c r="W238" t="s">
        <v>599</v>
      </c>
      <c r="X238" t="s">
        <v>599</v>
      </c>
      <c r="Y238" t="s">
        <v>1182</v>
      </c>
      <c r="Z238" t="s">
        <v>2241</v>
      </c>
      <c r="AA238">
        <v>1915</v>
      </c>
      <c r="AB238">
        <v>1915</v>
      </c>
      <c r="AC238" t="s">
        <v>2248</v>
      </c>
      <c r="AD238" t="s">
        <v>2249</v>
      </c>
      <c r="AE238" t="s">
        <v>599</v>
      </c>
      <c r="AF238" t="s">
        <v>599</v>
      </c>
      <c r="AG238" t="s">
        <v>599</v>
      </c>
      <c r="AH238" t="s">
        <v>599</v>
      </c>
      <c r="AI238" t="s">
        <v>599</v>
      </c>
      <c r="AJ238" t="s">
        <v>2250</v>
      </c>
      <c r="AK238" t="s">
        <v>1188</v>
      </c>
      <c r="AL238" t="s">
        <v>2251</v>
      </c>
      <c r="AM238" t="s">
        <v>1190</v>
      </c>
      <c r="AN238" t="s">
        <v>599</v>
      </c>
      <c r="AO238" t="s">
        <v>599</v>
      </c>
      <c r="AP238" t="s">
        <v>599</v>
      </c>
      <c r="AQ238" t="s">
        <v>599</v>
      </c>
      <c r="AR238" t="s">
        <v>599</v>
      </c>
      <c r="AS238" t="s">
        <v>599</v>
      </c>
      <c r="AT238" t="s">
        <v>599</v>
      </c>
    </row>
    <row r="239" spans="1:46" s="13" customFormat="1" ht="30" x14ac:dyDescent="0.25">
      <c r="A239" s="9">
        <v>10455</v>
      </c>
      <c r="B239" s="10">
        <v>742180</v>
      </c>
      <c r="C239" s="10">
        <v>1</v>
      </c>
      <c r="D239" s="9">
        <v>5</v>
      </c>
      <c r="E239" s="11" t="s">
        <v>241</v>
      </c>
      <c r="F239" s="12" t="s">
        <v>143</v>
      </c>
      <c r="G239" s="9"/>
      <c r="H239" s="34"/>
      <c r="I239" s="55" t="str">
        <f t="shared" si="7"/>
        <v>https://permalinkbnd.bnportugal.gov.pt/viewer/274957/?offset=#page=5&amp;viewer=picture&amp;o=info&amp;n=0&amp;q=</v>
      </c>
      <c r="J239" s="45"/>
      <c r="K239" s="45"/>
      <c r="L239" s="45"/>
      <c r="M239" t="s">
        <v>241</v>
      </c>
      <c r="N239">
        <v>274957</v>
      </c>
      <c r="O239" t="str">
        <f t="shared" si="6"/>
        <v>https://permalinkbnd.bnportugal.gov.pt/viewer/274957/?offset=#page=5&amp;viewer=picture&amp;o=info&amp;n=0&amp;q=</v>
      </c>
      <c r="P239">
        <v>742180</v>
      </c>
      <c r="Q239" t="s">
        <v>241</v>
      </c>
      <c r="R239" t="s">
        <v>2252</v>
      </c>
      <c r="S239" t="s">
        <v>1178</v>
      </c>
      <c r="T239" t="s">
        <v>1502</v>
      </c>
      <c r="U239" t="s">
        <v>1192</v>
      </c>
      <c r="V239" t="s">
        <v>1105</v>
      </c>
      <c r="W239" t="s">
        <v>2253</v>
      </c>
      <c r="X239" t="s">
        <v>599</v>
      </c>
      <c r="Y239" t="s">
        <v>1182</v>
      </c>
      <c r="Z239" t="s">
        <v>1437</v>
      </c>
      <c r="AA239">
        <v>1892</v>
      </c>
      <c r="AB239">
        <v>1892</v>
      </c>
      <c r="AC239" t="s">
        <v>2254</v>
      </c>
      <c r="AD239" t="s">
        <v>2255</v>
      </c>
      <c r="AE239" t="s">
        <v>599</v>
      </c>
      <c r="AF239" t="s">
        <v>599</v>
      </c>
      <c r="AG239" t="s">
        <v>2256</v>
      </c>
      <c r="AH239" t="s">
        <v>599</v>
      </c>
      <c r="AI239" t="s">
        <v>599</v>
      </c>
      <c r="AJ239" t="s">
        <v>2257</v>
      </c>
      <c r="AK239" t="s">
        <v>1188</v>
      </c>
      <c r="AL239" t="s">
        <v>2258</v>
      </c>
      <c r="AM239" t="s">
        <v>1190</v>
      </c>
      <c r="AN239" t="s">
        <v>599</v>
      </c>
      <c r="AO239" t="s">
        <v>599</v>
      </c>
      <c r="AP239" t="s">
        <v>599</v>
      </c>
      <c r="AQ239" t="s">
        <v>599</v>
      </c>
      <c r="AR239" t="s">
        <v>599</v>
      </c>
      <c r="AS239" t="s">
        <v>599</v>
      </c>
      <c r="AT239" t="s">
        <v>599</v>
      </c>
    </row>
    <row r="240" spans="1:46" s="13" customFormat="1" ht="90" x14ac:dyDescent="0.25">
      <c r="A240" s="9">
        <v>10463</v>
      </c>
      <c r="B240" s="10">
        <v>458243</v>
      </c>
      <c r="C240" s="10">
        <v>1</v>
      </c>
      <c r="D240" s="9">
        <v>69</v>
      </c>
      <c r="E240" s="11" t="s">
        <v>242</v>
      </c>
      <c r="F240" s="12" t="s">
        <v>243</v>
      </c>
      <c r="G240" s="9" t="s">
        <v>244</v>
      </c>
      <c r="H240" s="34"/>
      <c r="I240" s="55" t="str">
        <f t="shared" si="7"/>
        <v>https://permalinkbnd.bnportugal.gov.pt/viewer/272626/?offset=#page=69&amp;viewer=picture&amp;o=info&amp;n=0&amp;q=</v>
      </c>
      <c r="J240" s="45"/>
      <c r="K240" s="45"/>
      <c r="L240" s="45"/>
      <c r="M240" t="s">
        <v>242</v>
      </c>
      <c r="N240">
        <v>272626</v>
      </c>
      <c r="O240" t="str">
        <f t="shared" si="6"/>
        <v>https://permalinkbnd.bnportugal.gov.pt/viewer/272626/?offset=#page=69&amp;viewer=picture&amp;o=info&amp;n=0&amp;q=</v>
      </c>
      <c r="P240">
        <v>458243</v>
      </c>
      <c r="Q240" t="s">
        <v>242</v>
      </c>
      <c r="R240" t="s">
        <v>2259</v>
      </c>
      <c r="S240" t="s">
        <v>1178</v>
      </c>
      <c r="T240" t="s">
        <v>1192</v>
      </c>
      <c r="U240" t="s">
        <v>599</v>
      </c>
      <c r="V240" t="s">
        <v>1193</v>
      </c>
      <c r="W240" t="s">
        <v>599</v>
      </c>
      <c r="X240" t="s">
        <v>599</v>
      </c>
      <c r="Y240" t="s">
        <v>2260</v>
      </c>
      <c r="Z240" t="s">
        <v>2261</v>
      </c>
      <c r="AA240">
        <v>1940</v>
      </c>
      <c r="AB240">
        <v>1940</v>
      </c>
      <c r="AC240" t="s">
        <v>2262</v>
      </c>
      <c r="AD240" t="s">
        <v>1185</v>
      </c>
      <c r="AE240" t="s">
        <v>599</v>
      </c>
      <c r="AF240" t="s">
        <v>599</v>
      </c>
      <c r="AG240" t="s">
        <v>2263</v>
      </c>
      <c r="AH240" t="s">
        <v>599</v>
      </c>
      <c r="AI240" t="s">
        <v>599</v>
      </c>
      <c r="AJ240" t="s">
        <v>2264</v>
      </c>
      <c r="AK240" t="s">
        <v>1188</v>
      </c>
      <c r="AL240" t="s">
        <v>2265</v>
      </c>
      <c r="AM240" t="s">
        <v>1190</v>
      </c>
      <c r="AN240" t="s">
        <v>599</v>
      </c>
      <c r="AO240" t="s">
        <v>599</v>
      </c>
      <c r="AP240" t="s">
        <v>599</v>
      </c>
      <c r="AQ240" t="s">
        <v>599</v>
      </c>
      <c r="AR240" t="s">
        <v>599</v>
      </c>
      <c r="AS240" t="s">
        <v>599</v>
      </c>
      <c r="AT240" t="s">
        <v>599</v>
      </c>
    </row>
    <row r="241" spans="1:46" s="13" customFormat="1" ht="90" x14ac:dyDescent="0.25">
      <c r="A241" s="9">
        <v>10464</v>
      </c>
      <c r="B241" s="10">
        <v>458243</v>
      </c>
      <c r="C241" s="10">
        <v>1</v>
      </c>
      <c r="D241" s="9">
        <v>71</v>
      </c>
      <c r="E241" s="11" t="s">
        <v>242</v>
      </c>
      <c r="F241" s="12" t="s">
        <v>243</v>
      </c>
      <c r="G241" s="9" t="s">
        <v>244</v>
      </c>
      <c r="H241" s="34"/>
      <c r="I241" s="55" t="str">
        <f t="shared" si="7"/>
        <v>https://permalinkbnd.bnportugal.gov.pt/viewer/272626/?offset=#page=71&amp;viewer=picture&amp;o=info&amp;n=0&amp;q=</v>
      </c>
      <c r="J241" s="45"/>
      <c r="K241" s="45"/>
      <c r="L241" s="45"/>
      <c r="M241" t="s">
        <v>242</v>
      </c>
      <c r="N241">
        <v>272626</v>
      </c>
      <c r="O241" t="str">
        <f t="shared" si="6"/>
        <v>https://permalinkbnd.bnportugal.gov.pt/viewer/272626/?offset=#page=71&amp;viewer=picture&amp;o=info&amp;n=0&amp;q=</v>
      </c>
      <c r="P241">
        <v>458243</v>
      </c>
      <c r="Q241" t="s">
        <v>242</v>
      </c>
      <c r="R241" t="s">
        <v>2259</v>
      </c>
      <c r="S241" t="s">
        <v>1178</v>
      </c>
      <c r="T241" t="s">
        <v>1192</v>
      </c>
      <c r="U241" t="s">
        <v>599</v>
      </c>
      <c r="V241" t="s">
        <v>1193</v>
      </c>
      <c r="W241" t="s">
        <v>599</v>
      </c>
      <c r="X241" t="s">
        <v>599</v>
      </c>
      <c r="Y241" t="s">
        <v>2260</v>
      </c>
      <c r="Z241" t="s">
        <v>2261</v>
      </c>
      <c r="AA241">
        <v>1940</v>
      </c>
      <c r="AB241">
        <v>1940</v>
      </c>
      <c r="AC241" t="s">
        <v>2262</v>
      </c>
      <c r="AD241" t="s">
        <v>1185</v>
      </c>
      <c r="AE241" t="s">
        <v>599</v>
      </c>
      <c r="AF241" t="s">
        <v>599</v>
      </c>
      <c r="AG241" t="s">
        <v>2263</v>
      </c>
      <c r="AH241" t="s">
        <v>599</v>
      </c>
      <c r="AI241" t="s">
        <v>599</v>
      </c>
      <c r="AJ241" t="s">
        <v>2264</v>
      </c>
      <c r="AK241" t="s">
        <v>1188</v>
      </c>
      <c r="AL241" t="s">
        <v>2265</v>
      </c>
      <c r="AM241" t="s">
        <v>1190</v>
      </c>
      <c r="AN241" t="s">
        <v>599</v>
      </c>
      <c r="AO241" t="s">
        <v>599</v>
      </c>
      <c r="AP241" t="s">
        <v>599</v>
      </c>
      <c r="AQ241" t="s">
        <v>599</v>
      </c>
      <c r="AR241" t="s">
        <v>599</v>
      </c>
      <c r="AS241" t="s">
        <v>599</v>
      </c>
      <c r="AT241" t="s">
        <v>599</v>
      </c>
    </row>
    <row r="242" spans="1:46" s="13" customFormat="1" ht="90" x14ac:dyDescent="0.25">
      <c r="A242" s="9">
        <v>10465</v>
      </c>
      <c r="B242" s="10">
        <v>458243</v>
      </c>
      <c r="C242" s="10">
        <v>1</v>
      </c>
      <c r="D242" s="9">
        <v>73</v>
      </c>
      <c r="E242" s="11" t="s">
        <v>242</v>
      </c>
      <c r="F242" s="12" t="s">
        <v>243</v>
      </c>
      <c r="G242" s="9" t="s">
        <v>244</v>
      </c>
      <c r="H242" s="34"/>
      <c r="I242" s="55" t="str">
        <f t="shared" si="7"/>
        <v>https://permalinkbnd.bnportugal.gov.pt/viewer/272626/?offset=#page=73&amp;viewer=picture&amp;o=info&amp;n=0&amp;q=</v>
      </c>
      <c r="J242" s="45"/>
      <c r="K242" s="45"/>
      <c r="L242" s="45"/>
      <c r="M242" t="s">
        <v>242</v>
      </c>
      <c r="N242">
        <v>272626</v>
      </c>
      <c r="O242" t="str">
        <f t="shared" si="6"/>
        <v>https://permalinkbnd.bnportugal.gov.pt/viewer/272626/?offset=#page=73&amp;viewer=picture&amp;o=info&amp;n=0&amp;q=</v>
      </c>
      <c r="P242">
        <v>458243</v>
      </c>
      <c r="Q242" t="s">
        <v>242</v>
      </c>
      <c r="R242" t="s">
        <v>2259</v>
      </c>
      <c r="S242" t="s">
        <v>1178</v>
      </c>
      <c r="T242" t="s">
        <v>1192</v>
      </c>
      <c r="U242" t="s">
        <v>599</v>
      </c>
      <c r="V242" t="s">
        <v>1193</v>
      </c>
      <c r="W242" t="s">
        <v>599</v>
      </c>
      <c r="X242" t="s">
        <v>599</v>
      </c>
      <c r="Y242" t="s">
        <v>2260</v>
      </c>
      <c r="Z242" t="s">
        <v>2261</v>
      </c>
      <c r="AA242">
        <v>1940</v>
      </c>
      <c r="AB242">
        <v>1940</v>
      </c>
      <c r="AC242" t="s">
        <v>2262</v>
      </c>
      <c r="AD242" t="s">
        <v>1185</v>
      </c>
      <c r="AE242" t="s">
        <v>599</v>
      </c>
      <c r="AF242" t="s">
        <v>599</v>
      </c>
      <c r="AG242" t="s">
        <v>2263</v>
      </c>
      <c r="AH242" t="s">
        <v>599</v>
      </c>
      <c r="AI242" t="s">
        <v>599</v>
      </c>
      <c r="AJ242" t="s">
        <v>2264</v>
      </c>
      <c r="AK242" t="s">
        <v>1188</v>
      </c>
      <c r="AL242" t="s">
        <v>2265</v>
      </c>
      <c r="AM242" t="s">
        <v>1190</v>
      </c>
      <c r="AN242" t="s">
        <v>599</v>
      </c>
      <c r="AO242" t="s">
        <v>599</v>
      </c>
      <c r="AP242" t="s">
        <v>599</v>
      </c>
      <c r="AQ242" t="s">
        <v>599</v>
      </c>
      <c r="AR242" t="s">
        <v>599</v>
      </c>
      <c r="AS242" t="s">
        <v>599</v>
      </c>
      <c r="AT242" t="s">
        <v>599</v>
      </c>
    </row>
    <row r="243" spans="1:46" s="13" customFormat="1" ht="90" x14ac:dyDescent="0.25">
      <c r="A243" s="9">
        <v>10466</v>
      </c>
      <c r="B243" s="10">
        <v>458243</v>
      </c>
      <c r="C243" s="10">
        <v>1</v>
      </c>
      <c r="D243" s="9">
        <v>102</v>
      </c>
      <c r="E243" s="11" t="s">
        <v>242</v>
      </c>
      <c r="F243" s="12" t="s">
        <v>243</v>
      </c>
      <c r="G243" s="9" t="s">
        <v>244</v>
      </c>
      <c r="H243" s="34"/>
      <c r="I243" s="55" t="str">
        <f t="shared" si="7"/>
        <v>https://permalinkbnd.bnportugal.gov.pt/viewer/272626/?offset=#page=102&amp;viewer=picture&amp;o=info&amp;n=0&amp;q=</v>
      </c>
      <c r="J243" s="45"/>
      <c r="K243" s="45"/>
      <c r="L243" s="45"/>
      <c r="M243" t="s">
        <v>242</v>
      </c>
      <c r="N243">
        <v>272626</v>
      </c>
      <c r="O243" t="str">
        <f t="shared" si="6"/>
        <v>https://permalinkbnd.bnportugal.gov.pt/viewer/272626/?offset=#page=102&amp;viewer=picture&amp;o=info&amp;n=0&amp;q=</v>
      </c>
      <c r="P243">
        <v>458243</v>
      </c>
      <c r="Q243" t="s">
        <v>242</v>
      </c>
      <c r="R243" t="s">
        <v>2259</v>
      </c>
      <c r="S243" t="s">
        <v>1178</v>
      </c>
      <c r="T243" t="s">
        <v>1192</v>
      </c>
      <c r="U243" t="s">
        <v>599</v>
      </c>
      <c r="V243" t="s">
        <v>1193</v>
      </c>
      <c r="W243" t="s">
        <v>599</v>
      </c>
      <c r="X243" t="s">
        <v>599</v>
      </c>
      <c r="Y243" t="s">
        <v>2260</v>
      </c>
      <c r="Z243" t="s">
        <v>2261</v>
      </c>
      <c r="AA243">
        <v>1940</v>
      </c>
      <c r="AB243">
        <v>1940</v>
      </c>
      <c r="AC243" t="s">
        <v>2262</v>
      </c>
      <c r="AD243" t="s">
        <v>1185</v>
      </c>
      <c r="AE243" t="s">
        <v>599</v>
      </c>
      <c r="AF243" t="s">
        <v>599</v>
      </c>
      <c r="AG243" t="s">
        <v>2263</v>
      </c>
      <c r="AH243" t="s">
        <v>599</v>
      </c>
      <c r="AI243" t="s">
        <v>599</v>
      </c>
      <c r="AJ243" t="s">
        <v>2264</v>
      </c>
      <c r="AK243" t="s">
        <v>1188</v>
      </c>
      <c r="AL243" t="s">
        <v>2265</v>
      </c>
      <c r="AM243" t="s">
        <v>1190</v>
      </c>
      <c r="AN243" t="s">
        <v>599</v>
      </c>
      <c r="AO243" t="s">
        <v>599</v>
      </c>
      <c r="AP243" t="s">
        <v>599</v>
      </c>
      <c r="AQ243" t="s">
        <v>599</v>
      </c>
      <c r="AR243" t="s">
        <v>599</v>
      </c>
      <c r="AS243" t="s">
        <v>599</v>
      </c>
      <c r="AT243" t="s">
        <v>599</v>
      </c>
    </row>
    <row r="244" spans="1:46" s="13" customFormat="1" ht="90" x14ac:dyDescent="0.25">
      <c r="A244" s="9">
        <v>10467</v>
      </c>
      <c r="B244" s="10">
        <v>458243</v>
      </c>
      <c r="C244" s="10">
        <v>1</v>
      </c>
      <c r="D244" s="9">
        <v>122</v>
      </c>
      <c r="E244" s="11" t="s">
        <v>242</v>
      </c>
      <c r="F244" s="12" t="s">
        <v>243</v>
      </c>
      <c r="G244" s="9" t="s">
        <v>244</v>
      </c>
      <c r="H244" s="34"/>
      <c r="I244" s="55" t="str">
        <f t="shared" si="7"/>
        <v>https://permalinkbnd.bnportugal.gov.pt/viewer/272626/?offset=#page=122&amp;viewer=picture&amp;o=info&amp;n=0&amp;q=</v>
      </c>
      <c r="J244" s="45"/>
      <c r="K244" s="45"/>
      <c r="L244" s="45"/>
      <c r="M244" t="s">
        <v>242</v>
      </c>
      <c r="N244">
        <v>272626</v>
      </c>
      <c r="O244" t="str">
        <f t="shared" si="6"/>
        <v>https://permalinkbnd.bnportugal.gov.pt/viewer/272626/?offset=#page=122&amp;viewer=picture&amp;o=info&amp;n=0&amp;q=</v>
      </c>
      <c r="P244">
        <v>458243</v>
      </c>
      <c r="Q244" t="s">
        <v>242</v>
      </c>
      <c r="R244" t="s">
        <v>2259</v>
      </c>
      <c r="S244" t="s">
        <v>1178</v>
      </c>
      <c r="T244" t="s">
        <v>1192</v>
      </c>
      <c r="U244" t="s">
        <v>599</v>
      </c>
      <c r="V244" t="s">
        <v>1193</v>
      </c>
      <c r="W244" t="s">
        <v>599</v>
      </c>
      <c r="X244" t="s">
        <v>599</v>
      </c>
      <c r="Y244" t="s">
        <v>2260</v>
      </c>
      <c r="Z244" t="s">
        <v>2261</v>
      </c>
      <c r="AA244">
        <v>1940</v>
      </c>
      <c r="AB244">
        <v>1940</v>
      </c>
      <c r="AC244" t="s">
        <v>2262</v>
      </c>
      <c r="AD244" t="s">
        <v>1185</v>
      </c>
      <c r="AE244" t="s">
        <v>599</v>
      </c>
      <c r="AF244" t="s">
        <v>599</v>
      </c>
      <c r="AG244" t="s">
        <v>2263</v>
      </c>
      <c r="AH244" t="s">
        <v>599</v>
      </c>
      <c r="AI244" t="s">
        <v>599</v>
      </c>
      <c r="AJ244" t="s">
        <v>2264</v>
      </c>
      <c r="AK244" t="s">
        <v>1188</v>
      </c>
      <c r="AL244" t="s">
        <v>2265</v>
      </c>
      <c r="AM244" t="s">
        <v>1190</v>
      </c>
      <c r="AN244" t="s">
        <v>599</v>
      </c>
      <c r="AO244" t="s">
        <v>599</v>
      </c>
      <c r="AP244" t="s">
        <v>599</v>
      </c>
      <c r="AQ244" t="s">
        <v>599</v>
      </c>
      <c r="AR244" t="s">
        <v>599</v>
      </c>
      <c r="AS244" t="s">
        <v>599</v>
      </c>
      <c r="AT244" t="s">
        <v>599</v>
      </c>
    </row>
    <row r="245" spans="1:46" s="21" customFormat="1" ht="90" x14ac:dyDescent="0.25">
      <c r="A245" s="17">
        <v>10468</v>
      </c>
      <c r="B245" s="18">
        <v>458243</v>
      </c>
      <c r="C245" s="39" t="s">
        <v>629</v>
      </c>
      <c r="D245" s="17">
        <v>103</v>
      </c>
      <c r="E245" s="19" t="s">
        <v>242</v>
      </c>
      <c r="F245" s="20" t="s">
        <v>243</v>
      </c>
      <c r="G245" s="17" t="s">
        <v>244</v>
      </c>
      <c r="H245" s="36" t="s">
        <v>630</v>
      </c>
      <c r="I245" s="55" t="str">
        <f t="shared" si="7"/>
        <v>https://permalinkbnd.bnportugal.gov.pt/viewer/272626/?offset=#page=103&amp;viewer=picture&amp;o=info&amp;n=0&amp;q=</v>
      </c>
      <c r="J245" s="45"/>
      <c r="K245" s="45"/>
      <c r="L245" s="45"/>
      <c r="M245" t="s">
        <v>242</v>
      </c>
      <c r="N245">
        <v>272626</v>
      </c>
      <c r="O245" t="str">
        <f t="shared" si="6"/>
        <v>https://permalinkbnd.bnportugal.gov.pt/viewer/272626/?offset=#page=103&amp;viewer=picture&amp;o=info&amp;n=0&amp;q=</v>
      </c>
      <c r="P245">
        <v>458243</v>
      </c>
      <c r="Q245" t="s">
        <v>242</v>
      </c>
      <c r="R245" t="s">
        <v>2259</v>
      </c>
      <c r="S245" t="s">
        <v>1178</v>
      </c>
      <c r="T245" t="s">
        <v>1192</v>
      </c>
      <c r="U245" t="s">
        <v>599</v>
      </c>
      <c r="V245" t="s">
        <v>1193</v>
      </c>
      <c r="W245" t="s">
        <v>599</v>
      </c>
      <c r="X245" t="s">
        <v>599</v>
      </c>
      <c r="Y245" t="s">
        <v>2260</v>
      </c>
      <c r="Z245" t="s">
        <v>2261</v>
      </c>
      <c r="AA245">
        <v>1940</v>
      </c>
      <c r="AB245">
        <v>1940</v>
      </c>
      <c r="AC245" t="s">
        <v>2262</v>
      </c>
      <c r="AD245" t="s">
        <v>1185</v>
      </c>
      <c r="AE245" t="s">
        <v>599</v>
      </c>
      <c r="AF245" t="s">
        <v>599</v>
      </c>
      <c r="AG245" t="s">
        <v>2263</v>
      </c>
      <c r="AH245" t="s">
        <v>599</v>
      </c>
      <c r="AI245" t="s">
        <v>599</v>
      </c>
      <c r="AJ245" t="s">
        <v>2264</v>
      </c>
      <c r="AK245" t="s">
        <v>1188</v>
      </c>
      <c r="AL245" t="s">
        <v>2265</v>
      </c>
      <c r="AM245" t="s">
        <v>1190</v>
      </c>
      <c r="AN245" t="s">
        <v>599</v>
      </c>
      <c r="AO245" t="s">
        <v>599</v>
      </c>
      <c r="AP245" t="s">
        <v>599</v>
      </c>
      <c r="AQ245" t="s">
        <v>599</v>
      </c>
      <c r="AR245" t="s">
        <v>599</v>
      </c>
      <c r="AS245" t="s">
        <v>599</v>
      </c>
      <c r="AT245" t="s">
        <v>599</v>
      </c>
    </row>
    <row r="246" spans="1:46" s="21" customFormat="1" ht="90" x14ac:dyDescent="0.25">
      <c r="A246" s="17">
        <v>10469</v>
      </c>
      <c r="B246" s="18">
        <v>458243</v>
      </c>
      <c r="C246" s="39" t="s">
        <v>629</v>
      </c>
      <c r="D246" s="17">
        <v>135</v>
      </c>
      <c r="E246" s="19" t="s">
        <v>242</v>
      </c>
      <c r="F246" s="20" t="s">
        <v>243</v>
      </c>
      <c r="G246" s="17" t="s">
        <v>244</v>
      </c>
      <c r="H246" s="36" t="s">
        <v>630</v>
      </c>
      <c r="I246" s="55" t="str">
        <f t="shared" si="7"/>
        <v>https://permalinkbnd.bnportugal.gov.pt/viewer/272626/?offset=#page=135&amp;viewer=picture&amp;o=info&amp;n=0&amp;q=</v>
      </c>
      <c r="J246" s="45"/>
      <c r="K246" s="45"/>
      <c r="L246" s="45"/>
      <c r="M246" t="s">
        <v>242</v>
      </c>
      <c r="N246">
        <v>272626</v>
      </c>
      <c r="O246" t="str">
        <f t="shared" si="6"/>
        <v>https://permalinkbnd.bnportugal.gov.pt/viewer/272626/?offset=#page=135&amp;viewer=picture&amp;o=info&amp;n=0&amp;q=</v>
      </c>
      <c r="P246">
        <v>458243</v>
      </c>
      <c r="Q246" t="s">
        <v>242</v>
      </c>
      <c r="R246" t="s">
        <v>2259</v>
      </c>
      <c r="S246" t="s">
        <v>1178</v>
      </c>
      <c r="T246" t="s">
        <v>1192</v>
      </c>
      <c r="U246" t="s">
        <v>599</v>
      </c>
      <c r="V246" t="s">
        <v>1193</v>
      </c>
      <c r="W246" t="s">
        <v>599</v>
      </c>
      <c r="X246" t="s">
        <v>599</v>
      </c>
      <c r="Y246" t="s">
        <v>2260</v>
      </c>
      <c r="Z246" t="s">
        <v>2261</v>
      </c>
      <c r="AA246">
        <v>1940</v>
      </c>
      <c r="AB246">
        <v>1940</v>
      </c>
      <c r="AC246" t="s">
        <v>2262</v>
      </c>
      <c r="AD246" t="s">
        <v>1185</v>
      </c>
      <c r="AE246" t="s">
        <v>599</v>
      </c>
      <c r="AF246" t="s">
        <v>599</v>
      </c>
      <c r="AG246" t="s">
        <v>2263</v>
      </c>
      <c r="AH246" t="s">
        <v>599</v>
      </c>
      <c r="AI246" t="s">
        <v>599</v>
      </c>
      <c r="AJ246" t="s">
        <v>2264</v>
      </c>
      <c r="AK246" t="s">
        <v>1188</v>
      </c>
      <c r="AL246" t="s">
        <v>2265</v>
      </c>
      <c r="AM246" t="s">
        <v>1190</v>
      </c>
      <c r="AN246" t="s">
        <v>599</v>
      </c>
      <c r="AO246" t="s">
        <v>599</v>
      </c>
      <c r="AP246" t="s">
        <v>599</v>
      </c>
      <c r="AQ246" t="s">
        <v>599</v>
      </c>
      <c r="AR246" t="s">
        <v>599</v>
      </c>
      <c r="AS246" t="s">
        <v>599</v>
      </c>
      <c r="AT246" t="s">
        <v>599</v>
      </c>
    </row>
    <row r="247" spans="1:46" s="21" customFormat="1" ht="90" x14ac:dyDescent="0.25">
      <c r="A247" s="17">
        <v>10470</v>
      </c>
      <c r="B247" s="18">
        <v>458243</v>
      </c>
      <c r="C247" s="39" t="s">
        <v>629</v>
      </c>
      <c r="D247" s="17">
        <v>175</v>
      </c>
      <c r="E247" s="19" t="s">
        <v>242</v>
      </c>
      <c r="F247" s="20" t="s">
        <v>243</v>
      </c>
      <c r="G247" s="17" t="s">
        <v>244</v>
      </c>
      <c r="H247" s="36" t="s">
        <v>630</v>
      </c>
      <c r="I247" s="55" t="str">
        <f t="shared" si="7"/>
        <v>https://permalinkbnd.bnportugal.gov.pt/viewer/272626/?offset=#page=175&amp;viewer=picture&amp;o=info&amp;n=0&amp;q=</v>
      </c>
      <c r="J247" s="45"/>
      <c r="K247" s="45"/>
      <c r="L247" s="45"/>
      <c r="M247" t="s">
        <v>242</v>
      </c>
      <c r="N247">
        <v>272626</v>
      </c>
      <c r="O247" t="str">
        <f t="shared" si="6"/>
        <v>https://permalinkbnd.bnportugal.gov.pt/viewer/272626/?offset=#page=175&amp;viewer=picture&amp;o=info&amp;n=0&amp;q=</v>
      </c>
      <c r="P247">
        <v>458243</v>
      </c>
      <c r="Q247" t="s">
        <v>242</v>
      </c>
      <c r="R247" t="s">
        <v>2259</v>
      </c>
      <c r="S247" t="s">
        <v>1178</v>
      </c>
      <c r="T247" t="s">
        <v>1192</v>
      </c>
      <c r="U247" t="s">
        <v>599</v>
      </c>
      <c r="V247" t="s">
        <v>1193</v>
      </c>
      <c r="W247" t="s">
        <v>599</v>
      </c>
      <c r="X247" t="s">
        <v>599</v>
      </c>
      <c r="Y247" t="s">
        <v>2260</v>
      </c>
      <c r="Z247" t="s">
        <v>2261</v>
      </c>
      <c r="AA247">
        <v>1940</v>
      </c>
      <c r="AB247">
        <v>1940</v>
      </c>
      <c r="AC247" t="s">
        <v>2262</v>
      </c>
      <c r="AD247" t="s">
        <v>1185</v>
      </c>
      <c r="AE247" t="s">
        <v>599</v>
      </c>
      <c r="AF247" t="s">
        <v>599</v>
      </c>
      <c r="AG247" t="s">
        <v>2263</v>
      </c>
      <c r="AH247" t="s">
        <v>599</v>
      </c>
      <c r="AI247" t="s">
        <v>599</v>
      </c>
      <c r="AJ247" t="s">
        <v>2264</v>
      </c>
      <c r="AK247" t="s">
        <v>1188</v>
      </c>
      <c r="AL247" t="s">
        <v>2265</v>
      </c>
      <c r="AM247" t="s">
        <v>1190</v>
      </c>
      <c r="AN247" t="s">
        <v>599</v>
      </c>
      <c r="AO247" t="s">
        <v>599</v>
      </c>
      <c r="AP247" t="s">
        <v>599</v>
      </c>
      <c r="AQ247" t="s">
        <v>599</v>
      </c>
      <c r="AR247" t="s">
        <v>599</v>
      </c>
      <c r="AS247" t="s">
        <v>599</v>
      </c>
      <c r="AT247" t="s">
        <v>599</v>
      </c>
    </row>
    <row r="248" spans="1:46" s="21" customFormat="1" ht="90" x14ac:dyDescent="0.25">
      <c r="A248" s="17">
        <v>10471</v>
      </c>
      <c r="B248" s="18">
        <v>458243</v>
      </c>
      <c r="C248" s="39" t="s">
        <v>629</v>
      </c>
      <c r="D248" s="17">
        <v>205</v>
      </c>
      <c r="E248" s="19" t="s">
        <v>242</v>
      </c>
      <c r="F248" s="20" t="s">
        <v>243</v>
      </c>
      <c r="G248" s="17" t="s">
        <v>244</v>
      </c>
      <c r="H248" s="36" t="s">
        <v>630</v>
      </c>
      <c r="I248" s="55" t="str">
        <f t="shared" si="7"/>
        <v>https://permalinkbnd.bnportugal.gov.pt/viewer/272626/?offset=#page=205&amp;viewer=picture&amp;o=info&amp;n=0&amp;q=</v>
      </c>
      <c r="J248" s="45"/>
      <c r="K248" s="45"/>
      <c r="L248" s="45"/>
      <c r="M248" t="s">
        <v>242</v>
      </c>
      <c r="N248">
        <v>272626</v>
      </c>
      <c r="O248" t="str">
        <f t="shared" si="6"/>
        <v>https://permalinkbnd.bnportugal.gov.pt/viewer/272626/?offset=#page=205&amp;viewer=picture&amp;o=info&amp;n=0&amp;q=</v>
      </c>
      <c r="P248">
        <v>458243</v>
      </c>
      <c r="Q248" t="s">
        <v>242</v>
      </c>
      <c r="R248" t="s">
        <v>2259</v>
      </c>
      <c r="S248" t="s">
        <v>1178</v>
      </c>
      <c r="T248" t="s">
        <v>1192</v>
      </c>
      <c r="U248" t="s">
        <v>599</v>
      </c>
      <c r="V248" t="s">
        <v>1193</v>
      </c>
      <c r="W248" t="s">
        <v>599</v>
      </c>
      <c r="X248" t="s">
        <v>599</v>
      </c>
      <c r="Y248" t="s">
        <v>2260</v>
      </c>
      <c r="Z248" t="s">
        <v>2261</v>
      </c>
      <c r="AA248">
        <v>1940</v>
      </c>
      <c r="AB248">
        <v>1940</v>
      </c>
      <c r="AC248" t="s">
        <v>2262</v>
      </c>
      <c r="AD248" t="s">
        <v>1185</v>
      </c>
      <c r="AE248" t="s">
        <v>599</v>
      </c>
      <c r="AF248" t="s">
        <v>599</v>
      </c>
      <c r="AG248" t="s">
        <v>2263</v>
      </c>
      <c r="AH248" t="s">
        <v>599</v>
      </c>
      <c r="AI248" t="s">
        <v>599</v>
      </c>
      <c r="AJ248" t="s">
        <v>2264</v>
      </c>
      <c r="AK248" t="s">
        <v>1188</v>
      </c>
      <c r="AL248" t="s">
        <v>2265</v>
      </c>
      <c r="AM248" t="s">
        <v>1190</v>
      </c>
      <c r="AN248" t="s">
        <v>599</v>
      </c>
      <c r="AO248" t="s">
        <v>599</v>
      </c>
      <c r="AP248" t="s">
        <v>599</v>
      </c>
      <c r="AQ248" t="s">
        <v>599</v>
      </c>
      <c r="AR248" t="s">
        <v>599</v>
      </c>
      <c r="AS248" t="s">
        <v>599</v>
      </c>
      <c r="AT248" t="s">
        <v>599</v>
      </c>
    </row>
    <row r="249" spans="1:46" s="21" customFormat="1" ht="90" x14ac:dyDescent="0.25">
      <c r="A249" s="17">
        <v>10472</v>
      </c>
      <c r="B249" s="18">
        <v>458243</v>
      </c>
      <c r="C249" s="39" t="s">
        <v>629</v>
      </c>
      <c r="D249" s="17">
        <v>233</v>
      </c>
      <c r="E249" s="19" t="s">
        <v>242</v>
      </c>
      <c r="F249" s="20" t="s">
        <v>243</v>
      </c>
      <c r="G249" s="17" t="s">
        <v>244</v>
      </c>
      <c r="H249" s="36" t="s">
        <v>630</v>
      </c>
      <c r="I249" s="55" t="str">
        <f t="shared" si="7"/>
        <v>https://permalinkbnd.bnportugal.gov.pt/viewer/272626/?offset=#page=233&amp;viewer=picture&amp;o=info&amp;n=0&amp;q=</v>
      </c>
      <c r="J249" s="45"/>
      <c r="K249" s="45"/>
      <c r="L249" s="45"/>
      <c r="M249" t="s">
        <v>242</v>
      </c>
      <c r="N249">
        <v>272626</v>
      </c>
      <c r="O249" t="str">
        <f t="shared" si="6"/>
        <v>https://permalinkbnd.bnportugal.gov.pt/viewer/272626/?offset=#page=233&amp;viewer=picture&amp;o=info&amp;n=0&amp;q=</v>
      </c>
      <c r="P249">
        <v>458243</v>
      </c>
      <c r="Q249" t="s">
        <v>242</v>
      </c>
      <c r="R249" t="s">
        <v>2259</v>
      </c>
      <c r="S249" t="s">
        <v>1178</v>
      </c>
      <c r="T249" t="s">
        <v>1192</v>
      </c>
      <c r="U249" t="s">
        <v>599</v>
      </c>
      <c r="V249" t="s">
        <v>1193</v>
      </c>
      <c r="W249" t="s">
        <v>599</v>
      </c>
      <c r="X249" t="s">
        <v>599</v>
      </c>
      <c r="Y249" t="s">
        <v>2260</v>
      </c>
      <c r="Z249" t="s">
        <v>2261</v>
      </c>
      <c r="AA249">
        <v>1940</v>
      </c>
      <c r="AB249">
        <v>1940</v>
      </c>
      <c r="AC249" t="s">
        <v>2262</v>
      </c>
      <c r="AD249" t="s">
        <v>1185</v>
      </c>
      <c r="AE249" t="s">
        <v>599</v>
      </c>
      <c r="AF249" t="s">
        <v>599</v>
      </c>
      <c r="AG249" t="s">
        <v>2263</v>
      </c>
      <c r="AH249" t="s">
        <v>599</v>
      </c>
      <c r="AI249" t="s">
        <v>599</v>
      </c>
      <c r="AJ249" t="s">
        <v>2264</v>
      </c>
      <c r="AK249" t="s">
        <v>1188</v>
      </c>
      <c r="AL249" t="s">
        <v>2265</v>
      </c>
      <c r="AM249" t="s">
        <v>1190</v>
      </c>
      <c r="AN249" t="s">
        <v>599</v>
      </c>
      <c r="AO249" t="s">
        <v>599</v>
      </c>
      <c r="AP249" t="s">
        <v>599</v>
      </c>
      <c r="AQ249" t="s">
        <v>599</v>
      </c>
      <c r="AR249" t="s">
        <v>599</v>
      </c>
      <c r="AS249" t="s">
        <v>599</v>
      </c>
      <c r="AT249" t="s">
        <v>599</v>
      </c>
    </row>
    <row r="250" spans="1:46" s="21" customFormat="1" ht="90" x14ac:dyDescent="0.25">
      <c r="A250" s="17">
        <v>10473</v>
      </c>
      <c r="B250" s="18">
        <v>458243</v>
      </c>
      <c r="C250" s="39" t="s">
        <v>629</v>
      </c>
      <c r="D250" s="17">
        <v>261</v>
      </c>
      <c r="E250" s="19" t="s">
        <v>242</v>
      </c>
      <c r="F250" s="20" t="s">
        <v>243</v>
      </c>
      <c r="G250" s="17" t="s">
        <v>244</v>
      </c>
      <c r="H250" s="36" t="s">
        <v>630</v>
      </c>
      <c r="I250" s="55" t="str">
        <f t="shared" si="7"/>
        <v>https://permalinkbnd.bnportugal.gov.pt/viewer/272626/?offset=#page=261&amp;viewer=picture&amp;o=info&amp;n=0&amp;q=</v>
      </c>
      <c r="J250" s="45"/>
      <c r="K250" s="45"/>
      <c r="L250" s="45"/>
      <c r="M250" t="s">
        <v>242</v>
      </c>
      <c r="N250">
        <v>272626</v>
      </c>
      <c r="O250" t="str">
        <f t="shared" si="6"/>
        <v>https://permalinkbnd.bnportugal.gov.pt/viewer/272626/?offset=#page=261&amp;viewer=picture&amp;o=info&amp;n=0&amp;q=</v>
      </c>
      <c r="P250">
        <v>458243</v>
      </c>
      <c r="Q250" t="s">
        <v>242</v>
      </c>
      <c r="R250" t="s">
        <v>2259</v>
      </c>
      <c r="S250" t="s">
        <v>1178</v>
      </c>
      <c r="T250" t="s">
        <v>1192</v>
      </c>
      <c r="U250" t="s">
        <v>599</v>
      </c>
      <c r="V250" t="s">
        <v>1193</v>
      </c>
      <c r="W250" t="s">
        <v>599</v>
      </c>
      <c r="X250" t="s">
        <v>599</v>
      </c>
      <c r="Y250" t="s">
        <v>2260</v>
      </c>
      <c r="Z250" t="s">
        <v>2261</v>
      </c>
      <c r="AA250">
        <v>1940</v>
      </c>
      <c r="AB250">
        <v>1940</v>
      </c>
      <c r="AC250" t="s">
        <v>2262</v>
      </c>
      <c r="AD250" t="s">
        <v>1185</v>
      </c>
      <c r="AE250" t="s">
        <v>599</v>
      </c>
      <c r="AF250" t="s">
        <v>599</v>
      </c>
      <c r="AG250" t="s">
        <v>2263</v>
      </c>
      <c r="AH250" t="s">
        <v>599</v>
      </c>
      <c r="AI250" t="s">
        <v>599</v>
      </c>
      <c r="AJ250" t="s">
        <v>2264</v>
      </c>
      <c r="AK250" t="s">
        <v>1188</v>
      </c>
      <c r="AL250" t="s">
        <v>2265</v>
      </c>
      <c r="AM250" t="s">
        <v>1190</v>
      </c>
      <c r="AN250" t="s">
        <v>599</v>
      </c>
      <c r="AO250" t="s">
        <v>599</v>
      </c>
      <c r="AP250" t="s">
        <v>599</v>
      </c>
      <c r="AQ250" t="s">
        <v>599</v>
      </c>
      <c r="AR250" t="s">
        <v>599</v>
      </c>
      <c r="AS250" t="s">
        <v>599</v>
      </c>
      <c r="AT250" t="s">
        <v>599</v>
      </c>
    </row>
    <row r="251" spans="1:46" s="21" customFormat="1" ht="90" x14ac:dyDescent="0.25">
      <c r="A251" s="17">
        <v>10474</v>
      </c>
      <c r="B251" s="18">
        <v>458243</v>
      </c>
      <c r="C251" s="39" t="s">
        <v>629</v>
      </c>
      <c r="D251" s="17">
        <v>287</v>
      </c>
      <c r="E251" s="19" t="s">
        <v>242</v>
      </c>
      <c r="F251" s="20" t="s">
        <v>243</v>
      </c>
      <c r="G251" s="17" t="s">
        <v>244</v>
      </c>
      <c r="H251" s="36" t="s">
        <v>630</v>
      </c>
      <c r="I251" s="55" t="str">
        <f t="shared" si="7"/>
        <v>https://permalinkbnd.bnportugal.gov.pt/viewer/272626/?offset=#page=287&amp;viewer=picture&amp;o=info&amp;n=0&amp;q=</v>
      </c>
      <c r="J251" s="45"/>
      <c r="K251" s="45"/>
      <c r="L251" s="45"/>
      <c r="M251" t="s">
        <v>242</v>
      </c>
      <c r="N251">
        <v>272626</v>
      </c>
      <c r="O251" t="str">
        <f t="shared" si="6"/>
        <v>https://permalinkbnd.bnportugal.gov.pt/viewer/272626/?offset=#page=287&amp;viewer=picture&amp;o=info&amp;n=0&amp;q=</v>
      </c>
      <c r="P251">
        <v>458243</v>
      </c>
      <c r="Q251" t="s">
        <v>242</v>
      </c>
      <c r="R251" t="s">
        <v>2259</v>
      </c>
      <c r="S251" t="s">
        <v>1178</v>
      </c>
      <c r="T251" t="s">
        <v>1192</v>
      </c>
      <c r="U251" t="s">
        <v>599</v>
      </c>
      <c r="V251" t="s">
        <v>1193</v>
      </c>
      <c r="W251" t="s">
        <v>599</v>
      </c>
      <c r="X251" t="s">
        <v>599</v>
      </c>
      <c r="Y251" t="s">
        <v>2260</v>
      </c>
      <c r="Z251" t="s">
        <v>2261</v>
      </c>
      <c r="AA251">
        <v>1940</v>
      </c>
      <c r="AB251">
        <v>1940</v>
      </c>
      <c r="AC251" t="s">
        <v>2262</v>
      </c>
      <c r="AD251" t="s">
        <v>1185</v>
      </c>
      <c r="AE251" t="s">
        <v>599</v>
      </c>
      <c r="AF251" t="s">
        <v>599</v>
      </c>
      <c r="AG251" t="s">
        <v>2263</v>
      </c>
      <c r="AH251" t="s">
        <v>599</v>
      </c>
      <c r="AI251" t="s">
        <v>599</v>
      </c>
      <c r="AJ251" t="s">
        <v>2264</v>
      </c>
      <c r="AK251" t="s">
        <v>1188</v>
      </c>
      <c r="AL251" t="s">
        <v>2265</v>
      </c>
      <c r="AM251" t="s">
        <v>1190</v>
      </c>
      <c r="AN251" t="s">
        <v>599</v>
      </c>
      <c r="AO251" t="s">
        <v>599</v>
      </c>
      <c r="AP251" t="s">
        <v>599</v>
      </c>
      <c r="AQ251" t="s">
        <v>599</v>
      </c>
      <c r="AR251" t="s">
        <v>599</v>
      </c>
      <c r="AS251" t="s">
        <v>599</v>
      </c>
      <c r="AT251" t="s">
        <v>599</v>
      </c>
    </row>
    <row r="252" spans="1:46" s="21" customFormat="1" ht="90" x14ac:dyDescent="0.25">
      <c r="A252" s="17">
        <v>10475</v>
      </c>
      <c r="B252" s="18">
        <v>458243</v>
      </c>
      <c r="C252" s="39" t="s">
        <v>629</v>
      </c>
      <c r="D252" s="17">
        <v>315</v>
      </c>
      <c r="E252" s="19" t="s">
        <v>242</v>
      </c>
      <c r="F252" s="20" t="s">
        <v>243</v>
      </c>
      <c r="G252" s="17" t="s">
        <v>244</v>
      </c>
      <c r="H252" s="36" t="s">
        <v>630</v>
      </c>
      <c r="I252" s="55" t="str">
        <f t="shared" si="7"/>
        <v>https://permalinkbnd.bnportugal.gov.pt/viewer/272626/?offset=#page=315&amp;viewer=picture&amp;o=info&amp;n=0&amp;q=</v>
      </c>
      <c r="J252" s="45"/>
      <c r="K252" s="45"/>
      <c r="L252" s="45"/>
      <c r="M252" t="s">
        <v>242</v>
      </c>
      <c r="N252">
        <v>272626</v>
      </c>
      <c r="O252" t="str">
        <f t="shared" si="6"/>
        <v>https://permalinkbnd.bnportugal.gov.pt/viewer/272626/?offset=#page=315&amp;viewer=picture&amp;o=info&amp;n=0&amp;q=</v>
      </c>
      <c r="P252">
        <v>458243</v>
      </c>
      <c r="Q252" t="s">
        <v>242</v>
      </c>
      <c r="R252" t="s">
        <v>2259</v>
      </c>
      <c r="S252" t="s">
        <v>1178</v>
      </c>
      <c r="T252" t="s">
        <v>1192</v>
      </c>
      <c r="U252" t="s">
        <v>599</v>
      </c>
      <c r="V252" t="s">
        <v>1193</v>
      </c>
      <c r="W252" t="s">
        <v>599</v>
      </c>
      <c r="X252" t="s">
        <v>599</v>
      </c>
      <c r="Y252" t="s">
        <v>2260</v>
      </c>
      <c r="Z252" t="s">
        <v>2261</v>
      </c>
      <c r="AA252">
        <v>1940</v>
      </c>
      <c r="AB252">
        <v>1940</v>
      </c>
      <c r="AC252" t="s">
        <v>2262</v>
      </c>
      <c r="AD252" t="s">
        <v>1185</v>
      </c>
      <c r="AE252" t="s">
        <v>599</v>
      </c>
      <c r="AF252" t="s">
        <v>599</v>
      </c>
      <c r="AG252" t="s">
        <v>2263</v>
      </c>
      <c r="AH252" t="s">
        <v>599</v>
      </c>
      <c r="AI252" t="s">
        <v>599</v>
      </c>
      <c r="AJ252" t="s">
        <v>2264</v>
      </c>
      <c r="AK252" t="s">
        <v>1188</v>
      </c>
      <c r="AL252" t="s">
        <v>2265</v>
      </c>
      <c r="AM252" t="s">
        <v>1190</v>
      </c>
      <c r="AN252" t="s">
        <v>599</v>
      </c>
      <c r="AO252" t="s">
        <v>599</v>
      </c>
      <c r="AP252" t="s">
        <v>599</v>
      </c>
      <c r="AQ252" t="s">
        <v>599</v>
      </c>
      <c r="AR252" t="s">
        <v>599</v>
      </c>
      <c r="AS252" t="s">
        <v>599</v>
      </c>
      <c r="AT252" t="s">
        <v>599</v>
      </c>
    </row>
    <row r="253" spans="1:46" s="21" customFormat="1" ht="90" x14ac:dyDescent="0.25">
      <c r="A253" s="17">
        <v>10476</v>
      </c>
      <c r="B253" s="18">
        <v>458243</v>
      </c>
      <c r="C253" s="39" t="s">
        <v>629</v>
      </c>
      <c r="D253" s="17">
        <v>343</v>
      </c>
      <c r="E253" s="19" t="s">
        <v>242</v>
      </c>
      <c r="F253" s="20" t="s">
        <v>243</v>
      </c>
      <c r="G253" s="17" t="s">
        <v>244</v>
      </c>
      <c r="H253" s="36" t="s">
        <v>630</v>
      </c>
      <c r="I253" s="55" t="str">
        <f t="shared" si="7"/>
        <v>https://permalinkbnd.bnportugal.gov.pt/viewer/272626/?offset=#page=343&amp;viewer=picture&amp;o=info&amp;n=0&amp;q=</v>
      </c>
      <c r="J253" s="45"/>
      <c r="K253" s="45"/>
      <c r="L253" s="45"/>
      <c r="M253" t="s">
        <v>242</v>
      </c>
      <c r="N253">
        <v>272626</v>
      </c>
      <c r="O253" t="str">
        <f t="shared" si="6"/>
        <v>https://permalinkbnd.bnportugal.gov.pt/viewer/272626/?offset=#page=343&amp;viewer=picture&amp;o=info&amp;n=0&amp;q=</v>
      </c>
      <c r="P253">
        <v>458243</v>
      </c>
      <c r="Q253" t="s">
        <v>242</v>
      </c>
      <c r="R253" t="s">
        <v>2259</v>
      </c>
      <c r="S253" t="s">
        <v>1178</v>
      </c>
      <c r="T253" t="s">
        <v>1192</v>
      </c>
      <c r="U253" t="s">
        <v>599</v>
      </c>
      <c r="V253" t="s">
        <v>1193</v>
      </c>
      <c r="W253" t="s">
        <v>599</v>
      </c>
      <c r="X253" t="s">
        <v>599</v>
      </c>
      <c r="Y253" t="s">
        <v>2260</v>
      </c>
      <c r="Z253" t="s">
        <v>2261</v>
      </c>
      <c r="AA253">
        <v>1940</v>
      </c>
      <c r="AB253">
        <v>1940</v>
      </c>
      <c r="AC253" t="s">
        <v>2262</v>
      </c>
      <c r="AD253" t="s">
        <v>1185</v>
      </c>
      <c r="AE253" t="s">
        <v>599</v>
      </c>
      <c r="AF253" t="s">
        <v>599</v>
      </c>
      <c r="AG253" t="s">
        <v>2263</v>
      </c>
      <c r="AH253" t="s">
        <v>599</v>
      </c>
      <c r="AI253" t="s">
        <v>599</v>
      </c>
      <c r="AJ253" t="s">
        <v>2264</v>
      </c>
      <c r="AK253" t="s">
        <v>1188</v>
      </c>
      <c r="AL253" t="s">
        <v>2265</v>
      </c>
      <c r="AM253" t="s">
        <v>1190</v>
      </c>
      <c r="AN253" t="s">
        <v>599</v>
      </c>
      <c r="AO253" t="s">
        <v>599</v>
      </c>
      <c r="AP253" t="s">
        <v>599</v>
      </c>
      <c r="AQ253" t="s">
        <v>599</v>
      </c>
      <c r="AR253" t="s">
        <v>599</v>
      </c>
      <c r="AS253" t="s">
        <v>599</v>
      </c>
      <c r="AT253" t="s">
        <v>599</v>
      </c>
    </row>
    <row r="254" spans="1:46" s="13" customFormat="1" ht="30" x14ac:dyDescent="0.25">
      <c r="A254" s="9">
        <v>10479</v>
      </c>
      <c r="B254" s="10">
        <v>335235</v>
      </c>
      <c r="C254" s="10">
        <v>1</v>
      </c>
      <c r="D254" s="9">
        <v>23</v>
      </c>
      <c r="E254" s="11" t="s">
        <v>245</v>
      </c>
      <c r="F254" s="12" t="s">
        <v>246</v>
      </c>
      <c r="G254" s="9" t="s">
        <v>246</v>
      </c>
      <c r="H254" s="34"/>
      <c r="I254" s="55" t="str">
        <f t="shared" si="7"/>
        <v>https://permalinkbnd.bnportugal.gov.pt/viewer/279168/?offset=#page=23&amp;viewer=picture&amp;o=info&amp;n=0&amp;q=</v>
      </c>
      <c r="J254" s="45"/>
      <c r="K254" s="45"/>
      <c r="L254" s="45"/>
      <c r="M254" t="s">
        <v>245</v>
      </c>
      <c r="N254">
        <v>279168</v>
      </c>
      <c r="O254" t="str">
        <f t="shared" si="6"/>
        <v>https://permalinkbnd.bnportugal.gov.pt/viewer/279168/?offset=#page=23&amp;viewer=picture&amp;o=info&amp;n=0&amp;q=</v>
      </c>
      <c r="P254">
        <v>335235</v>
      </c>
      <c r="Q254" t="s">
        <v>245</v>
      </c>
      <c r="R254" t="s">
        <v>2266</v>
      </c>
      <c r="S254" t="s">
        <v>1178</v>
      </c>
      <c r="T254" t="s">
        <v>1192</v>
      </c>
      <c r="U254" t="s">
        <v>599</v>
      </c>
      <c r="V254" t="s">
        <v>1551</v>
      </c>
      <c r="W254" t="s">
        <v>1778</v>
      </c>
      <c r="X254" t="s">
        <v>599</v>
      </c>
      <c r="Y254" t="s">
        <v>2267</v>
      </c>
      <c r="Z254" t="s">
        <v>2268</v>
      </c>
      <c r="AA254">
        <v>1856</v>
      </c>
      <c r="AB254">
        <v>1856</v>
      </c>
      <c r="AC254" t="s">
        <v>2269</v>
      </c>
      <c r="AD254" t="s">
        <v>1185</v>
      </c>
      <c r="AE254" t="s">
        <v>599</v>
      </c>
      <c r="AF254" t="s">
        <v>599</v>
      </c>
      <c r="AG254" t="s">
        <v>2270</v>
      </c>
      <c r="AH254" t="s">
        <v>599</v>
      </c>
      <c r="AI254" t="s">
        <v>599</v>
      </c>
      <c r="AJ254" t="s">
        <v>2271</v>
      </c>
      <c r="AK254" t="s">
        <v>1188</v>
      </c>
      <c r="AL254" t="s">
        <v>2272</v>
      </c>
      <c r="AM254" t="s">
        <v>1190</v>
      </c>
      <c r="AN254" t="s">
        <v>2273</v>
      </c>
      <c r="AO254" t="s">
        <v>599</v>
      </c>
      <c r="AP254" t="s">
        <v>2274</v>
      </c>
      <c r="AQ254" t="s">
        <v>599</v>
      </c>
      <c r="AR254" t="s">
        <v>599</v>
      </c>
      <c r="AS254" t="s">
        <v>599</v>
      </c>
      <c r="AT254" t="s">
        <v>599</v>
      </c>
    </row>
    <row r="255" spans="1:46" s="13" customFormat="1" ht="30" x14ac:dyDescent="0.25">
      <c r="A255" s="9">
        <v>10480</v>
      </c>
      <c r="B255" s="10">
        <v>335235</v>
      </c>
      <c r="C255" s="10">
        <v>1</v>
      </c>
      <c r="D255" s="9">
        <v>63</v>
      </c>
      <c r="E255" s="11" t="s">
        <v>245</v>
      </c>
      <c r="F255" s="12" t="s">
        <v>246</v>
      </c>
      <c r="G255" s="9" t="s">
        <v>246</v>
      </c>
      <c r="H255" s="34"/>
      <c r="I255" s="55" t="str">
        <f t="shared" si="7"/>
        <v>https://permalinkbnd.bnportugal.gov.pt/viewer/279168/?offset=#page=63&amp;viewer=picture&amp;o=info&amp;n=0&amp;q=</v>
      </c>
      <c r="J255" s="45"/>
      <c r="K255" s="45"/>
      <c r="L255" s="45"/>
      <c r="M255" t="s">
        <v>245</v>
      </c>
      <c r="N255">
        <v>279168</v>
      </c>
      <c r="O255" t="str">
        <f t="shared" si="6"/>
        <v>https://permalinkbnd.bnportugal.gov.pt/viewer/279168/?offset=#page=63&amp;viewer=picture&amp;o=info&amp;n=0&amp;q=</v>
      </c>
      <c r="P255">
        <v>335235</v>
      </c>
      <c r="Q255" t="s">
        <v>245</v>
      </c>
      <c r="R255" t="s">
        <v>2266</v>
      </c>
      <c r="S255" t="s">
        <v>1178</v>
      </c>
      <c r="T255" t="s">
        <v>1192</v>
      </c>
      <c r="U255" t="s">
        <v>599</v>
      </c>
      <c r="V255" t="s">
        <v>1551</v>
      </c>
      <c r="W255" t="s">
        <v>1778</v>
      </c>
      <c r="X255" t="s">
        <v>599</v>
      </c>
      <c r="Y255" t="s">
        <v>2267</v>
      </c>
      <c r="Z255" t="s">
        <v>2268</v>
      </c>
      <c r="AA255">
        <v>1856</v>
      </c>
      <c r="AB255">
        <v>1856</v>
      </c>
      <c r="AC255" t="s">
        <v>2269</v>
      </c>
      <c r="AD255" t="s">
        <v>1185</v>
      </c>
      <c r="AE255" t="s">
        <v>599</v>
      </c>
      <c r="AF255" t="s">
        <v>599</v>
      </c>
      <c r="AG255" t="s">
        <v>2270</v>
      </c>
      <c r="AH255" t="s">
        <v>599</v>
      </c>
      <c r="AI255" t="s">
        <v>599</v>
      </c>
      <c r="AJ255" t="s">
        <v>2271</v>
      </c>
      <c r="AK255" t="s">
        <v>1188</v>
      </c>
      <c r="AL255" t="s">
        <v>2272</v>
      </c>
      <c r="AM255" t="s">
        <v>1190</v>
      </c>
      <c r="AN255" t="s">
        <v>2273</v>
      </c>
      <c r="AO255" t="s">
        <v>599</v>
      </c>
      <c r="AP255" t="s">
        <v>2274</v>
      </c>
      <c r="AQ255" t="s">
        <v>599</v>
      </c>
      <c r="AR255" t="s">
        <v>599</v>
      </c>
      <c r="AS255" t="s">
        <v>599</v>
      </c>
      <c r="AT255" t="s">
        <v>599</v>
      </c>
    </row>
    <row r="256" spans="1:46" s="13" customFormat="1" ht="30" x14ac:dyDescent="0.25">
      <c r="A256" s="9">
        <v>10481</v>
      </c>
      <c r="B256" s="10">
        <v>335235</v>
      </c>
      <c r="C256" s="10">
        <v>1</v>
      </c>
      <c r="D256" s="9">
        <v>105</v>
      </c>
      <c r="E256" s="11" t="s">
        <v>245</v>
      </c>
      <c r="F256" s="12" t="s">
        <v>246</v>
      </c>
      <c r="G256" s="9" t="s">
        <v>246</v>
      </c>
      <c r="H256" s="34"/>
      <c r="I256" s="55" t="str">
        <f t="shared" si="7"/>
        <v>https://permalinkbnd.bnportugal.gov.pt/viewer/279168/?offset=#page=105&amp;viewer=picture&amp;o=info&amp;n=0&amp;q=</v>
      </c>
      <c r="J256" s="45"/>
      <c r="K256" s="45"/>
      <c r="L256" s="45"/>
      <c r="M256" t="s">
        <v>245</v>
      </c>
      <c r="N256">
        <v>279168</v>
      </c>
      <c r="O256" t="str">
        <f t="shared" si="6"/>
        <v>https://permalinkbnd.bnportugal.gov.pt/viewer/279168/?offset=#page=105&amp;viewer=picture&amp;o=info&amp;n=0&amp;q=</v>
      </c>
      <c r="P256">
        <v>335235</v>
      </c>
      <c r="Q256" t="s">
        <v>245</v>
      </c>
      <c r="R256" t="s">
        <v>2266</v>
      </c>
      <c r="S256" t="s">
        <v>1178</v>
      </c>
      <c r="T256" t="s">
        <v>1192</v>
      </c>
      <c r="U256" t="s">
        <v>599</v>
      </c>
      <c r="V256" t="s">
        <v>1551</v>
      </c>
      <c r="W256" t="s">
        <v>1778</v>
      </c>
      <c r="X256" t="s">
        <v>599</v>
      </c>
      <c r="Y256" t="s">
        <v>2267</v>
      </c>
      <c r="Z256" t="s">
        <v>2268</v>
      </c>
      <c r="AA256">
        <v>1856</v>
      </c>
      <c r="AB256">
        <v>1856</v>
      </c>
      <c r="AC256" t="s">
        <v>2269</v>
      </c>
      <c r="AD256" t="s">
        <v>1185</v>
      </c>
      <c r="AE256" t="s">
        <v>599</v>
      </c>
      <c r="AF256" t="s">
        <v>599</v>
      </c>
      <c r="AG256" t="s">
        <v>2270</v>
      </c>
      <c r="AH256" t="s">
        <v>599</v>
      </c>
      <c r="AI256" t="s">
        <v>599</v>
      </c>
      <c r="AJ256" t="s">
        <v>2271</v>
      </c>
      <c r="AK256" t="s">
        <v>1188</v>
      </c>
      <c r="AL256" t="s">
        <v>2272</v>
      </c>
      <c r="AM256" t="s">
        <v>1190</v>
      </c>
      <c r="AN256" t="s">
        <v>2273</v>
      </c>
      <c r="AO256" t="s">
        <v>599</v>
      </c>
      <c r="AP256" t="s">
        <v>2274</v>
      </c>
      <c r="AQ256" t="s">
        <v>599</v>
      </c>
      <c r="AR256" t="s">
        <v>599</v>
      </c>
      <c r="AS256" t="s">
        <v>599</v>
      </c>
      <c r="AT256" t="s">
        <v>599</v>
      </c>
    </row>
    <row r="257" spans="1:46" s="13" customFormat="1" ht="30" x14ac:dyDescent="0.25">
      <c r="A257" s="9">
        <v>10482</v>
      </c>
      <c r="B257" s="10">
        <v>335235</v>
      </c>
      <c r="C257" s="10">
        <v>1</v>
      </c>
      <c r="D257" s="9">
        <v>157</v>
      </c>
      <c r="E257" s="11" t="s">
        <v>245</v>
      </c>
      <c r="F257" s="12" t="s">
        <v>246</v>
      </c>
      <c r="G257" s="9" t="s">
        <v>246</v>
      </c>
      <c r="H257" s="34"/>
      <c r="I257" s="55" t="str">
        <f t="shared" si="7"/>
        <v>https://permalinkbnd.bnportugal.gov.pt/viewer/279168/?offset=#page=157&amp;viewer=picture&amp;o=info&amp;n=0&amp;q=</v>
      </c>
      <c r="J257" s="45"/>
      <c r="K257" s="45"/>
      <c r="L257" s="45"/>
      <c r="M257" t="s">
        <v>245</v>
      </c>
      <c r="N257">
        <v>279168</v>
      </c>
      <c r="O257" t="str">
        <f t="shared" si="6"/>
        <v>https://permalinkbnd.bnportugal.gov.pt/viewer/279168/?offset=#page=157&amp;viewer=picture&amp;o=info&amp;n=0&amp;q=</v>
      </c>
      <c r="P257">
        <v>335235</v>
      </c>
      <c r="Q257" t="s">
        <v>245</v>
      </c>
      <c r="R257" t="s">
        <v>2266</v>
      </c>
      <c r="S257" t="s">
        <v>1178</v>
      </c>
      <c r="T257" t="s">
        <v>1192</v>
      </c>
      <c r="U257" t="s">
        <v>599</v>
      </c>
      <c r="V257" t="s">
        <v>1551</v>
      </c>
      <c r="W257" t="s">
        <v>1778</v>
      </c>
      <c r="X257" t="s">
        <v>599</v>
      </c>
      <c r="Y257" t="s">
        <v>2267</v>
      </c>
      <c r="Z257" t="s">
        <v>2268</v>
      </c>
      <c r="AA257">
        <v>1856</v>
      </c>
      <c r="AB257">
        <v>1856</v>
      </c>
      <c r="AC257" t="s">
        <v>2269</v>
      </c>
      <c r="AD257" t="s">
        <v>1185</v>
      </c>
      <c r="AE257" t="s">
        <v>599</v>
      </c>
      <c r="AF257" t="s">
        <v>599</v>
      </c>
      <c r="AG257" t="s">
        <v>2270</v>
      </c>
      <c r="AH257" t="s">
        <v>599</v>
      </c>
      <c r="AI257" t="s">
        <v>599</v>
      </c>
      <c r="AJ257" t="s">
        <v>2271</v>
      </c>
      <c r="AK257" t="s">
        <v>1188</v>
      </c>
      <c r="AL257" t="s">
        <v>2272</v>
      </c>
      <c r="AM257" t="s">
        <v>1190</v>
      </c>
      <c r="AN257" t="s">
        <v>2273</v>
      </c>
      <c r="AO257" t="s">
        <v>599</v>
      </c>
      <c r="AP257" t="s">
        <v>2274</v>
      </c>
      <c r="AQ257" t="s">
        <v>599</v>
      </c>
      <c r="AR257" t="s">
        <v>599</v>
      </c>
      <c r="AS257" t="s">
        <v>599</v>
      </c>
      <c r="AT257" t="s">
        <v>599</v>
      </c>
    </row>
    <row r="258" spans="1:46" s="13" customFormat="1" ht="30" x14ac:dyDescent="0.25">
      <c r="A258" s="9">
        <v>10483</v>
      </c>
      <c r="B258" s="10">
        <v>335235</v>
      </c>
      <c r="C258" s="10">
        <v>1</v>
      </c>
      <c r="D258" s="9">
        <v>197</v>
      </c>
      <c r="E258" s="11" t="s">
        <v>245</v>
      </c>
      <c r="F258" s="12" t="s">
        <v>246</v>
      </c>
      <c r="G258" s="9" t="s">
        <v>246</v>
      </c>
      <c r="H258" s="34"/>
      <c r="I258" s="55" t="str">
        <f t="shared" si="7"/>
        <v>https://permalinkbnd.bnportugal.gov.pt/viewer/279168/?offset=#page=197&amp;viewer=picture&amp;o=info&amp;n=0&amp;q=</v>
      </c>
      <c r="J258" s="45"/>
      <c r="K258" s="45"/>
      <c r="L258" s="45"/>
      <c r="M258" t="s">
        <v>245</v>
      </c>
      <c r="N258">
        <v>279168</v>
      </c>
      <c r="O258" t="str">
        <f t="shared" ref="O258:O321" si="8">CONCATENATE("https://permalinkbnd.bnportugal.gov.pt/viewer/",N258,"/?offset=#page=",D258,"&amp;viewer=picture&amp;o=info&amp;n=0&amp;q=")</f>
        <v>https://permalinkbnd.bnportugal.gov.pt/viewer/279168/?offset=#page=197&amp;viewer=picture&amp;o=info&amp;n=0&amp;q=</v>
      </c>
      <c r="P258">
        <v>335235</v>
      </c>
      <c r="Q258" t="s">
        <v>245</v>
      </c>
      <c r="R258" t="s">
        <v>2266</v>
      </c>
      <c r="S258" t="s">
        <v>1178</v>
      </c>
      <c r="T258" t="s">
        <v>1192</v>
      </c>
      <c r="U258" t="s">
        <v>599</v>
      </c>
      <c r="V258" t="s">
        <v>1551</v>
      </c>
      <c r="W258" t="s">
        <v>1778</v>
      </c>
      <c r="X258" t="s">
        <v>599</v>
      </c>
      <c r="Y258" t="s">
        <v>2267</v>
      </c>
      <c r="Z258" t="s">
        <v>2268</v>
      </c>
      <c r="AA258">
        <v>1856</v>
      </c>
      <c r="AB258">
        <v>1856</v>
      </c>
      <c r="AC258" t="s">
        <v>2269</v>
      </c>
      <c r="AD258" t="s">
        <v>1185</v>
      </c>
      <c r="AE258" t="s">
        <v>599</v>
      </c>
      <c r="AF258" t="s">
        <v>599</v>
      </c>
      <c r="AG258" t="s">
        <v>2270</v>
      </c>
      <c r="AH258" t="s">
        <v>599</v>
      </c>
      <c r="AI258" t="s">
        <v>599</v>
      </c>
      <c r="AJ258" t="s">
        <v>2271</v>
      </c>
      <c r="AK258" t="s">
        <v>1188</v>
      </c>
      <c r="AL258" t="s">
        <v>2272</v>
      </c>
      <c r="AM258" t="s">
        <v>1190</v>
      </c>
      <c r="AN258" t="s">
        <v>2273</v>
      </c>
      <c r="AO258" t="s">
        <v>599</v>
      </c>
      <c r="AP258" t="s">
        <v>2274</v>
      </c>
      <c r="AQ258" t="s">
        <v>599</v>
      </c>
      <c r="AR258" t="s">
        <v>599</v>
      </c>
      <c r="AS258" t="s">
        <v>599</v>
      </c>
      <c r="AT258" t="s">
        <v>599</v>
      </c>
    </row>
    <row r="259" spans="1:46" s="13" customFormat="1" ht="30" x14ac:dyDescent="0.25">
      <c r="A259" s="9">
        <v>10484</v>
      </c>
      <c r="B259" s="10">
        <v>335235</v>
      </c>
      <c r="C259" s="10">
        <v>1</v>
      </c>
      <c r="D259" s="9">
        <v>268</v>
      </c>
      <c r="E259" s="11" t="s">
        <v>245</v>
      </c>
      <c r="F259" s="12" t="s">
        <v>246</v>
      </c>
      <c r="G259" s="9" t="s">
        <v>246</v>
      </c>
      <c r="H259" s="34"/>
      <c r="I259" s="55" t="str">
        <f t="shared" ref="I259:I322" si="9">HYPERLINK(O259)</f>
        <v>https://permalinkbnd.bnportugal.gov.pt/viewer/279168/?offset=#page=268&amp;viewer=picture&amp;o=info&amp;n=0&amp;q=</v>
      </c>
      <c r="J259" s="45"/>
      <c r="K259" s="45"/>
      <c r="L259" s="45"/>
      <c r="M259" t="s">
        <v>245</v>
      </c>
      <c r="N259">
        <v>279168</v>
      </c>
      <c r="O259" t="str">
        <f t="shared" si="8"/>
        <v>https://permalinkbnd.bnportugal.gov.pt/viewer/279168/?offset=#page=268&amp;viewer=picture&amp;o=info&amp;n=0&amp;q=</v>
      </c>
      <c r="P259">
        <v>335235</v>
      </c>
      <c r="Q259" t="s">
        <v>245</v>
      </c>
      <c r="R259" t="s">
        <v>2266</v>
      </c>
      <c r="S259" t="s">
        <v>1178</v>
      </c>
      <c r="T259" t="s">
        <v>1192</v>
      </c>
      <c r="U259" t="s">
        <v>599</v>
      </c>
      <c r="V259" t="s">
        <v>1551</v>
      </c>
      <c r="W259" t="s">
        <v>1778</v>
      </c>
      <c r="X259" t="s">
        <v>599</v>
      </c>
      <c r="Y259" t="s">
        <v>2267</v>
      </c>
      <c r="Z259" t="s">
        <v>2268</v>
      </c>
      <c r="AA259">
        <v>1856</v>
      </c>
      <c r="AB259">
        <v>1856</v>
      </c>
      <c r="AC259" t="s">
        <v>2269</v>
      </c>
      <c r="AD259" t="s">
        <v>1185</v>
      </c>
      <c r="AE259" t="s">
        <v>599</v>
      </c>
      <c r="AF259" t="s">
        <v>599</v>
      </c>
      <c r="AG259" t="s">
        <v>2270</v>
      </c>
      <c r="AH259" t="s">
        <v>599</v>
      </c>
      <c r="AI259" t="s">
        <v>599</v>
      </c>
      <c r="AJ259" t="s">
        <v>2271</v>
      </c>
      <c r="AK259" t="s">
        <v>1188</v>
      </c>
      <c r="AL259" t="s">
        <v>2272</v>
      </c>
      <c r="AM259" t="s">
        <v>1190</v>
      </c>
      <c r="AN259" t="s">
        <v>2273</v>
      </c>
      <c r="AO259" t="s">
        <v>599</v>
      </c>
      <c r="AP259" t="s">
        <v>2274</v>
      </c>
      <c r="AQ259" t="s">
        <v>599</v>
      </c>
      <c r="AR259" t="s">
        <v>599</v>
      </c>
      <c r="AS259" t="s">
        <v>599</v>
      </c>
      <c r="AT259" t="s">
        <v>599</v>
      </c>
    </row>
    <row r="260" spans="1:46" s="13" customFormat="1" ht="30" x14ac:dyDescent="0.25">
      <c r="A260" s="9">
        <v>10485</v>
      </c>
      <c r="B260" s="10">
        <v>335235</v>
      </c>
      <c r="C260" s="10">
        <v>1</v>
      </c>
      <c r="D260" s="9">
        <v>309</v>
      </c>
      <c r="E260" s="11" t="s">
        <v>245</v>
      </c>
      <c r="F260" s="12" t="s">
        <v>246</v>
      </c>
      <c r="G260" s="9" t="s">
        <v>246</v>
      </c>
      <c r="H260" s="34"/>
      <c r="I260" s="55" t="str">
        <f t="shared" si="9"/>
        <v>https://permalinkbnd.bnportugal.gov.pt/viewer/279168/?offset=#page=309&amp;viewer=picture&amp;o=info&amp;n=0&amp;q=</v>
      </c>
      <c r="J260" s="45"/>
      <c r="K260" s="45"/>
      <c r="L260" s="45"/>
      <c r="M260" t="s">
        <v>245</v>
      </c>
      <c r="N260">
        <v>279168</v>
      </c>
      <c r="O260" t="str">
        <f t="shared" si="8"/>
        <v>https://permalinkbnd.bnportugal.gov.pt/viewer/279168/?offset=#page=309&amp;viewer=picture&amp;o=info&amp;n=0&amp;q=</v>
      </c>
      <c r="P260">
        <v>335235</v>
      </c>
      <c r="Q260" t="s">
        <v>245</v>
      </c>
      <c r="R260" t="s">
        <v>2266</v>
      </c>
      <c r="S260" t="s">
        <v>1178</v>
      </c>
      <c r="T260" t="s">
        <v>1192</v>
      </c>
      <c r="U260" t="s">
        <v>599</v>
      </c>
      <c r="V260" t="s">
        <v>1551</v>
      </c>
      <c r="W260" t="s">
        <v>1778</v>
      </c>
      <c r="X260" t="s">
        <v>599</v>
      </c>
      <c r="Y260" t="s">
        <v>2267</v>
      </c>
      <c r="Z260" t="s">
        <v>2268</v>
      </c>
      <c r="AA260">
        <v>1856</v>
      </c>
      <c r="AB260">
        <v>1856</v>
      </c>
      <c r="AC260" t="s">
        <v>2269</v>
      </c>
      <c r="AD260" t="s">
        <v>1185</v>
      </c>
      <c r="AE260" t="s">
        <v>599</v>
      </c>
      <c r="AF260" t="s">
        <v>599</v>
      </c>
      <c r="AG260" t="s">
        <v>2270</v>
      </c>
      <c r="AH260" t="s">
        <v>599</v>
      </c>
      <c r="AI260" t="s">
        <v>599</v>
      </c>
      <c r="AJ260" t="s">
        <v>2271</v>
      </c>
      <c r="AK260" t="s">
        <v>1188</v>
      </c>
      <c r="AL260" t="s">
        <v>2272</v>
      </c>
      <c r="AM260" t="s">
        <v>1190</v>
      </c>
      <c r="AN260" t="s">
        <v>2273</v>
      </c>
      <c r="AO260" t="s">
        <v>599</v>
      </c>
      <c r="AP260" t="s">
        <v>2274</v>
      </c>
      <c r="AQ260" t="s">
        <v>599</v>
      </c>
      <c r="AR260" t="s">
        <v>599</v>
      </c>
      <c r="AS260" t="s">
        <v>599</v>
      </c>
      <c r="AT260" t="s">
        <v>599</v>
      </c>
    </row>
    <row r="261" spans="1:46" s="13" customFormat="1" ht="30" x14ac:dyDescent="0.25">
      <c r="A261" s="9">
        <v>10486</v>
      </c>
      <c r="B261" s="10">
        <v>335235</v>
      </c>
      <c r="C261" s="10">
        <v>1</v>
      </c>
      <c r="D261" s="9">
        <v>375</v>
      </c>
      <c r="E261" s="11" t="s">
        <v>245</v>
      </c>
      <c r="F261" s="12" t="s">
        <v>246</v>
      </c>
      <c r="G261" s="9" t="s">
        <v>246</v>
      </c>
      <c r="H261" s="34"/>
      <c r="I261" s="55" t="str">
        <f t="shared" si="9"/>
        <v>https://permalinkbnd.bnportugal.gov.pt/viewer/279168/?offset=#page=375&amp;viewer=picture&amp;o=info&amp;n=0&amp;q=</v>
      </c>
      <c r="J261" s="45"/>
      <c r="K261" s="45"/>
      <c r="L261" s="45"/>
      <c r="M261" t="s">
        <v>245</v>
      </c>
      <c r="N261">
        <v>279168</v>
      </c>
      <c r="O261" t="str">
        <f t="shared" si="8"/>
        <v>https://permalinkbnd.bnportugal.gov.pt/viewer/279168/?offset=#page=375&amp;viewer=picture&amp;o=info&amp;n=0&amp;q=</v>
      </c>
      <c r="P261">
        <v>335235</v>
      </c>
      <c r="Q261" t="s">
        <v>245</v>
      </c>
      <c r="R261" t="s">
        <v>2266</v>
      </c>
      <c r="S261" t="s">
        <v>1178</v>
      </c>
      <c r="T261" t="s">
        <v>1192</v>
      </c>
      <c r="U261" t="s">
        <v>599</v>
      </c>
      <c r="V261" t="s">
        <v>1551</v>
      </c>
      <c r="W261" t="s">
        <v>1778</v>
      </c>
      <c r="X261" t="s">
        <v>599</v>
      </c>
      <c r="Y261" t="s">
        <v>2267</v>
      </c>
      <c r="Z261" t="s">
        <v>2268</v>
      </c>
      <c r="AA261">
        <v>1856</v>
      </c>
      <c r="AB261">
        <v>1856</v>
      </c>
      <c r="AC261" t="s">
        <v>2269</v>
      </c>
      <c r="AD261" t="s">
        <v>1185</v>
      </c>
      <c r="AE261" t="s">
        <v>599</v>
      </c>
      <c r="AF261" t="s">
        <v>599</v>
      </c>
      <c r="AG261" t="s">
        <v>2270</v>
      </c>
      <c r="AH261" t="s">
        <v>599</v>
      </c>
      <c r="AI261" t="s">
        <v>599</v>
      </c>
      <c r="AJ261" t="s">
        <v>2271</v>
      </c>
      <c r="AK261" t="s">
        <v>1188</v>
      </c>
      <c r="AL261" t="s">
        <v>2272</v>
      </c>
      <c r="AM261" t="s">
        <v>1190</v>
      </c>
      <c r="AN261" t="s">
        <v>2273</v>
      </c>
      <c r="AO261" t="s">
        <v>599</v>
      </c>
      <c r="AP261" t="s">
        <v>2274</v>
      </c>
      <c r="AQ261" t="s">
        <v>599</v>
      </c>
      <c r="AR261" t="s">
        <v>599</v>
      </c>
      <c r="AS261" t="s">
        <v>599</v>
      </c>
      <c r="AT261" t="s">
        <v>599</v>
      </c>
    </row>
    <row r="262" spans="1:46" s="13" customFormat="1" ht="30" x14ac:dyDescent="0.25">
      <c r="A262" s="9">
        <v>10492</v>
      </c>
      <c r="B262" s="10">
        <v>256272</v>
      </c>
      <c r="C262" s="10">
        <v>1</v>
      </c>
      <c r="D262" s="9">
        <v>10</v>
      </c>
      <c r="E262" s="11" t="s">
        <v>247</v>
      </c>
      <c r="F262" s="12" t="s">
        <v>248</v>
      </c>
      <c r="G262" s="9" t="s">
        <v>249</v>
      </c>
      <c r="H262" s="34"/>
      <c r="I262" s="55" t="str">
        <f t="shared" si="9"/>
        <v>https://permalinkbnd.bnportugal.gov.pt/viewer/273511/?offset=#page=10&amp;viewer=picture&amp;o=info&amp;n=0&amp;q=</v>
      </c>
      <c r="J262" s="45"/>
      <c r="K262" s="45"/>
      <c r="L262" s="45"/>
      <c r="M262" t="s">
        <v>247</v>
      </c>
      <c r="N262">
        <v>273511</v>
      </c>
      <c r="O262" t="str">
        <f t="shared" si="8"/>
        <v>https://permalinkbnd.bnportugal.gov.pt/viewer/273511/?offset=#page=10&amp;viewer=picture&amp;o=info&amp;n=0&amp;q=</v>
      </c>
      <c r="P262">
        <v>256272</v>
      </c>
      <c r="Q262" t="s">
        <v>247</v>
      </c>
      <c r="R262" t="s">
        <v>2275</v>
      </c>
      <c r="S262" t="s">
        <v>1178</v>
      </c>
      <c r="T262" t="s">
        <v>1192</v>
      </c>
      <c r="U262" t="s">
        <v>599</v>
      </c>
      <c r="V262" t="s">
        <v>1551</v>
      </c>
      <c r="W262" t="s">
        <v>599</v>
      </c>
      <c r="X262" t="s">
        <v>599</v>
      </c>
      <c r="Y262" t="s">
        <v>2276</v>
      </c>
      <c r="Z262" t="s">
        <v>2277</v>
      </c>
      <c r="AA262">
        <v>1823</v>
      </c>
      <c r="AB262">
        <v>1823</v>
      </c>
      <c r="AC262" t="s">
        <v>2278</v>
      </c>
      <c r="AD262" t="s">
        <v>1185</v>
      </c>
      <c r="AE262" t="s">
        <v>599</v>
      </c>
      <c r="AF262" t="s">
        <v>599</v>
      </c>
      <c r="AG262" t="s">
        <v>2279</v>
      </c>
      <c r="AH262" t="s">
        <v>599</v>
      </c>
      <c r="AI262" t="s">
        <v>599</v>
      </c>
      <c r="AJ262" t="s">
        <v>2280</v>
      </c>
      <c r="AK262" t="s">
        <v>1188</v>
      </c>
      <c r="AL262" t="s">
        <v>2281</v>
      </c>
      <c r="AM262" t="s">
        <v>1190</v>
      </c>
      <c r="AN262" t="s">
        <v>599</v>
      </c>
      <c r="AO262" t="s">
        <v>599</v>
      </c>
      <c r="AP262" t="s">
        <v>599</v>
      </c>
      <c r="AQ262" t="s">
        <v>599</v>
      </c>
      <c r="AR262" t="s">
        <v>599</v>
      </c>
      <c r="AS262" t="s">
        <v>599</v>
      </c>
      <c r="AT262" t="s">
        <v>599</v>
      </c>
    </row>
    <row r="263" spans="1:46" s="13" customFormat="1" ht="30" x14ac:dyDescent="0.25">
      <c r="A263" s="9">
        <v>10493</v>
      </c>
      <c r="B263" s="10">
        <v>256272</v>
      </c>
      <c r="C263" s="10">
        <v>1</v>
      </c>
      <c r="D263" s="9">
        <v>11</v>
      </c>
      <c r="E263" s="11" t="s">
        <v>247</v>
      </c>
      <c r="F263" s="12" t="s">
        <v>248</v>
      </c>
      <c r="G263" s="9" t="s">
        <v>249</v>
      </c>
      <c r="H263" s="34"/>
      <c r="I263" s="55" t="str">
        <f t="shared" si="9"/>
        <v>https://permalinkbnd.bnportugal.gov.pt/viewer/273511/?offset=#page=11&amp;viewer=picture&amp;o=info&amp;n=0&amp;q=</v>
      </c>
      <c r="J263" s="45"/>
      <c r="K263" s="45"/>
      <c r="L263" s="45"/>
      <c r="M263" t="s">
        <v>247</v>
      </c>
      <c r="N263">
        <v>273511</v>
      </c>
      <c r="O263" t="str">
        <f t="shared" si="8"/>
        <v>https://permalinkbnd.bnportugal.gov.pt/viewer/273511/?offset=#page=11&amp;viewer=picture&amp;o=info&amp;n=0&amp;q=</v>
      </c>
      <c r="P263">
        <v>256272</v>
      </c>
      <c r="Q263" t="s">
        <v>247</v>
      </c>
      <c r="R263" t="s">
        <v>2275</v>
      </c>
      <c r="S263" t="s">
        <v>1178</v>
      </c>
      <c r="T263" t="s">
        <v>1192</v>
      </c>
      <c r="U263" t="s">
        <v>599</v>
      </c>
      <c r="V263" t="s">
        <v>1551</v>
      </c>
      <c r="W263" t="s">
        <v>599</v>
      </c>
      <c r="X263" t="s">
        <v>599</v>
      </c>
      <c r="Y263" t="s">
        <v>2276</v>
      </c>
      <c r="Z263" t="s">
        <v>2277</v>
      </c>
      <c r="AA263">
        <v>1823</v>
      </c>
      <c r="AB263">
        <v>1823</v>
      </c>
      <c r="AC263" t="s">
        <v>2278</v>
      </c>
      <c r="AD263" t="s">
        <v>1185</v>
      </c>
      <c r="AE263" t="s">
        <v>599</v>
      </c>
      <c r="AF263" t="s">
        <v>599</v>
      </c>
      <c r="AG263" t="s">
        <v>2279</v>
      </c>
      <c r="AH263" t="s">
        <v>599</v>
      </c>
      <c r="AI263" t="s">
        <v>599</v>
      </c>
      <c r="AJ263" t="s">
        <v>2280</v>
      </c>
      <c r="AK263" t="s">
        <v>1188</v>
      </c>
      <c r="AL263" t="s">
        <v>2281</v>
      </c>
      <c r="AM263" t="s">
        <v>1190</v>
      </c>
      <c r="AN263" t="s">
        <v>599</v>
      </c>
      <c r="AO263" t="s">
        <v>599</v>
      </c>
      <c r="AP263" t="s">
        <v>599</v>
      </c>
      <c r="AQ263" t="s">
        <v>599</v>
      </c>
      <c r="AR263" t="s">
        <v>599</v>
      </c>
      <c r="AS263" t="s">
        <v>599</v>
      </c>
      <c r="AT263" t="s">
        <v>599</v>
      </c>
    </row>
    <row r="264" spans="1:46" s="13" customFormat="1" ht="30" x14ac:dyDescent="0.25">
      <c r="A264" s="9">
        <v>10498</v>
      </c>
      <c r="B264" s="10">
        <v>458267</v>
      </c>
      <c r="C264" s="10">
        <v>1</v>
      </c>
      <c r="D264" s="9">
        <v>5</v>
      </c>
      <c r="E264" s="11" t="s">
        <v>250</v>
      </c>
      <c r="F264" s="12" t="s">
        <v>143</v>
      </c>
      <c r="G264" s="9"/>
      <c r="H264" s="34"/>
      <c r="I264" s="55" t="str">
        <f t="shared" si="9"/>
        <v>https://permalinkbnd.bnportugal.gov.pt/viewer/274951/?offset=#page=5&amp;viewer=picture&amp;o=info&amp;n=0&amp;q=</v>
      </c>
      <c r="J264" s="45"/>
      <c r="K264" s="45"/>
      <c r="L264" s="45"/>
      <c r="M264" t="s">
        <v>250</v>
      </c>
      <c r="N264">
        <v>274951</v>
      </c>
      <c r="O264" t="str">
        <f t="shared" si="8"/>
        <v>https://permalinkbnd.bnportugal.gov.pt/viewer/274951/?offset=#page=5&amp;viewer=picture&amp;o=info&amp;n=0&amp;q=</v>
      </c>
      <c r="P264">
        <v>458267</v>
      </c>
      <c r="Q264" t="s">
        <v>250</v>
      </c>
      <c r="R264" t="s">
        <v>2282</v>
      </c>
      <c r="S264" t="s">
        <v>1178</v>
      </c>
      <c r="T264" t="s">
        <v>1192</v>
      </c>
      <c r="U264" t="s">
        <v>599</v>
      </c>
      <c r="V264" t="s">
        <v>2283</v>
      </c>
      <c r="W264" t="s">
        <v>599</v>
      </c>
      <c r="X264" t="s">
        <v>599</v>
      </c>
      <c r="Y264" t="s">
        <v>1182</v>
      </c>
      <c r="Z264" t="s">
        <v>1221</v>
      </c>
      <c r="AA264">
        <v>1887</v>
      </c>
      <c r="AB264">
        <v>1887</v>
      </c>
      <c r="AC264" t="s">
        <v>2284</v>
      </c>
      <c r="AD264" t="s">
        <v>2285</v>
      </c>
      <c r="AE264" t="s">
        <v>599</v>
      </c>
      <c r="AF264" t="s">
        <v>599</v>
      </c>
      <c r="AG264" t="s">
        <v>599</v>
      </c>
      <c r="AH264" t="s">
        <v>599</v>
      </c>
      <c r="AI264" t="s">
        <v>599</v>
      </c>
      <c r="AJ264" t="s">
        <v>2286</v>
      </c>
      <c r="AK264" t="s">
        <v>2287</v>
      </c>
      <c r="AL264" t="s">
        <v>2288</v>
      </c>
      <c r="AM264" t="s">
        <v>1190</v>
      </c>
      <c r="AN264" t="s">
        <v>599</v>
      </c>
      <c r="AO264" t="s">
        <v>599</v>
      </c>
      <c r="AP264" t="s">
        <v>599</v>
      </c>
      <c r="AQ264" t="s">
        <v>599</v>
      </c>
      <c r="AR264" t="s">
        <v>599</v>
      </c>
      <c r="AS264" t="s">
        <v>599</v>
      </c>
      <c r="AT264" t="s">
        <v>599</v>
      </c>
    </row>
    <row r="265" spans="1:46" s="13" customFormat="1" ht="30" x14ac:dyDescent="0.25">
      <c r="A265" s="9">
        <v>10499</v>
      </c>
      <c r="B265" s="10">
        <v>849980</v>
      </c>
      <c r="C265" s="10">
        <v>1</v>
      </c>
      <c r="D265" s="9">
        <v>96</v>
      </c>
      <c r="E265" s="11" t="s">
        <v>251</v>
      </c>
      <c r="F265" s="12" t="s">
        <v>252</v>
      </c>
      <c r="G265" s="9"/>
      <c r="H265" s="34"/>
      <c r="I265" s="55" t="str">
        <f t="shared" si="9"/>
        <v>https://permalinkbnd.bnportugal.gov.pt/viewer/273524/?offset=#page=96&amp;viewer=picture&amp;o=info&amp;n=0&amp;q=</v>
      </c>
      <c r="J265" s="45"/>
      <c r="K265" s="45"/>
      <c r="L265" s="45"/>
      <c r="M265" t="s">
        <v>251</v>
      </c>
      <c r="N265">
        <v>273524</v>
      </c>
      <c r="O265" t="str">
        <f t="shared" si="8"/>
        <v>https://permalinkbnd.bnportugal.gov.pt/viewer/273524/?offset=#page=96&amp;viewer=picture&amp;o=info&amp;n=0&amp;q=</v>
      </c>
      <c r="P265">
        <v>849980</v>
      </c>
      <c r="Q265" t="s">
        <v>251</v>
      </c>
      <c r="R265" t="s">
        <v>2289</v>
      </c>
      <c r="S265" t="s">
        <v>1178</v>
      </c>
      <c r="T265" t="s">
        <v>1192</v>
      </c>
      <c r="U265" t="s">
        <v>599</v>
      </c>
      <c r="V265" t="s">
        <v>2290</v>
      </c>
      <c r="W265" t="s">
        <v>599</v>
      </c>
      <c r="X265" t="s">
        <v>599</v>
      </c>
      <c r="Y265" t="s">
        <v>1182</v>
      </c>
      <c r="Z265" t="s">
        <v>2291</v>
      </c>
      <c r="AA265">
        <v>1880</v>
      </c>
      <c r="AB265">
        <v>1880</v>
      </c>
      <c r="AC265" t="s">
        <v>2292</v>
      </c>
      <c r="AD265" t="s">
        <v>2293</v>
      </c>
      <c r="AE265" t="s">
        <v>599</v>
      </c>
      <c r="AF265" t="s">
        <v>599</v>
      </c>
      <c r="AG265" t="s">
        <v>599</v>
      </c>
      <c r="AH265" t="s">
        <v>599</v>
      </c>
      <c r="AI265" t="s">
        <v>599</v>
      </c>
      <c r="AJ265" t="s">
        <v>2294</v>
      </c>
      <c r="AK265" t="s">
        <v>1188</v>
      </c>
      <c r="AL265" t="s">
        <v>2295</v>
      </c>
      <c r="AM265" t="s">
        <v>1190</v>
      </c>
      <c r="AN265" t="s">
        <v>599</v>
      </c>
      <c r="AO265" t="s">
        <v>599</v>
      </c>
      <c r="AP265" t="s">
        <v>599</v>
      </c>
      <c r="AQ265" t="s">
        <v>599</v>
      </c>
      <c r="AR265" t="s">
        <v>599</v>
      </c>
      <c r="AS265" t="s">
        <v>599</v>
      </c>
      <c r="AT265" t="s">
        <v>599</v>
      </c>
    </row>
    <row r="266" spans="1:46" s="13" customFormat="1" ht="30" x14ac:dyDescent="0.25">
      <c r="A266" s="9"/>
      <c r="B266" s="10">
        <v>849980</v>
      </c>
      <c r="C266" s="10">
        <v>1</v>
      </c>
      <c r="D266" s="9">
        <v>97</v>
      </c>
      <c r="E266" s="11" t="s">
        <v>251</v>
      </c>
      <c r="F266" s="12"/>
      <c r="G266" s="9"/>
      <c r="H266" s="34"/>
      <c r="I266" s="55" t="str">
        <f t="shared" si="9"/>
        <v>https://permalinkbnd.bnportugal.gov.pt/viewer/273524/?offset=#page=97&amp;viewer=picture&amp;o=info&amp;n=0&amp;q=</v>
      </c>
      <c r="J266" s="45"/>
      <c r="K266" s="45"/>
      <c r="L266" s="45"/>
      <c r="M266" t="s">
        <v>251</v>
      </c>
      <c r="N266">
        <v>273524</v>
      </c>
      <c r="O266" t="str">
        <f t="shared" si="8"/>
        <v>https://permalinkbnd.bnportugal.gov.pt/viewer/273524/?offset=#page=97&amp;viewer=picture&amp;o=info&amp;n=0&amp;q=</v>
      </c>
      <c r="P266">
        <v>849980</v>
      </c>
      <c r="Q266" t="s">
        <v>251</v>
      </c>
      <c r="R266" t="s">
        <v>2289</v>
      </c>
      <c r="S266" t="s">
        <v>1178</v>
      </c>
      <c r="T266" t="s">
        <v>1192</v>
      </c>
      <c r="U266" t="s">
        <v>599</v>
      </c>
      <c r="V266" t="s">
        <v>2290</v>
      </c>
      <c r="W266" t="s">
        <v>599</v>
      </c>
      <c r="X266" t="s">
        <v>599</v>
      </c>
      <c r="Y266" t="s">
        <v>1182</v>
      </c>
      <c r="Z266" t="s">
        <v>2291</v>
      </c>
      <c r="AA266">
        <v>1880</v>
      </c>
      <c r="AB266">
        <v>1880</v>
      </c>
      <c r="AC266" t="s">
        <v>2292</v>
      </c>
      <c r="AD266" t="s">
        <v>2293</v>
      </c>
      <c r="AE266" t="s">
        <v>599</v>
      </c>
      <c r="AF266" t="s">
        <v>599</v>
      </c>
      <c r="AG266" t="s">
        <v>599</v>
      </c>
      <c r="AH266" t="s">
        <v>599</v>
      </c>
      <c r="AI266" t="s">
        <v>599</v>
      </c>
      <c r="AJ266" t="s">
        <v>2294</v>
      </c>
      <c r="AK266" t="s">
        <v>1188</v>
      </c>
      <c r="AL266" t="s">
        <v>2295</v>
      </c>
      <c r="AM266" t="s">
        <v>1190</v>
      </c>
      <c r="AN266" t="s">
        <v>599</v>
      </c>
      <c r="AO266" t="s">
        <v>599</v>
      </c>
      <c r="AP266" t="s">
        <v>599</v>
      </c>
      <c r="AQ266" t="s">
        <v>599</v>
      </c>
      <c r="AR266" t="s">
        <v>599</v>
      </c>
      <c r="AS266" t="s">
        <v>599</v>
      </c>
      <c r="AT266" t="s">
        <v>599</v>
      </c>
    </row>
    <row r="267" spans="1:46" s="13" customFormat="1" ht="30" x14ac:dyDescent="0.25">
      <c r="A267" s="9"/>
      <c r="B267" s="10">
        <v>849980</v>
      </c>
      <c r="C267" s="10">
        <v>1</v>
      </c>
      <c r="D267" s="9">
        <v>100</v>
      </c>
      <c r="E267" s="11" t="s">
        <v>251</v>
      </c>
      <c r="F267" s="12"/>
      <c r="G267" s="9"/>
      <c r="H267" s="34"/>
      <c r="I267" s="55" t="str">
        <f t="shared" si="9"/>
        <v>https://permalinkbnd.bnportugal.gov.pt/viewer/273524/?offset=#page=100&amp;viewer=picture&amp;o=info&amp;n=0&amp;q=</v>
      </c>
      <c r="J267" s="45"/>
      <c r="K267" s="45"/>
      <c r="L267" s="45"/>
      <c r="M267" t="s">
        <v>251</v>
      </c>
      <c r="N267">
        <v>273524</v>
      </c>
      <c r="O267" t="str">
        <f t="shared" si="8"/>
        <v>https://permalinkbnd.bnportugal.gov.pt/viewer/273524/?offset=#page=100&amp;viewer=picture&amp;o=info&amp;n=0&amp;q=</v>
      </c>
      <c r="P267">
        <v>849980</v>
      </c>
      <c r="Q267" t="s">
        <v>251</v>
      </c>
      <c r="R267" t="s">
        <v>2289</v>
      </c>
      <c r="S267" t="s">
        <v>1178</v>
      </c>
      <c r="T267" t="s">
        <v>1192</v>
      </c>
      <c r="U267" t="s">
        <v>599</v>
      </c>
      <c r="V267" t="s">
        <v>2290</v>
      </c>
      <c r="W267" t="s">
        <v>599</v>
      </c>
      <c r="X267" t="s">
        <v>599</v>
      </c>
      <c r="Y267" t="s">
        <v>1182</v>
      </c>
      <c r="Z267" t="s">
        <v>2291</v>
      </c>
      <c r="AA267">
        <v>1880</v>
      </c>
      <c r="AB267">
        <v>1880</v>
      </c>
      <c r="AC267" t="s">
        <v>2292</v>
      </c>
      <c r="AD267" t="s">
        <v>2293</v>
      </c>
      <c r="AE267" t="s">
        <v>599</v>
      </c>
      <c r="AF267" t="s">
        <v>599</v>
      </c>
      <c r="AG267" t="s">
        <v>599</v>
      </c>
      <c r="AH267" t="s">
        <v>599</v>
      </c>
      <c r="AI267" t="s">
        <v>599</v>
      </c>
      <c r="AJ267" t="s">
        <v>2294</v>
      </c>
      <c r="AK267" t="s">
        <v>1188</v>
      </c>
      <c r="AL267" t="s">
        <v>2295</v>
      </c>
      <c r="AM267" t="s">
        <v>1190</v>
      </c>
      <c r="AN267" t="s">
        <v>599</v>
      </c>
      <c r="AO267" t="s">
        <v>599</v>
      </c>
      <c r="AP267" t="s">
        <v>599</v>
      </c>
      <c r="AQ267" t="s">
        <v>599</v>
      </c>
      <c r="AR267" t="s">
        <v>599</v>
      </c>
      <c r="AS267" t="s">
        <v>599</v>
      </c>
      <c r="AT267" t="s">
        <v>599</v>
      </c>
    </row>
    <row r="268" spans="1:46" s="13" customFormat="1" ht="30" x14ac:dyDescent="0.25">
      <c r="A268" s="9"/>
      <c r="B268" s="10">
        <v>849980</v>
      </c>
      <c r="C268" s="10">
        <v>1</v>
      </c>
      <c r="D268" s="9">
        <v>101</v>
      </c>
      <c r="E268" s="11" t="s">
        <v>251</v>
      </c>
      <c r="F268" s="12"/>
      <c r="G268" s="9"/>
      <c r="H268" s="34"/>
      <c r="I268" s="55" t="str">
        <f t="shared" si="9"/>
        <v>https://permalinkbnd.bnportugal.gov.pt/viewer/273524/?offset=#page=101&amp;viewer=picture&amp;o=info&amp;n=0&amp;q=</v>
      </c>
      <c r="J268" s="45"/>
      <c r="K268" s="45"/>
      <c r="L268" s="45"/>
      <c r="M268" t="s">
        <v>251</v>
      </c>
      <c r="N268">
        <v>273524</v>
      </c>
      <c r="O268" t="str">
        <f t="shared" si="8"/>
        <v>https://permalinkbnd.bnportugal.gov.pt/viewer/273524/?offset=#page=101&amp;viewer=picture&amp;o=info&amp;n=0&amp;q=</v>
      </c>
      <c r="P268">
        <v>849980</v>
      </c>
      <c r="Q268" t="s">
        <v>251</v>
      </c>
      <c r="R268" t="s">
        <v>2289</v>
      </c>
      <c r="S268" t="s">
        <v>1178</v>
      </c>
      <c r="T268" t="s">
        <v>1192</v>
      </c>
      <c r="U268" t="s">
        <v>599</v>
      </c>
      <c r="V268" t="s">
        <v>2290</v>
      </c>
      <c r="W268" t="s">
        <v>599</v>
      </c>
      <c r="X268" t="s">
        <v>599</v>
      </c>
      <c r="Y268" t="s">
        <v>1182</v>
      </c>
      <c r="Z268" t="s">
        <v>2291</v>
      </c>
      <c r="AA268">
        <v>1880</v>
      </c>
      <c r="AB268">
        <v>1880</v>
      </c>
      <c r="AC268" t="s">
        <v>2292</v>
      </c>
      <c r="AD268" t="s">
        <v>2293</v>
      </c>
      <c r="AE268" t="s">
        <v>599</v>
      </c>
      <c r="AF268" t="s">
        <v>599</v>
      </c>
      <c r="AG268" t="s">
        <v>599</v>
      </c>
      <c r="AH268" t="s">
        <v>599</v>
      </c>
      <c r="AI268" t="s">
        <v>599</v>
      </c>
      <c r="AJ268" t="s">
        <v>2294</v>
      </c>
      <c r="AK268" t="s">
        <v>1188</v>
      </c>
      <c r="AL268" t="s">
        <v>2295</v>
      </c>
      <c r="AM268" t="s">
        <v>1190</v>
      </c>
      <c r="AN268" t="s">
        <v>599</v>
      </c>
      <c r="AO268" t="s">
        <v>599</v>
      </c>
      <c r="AP268" t="s">
        <v>599</v>
      </c>
      <c r="AQ268" t="s">
        <v>599</v>
      </c>
      <c r="AR268" t="s">
        <v>599</v>
      </c>
      <c r="AS268" t="s">
        <v>599</v>
      </c>
      <c r="AT268" t="s">
        <v>599</v>
      </c>
    </row>
    <row r="269" spans="1:46" s="13" customFormat="1" ht="30" x14ac:dyDescent="0.25">
      <c r="A269" s="9">
        <v>10502</v>
      </c>
      <c r="B269" s="10">
        <v>458260</v>
      </c>
      <c r="C269" s="10">
        <v>1</v>
      </c>
      <c r="D269" s="9">
        <v>8</v>
      </c>
      <c r="E269" s="11" t="s">
        <v>253</v>
      </c>
      <c r="F269" s="12" t="s">
        <v>254</v>
      </c>
      <c r="G269" s="9">
        <v>8</v>
      </c>
      <c r="H269" s="34"/>
      <c r="I269" s="55" t="str">
        <f t="shared" si="9"/>
        <v>https://permalinkbnd.bnportugal.gov.pt/viewer/275168/?offset=#page=8&amp;viewer=picture&amp;o=info&amp;n=0&amp;q=</v>
      </c>
      <c r="J269" s="45"/>
      <c r="K269" s="45"/>
      <c r="L269" s="45"/>
      <c r="M269" t="s">
        <v>253</v>
      </c>
      <c r="N269">
        <v>275168</v>
      </c>
      <c r="O269" t="str">
        <f t="shared" si="8"/>
        <v>https://permalinkbnd.bnportugal.gov.pt/viewer/275168/?offset=#page=8&amp;viewer=picture&amp;o=info&amp;n=0&amp;q=</v>
      </c>
      <c r="P269">
        <v>458260</v>
      </c>
      <c r="Q269" t="s">
        <v>253</v>
      </c>
      <c r="R269" t="s">
        <v>2296</v>
      </c>
      <c r="S269" t="s">
        <v>1178</v>
      </c>
      <c r="T269" t="s">
        <v>1192</v>
      </c>
      <c r="U269" t="s">
        <v>599</v>
      </c>
      <c r="V269" t="s">
        <v>2297</v>
      </c>
      <c r="W269" t="s">
        <v>2298</v>
      </c>
      <c r="X269" t="s">
        <v>599</v>
      </c>
      <c r="Y269" t="s">
        <v>1182</v>
      </c>
      <c r="Z269" t="s">
        <v>1221</v>
      </c>
      <c r="AA269">
        <v>1888</v>
      </c>
      <c r="AB269">
        <v>1888</v>
      </c>
      <c r="AC269" t="s">
        <v>2299</v>
      </c>
      <c r="AD269" t="s">
        <v>1185</v>
      </c>
      <c r="AE269" t="s">
        <v>599</v>
      </c>
      <c r="AF269" t="s">
        <v>599</v>
      </c>
      <c r="AG269" t="s">
        <v>599</v>
      </c>
      <c r="AH269" t="s">
        <v>599</v>
      </c>
      <c r="AI269" t="s">
        <v>599</v>
      </c>
      <c r="AJ269" t="s">
        <v>2300</v>
      </c>
      <c r="AK269" t="s">
        <v>1188</v>
      </c>
      <c r="AL269" t="s">
        <v>2301</v>
      </c>
      <c r="AM269" t="s">
        <v>1190</v>
      </c>
      <c r="AN269" t="s">
        <v>599</v>
      </c>
      <c r="AO269" t="s">
        <v>599</v>
      </c>
      <c r="AP269" t="s">
        <v>599</v>
      </c>
      <c r="AQ269" t="s">
        <v>599</v>
      </c>
      <c r="AR269" t="s">
        <v>599</v>
      </c>
      <c r="AS269" t="s">
        <v>599</v>
      </c>
      <c r="AT269" t="s">
        <v>599</v>
      </c>
    </row>
    <row r="270" spans="1:46" s="26" customFormat="1" ht="30" x14ac:dyDescent="0.25">
      <c r="A270" s="22">
        <v>10503</v>
      </c>
      <c r="B270" s="23">
        <v>256276</v>
      </c>
      <c r="C270" s="23">
        <v>1</v>
      </c>
      <c r="D270" s="27">
        <v>7</v>
      </c>
      <c r="E270" s="24" t="s">
        <v>255</v>
      </c>
      <c r="F270" s="25" t="s">
        <v>172</v>
      </c>
      <c r="G270" s="22"/>
      <c r="H270" s="27" t="s">
        <v>615</v>
      </c>
      <c r="I270" s="55" t="str">
        <f t="shared" si="9"/>
        <v>https://permalinkbnd.bnportugal.gov.pt/viewer/275163/?offset=#page=7&amp;viewer=picture&amp;o=info&amp;n=0&amp;q=</v>
      </c>
      <c r="J270" s="45"/>
      <c r="K270" s="45"/>
      <c r="L270" s="45"/>
      <c r="M270" t="s">
        <v>255</v>
      </c>
      <c r="N270">
        <v>275163</v>
      </c>
      <c r="O270" t="str">
        <f t="shared" si="8"/>
        <v>https://permalinkbnd.bnportugal.gov.pt/viewer/275163/?offset=#page=7&amp;viewer=picture&amp;o=info&amp;n=0&amp;q=</v>
      </c>
      <c r="P270">
        <v>256276</v>
      </c>
      <c r="Q270" t="s">
        <v>255</v>
      </c>
      <c r="R270" t="s">
        <v>2302</v>
      </c>
      <c r="S270" t="s">
        <v>1178</v>
      </c>
      <c r="T270" t="s">
        <v>1192</v>
      </c>
      <c r="U270" t="s">
        <v>599</v>
      </c>
      <c r="V270" t="s">
        <v>1551</v>
      </c>
      <c r="W270" t="s">
        <v>599</v>
      </c>
      <c r="X270" t="s">
        <v>599</v>
      </c>
      <c r="Y270" t="s">
        <v>2303</v>
      </c>
      <c r="Z270" t="s">
        <v>2304</v>
      </c>
      <c r="AA270">
        <v>1827</v>
      </c>
      <c r="AB270">
        <v>1827</v>
      </c>
      <c r="AC270" t="s">
        <v>2305</v>
      </c>
      <c r="AD270" t="s">
        <v>1185</v>
      </c>
      <c r="AE270" t="s">
        <v>599</v>
      </c>
      <c r="AF270" t="s">
        <v>599</v>
      </c>
      <c r="AG270" t="s">
        <v>2306</v>
      </c>
      <c r="AH270" t="s">
        <v>599</v>
      </c>
      <c r="AI270" t="s">
        <v>2307</v>
      </c>
      <c r="AJ270" t="s">
        <v>2308</v>
      </c>
      <c r="AK270" t="s">
        <v>1188</v>
      </c>
      <c r="AL270" t="s">
        <v>2309</v>
      </c>
      <c r="AM270" t="s">
        <v>1190</v>
      </c>
      <c r="AN270" t="s">
        <v>599</v>
      </c>
      <c r="AO270" t="s">
        <v>599</v>
      </c>
      <c r="AP270" t="s">
        <v>599</v>
      </c>
      <c r="AQ270" t="s">
        <v>599</v>
      </c>
      <c r="AR270" t="s">
        <v>599</v>
      </c>
      <c r="AS270" t="s">
        <v>599</v>
      </c>
      <c r="AT270" t="s">
        <v>599</v>
      </c>
    </row>
    <row r="271" spans="1:46" s="13" customFormat="1" ht="30" x14ac:dyDescent="0.25">
      <c r="A271" s="9">
        <v>10510</v>
      </c>
      <c r="B271" s="10">
        <v>849990</v>
      </c>
      <c r="C271" s="10">
        <v>1</v>
      </c>
      <c r="D271" s="9">
        <v>7</v>
      </c>
      <c r="E271" s="11" t="s">
        <v>256</v>
      </c>
      <c r="F271" s="12" t="s">
        <v>257</v>
      </c>
      <c r="G271" s="9"/>
      <c r="H271" s="34"/>
      <c r="I271" s="55" t="str">
        <f t="shared" si="9"/>
        <v>https://permalinkbnd.bnportugal.gov.pt/viewer/275167/?offset=#page=7&amp;viewer=picture&amp;o=info&amp;n=0&amp;q=</v>
      </c>
      <c r="J271" s="45"/>
      <c r="K271" s="45"/>
      <c r="L271" s="45"/>
      <c r="M271" t="s">
        <v>256</v>
      </c>
      <c r="N271">
        <v>275167</v>
      </c>
      <c r="O271" t="str">
        <f t="shared" si="8"/>
        <v>https://permalinkbnd.bnportugal.gov.pt/viewer/275167/?offset=#page=7&amp;viewer=picture&amp;o=info&amp;n=0&amp;q=</v>
      </c>
      <c r="P271">
        <v>849990</v>
      </c>
      <c r="Q271" t="s">
        <v>256</v>
      </c>
      <c r="R271" t="s">
        <v>2310</v>
      </c>
      <c r="S271" t="s">
        <v>1178</v>
      </c>
      <c r="T271" t="s">
        <v>1192</v>
      </c>
      <c r="U271" t="s">
        <v>599</v>
      </c>
      <c r="V271" t="s">
        <v>2311</v>
      </c>
      <c r="W271" t="s">
        <v>2312</v>
      </c>
      <c r="X271" t="s">
        <v>599</v>
      </c>
      <c r="Y271" t="s">
        <v>1182</v>
      </c>
      <c r="Z271" t="s">
        <v>2313</v>
      </c>
      <c r="AA271">
        <v>1880</v>
      </c>
      <c r="AB271">
        <v>1880</v>
      </c>
      <c r="AC271" t="s">
        <v>2314</v>
      </c>
      <c r="AD271" t="s">
        <v>2315</v>
      </c>
      <c r="AE271" t="s">
        <v>599</v>
      </c>
      <c r="AF271" t="s">
        <v>599</v>
      </c>
      <c r="AG271" t="s">
        <v>599</v>
      </c>
      <c r="AH271" t="s">
        <v>599</v>
      </c>
      <c r="AI271" t="s">
        <v>599</v>
      </c>
      <c r="AJ271" t="s">
        <v>2316</v>
      </c>
      <c r="AK271" t="s">
        <v>1188</v>
      </c>
      <c r="AL271" t="s">
        <v>2317</v>
      </c>
      <c r="AM271" t="s">
        <v>1190</v>
      </c>
      <c r="AN271" t="s">
        <v>599</v>
      </c>
      <c r="AO271" t="s">
        <v>599</v>
      </c>
      <c r="AP271" t="s">
        <v>599</v>
      </c>
      <c r="AQ271" t="s">
        <v>599</v>
      </c>
      <c r="AR271" t="s">
        <v>599</v>
      </c>
      <c r="AS271" t="s">
        <v>599</v>
      </c>
      <c r="AT271" t="s">
        <v>599</v>
      </c>
    </row>
    <row r="272" spans="1:46" s="13" customFormat="1" ht="105" x14ac:dyDescent="0.25">
      <c r="A272" s="9">
        <v>10512</v>
      </c>
      <c r="B272" s="10">
        <v>851358</v>
      </c>
      <c r="C272" s="10">
        <v>1</v>
      </c>
      <c r="D272" s="9">
        <v>100</v>
      </c>
      <c r="E272" s="11" t="s">
        <v>258</v>
      </c>
      <c r="F272" s="12" t="s">
        <v>259</v>
      </c>
      <c r="G272" s="9" t="s">
        <v>260</v>
      </c>
      <c r="H272" s="34"/>
      <c r="I272" s="55" t="str">
        <f t="shared" si="9"/>
        <v>https://permalinkbnd.bnportugal.gov.pt/viewer/280465/?offset=#page=100&amp;viewer=picture&amp;o=info&amp;n=0&amp;q=</v>
      </c>
      <c r="J272" s="45"/>
      <c r="K272" s="45"/>
      <c r="L272" s="45"/>
      <c r="M272" t="s">
        <v>258</v>
      </c>
      <c r="N272">
        <v>280465</v>
      </c>
      <c r="O272" t="str">
        <f t="shared" si="8"/>
        <v>https://permalinkbnd.bnportugal.gov.pt/viewer/280465/?offset=#page=100&amp;viewer=picture&amp;o=info&amp;n=0&amp;q=</v>
      </c>
      <c r="P272">
        <v>851358</v>
      </c>
      <c r="Q272" t="s">
        <v>258</v>
      </c>
      <c r="R272" t="s">
        <v>2318</v>
      </c>
      <c r="S272" t="s">
        <v>1178</v>
      </c>
      <c r="T272" t="s">
        <v>1192</v>
      </c>
      <c r="U272" t="s">
        <v>599</v>
      </c>
      <c r="V272" t="s">
        <v>2319</v>
      </c>
      <c r="W272" t="s">
        <v>2320</v>
      </c>
      <c r="X272" t="s">
        <v>599</v>
      </c>
      <c r="Y272" t="s">
        <v>1182</v>
      </c>
      <c r="Z272" t="s">
        <v>1221</v>
      </c>
      <c r="AA272">
        <v>1886</v>
      </c>
      <c r="AB272">
        <v>1886</v>
      </c>
      <c r="AC272" t="s">
        <v>1241</v>
      </c>
      <c r="AD272" t="s">
        <v>2321</v>
      </c>
      <c r="AE272" t="s">
        <v>599</v>
      </c>
      <c r="AF272" t="s">
        <v>599</v>
      </c>
      <c r="AG272" t="s">
        <v>599</v>
      </c>
      <c r="AH272" t="s">
        <v>599</v>
      </c>
      <c r="AI272" t="s">
        <v>599</v>
      </c>
      <c r="AJ272" t="s">
        <v>2322</v>
      </c>
      <c r="AK272" t="s">
        <v>1188</v>
      </c>
      <c r="AL272" t="s">
        <v>2323</v>
      </c>
      <c r="AM272" t="s">
        <v>1190</v>
      </c>
      <c r="AN272" t="s">
        <v>599</v>
      </c>
      <c r="AO272" t="s">
        <v>599</v>
      </c>
      <c r="AP272" t="s">
        <v>2324</v>
      </c>
      <c r="AQ272" t="s">
        <v>599</v>
      </c>
      <c r="AR272" t="s">
        <v>599</v>
      </c>
      <c r="AS272" t="s">
        <v>599</v>
      </c>
      <c r="AT272" t="s">
        <v>599</v>
      </c>
    </row>
    <row r="273" spans="1:46" s="13" customFormat="1" ht="105" x14ac:dyDescent="0.25">
      <c r="A273" s="9">
        <v>10513</v>
      </c>
      <c r="B273" s="10">
        <v>851358</v>
      </c>
      <c r="C273" s="10">
        <v>1</v>
      </c>
      <c r="D273" s="9">
        <v>121</v>
      </c>
      <c r="E273" s="11" t="s">
        <v>258</v>
      </c>
      <c r="F273" s="12" t="s">
        <v>259</v>
      </c>
      <c r="G273" s="9" t="s">
        <v>260</v>
      </c>
      <c r="H273" s="34"/>
      <c r="I273" s="55" t="str">
        <f t="shared" si="9"/>
        <v>https://permalinkbnd.bnportugal.gov.pt/viewer/280465/?offset=#page=121&amp;viewer=picture&amp;o=info&amp;n=0&amp;q=</v>
      </c>
      <c r="J273" s="45"/>
      <c r="K273" s="45"/>
      <c r="L273" s="45"/>
      <c r="M273" t="s">
        <v>258</v>
      </c>
      <c r="N273">
        <v>280465</v>
      </c>
      <c r="O273" t="str">
        <f t="shared" si="8"/>
        <v>https://permalinkbnd.bnportugal.gov.pt/viewer/280465/?offset=#page=121&amp;viewer=picture&amp;o=info&amp;n=0&amp;q=</v>
      </c>
      <c r="P273">
        <v>851358</v>
      </c>
      <c r="Q273" t="s">
        <v>258</v>
      </c>
      <c r="R273" t="s">
        <v>2318</v>
      </c>
      <c r="S273" t="s">
        <v>1178</v>
      </c>
      <c r="T273" t="s">
        <v>1192</v>
      </c>
      <c r="U273" t="s">
        <v>599</v>
      </c>
      <c r="V273" t="s">
        <v>2319</v>
      </c>
      <c r="W273" t="s">
        <v>2320</v>
      </c>
      <c r="X273" t="s">
        <v>599</v>
      </c>
      <c r="Y273" t="s">
        <v>1182</v>
      </c>
      <c r="Z273" t="s">
        <v>1221</v>
      </c>
      <c r="AA273">
        <v>1886</v>
      </c>
      <c r="AB273">
        <v>1886</v>
      </c>
      <c r="AC273" t="s">
        <v>1241</v>
      </c>
      <c r="AD273" t="s">
        <v>2321</v>
      </c>
      <c r="AE273" t="s">
        <v>599</v>
      </c>
      <c r="AF273" t="s">
        <v>599</v>
      </c>
      <c r="AG273" t="s">
        <v>599</v>
      </c>
      <c r="AH273" t="s">
        <v>599</v>
      </c>
      <c r="AI273" t="s">
        <v>599</v>
      </c>
      <c r="AJ273" t="s">
        <v>2322</v>
      </c>
      <c r="AK273" t="s">
        <v>1188</v>
      </c>
      <c r="AL273" t="s">
        <v>2323</v>
      </c>
      <c r="AM273" t="s">
        <v>1190</v>
      </c>
      <c r="AN273" t="s">
        <v>599</v>
      </c>
      <c r="AO273" t="s">
        <v>599</v>
      </c>
      <c r="AP273" t="s">
        <v>2324</v>
      </c>
      <c r="AQ273" t="s">
        <v>599</v>
      </c>
      <c r="AR273" t="s">
        <v>599</v>
      </c>
      <c r="AS273" t="s">
        <v>599</v>
      </c>
      <c r="AT273" t="s">
        <v>599</v>
      </c>
    </row>
    <row r="274" spans="1:46" s="13" customFormat="1" ht="105" x14ac:dyDescent="0.25">
      <c r="A274" s="9">
        <v>10514</v>
      </c>
      <c r="B274" s="10">
        <v>851358</v>
      </c>
      <c r="C274" s="10">
        <v>1</v>
      </c>
      <c r="D274" s="9">
        <v>125</v>
      </c>
      <c r="E274" s="11" t="s">
        <v>258</v>
      </c>
      <c r="F274" s="12" t="s">
        <v>259</v>
      </c>
      <c r="G274" s="9" t="s">
        <v>260</v>
      </c>
      <c r="H274" s="34"/>
      <c r="I274" s="55" t="str">
        <f t="shared" si="9"/>
        <v>https://permalinkbnd.bnportugal.gov.pt/viewer/280465/?offset=#page=125&amp;viewer=picture&amp;o=info&amp;n=0&amp;q=</v>
      </c>
      <c r="J274" s="45"/>
      <c r="K274" s="45"/>
      <c r="L274" s="45"/>
      <c r="M274" t="s">
        <v>258</v>
      </c>
      <c r="N274">
        <v>280465</v>
      </c>
      <c r="O274" t="str">
        <f t="shared" si="8"/>
        <v>https://permalinkbnd.bnportugal.gov.pt/viewer/280465/?offset=#page=125&amp;viewer=picture&amp;o=info&amp;n=0&amp;q=</v>
      </c>
      <c r="P274">
        <v>851358</v>
      </c>
      <c r="Q274" t="s">
        <v>258</v>
      </c>
      <c r="R274" t="s">
        <v>2318</v>
      </c>
      <c r="S274" t="s">
        <v>1178</v>
      </c>
      <c r="T274" t="s">
        <v>1192</v>
      </c>
      <c r="U274" t="s">
        <v>599</v>
      </c>
      <c r="V274" t="s">
        <v>2319</v>
      </c>
      <c r="W274" t="s">
        <v>2320</v>
      </c>
      <c r="X274" t="s">
        <v>599</v>
      </c>
      <c r="Y274" t="s">
        <v>1182</v>
      </c>
      <c r="Z274" t="s">
        <v>1221</v>
      </c>
      <c r="AA274">
        <v>1886</v>
      </c>
      <c r="AB274">
        <v>1886</v>
      </c>
      <c r="AC274" t="s">
        <v>1241</v>
      </c>
      <c r="AD274" t="s">
        <v>2321</v>
      </c>
      <c r="AE274" t="s">
        <v>599</v>
      </c>
      <c r="AF274" t="s">
        <v>599</v>
      </c>
      <c r="AG274" t="s">
        <v>599</v>
      </c>
      <c r="AH274" t="s">
        <v>599</v>
      </c>
      <c r="AI274" t="s">
        <v>599</v>
      </c>
      <c r="AJ274" t="s">
        <v>2322</v>
      </c>
      <c r="AK274" t="s">
        <v>1188</v>
      </c>
      <c r="AL274" t="s">
        <v>2323</v>
      </c>
      <c r="AM274" t="s">
        <v>1190</v>
      </c>
      <c r="AN274" t="s">
        <v>599</v>
      </c>
      <c r="AO274" t="s">
        <v>599</v>
      </c>
      <c r="AP274" t="s">
        <v>2324</v>
      </c>
      <c r="AQ274" t="s">
        <v>599</v>
      </c>
      <c r="AR274" t="s">
        <v>599</v>
      </c>
      <c r="AS274" t="s">
        <v>599</v>
      </c>
      <c r="AT274" t="s">
        <v>599</v>
      </c>
    </row>
    <row r="275" spans="1:46" s="13" customFormat="1" ht="105" x14ac:dyDescent="0.25">
      <c r="A275" s="9">
        <v>10515</v>
      </c>
      <c r="B275" s="10">
        <v>851358</v>
      </c>
      <c r="C275" s="10">
        <v>1</v>
      </c>
      <c r="D275" s="9">
        <v>129</v>
      </c>
      <c r="E275" s="11" t="s">
        <v>258</v>
      </c>
      <c r="F275" s="12" t="s">
        <v>259</v>
      </c>
      <c r="G275" s="9" t="s">
        <v>260</v>
      </c>
      <c r="H275" s="34"/>
      <c r="I275" s="55" t="str">
        <f t="shared" si="9"/>
        <v>https://permalinkbnd.bnportugal.gov.pt/viewer/280465/?offset=#page=129&amp;viewer=picture&amp;o=info&amp;n=0&amp;q=</v>
      </c>
      <c r="J275" s="45"/>
      <c r="K275" s="45"/>
      <c r="L275" s="45"/>
      <c r="M275" t="s">
        <v>258</v>
      </c>
      <c r="N275">
        <v>280465</v>
      </c>
      <c r="O275" t="str">
        <f t="shared" si="8"/>
        <v>https://permalinkbnd.bnportugal.gov.pt/viewer/280465/?offset=#page=129&amp;viewer=picture&amp;o=info&amp;n=0&amp;q=</v>
      </c>
      <c r="P275">
        <v>851358</v>
      </c>
      <c r="Q275" t="s">
        <v>258</v>
      </c>
      <c r="R275" t="s">
        <v>2318</v>
      </c>
      <c r="S275" t="s">
        <v>1178</v>
      </c>
      <c r="T275" t="s">
        <v>1192</v>
      </c>
      <c r="U275" t="s">
        <v>599</v>
      </c>
      <c r="V275" t="s">
        <v>2319</v>
      </c>
      <c r="W275" t="s">
        <v>2320</v>
      </c>
      <c r="X275" t="s">
        <v>599</v>
      </c>
      <c r="Y275" t="s">
        <v>1182</v>
      </c>
      <c r="Z275" t="s">
        <v>1221</v>
      </c>
      <c r="AA275">
        <v>1886</v>
      </c>
      <c r="AB275">
        <v>1886</v>
      </c>
      <c r="AC275" t="s">
        <v>1241</v>
      </c>
      <c r="AD275" t="s">
        <v>2321</v>
      </c>
      <c r="AE275" t="s">
        <v>599</v>
      </c>
      <c r="AF275" t="s">
        <v>599</v>
      </c>
      <c r="AG275" t="s">
        <v>599</v>
      </c>
      <c r="AH275" t="s">
        <v>599</v>
      </c>
      <c r="AI275" t="s">
        <v>599</v>
      </c>
      <c r="AJ275" t="s">
        <v>2322</v>
      </c>
      <c r="AK275" t="s">
        <v>1188</v>
      </c>
      <c r="AL275" t="s">
        <v>2323</v>
      </c>
      <c r="AM275" t="s">
        <v>1190</v>
      </c>
      <c r="AN275" t="s">
        <v>599</v>
      </c>
      <c r="AO275" t="s">
        <v>599</v>
      </c>
      <c r="AP275" t="s">
        <v>2324</v>
      </c>
      <c r="AQ275" t="s">
        <v>599</v>
      </c>
      <c r="AR275" t="s">
        <v>599</v>
      </c>
      <c r="AS275" t="s">
        <v>599</v>
      </c>
      <c r="AT275" t="s">
        <v>599</v>
      </c>
    </row>
    <row r="276" spans="1:46" s="13" customFormat="1" ht="105" x14ac:dyDescent="0.25">
      <c r="A276" s="9">
        <v>10516</v>
      </c>
      <c r="B276" s="10">
        <v>851358</v>
      </c>
      <c r="C276" s="10">
        <v>1</v>
      </c>
      <c r="D276" s="9">
        <v>137</v>
      </c>
      <c r="E276" s="11" t="s">
        <v>258</v>
      </c>
      <c r="F276" s="12" t="s">
        <v>259</v>
      </c>
      <c r="G276" s="9" t="s">
        <v>260</v>
      </c>
      <c r="H276" s="34"/>
      <c r="I276" s="55" t="str">
        <f t="shared" si="9"/>
        <v>https://permalinkbnd.bnportugal.gov.pt/viewer/280465/?offset=#page=137&amp;viewer=picture&amp;o=info&amp;n=0&amp;q=</v>
      </c>
      <c r="J276" s="45"/>
      <c r="K276" s="45"/>
      <c r="L276" s="45"/>
      <c r="M276" t="s">
        <v>258</v>
      </c>
      <c r="N276">
        <v>280465</v>
      </c>
      <c r="O276" t="str">
        <f t="shared" si="8"/>
        <v>https://permalinkbnd.bnportugal.gov.pt/viewer/280465/?offset=#page=137&amp;viewer=picture&amp;o=info&amp;n=0&amp;q=</v>
      </c>
      <c r="P276">
        <v>851358</v>
      </c>
      <c r="Q276" t="s">
        <v>258</v>
      </c>
      <c r="R276" t="s">
        <v>2318</v>
      </c>
      <c r="S276" t="s">
        <v>1178</v>
      </c>
      <c r="T276" t="s">
        <v>1192</v>
      </c>
      <c r="U276" t="s">
        <v>599</v>
      </c>
      <c r="V276" t="s">
        <v>2319</v>
      </c>
      <c r="W276" t="s">
        <v>2320</v>
      </c>
      <c r="X276" t="s">
        <v>599</v>
      </c>
      <c r="Y276" t="s">
        <v>1182</v>
      </c>
      <c r="Z276" t="s">
        <v>1221</v>
      </c>
      <c r="AA276">
        <v>1886</v>
      </c>
      <c r="AB276">
        <v>1886</v>
      </c>
      <c r="AC276" t="s">
        <v>1241</v>
      </c>
      <c r="AD276" t="s">
        <v>2321</v>
      </c>
      <c r="AE276" t="s">
        <v>599</v>
      </c>
      <c r="AF276" t="s">
        <v>599</v>
      </c>
      <c r="AG276" t="s">
        <v>599</v>
      </c>
      <c r="AH276" t="s">
        <v>599</v>
      </c>
      <c r="AI276" t="s">
        <v>599</v>
      </c>
      <c r="AJ276" t="s">
        <v>2322</v>
      </c>
      <c r="AK276" t="s">
        <v>1188</v>
      </c>
      <c r="AL276" t="s">
        <v>2323</v>
      </c>
      <c r="AM276" t="s">
        <v>1190</v>
      </c>
      <c r="AN276" t="s">
        <v>599</v>
      </c>
      <c r="AO276" t="s">
        <v>599</v>
      </c>
      <c r="AP276" t="s">
        <v>2324</v>
      </c>
      <c r="AQ276" t="s">
        <v>599</v>
      </c>
      <c r="AR276" t="s">
        <v>599</v>
      </c>
      <c r="AS276" t="s">
        <v>599</v>
      </c>
      <c r="AT276" t="s">
        <v>599</v>
      </c>
    </row>
    <row r="277" spans="1:46" s="13" customFormat="1" ht="105" x14ac:dyDescent="0.25">
      <c r="A277" s="9">
        <v>10517</v>
      </c>
      <c r="B277" s="10">
        <v>851358</v>
      </c>
      <c r="C277" s="10">
        <v>1</v>
      </c>
      <c r="D277" s="9">
        <v>151</v>
      </c>
      <c r="E277" s="11" t="s">
        <v>258</v>
      </c>
      <c r="F277" s="12" t="s">
        <v>259</v>
      </c>
      <c r="G277" s="9" t="s">
        <v>260</v>
      </c>
      <c r="H277" s="34"/>
      <c r="I277" s="55" t="str">
        <f t="shared" si="9"/>
        <v>https://permalinkbnd.bnportugal.gov.pt/viewer/280465/?offset=#page=151&amp;viewer=picture&amp;o=info&amp;n=0&amp;q=</v>
      </c>
      <c r="J277" s="45"/>
      <c r="K277" s="45"/>
      <c r="L277" s="45"/>
      <c r="M277" t="s">
        <v>258</v>
      </c>
      <c r="N277">
        <v>280465</v>
      </c>
      <c r="O277" t="str">
        <f t="shared" si="8"/>
        <v>https://permalinkbnd.bnportugal.gov.pt/viewer/280465/?offset=#page=151&amp;viewer=picture&amp;o=info&amp;n=0&amp;q=</v>
      </c>
      <c r="P277">
        <v>851358</v>
      </c>
      <c r="Q277" t="s">
        <v>258</v>
      </c>
      <c r="R277" t="s">
        <v>2318</v>
      </c>
      <c r="S277" t="s">
        <v>1178</v>
      </c>
      <c r="T277" t="s">
        <v>1192</v>
      </c>
      <c r="U277" t="s">
        <v>599</v>
      </c>
      <c r="V277" t="s">
        <v>2319</v>
      </c>
      <c r="W277" t="s">
        <v>2320</v>
      </c>
      <c r="X277" t="s">
        <v>599</v>
      </c>
      <c r="Y277" t="s">
        <v>1182</v>
      </c>
      <c r="Z277" t="s">
        <v>1221</v>
      </c>
      <c r="AA277">
        <v>1886</v>
      </c>
      <c r="AB277">
        <v>1886</v>
      </c>
      <c r="AC277" t="s">
        <v>1241</v>
      </c>
      <c r="AD277" t="s">
        <v>2321</v>
      </c>
      <c r="AE277" t="s">
        <v>599</v>
      </c>
      <c r="AF277" t="s">
        <v>599</v>
      </c>
      <c r="AG277" t="s">
        <v>599</v>
      </c>
      <c r="AH277" t="s">
        <v>599</v>
      </c>
      <c r="AI277" t="s">
        <v>599</v>
      </c>
      <c r="AJ277" t="s">
        <v>2322</v>
      </c>
      <c r="AK277" t="s">
        <v>1188</v>
      </c>
      <c r="AL277" t="s">
        <v>2323</v>
      </c>
      <c r="AM277" t="s">
        <v>1190</v>
      </c>
      <c r="AN277" t="s">
        <v>599</v>
      </c>
      <c r="AO277" t="s">
        <v>599</v>
      </c>
      <c r="AP277" t="s">
        <v>2324</v>
      </c>
      <c r="AQ277" t="s">
        <v>599</v>
      </c>
      <c r="AR277" t="s">
        <v>599</v>
      </c>
      <c r="AS277" t="s">
        <v>599</v>
      </c>
      <c r="AT277" t="s">
        <v>599</v>
      </c>
    </row>
    <row r="278" spans="1:46" s="13" customFormat="1" ht="105" x14ac:dyDescent="0.25">
      <c r="A278" s="9">
        <v>10518</v>
      </c>
      <c r="B278" s="10">
        <v>851358</v>
      </c>
      <c r="C278" s="10">
        <v>1</v>
      </c>
      <c r="D278" s="9">
        <v>157</v>
      </c>
      <c r="E278" s="11" t="s">
        <v>258</v>
      </c>
      <c r="F278" s="12" t="s">
        <v>259</v>
      </c>
      <c r="G278" s="9" t="s">
        <v>260</v>
      </c>
      <c r="H278" s="34"/>
      <c r="I278" s="55" t="str">
        <f t="shared" si="9"/>
        <v>https://permalinkbnd.bnportugal.gov.pt/viewer/280465/?offset=#page=157&amp;viewer=picture&amp;o=info&amp;n=0&amp;q=</v>
      </c>
      <c r="J278" s="45"/>
      <c r="K278" s="45"/>
      <c r="L278" s="45"/>
      <c r="M278" t="s">
        <v>258</v>
      </c>
      <c r="N278">
        <v>280465</v>
      </c>
      <c r="O278" t="str">
        <f t="shared" si="8"/>
        <v>https://permalinkbnd.bnportugal.gov.pt/viewer/280465/?offset=#page=157&amp;viewer=picture&amp;o=info&amp;n=0&amp;q=</v>
      </c>
      <c r="P278">
        <v>851358</v>
      </c>
      <c r="Q278" t="s">
        <v>258</v>
      </c>
      <c r="R278" t="s">
        <v>2318</v>
      </c>
      <c r="S278" t="s">
        <v>1178</v>
      </c>
      <c r="T278" t="s">
        <v>1192</v>
      </c>
      <c r="U278" t="s">
        <v>599</v>
      </c>
      <c r="V278" t="s">
        <v>2319</v>
      </c>
      <c r="W278" t="s">
        <v>2320</v>
      </c>
      <c r="X278" t="s">
        <v>599</v>
      </c>
      <c r="Y278" t="s">
        <v>1182</v>
      </c>
      <c r="Z278" t="s">
        <v>1221</v>
      </c>
      <c r="AA278">
        <v>1886</v>
      </c>
      <c r="AB278">
        <v>1886</v>
      </c>
      <c r="AC278" t="s">
        <v>1241</v>
      </c>
      <c r="AD278" t="s">
        <v>2321</v>
      </c>
      <c r="AE278" t="s">
        <v>599</v>
      </c>
      <c r="AF278" t="s">
        <v>599</v>
      </c>
      <c r="AG278" t="s">
        <v>599</v>
      </c>
      <c r="AH278" t="s">
        <v>599</v>
      </c>
      <c r="AI278" t="s">
        <v>599</v>
      </c>
      <c r="AJ278" t="s">
        <v>2322</v>
      </c>
      <c r="AK278" t="s">
        <v>1188</v>
      </c>
      <c r="AL278" t="s">
        <v>2323</v>
      </c>
      <c r="AM278" t="s">
        <v>1190</v>
      </c>
      <c r="AN278" t="s">
        <v>599</v>
      </c>
      <c r="AO278" t="s">
        <v>599</v>
      </c>
      <c r="AP278" t="s">
        <v>2324</v>
      </c>
      <c r="AQ278" t="s">
        <v>599</v>
      </c>
      <c r="AR278" t="s">
        <v>599</v>
      </c>
      <c r="AS278" t="s">
        <v>599</v>
      </c>
      <c r="AT278" t="s">
        <v>599</v>
      </c>
    </row>
    <row r="279" spans="1:46" s="13" customFormat="1" ht="105" x14ac:dyDescent="0.25">
      <c r="A279" s="9">
        <v>10519</v>
      </c>
      <c r="B279" s="10">
        <v>851358</v>
      </c>
      <c r="C279" s="10">
        <v>1</v>
      </c>
      <c r="D279" s="9">
        <v>159</v>
      </c>
      <c r="E279" s="11" t="s">
        <v>258</v>
      </c>
      <c r="F279" s="12" t="s">
        <v>259</v>
      </c>
      <c r="G279" s="9" t="s">
        <v>260</v>
      </c>
      <c r="H279" s="34"/>
      <c r="I279" s="55" t="str">
        <f t="shared" si="9"/>
        <v>https://permalinkbnd.bnportugal.gov.pt/viewer/280465/?offset=#page=159&amp;viewer=picture&amp;o=info&amp;n=0&amp;q=</v>
      </c>
      <c r="J279" s="45"/>
      <c r="K279" s="45"/>
      <c r="L279" s="45"/>
      <c r="M279" t="s">
        <v>258</v>
      </c>
      <c r="N279">
        <v>280465</v>
      </c>
      <c r="O279" t="str">
        <f t="shared" si="8"/>
        <v>https://permalinkbnd.bnportugal.gov.pt/viewer/280465/?offset=#page=159&amp;viewer=picture&amp;o=info&amp;n=0&amp;q=</v>
      </c>
      <c r="P279">
        <v>851358</v>
      </c>
      <c r="Q279" t="s">
        <v>258</v>
      </c>
      <c r="R279" t="s">
        <v>2318</v>
      </c>
      <c r="S279" t="s">
        <v>1178</v>
      </c>
      <c r="T279" t="s">
        <v>1192</v>
      </c>
      <c r="U279" t="s">
        <v>599</v>
      </c>
      <c r="V279" t="s">
        <v>2319</v>
      </c>
      <c r="W279" t="s">
        <v>2320</v>
      </c>
      <c r="X279" t="s">
        <v>599</v>
      </c>
      <c r="Y279" t="s">
        <v>1182</v>
      </c>
      <c r="Z279" t="s">
        <v>1221</v>
      </c>
      <c r="AA279">
        <v>1886</v>
      </c>
      <c r="AB279">
        <v>1886</v>
      </c>
      <c r="AC279" t="s">
        <v>1241</v>
      </c>
      <c r="AD279" t="s">
        <v>2321</v>
      </c>
      <c r="AE279" t="s">
        <v>599</v>
      </c>
      <c r="AF279" t="s">
        <v>599</v>
      </c>
      <c r="AG279" t="s">
        <v>599</v>
      </c>
      <c r="AH279" t="s">
        <v>599</v>
      </c>
      <c r="AI279" t="s">
        <v>599</v>
      </c>
      <c r="AJ279" t="s">
        <v>2322</v>
      </c>
      <c r="AK279" t="s">
        <v>1188</v>
      </c>
      <c r="AL279" t="s">
        <v>2323</v>
      </c>
      <c r="AM279" t="s">
        <v>1190</v>
      </c>
      <c r="AN279" t="s">
        <v>599</v>
      </c>
      <c r="AO279" t="s">
        <v>599</v>
      </c>
      <c r="AP279" t="s">
        <v>2324</v>
      </c>
      <c r="AQ279" t="s">
        <v>599</v>
      </c>
      <c r="AR279" t="s">
        <v>599</v>
      </c>
      <c r="AS279" t="s">
        <v>599</v>
      </c>
      <c r="AT279" t="s">
        <v>599</v>
      </c>
    </row>
    <row r="280" spans="1:46" s="13" customFormat="1" ht="105" x14ac:dyDescent="0.25">
      <c r="A280" s="9">
        <v>10520</v>
      </c>
      <c r="B280" s="10">
        <v>851358</v>
      </c>
      <c r="C280" s="10">
        <v>1</v>
      </c>
      <c r="D280" s="9">
        <v>192</v>
      </c>
      <c r="E280" s="11" t="s">
        <v>258</v>
      </c>
      <c r="F280" s="12" t="s">
        <v>259</v>
      </c>
      <c r="G280" s="9" t="s">
        <v>260</v>
      </c>
      <c r="H280" s="34"/>
      <c r="I280" s="55" t="str">
        <f t="shared" si="9"/>
        <v>https://permalinkbnd.bnportugal.gov.pt/viewer/280465/?offset=#page=192&amp;viewer=picture&amp;o=info&amp;n=0&amp;q=</v>
      </c>
      <c r="J280" s="45"/>
      <c r="K280" s="45"/>
      <c r="L280" s="45"/>
      <c r="M280" t="s">
        <v>258</v>
      </c>
      <c r="N280">
        <v>280465</v>
      </c>
      <c r="O280" t="str">
        <f t="shared" si="8"/>
        <v>https://permalinkbnd.bnportugal.gov.pt/viewer/280465/?offset=#page=192&amp;viewer=picture&amp;o=info&amp;n=0&amp;q=</v>
      </c>
      <c r="P280">
        <v>851358</v>
      </c>
      <c r="Q280" t="s">
        <v>258</v>
      </c>
      <c r="R280" t="s">
        <v>2318</v>
      </c>
      <c r="S280" t="s">
        <v>1178</v>
      </c>
      <c r="T280" t="s">
        <v>1192</v>
      </c>
      <c r="U280" t="s">
        <v>599</v>
      </c>
      <c r="V280" t="s">
        <v>2319</v>
      </c>
      <c r="W280" t="s">
        <v>2320</v>
      </c>
      <c r="X280" t="s">
        <v>599</v>
      </c>
      <c r="Y280" t="s">
        <v>1182</v>
      </c>
      <c r="Z280" t="s">
        <v>1221</v>
      </c>
      <c r="AA280">
        <v>1886</v>
      </c>
      <c r="AB280">
        <v>1886</v>
      </c>
      <c r="AC280" t="s">
        <v>1241</v>
      </c>
      <c r="AD280" t="s">
        <v>2321</v>
      </c>
      <c r="AE280" t="s">
        <v>599</v>
      </c>
      <c r="AF280" t="s">
        <v>599</v>
      </c>
      <c r="AG280" t="s">
        <v>599</v>
      </c>
      <c r="AH280" t="s">
        <v>599</v>
      </c>
      <c r="AI280" t="s">
        <v>599</v>
      </c>
      <c r="AJ280" t="s">
        <v>2322</v>
      </c>
      <c r="AK280" t="s">
        <v>1188</v>
      </c>
      <c r="AL280" t="s">
        <v>2323</v>
      </c>
      <c r="AM280" t="s">
        <v>1190</v>
      </c>
      <c r="AN280" t="s">
        <v>599</v>
      </c>
      <c r="AO280" t="s">
        <v>599</v>
      </c>
      <c r="AP280" t="s">
        <v>2324</v>
      </c>
      <c r="AQ280" t="s">
        <v>599</v>
      </c>
      <c r="AR280" t="s">
        <v>599</v>
      </c>
      <c r="AS280" t="s">
        <v>599</v>
      </c>
      <c r="AT280" t="s">
        <v>599</v>
      </c>
    </row>
    <row r="281" spans="1:46" s="13" customFormat="1" ht="105" x14ac:dyDescent="0.25">
      <c r="A281" s="9">
        <v>10521</v>
      </c>
      <c r="B281" s="10">
        <v>851358</v>
      </c>
      <c r="C281" s="10">
        <v>1</v>
      </c>
      <c r="D281" s="9">
        <v>193</v>
      </c>
      <c r="E281" s="11" t="s">
        <v>258</v>
      </c>
      <c r="F281" s="12" t="s">
        <v>259</v>
      </c>
      <c r="G281" s="9" t="s">
        <v>260</v>
      </c>
      <c r="H281" s="34"/>
      <c r="I281" s="55" t="str">
        <f t="shared" si="9"/>
        <v>https://permalinkbnd.bnportugal.gov.pt/viewer/280465/?offset=#page=193&amp;viewer=picture&amp;o=info&amp;n=0&amp;q=</v>
      </c>
      <c r="J281" s="45"/>
      <c r="K281" s="45"/>
      <c r="L281" s="45"/>
      <c r="M281" t="s">
        <v>258</v>
      </c>
      <c r="N281">
        <v>280465</v>
      </c>
      <c r="O281" t="str">
        <f t="shared" si="8"/>
        <v>https://permalinkbnd.bnportugal.gov.pt/viewer/280465/?offset=#page=193&amp;viewer=picture&amp;o=info&amp;n=0&amp;q=</v>
      </c>
      <c r="P281">
        <v>851358</v>
      </c>
      <c r="Q281" t="s">
        <v>258</v>
      </c>
      <c r="R281" t="s">
        <v>2318</v>
      </c>
      <c r="S281" t="s">
        <v>1178</v>
      </c>
      <c r="T281" t="s">
        <v>1192</v>
      </c>
      <c r="U281" t="s">
        <v>599</v>
      </c>
      <c r="V281" t="s">
        <v>2319</v>
      </c>
      <c r="W281" t="s">
        <v>2320</v>
      </c>
      <c r="X281" t="s">
        <v>599</v>
      </c>
      <c r="Y281" t="s">
        <v>1182</v>
      </c>
      <c r="Z281" t="s">
        <v>1221</v>
      </c>
      <c r="AA281">
        <v>1886</v>
      </c>
      <c r="AB281">
        <v>1886</v>
      </c>
      <c r="AC281" t="s">
        <v>1241</v>
      </c>
      <c r="AD281" t="s">
        <v>2321</v>
      </c>
      <c r="AE281" t="s">
        <v>599</v>
      </c>
      <c r="AF281" t="s">
        <v>599</v>
      </c>
      <c r="AG281" t="s">
        <v>599</v>
      </c>
      <c r="AH281" t="s">
        <v>599</v>
      </c>
      <c r="AI281" t="s">
        <v>599</v>
      </c>
      <c r="AJ281" t="s">
        <v>2322</v>
      </c>
      <c r="AK281" t="s">
        <v>1188</v>
      </c>
      <c r="AL281" t="s">
        <v>2323</v>
      </c>
      <c r="AM281" t="s">
        <v>1190</v>
      </c>
      <c r="AN281" t="s">
        <v>599</v>
      </c>
      <c r="AO281" t="s">
        <v>599</v>
      </c>
      <c r="AP281" t="s">
        <v>2324</v>
      </c>
      <c r="AQ281" t="s">
        <v>599</v>
      </c>
      <c r="AR281" t="s">
        <v>599</v>
      </c>
      <c r="AS281" t="s">
        <v>599</v>
      </c>
      <c r="AT281" t="s">
        <v>599</v>
      </c>
    </row>
    <row r="282" spans="1:46" s="13" customFormat="1" ht="105" x14ac:dyDescent="0.25">
      <c r="A282" s="9">
        <v>10522</v>
      </c>
      <c r="B282" s="10">
        <v>851358</v>
      </c>
      <c r="C282" s="10">
        <v>1</v>
      </c>
      <c r="D282" s="9">
        <v>226</v>
      </c>
      <c r="E282" s="11" t="s">
        <v>258</v>
      </c>
      <c r="F282" s="12" t="s">
        <v>259</v>
      </c>
      <c r="G282" s="9" t="s">
        <v>260</v>
      </c>
      <c r="H282" s="34"/>
      <c r="I282" s="55" t="str">
        <f t="shared" si="9"/>
        <v>https://permalinkbnd.bnportugal.gov.pt/viewer/280465/?offset=#page=226&amp;viewer=picture&amp;o=info&amp;n=0&amp;q=</v>
      </c>
      <c r="J282" s="45"/>
      <c r="K282" s="45"/>
      <c r="L282" s="45"/>
      <c r="M282" t="s">
        <v>258</v>
      </c>
      <c r="N282">
        <v>280465</v>
      </c>
      <c r="O282" t="str">
        <f t="shared" si="8"/>
        <v>https://permalinkbnd.bnportugal.gov.pt/viewer/280465/?offset=#page=226&amp;viewer=picture&amp;o=info&amp;n=0&amp;q=</v>
      </c>
      <c r="P282">
        <v>851358</v>
      </c>
      <c r="Q282" t="s">
        <v>258</v>
      </c>
      <c r="R282" t="s">
        <v>2318</v>
      </c>
      <c r="S282" t="s">
        <v>1178</v>
      </c>
      <c r="T282" t="s">
        <v>1192</v>
      </c>
      <c r="U282" t="s">
        <v>599</v>
      </c>
      <c r="V282" t="s">
        <v>2319</v>
      </c>
      <c r="W282" t="s">
        <v>2320</v>
      </c>
      <c r="X282" t="s">
        <v>599</v>
      </c>
      <c r="Y282" t="s">
        <v>1182</v>
      </c>
      <c r="Z282" t="s">
        <v>1221</v>
      </c>
      <c r="AA282">
        <v>1886</v>
      </c>
      <c r="AB282">
        <v>1886</v>
      </c>
      <c r="AC282" t="s">
        <v>1241</v>
      </c>
      <c r="AD282" t="s">
        <v>2321</v>
      </c>
      <c r="AE282" t="s">
        <v>599</v>
      </c>
      <c r="AF282" t="s">
        <v>599</v>
      </c>
      <c r="AG282" t="s">
        <v>599</v>
      </c>
      <c r="AH282" t="s">
        <v>599</v>
      </c>
      <c r="AI282" t="s">
        <v>599</v>
      </c>
      <c r="AJ282" t="s">
        <v>2322</v>
      </c>
      <c r="AK282" t="s">
        <v>1188</v>
      </c>
      <c r="AL282" t="s">
        <v>2323</v>
      </c>
      <c r="AM282" t="s">
        <v>1190</v>
      </c>
      <c r="AN282" t="s">
        <v>599</v>
      </c>
      <c r="AO282" t="s">
        <v>599</v>
      </c>
      <c r="AP282" t="s">
        <v>2324</v>
      </c>
      <c r="AQ282" t="s">
        <v>599</v>
      </c>
      <c r="AR282" t="s">
        <v>599</v>
      </c>
      <c r="AS282" t="s">
        <v>599</v>
      </c>
      <c r="AT282" t="s">
        <v>599</v>
      </c>
    </row>
    <row r="283" spans="1:46" s="13" customFormat="1" ht="105" x14ac:dyDescent="0.25">
      <c r="A283" s="9">
        <v>10523</v>
      </c>
      <c r="B283" s="10">
        <v>851358</v>
      </c>
      <c r="C283" s="10">
        <v>1</v>
      </c>
      <c r="D283" s="9">
        <v>281</v>
      </c>
      <c r="E283" s="11" t="s">
        <v>258</v>
      </c>
      <c r="F283" s="12" t="s">
        <v>259</v>
      </c>
      <c r="G283" s="9" t="s">
        <v>260</v>
      </c>
      <c r="H283" s="34"/>
      <c r="I283" s="55" t="str">
        <f t="shared" si="9"/>
        <v>https://permalinkbnd.bnportugal.gov.pt/viewer/280465/?offset=#page=281&amp;viewer=picture&amp;o=info&amp;n=0&amp;q=</v>
      </c>
      <c r="J283" s="45"/>
      <c r="K283" s="45"/>
      <c r="L283" s="45"/>
      <c r="M283" t="s">
        <v>258</v>
      </c>
      <c r="N283">
        <v>280465</v>
      </c>
      <c r="O283" t="str">
        <f t="shared" si="8"/>
        <v>https://permalinkbnd.bnportugal.gov.pt/viewer/280465/?offset=#page=281&amp;viewer=picture&amp;o=info&amp;n=0&amp;q=</v>
      </c>
      <c r="P283">
        <v>851358</v>
      </c>
      <c r="Q283" t="s">
        <v>258</v>
      </c>
      <c r="R283" t="s">
        <v>2318</v>
      </c>
      <c r="S283" t="s">
        <v>1178</v>
      </c>
      <c r="T283" t="s">
        <v>1192</v>
      </c>
      <c r="U283" t="s">
        <v>599</v>
      </c>
      <c r="V283" t="s">
        <v>2319</v>
      </c>
      <c r="W283" t="s">
        <v>2320</v>
      </c>
      <c r="X283" t="s">
        <v>599</v>
      </c>
      <c r="Y283" t="s">
        <v>1182</v>
      </c>
      <c r="Z283" t="s">
        <v>1221</v>
      </c>
      <c r="AA283">
        <v>1886</v>
      </c>
      <c r="AB283">
        <v>1886</v>
      </c>
      <c r="AC283" t="s">
        <v>1241</v>
      </c>
      <c r="AD283" t="s">
        <v>2321</v>
      </c>
      <c r="AE283" t="s">
        <v>599</v>
      </c>
      <c r="AF283" t="s">
        <v>599</v>
      </c>
      <c r="AG283" t="s">
        <v>599</v>
      </c>
      <c r="AH283" t="s">
        <v>599</v>
      </c>
      <c r="AI283" t="s">
        <v>599</v>
      </c>
      <c r="AJ283" t="s">
        <v>2322</v>
      </c>
      <c r="AK283" t="s">
        <v>1188</v>
      </c>
      <c r="AL283" t="s">
        <v>2323</v>
      </c>
      <c r="AM283" t="s">
        <v>1190</v>
      </c>
      <c r="AN283" t="s">
        <v>599</v>
      </c>
      <c r="AO283" t="s">
        <v>599</v>
      </c>
      <c r="AP283" t="s">
        <v>2324</v>
      </c>
      <c r="AQ283" t="s">
        <v>599</v>
      </c>
      <c r="AR283" t="s">
        <v>599</v>
      </c>
      <c r="AS283" t="s">
        <v>599</v>
      </c>
      <c r="AT283" t="s">
        <v>599</v>
      </c>
    </row>
    <row r="284" spans="1:46" s="13" customFormat="1" ht="105" x14ac:dyDescent="0.25">
      <c r="A284" s="9">
        <v>10524</v>
      </c>
      <c r="B284" s="10">
        <v>851358</v>
      </c>
      <c r="C284" s="10">
        <v>1</v>
      </c>
      <c r="D284" s="9">
        <v>294</v>
      </c>
      <c r="E284" s="11" t="s">
        <v>258</v>
      </c>
      <c r="F284" s="12" t="s">
        <v>259</v>
      </c>
      <c r="G284" s="9" t="s">
        <v>260</v>
      </c>
      <c r="H284" s="34"/>
      <c r="I284" s="55" t="str">
        <f t="shared" si="9"/>
        <v>https://permalinkbnd.bnportugal.gov.pt/viewer/280465/?offset=#page=294&amp;viewer=picture&amp;o=info&amp;n=0&amp;q=</v>
      </c>
      <c r="J284" s="45"/>
      <c r="K284" s="45"/>
      <c r="L284" s="45"/>
      <c r="M284" t="s">
        <v>258</v>
      </c>
      <c r="N284">
        <v>280465</v>
      </c>
      <c r="O284" t="str">
        <f t="shared" si="8"/>
        <v>https://permalinkbnd.bnportugal.gov.pt/viewer/280465/?offset=#page=294&amp;viewer=picture&amp;o=info&amp;n=0&amp;q=</v>
      </c>
      <c r="P284">
        <v>851358</v>
      </c>
      <c r="Q284" t="s">
        <v>258</v>
      </c>
      <c r="R284" t="s">
        <v>2318</v>
      </c>
      <c r="S284" t="s">
        <v>1178</v>
      </c>
      <c r="T284" t="s">
        <v>1192</v>
      </c>
      <c r="U284" t="s">
        <v>599</v>
      </c>
      <c r="V284" t="s">
        <v>2319</v>
      </c>
      <c r="W284" t="s">
        <v>2320</v>
      </c>
      <c r="X284" t="s">
        <v>599</v>
      </c>
      <c r="Y284" t="s">
        <v>1182</v>
      </c>
      <c r="Z284" t="s">
        <v>1221</v>
      </c>
      <c r="AA284">
        <v>1886</v>
      </c>
      <c r="AB284">
        <v>1886</v>
      </c>
      <c r="AC284" t="s">
        <v>1241</v>
      </c>
      <c r="AD284" t="s">
        <v>2321</v>
      </c>
      <c r="AE284" t="s">
        <v>599</v>
      </c>
      <c r="AF284" t="s">
        <v>599</v>
      </c>
      <c r="AG284" t="s">
        <v>599</v>
      </c>
      <c r="AH284" t="s">
        <v>599</v>
      </c>
      <c r="AI284" t="s">
        <v>599</v>
      </c>
      <c r="AJ284" t="s">
        <v>2322</v>
      </c>
      <c r="AK284" t="s">
        <v>1188</v>
      </c>
      <c r="AL284" t="s">
        <v>2323</v>
      </c>
      <c r="AM284" t="s">
        <v>1190</v>
      </c>
      <c r="AN284" t="s">
        <v>599</v>
      </c>
      <c r="AO284" t="s">
        <v>599</v>
      </c>
      <c r="AP284" t="s">
        <v>2324</v>
      </c>
      <c r="AQ284" t="s">
        <v>599</v>
      </c>
      <c r="AR284" t="s">
        <v>599</v>
      </c>
      <c r="AS284" t="s">
        <v>599</v>
      </c>
      <c r="AT284" t="s">
        <v>599</v>
      </c>
    </row>
    <row r="285" spans="1:46" s="13" customFormat="1" ht="105" x14ac:dyDescent="0.25">
      <c r="A285" s="9">
        <v>10525</v>
      </c>
      <c r="B285" s="10">
        <v>851358</v>
      </c>
      <c r="C285" s="10">
        <v>1</v>
      </c>
      <c r="D285" s="9">
        <v>325</v>
      </c>
      <c r="E285" s="11" t="s">
        <v>258</v>
      </c>
      <c r="F285" s="12" t="s">
        <v>259</v>
      </c>
      <c r="G285" s="9" t="s">
        <v>260</v>
      </c>
      <c r="H285" s="34"/>
      <c r="I285" s="55" t="str">
        <f t="shared" si="9"/>
        <v>https://permalinkbnd.bnportugal.gov.pt/viewer/280465/?offset=#page=325&amp;viewer=picture&amp;o=info&amp;n=0&amp;q=</v>
      </c>
      <c r="J285" s="45"/>
      <c r="K285" s="45"/>
      <c r="L285" s="45"/>
      <c r="M285" t="s">
        <v>258</v>
      </c>
      <c r="N285">
        <v>280465</v>
      </c>
      <c r="O285" t="str">
        <f t="shared" si="8"/>
        <v>https://permalinkbnd.bnportugal.gov.pt/viewer/280465/?offset=#page=325&amp;viewer=picture&amp;o=info&amp;n=0&amp;q=</v>
      </c>
      <c r="P285">
        <v>851358</v>
      </c>
      <c r="Q285" t="s">
        <v>258</v>
      </c>
      <c r="R285" t="s">
        <v>2318</v>
      </c>
      <c r="S285" t="s">
        <v>1178</v>
      </c>
      <c r="T285" t="s">
        <v>1192</v>
      </c>
      <c r="U285" t="s">
        <v>599</v>
      </c>
      <c r="V285" t="s">
        <v>2319</v>
      </c>
      <c r="W285" t="s">
        <v>2320</v>
      </c>
      <c r="X285" t="s">
        <v>599</v>
      </c>
      <c r="Y285" t="s">
        <v>1182</v>
      </c>
      <c r="Z285" t="s">
        <v>1221</v>
      </c>
      <c r="AA285">
        <v>1886</v>
      </c>
      <c r="AB285">
        <v>1886</v>
      </c>
      <c r="AC285" t="s">
        <v>1241</v>
      </c>
      <c r="AD285" t="s">
        <v>2321</v>
      </c>
      <c r="AE285" t="s">
        <v>599</v>
      </c>
      <c r="AF285" t="s">
        <v>599</v>
      </c>
      <c r="AG285" t="s">
        <v>599</v>
      </c>
      <c r="AH285" t="s">
        <v>599</v>
      </c>
      <c r="AI285" t="s">
        <v>599</v>
      </c>
      <c r="AJ285" t="s">
        <v>2322</v>
      </c>
      <c r="AK285" t="s">
        <v>1188</v>
      </c>
      <c r="AL285" t="s">
        <v>2323</v>
      </c>
      <c r="AM285" t="s">
        <v>1190</v>
      </c>
      <c r="AN285" t="s">
        <v>599</v>
      </c>
      <c r="AO285" t="s">
        <v>599</v>
      </c>
      <c r="AP285" t="s">
        <v>2324</v>
      </c>
      <c r="AQ285" t="s">
        <v>599</v>
      </c>
      <c r="AR285" t="s">
        <v>599</v>
      </c>
      <c r="AS285" t="s">
        <v>599</v>
      </c>
      <c r="AT285" t="s">
        <v>599</v>
      </c>
    </row>
    <row r="286" spans="1:46" s="13" customFormat="1" ht="105" x14ac:dyDescent="0.25">
      <c r="A286" s="9">
        <v>10526</v>
      </c>
      <c r="B286" s="10">
        <v>851358</v>
      </c>
      <c r="C286" s="10">
        <v>1</v>
      </c>
      <c r="D286" s="9">
        <v>468</v>
      </c>
      <c r="E286" s="11" t="s">
        <v>258</v>
      </c>
      <c r="F286" s="12" t="s">
        <v>259</v>
      </c>
      <c r="G286" s="9" t="s">
        <v>260</v>
      </c>
      <c r="H286" s="34"/>
      <c r="I286" s="55" t="str">
        <f t="shared" si="9"/>
        <v>https://permalinkbnd.bnportugal.gov.pt/viewer/280465/?offset=#page=468&amp;viewer=picture&amp;o=info&amp;n=0&amp;q=</v>
      </c>
      <c r="J286" s="45"/>
      <c r="K286" s="45"/>
      <c r="L286" s="45"/>
      <c r="M286" t="s">
        <v>258</v>
      </c>
      <c r="N286">
        <v>280465</v>
      </c>
      <c r="O286" t="str">
        <f t="shared" si="8"/>
        <v>https://permalinkbnd.bnportugal.gov.pt/viewer/280465/?offset=#page=468&amp;viewer=picture&amp;o=info&amp;n=0&amp;q=</v>
      </c>
      <c r="P286">
        <v>851358</v>
      </c>
      <c r="Q286" t="s">
        <v>258</v>
      </c>
      <c r="R286" t="s">
        <v>2318</v>
      </c>
      <c r="S286" t="s">
        <v>1178</v>
      </c>
      <c r="T286" t="s">
        <v>1192</v>
      </c>
      <c r="U286" t="s">
        <v>599</v>
      </c>
      <c r="V286" t="s">
        <v>2319</v>
      </c>
      <c r="W286" t="s">
        <v>2320</v>
      </c>
      <c r="X286" t="s">
        <v>599</v>
      </c>
      <c r="Y286" t="s">
        <v>1182</v>
      </c>
      <c r="Z286" t="s">
        <v>1221</v>
      </c>
      <c r="AA286">
        <v>1886</v>
      </c>
      <c r="AB286">
        <v>1886</v>
      </c>
      <c r="AC286" t="s">
        <v>1241</v>
      </c>
      <c r="AD286" t="s">
        <v>2321</v>
      </c>
      <c r="AE286" t="s">
        <v>599</v>
      </c>
      <c r="AF286" t="s">
        <v>599</v>
      </c>
      <c r="AG286" t="s">
        <v>599</v>
      </c>
      <c r="AH286" t="s">
        <v>599</v>
      </c>
      <c r="AI286" t="s">
        <v>599</v>
      </c>
      <c r="AJ286" t="s">
        <v>2322</v>
      </c>
      <c r="AK286" t="s">
        <v>1188</v>
      </c>
      <c r="AL286" t="s">
        <v>2323</v>
      </c>
      <c r="AM286" t="s">
        <v>1190</v>
      </c>
      <c r="AN286" t="s">
        <v>599</v>
      </c>
      <c r="AO286" t="s">
        <v>599</v>
      </c>
      <c r="AP286" t="s">
        <v>2324</v>
      </c>
      <c r="AQ286" t="s">
        <v>599</v>
      </c>
      <c r="AR286" t="s">
        <v>599</v>
      </c>
      <c r="AS286" t="s">
        <v>599</v>
      </c>
      <c r="AT286" t="s">
        <v>599</v>
      </c>
    </row>
    <row r="287" spans="1:46" s="43" customFormat="1" ht="105" x14ac:dyDescent="0.25">
      <c r="A287" s="38">
        <v>10527</v>
      </c>
      <c r="B287" s="40">
        <v>851358</v>
      </c>
      <c r="C287" s="40">
        <v>1</v>
      </c>
      <c r="D287" s="38">
        <v>500</v>
      </c>
      <c r="E287" s="41" t="s">
        <v>258</v>
      </c>
      <c r="F287" s="42" t="s">
        <v>259</v>
      </c>
      <c r="G287" s="38" t="s">
        <v>260</v>
      </c>
      <c r="H287" s="38"/>
      <c r="I287" s="55" t="str">
        <f t="shared" si="9"/>
        <v>https://permalinkbnd.bnportugal.gov.pt/viewer/280465/?offset=#page=500&amp;viewer=picture&amp;o=info&amp;n=0&amp;q=</v>
      </c>
      <c r="J287" s="45"/>
      <c r="K287" s="45"/>
      <c r="L287" s="45"/>
      <c r="M287" t="s">
        <v>258</v>
      </c>
      <c r="N287">
        <v>280465</v>
      </c>
      <c r="O287" t="str">
        <f t="shared" si="8"/>
        <v>https://permalinkbnd.bnportugal.gov.pt/viewer/280465/?offset=#page=500&amp;viewer=picture&amp;o=info&amp;n=0&amp;q=</v>
      </c>
      <c r="P287">
        <v>851358</v>
      </c>
      <c r="Q287" t="s">
        <v>258</v>
      </c>
      <c r="R287" t="s">
        <v>2318</v>
      </c>
      <c r="S287" t="s">
        <v>1178</v>
      </c>
      <c r="T287" t="s">
        <v>1192</v>
      </c>
      <c r="U287" t="s">
        <v>599</v>
      </c>
      <c r="V287" t="s">
        <v>2319</v>
      </c>
      <c r="W287" t="s">
        <v>2320</v>
      </c>
      <c r="X287" t="s">
        <v>599</v>
      </c>
      <c r="Y287" t="s">
        <v>1182</v>
      </c>
      <c r="Z287" t="s">
        <v>1221</v>
      </c>
      <c r="AA287">
        <v>1886</v>
      </c>
      <c r="AB287">
        <v>1886</v>
      </c>
      <c r="AC287" t="s">
        <v>1241</v>
      </c>
      <c r="AD287" t="s">
        <v>2321</v>
      </c>
      <c r="AE287" t="s">
        <v>599</v>
      </c>
      <c r="AF287" t="s">
        <v>599</v>
      </c>
      <c r="AG287" t="s">
        <v>599</v>
      </c>
      <c r="AH287" t="s">
        <v>599</v>
      </c>
      <c r="AI287" t="s">
        <v>599</v>
      </c>
      <c r="AJ287" t="s">
        <v>2322</v>
      </c>
      <c r="AK287" t="s">
        <v>1188</v>
      </c>
      <c r="AL287" t="s">
        <v>2323</v>
      </c>
      <c r="AM287" t="s">
        <v>1190</v>
      </c>
      <c r="AN287" t="s">
        <v>599</v>
      </c>
      <c r="AO287" t="s">
        <v>599</v>
      </c>
      <c r="AP287" t="s">
        <v>2324</v>
      </c>
      <c r="AQ287" t="s">
        <v>599</v>
      </c>
      <c r="AR287" t="s">
        <v>599</v>
      </c>
      <c r="AS287" t="s">
        <v>599</v>
      </c>
      <c r="AT287" t="s">
        <v>599</v>
      </c>
    </row>
    <row r="288" spans="1:46" s="13" customFormat="1" ht="30" x14ac:dyDescent="0.25">
      <c r="A288" s="9">
        <v>10532</v>
      </c>
      <c r="B288" s="10">
        <v>851957</v>
      </c>
      <c r="C288" s="10">
        <v>1</v>
      </c>
      <c r="D288" s="9">
        <v>5</v>
      </c>
      <c r="E288" s="11" t="s">
        <v>261</v>
      </c>
      <c r="F288" s="12">
        <v>5</v>
      </c>
      <c r="G288" s="9">
        <v>5</v>
      </c>
      <c r="H288" s="34"/>
      <c r="I288" s="55" t="str">
        <f t="shared" si="9"/>
        <v>https://permalinkbnd.bnportugal.gov.pt/viewer/275169/?offset=#page=5&amp;viewer=picture&amp;o=info&amp;n=0&amp;q=</v>
      </c>
      <c r="J288" s="45"/>
      <c r="K288" s="45"/>
      <c r="L288" s="45"/>
      <c r="M288" t="s">
        <v>261</v>
      </c>
      <c r="N288">
        <v>275169</v>
      </c>
      <c r="O288" t="str">
        <f t="shared" si="8"/>
        <v>https://permalinkbnd.bnportugal.gov.pt/viewer/275169/?offset=#page=5&amp;viewer=picture&amp;o=info&amp;n=0&amp;q=</v>
      </c>
      <c r="P288">
        <v>851957</v>
      </c>
      <c r="Q288" t="s">
        <v>261</v>
      </c>
      <c r="R288" t="s">
        <v>2325</v>
      </c>
      <c r="S288" t="s">
        <v>1178</v>
      </c>
      <c r="T288" t="s">
        <v>1192</v>
      </c>
      <c r="U288" t="s">
        <v>599</v>
      </c>
      <c r="V288" t="s">
        <v>2326</v>
      </c>
      <c r="W288" t="s">
        <v>2327</v>
      </c>
      <c r="X288" t="s">
        <v>599</v>
      </c>
      <c r="Y288" t="s">
        <v>1182</v>
      </c>
      <c r="Z288" t="s">
        <v>2328</v>
      </c>
      <c r="AA288">
        <v>1880</v>
      </c>
      <c r="AB288">
        <v>1880</v>
      </c>
      <c r="AC288" t="s">
        <v>1276</v>
      </c>
      <c r="AD288" t="s">
        <v>2329</v>
      </c>
      <c r="AE288" t="s">
        <v>599</v>
      </c>
      <c r="AF288" t="s">
        <v>599</v>
      </c>
      <c r="AG288" t="s">
        <v>599</v>
      </c>
      <c r="AH288" t="s">
        <v>599</v>
      </c>
      <c r="AI288" t="s">
        <v>599</v>
      </c>
      <c r="AJ288" t="s">
        <v>2330</v>
      </c>
      <c r="AK288" t="s">
        <v>1188</v>
      </c>
      <c r="AL288" t="s">
        <v>2331</v>
      </c>
      <c r="AM288" t="s">
        <v>1190</v>
      </c>
      <c r="AN288" t="s">
        <v>599</v>
      </c>
      <c r="AO288" t="s">
        <v>599</v>
      </c>
      <c r="AP288" t="s">
        <v>599</v>
      </c>
      <c r="AQ288" t="s">
        <v>599</v>
      </c>
      <c r="AR288" t="s">
        <v>599</v>
      </c>
      <c r="AS288" t="s">
        <v>599</v>
      </c>
      <c r="AT288" t="s">
        <v>599</v>
      </c>
    </row>
    <row r="289" spans="1:46" s="13" customFormat="1" ht="30" x14ac:dyDescent="0.25">
      <c r="A289" s="9">
        <v>10538</v>
      </c>
      <c r="B289" s="10">
        <v>780308</v>
      </c>
      <c r="C289" s="10">
        <v>1</v>
      </c>
      <c r="D289" s="9">
        <v>5</v>
      </c>
      <c r="E289" s="11" t="s">
        <v>262</v>
      </c>
      <c r="F289" s="12">
        <v>5</v>
      </c>
      <c r="G289" s="9">
        <v>5</v>
      </c>
      <c r="H289" s="34"/>
      <c r="I289" s="55" t="str">
        <f t="shared" si="9"/>
        <v>https://permalinkbnd.bnportugal.gov.pt/viewer/275164/?offset=#page=5&amp;viewer=picture&amp;o=info&amp;n=0&amp;q=</v>
      </c>
      <c r="J289" s="45"/>
      <c r="K289" s="45"/>
      <c r="L289" s="45"/>
      <c r="M289" t="s">
        <v>262</v>
      </c>
      <c r="N289">
        <v>275164</v>
      </c>
      <c r="O289" t="str">
        <f t="shared" si="8"/>
        <v>https://permalinkbnd.bnportugal.gov.pt/viewer/275164/?offset=#page=5&amp;viewer=picture&amp;o=info&amp;n=0&amp;q=</v>
      </c>
      <c r="P289">
        <v>780308</v>
      </c>
      <c r="Q289" t="s">
        <v>262</v>
      </c>
      <c r="R289" t="s">
        <v>2332</v>
      </c>
      <c r="S289" t="s">
        <v>1178</v>
      </c>
      <c r="T289" t="s">
        <v>1192</v>
      </c>
      <c r="U289" t="s">
        <v>599</v>
      </c>
      <c r="V289" t="s">
        <v>2333</v>
      </c>
      <c r="W289" t="s">
        <v>599</v>
      </c>
      <c r="X289" t="s">
        <v>599</v>
      </c>
      <c r="Y289" t="s">
        <v>1182</v>
      </c>
      <c r="Z289" t="s">
        <v>2334</v>
      </c>
      <c r="AA289">
        <v>1880</v>
      </c>
      <c r="AB289">
        <v>1880</v>
      </c>
      <c r="AC289" t="s">
        <v>2335</v>
      </c>
      <c r="AD289" t="s">
        <v>2336</v>
      </c>
      <c r="AE289" t="s">
        <v>599</v>
      </c>
      <c r="AF289" t="s">
        <v>599</v>
      </c>
      <c r="AG289" t="s">
        <v>599</v>
      </c>
      <c r="AH289" t="s">
        <v>599</v>
      </c>
      <c r="AI289" t="s">
        <v>599</v>
      </c>
      <c r="AJ289" t="s">
        <v>2337</v>
      </c>
      <c r="AK289" t="s">
        <v>1188</v>
      </c>
      <c r="AL289" t="s">
        <v>2338</v>
      </c>
      <c r="AM289" t="s">
        <v>1190</v>
      </c>
      <c r="AN289" t="s">
        <v>599</v>
      </c>
      <c r="AO289" t="s">
        <v>599</v>
      </c>
      <c r="AP289" t="s">
        <v>599</v>
      </c>
      <c r="AQ289" t="s">
        <v>599</v>
      </c>
      <c r="AR289" t="s">
        <v>599</v>
      </c>
      <c r="AS289" t="s">
        <v>599</v>
      </c>
      <c r="AT289" t="s">
        <v>599</v>
      </c>
    </row>
    <row r="290" spans="1:46" s="13" customFormat="1" ht="30" x14ac:dyDescent="0.25">
      <c r="A290" s="9">
        <v>10550</v>
      </c>
      <c r="B290" s="10">
        <v>852081</v>
      </c>
      <c r="C290" s="10">
        <v>1</v>
      </c>
      <c r="D290" s="9">
        <v>4</v>
      </c>
      <c r="E290" s="11" t="s">
        <v>263</v>
      </c>
      <c r="F290" s="12" t="s">
        <v>264</v>
      </c>
      <c r="G290" s="9">
        <v>4</v>
      </c>
      <c r="H290" s="34"/>
      <c r="I290" s="55" t="str">
        <f t="shared" si="9"/>
        <v>https://permalinkbnd.bnportugal.gov.pt/viewer/275364/?offset=#page=4&amp;viewer=picture&amp;o=info&amp;n=0&amp;q=</v>
      </c>
      <c r="J290" s="45"/>
      <c r="K290" s="45"/>
      <c r="L290" s="45"/>
      <c r="M290" t="s">
        <v>263</v>
      </c>
      <c r="N290">
        <v>275364</v>
      </c>
      <c r="O290" t="str">
        <f t="shared" si="8"/>
        <v>https://permalinkbnd.bnportugal.gov.pt/viewer/275364/?offset=#page=4&amp;viewer=picture&amp;o=info&amp;n=0&amp;q=</v>
      </c>
      <c r="P290">
        <v>852081</v>
      </c>
      <c r="Q290" t="s">
        <v>263</v>
      </c>
      <c r="R290" t="s">
        <v>2339</v>
      </c>
      <c r="S290" t="s">
        <v>1178</v>
      </c>
      <c r="T290" t="s">
        <v>1192</v>
      </c>
      <c r="U290" t="s">
        <v>599</v>
      </c>
      <c r="V290" t="s">
        <v>2333</v>
      </c>
      <c r="W290" t="s">
        <v>2340</v>
      </c>
      <c r="X290" t="s">
        <v>599</v>
      </c>
      <c r="Y290" t="s">
        <v>1182</v>
      </c>
      <c r="Z290" t="s">
        <v>1221</v>
      </c>
      <c r="AA290">
        <v>1880</v>
      </c>
      <c r="AB290">
        <v>1880</v>
      </c>
      <c r="AC290" t="s">
        <v>2341</v>
      </c>
      <c r="AD290" t="s">
        <v>599</v>
      </c>
      <c r="AE290" t="s">
        <v>599</v>
      </c>
      <c r="AF290" t="s">
        <v>599</v>
      </c>
      <c r="AG290" t="s">
        <v>2342</v>
      </c>
      <c r="AH290" t="s">
        <v>599</v>
      </c>
      <c r="AI290" t="s">
        <v>599</v>
      </c>
      <c r="AJ290" t="s">
        <v>2343</v>
      </c>
      <c r="AK290" t="s">
        <v>1188</v>
      </c>
      <c r="AL290" t="s">
        <v>2344</v>
      </c>
      <c r="AM290" t="s">
        <v>1190</v>
      </c>
      <c r="AN290" t="s">
        <v>599</v>
      </c>
      <c r="AO290" t="s">
        <v>599</v>
      </c>
      <c r="AP290" t="s">
        <v>599</v>
      </c>
      <c r="AQ290" t="s">
        <v>599</v>
      </c>
      <c r="AR290" t="s">
        <v>599</v>
      </c>
      <c r="AS290" t="s">
        <v>599</v>
      </c>
      <c r="AT290" t="s">
        <v>599</v>
      </c>
    </row>
    <row r="291" spans="1:46" s="13" customFormat="1" ht="30" x14ac:dyDescent="0.25">
      <c r="A291" s="9">
        <v>10591</v>
      </c>
      <c r="B291" s="10">
        <v>352640</v>
      </c>
      <c r="C291" s="10">
        <v>1</v>
      </c>
      <c r="D291" s="9">
        <v>6</v>
      </c>
      <c r="E291" s="11" t="s">
        <v>265</v>
      </c>
      <c r="F291" s="12">
        <v>6</v>
      </c>
      <c r="G291" s="9">
        <v>6</v>
      </c>
      <c r="H291" s="34"/>
      <c r="I291" s="55" t="str">
        <f t="shared" si="9"/>
        <v>https://permalinkbnd.bnportugal.gov.pt/viewer/279243/?offset=#page=6&amp;viewer=picture&amp;o=info&amp;n=0&amp;q=</v>
      </c>
      <c r="J291" s="45"/>
      <c r="K291" s="45"/>
      <c r="L291" s="45"/>
      <c r="M291" t="s">
        <v>265</v>
      </c>
      <c r="N291">
        <v>279243</v>
      </c>
      <c r="O291" t="str">
        <f t="shared" si="8"/>
        <v>https://permalinkbnd.bnportugal.gov.pt/viewer/279243/?offset=#page=6&amp;viewer=picture&amp;o=info&amp;n=0&amp;q=</v>
      </c>
      <c r="P291">
        <v>352640</v>
      </c>
      <c r="Q291" t="s">
        <v>265</v>
      </c>
      <c r="R291" t="s">
        <v>2345</v>
      </c>
      <c r="S291" t="s">
        <v>1178</v>
      </c>
      <c r="T291" t="s">
        <v>1362</v>
      </c>
      <c r="U291" t="s">
        <v>599</v>
      </c>
      <c r="V291" t="s">
        <v>2346</v>
      </c>
      <c r="W291" t="s">
        <v>2347</v>
      </c>
      <c r="X291" t="s">
        <v>599</v>
      </c>
      <c r="Y291" t="s">
        <v>1182</v>
      </c>
      <c r="Z291" t="s">
        <v>2348</v>
      </c>
      <c r="AA291">
        <v>1824</v>
      </c>
      <c r="AB291">
        <v>1824</v>
      </c>
      <c r="AC291" t="s">
        <v>2349</v>
      </c>
      <c r="AD291" t="s">
        <v>2350</v>
      </c>
      <c r="AE291" t="s">
        <v>599</v>
      </c>
      <c r="AF291" t="s">
        <v>599</v>
      </c>
      <c r="AG291" t="s">
        <v>2351</v>
      </c>
      <c r="AH291" t="s">
        <v>599</v>
      </c>
      <c r="AI291" t="s">
        <v>599</v>
      </c>
      <c r="AJ291" t="s">
        <v>2352</v>
      </c>
      <c r="AK291" t="s">
        <v>1188</v>
      </c>
      <c r="AL291" t="s">
        <v>2353</v>
      </c>
      <c r="AM291" t="s">
        <v>1190</v>
      </c>
      <c r="AN291" t="s">
        <v>599</v>
      </c>
      <c r="AO291" t="s">
        <v>599</v>
      </c>
      <c r="AP291" t="s">
        <v>599</v>
      </c>
      <c r="AQ291" t="s">
        <v>599</v>
      </c>
      <c r="AR291" t="s">
        <v>599</v>
      </c>
      <c r="AS291" t="s">
        <v>599</v>
      </c>
      <c r="AT291" t="s">
        <v>599</v>
      </c>
    </row>
    <row r="292" spans="1:46" s="13" customFormat="1" ht="30" x14ac:dyDescent="0.25">
      <c r="A292" s="9">
        <v>10595</v>
      </c>
      <c r="B292" s="10">
        <v>943524</v>
      </c>
      <c r="C292" s="10">
        <v>1</v>
      </c>
      <c r="D292" s="9">
        <v>6</v>
      </c>
      <c r="E292" s="11" t="s">
        <v>266</v>
      </c>
      <c r="F292" s="12" t="s">
        <v>267</v>
      </c>
      <c r="G292" s="9">
        <v>6</v>
      </c>
      <c r="H292" s="34"/>
      <c r="I292" s="55" t="str">
        <f t="shared" si="9"/>
        <v>https://permalinkbnd.bnportugal.gov.pt/viewer/279232/?offset=#page=6&amp;viewer=picture&amp;o=info&amp;n=0&amp;q=</v>
      </c>
      <c r="J292" s="45"/>
      <c r="K292" s="45"/>
      <c r="L292" s="45"/>
      <c r="M292" t="s">
        <v>266</v>
      </c>
      <c r="N292">
        <v>279232</v>
      </c>
      <c r="O292" t="str">
        <f t="shared" si="8"/>
        <v>https://permalinkbnd.bnportugal.gov.pt/viewer/279232/?offset=#page=6&amp;viewer=picture&amp;o=info&amp;n=0&amp;q=</v>
      </c>
      <c r="P292">
        <v>943524</v>
      </c>
      <c r="Q292" t="s">
        <v>266</v>
      </c>
      <c r="R292" t="s">
        <v>2354</v>
      </c>
      <c r="S292" t="s">
        <v>1178</v>
      </c>
      <c r="T292" t="s">
        <v>1192</v>
      </c>
      <c r="U292" t="s">
        <v>599</v>
      </c>
      <c r="V292" t="s">
        <v>2355</v>
      </c>
      <c r="W292" t="s">
        <v>2356</v>
      </c>
      <c r="X292" t="s">
        <v>599</v>
      </c>
      <c r="Y292" t="s">
        <v>2357</v>
      </c>
      <c r="Z292" t="s">
        <v>2358</v>
      </c>
      <c r="AA292">
        <v>1817</v>
      </c>
      <c r="AB292">
        <v>1817</v>
      </c>
      <c r="AC292" t="s">
        <v>2359</v>
      </c>
      <c r="AD292" t="s">
        <v>2360</v>
      </c>
      <c r="AE292" t="s">
        <v>599</v>
      </c>
      <c r="AF292" t="s">
        <v>599</v>
      </c>
      <c r="AG292" t="s">
        <v>599</v>
      </c>
      <c r="AH292" t="s">
        <v>599</v>
      </c>
      <c r="AI292" t="s">
        <v>599</v>
      </c>
      <c r="AJ292" t="s">
        <v>2361</v>
      </c>
      <c r="AK292" t="s">
        <v>1188</v>
      </c>
      <c r="AL292" t="s">
        <v>2362</v>
      </c>
      <c r="AM292" t="s">
        <v>1190</v>
      </c>
      <c r="AN292" t="s">
        <v>599</v>
      </c>
      <c r="AO292" t="s">
        <v>599</v>
      </c>
      <c r="AP292" t="s">
        <v>599</v>
      </c>
      <c r="AQ292" t="s">
        <v>599</v>
      </c>
      <c r="AR292" t="s">
        <v>599</v>
      </c>
      <c r="AS292" t="s">
        <v>599</v>
      </c>
      <c r="AT292" t="s">
        <v>599</v>
      </c>
    </row>
    <row r="293" spans="1:46" s="13" customFormat="1" ht="30" x14ac:dyDescent="0.25">
      <c r="A293" s="9">
        <v>10597</v>
      </c>
      <c r="B293" s="10">
        <v>120404</v>
      </c>
      <c r="C293" s="10">
        <v>1</v>
      </c>
      <c r="D293" s="9">
        <v>1</v>
      </c>
      <c r="E293" s="11" t="s">
        <v>268</v>
      </c>
      <c r="F293" s="12" t="s">
        <v>269</v>
      </c>
      <c r="G293" s="9"/>
      <c r="H293" s="34"/>
      <c r="I293" s="55" t="str">
        <f t="shared" si="9"/>
        <v>https://permalinkbnd.bnportugal.gov.pt/viewer/276120/?offset=#page=1&amp;viewer=picture&amp;o=info&amp;n=0&amp;q=</v>
      </c>
      <c r="J293" s="45"/>
      <c r="K293" s="45"/>
      <c r="L293" s="45"/>
      <c r="M293" t="s">
        <v>268</v>
      </c>
      <c r="N293">
        <v>276120</v>
      </c>
      <c r="O293" t="str">
        <f t="shared" si="8"/>
        <v>https://permalinkbnd.bnportugal.gov.pt/viewer/276120/?offset=#page=1&amp;viewer=picture&amp;o=info&amp;n=0&amp;q=</v>
      </c>
      <c r="P293">
        <v>120404</v>
      </c>
      <c r="Q293" t="s">
        <v>268</v>
      </c>
      <c r="R293" t="s">
        <v>2363</v>
      </c>
      <c r="S293" t="s">
        <v>1178</v>
      </c>
      <c r="T293" t="s">
        <v>1192</v>
      </c>
      <c r="U293" t="s">
        <v>599</v>
      </c>
      <c r="V293" t="s">
        <v>1193</v>
      </c>
      <c r="W293" t="s">
        <v>599</v>
      </c>
      <c r="X293" t="s">
        <v>599</v>
      </c>
      <c r="Y293" t="s">
        <v>1552</v>
      </c>
      <c r="Z293" t="s">
        <v>2364</v>
      </c>
      <c r="AA293">
        <v>1880</v>
      </c>
      <c r="AB293">
        <v>1880</v>
      </c>
      <c r="AC293" t="s">
        <v>1554</v>
      </c>
      <c r="AD293" t="s">
        <v>1185</v>
      </c>
      <c r="AE293" t="s">
        <v>599</v>
      </c>
      <c r="AF293" t="s">
        <v>599</v>
      </c>
      <c r="AG293" t="s">
        <v>599</v>
      </c>
      <c r="AH293" t="s">
        <v>599</v>
      </c>
      <c r="AI293" t="s">
        <v>599</v>
      </c>
      <c r="AJ293" t="s">
        <v>2365</v>
      </c>
      <c r="AK293" t="s">
        <v>1188</v>
      </c>
      <c r="AL293" t="s">
        <v>2366</v>
      </c>
      <c r="AM293" t="s">
        <v>1190</v>
      </c>
      <c r="AN293" t="s">
        <v>599</v>
      </c>
      <c r="AO293" t="s">
        <v>599</v>
      </c>
      <c r="AP293" t="s">
        <v>599</v>
      </c>
      <c r="AQ293" t="s">
        <v>599</v>
      </c>
      <c r="AR293" t="s">
        <v>599</v>
      </c>
      <c r="AS293" t="s">
        <v>599</v>
      </c>
      <c r="AT293" t="s">
        <v>599</v>
      </c>
    </row>
    <row r="294" spans="1:46" s="13" customFormat="1" ht="30" x14ac:dyDescent="0.25">
      <c r="A294" s="9">
        <v>10616</v>
      </c>
      <c r="B294" s="10">
        <v>397864</v>
      </c>
      <c r="C294" s="10">
        <v>1</v>
      </c>
      <c r="D294" s="9">
        <v>10</v>
      </c>
      <c r="E294" s="11" t="s">
        <v>270</v>
      </c>
      <c r="F294" s="12">
        <v>10</v>
      </c>
      <c r="G294" s="9">
        <v>10</v>
      </c>
      <c r="H294" s="34"/>
      <c r="I294" s="55" t="str">
        <f t="shared" si="9"/>
        <v>https://permalinkbnd.bnportugal.gov.pt/viewer/279340/?offset=#page=10&amp;viewer=picture&amp;o=info&amp;n=0&amp;q=</v>
      </c>
      <c r="J294" s="45"/>
      <c r="K294" s="45"/>
      <c r="L294" s="45"/>
      <c r="M294" t="s">
        <v>270</v>
      </c>
      <c r="N294">
        <v>279340</v>
      </c>
      <c r="O294" t="str">
        <f t="shared" si="8"/>
        <v>https://permalinkbnd.bnportugal.gov.pt/viewer/279340/?offset=#page=10&amp;viewer=picture&amp;o=info&amp;n=0&amp;q=</v>
      </c>
      <c r="P294">
        <v>397864</v>
      </c>
      <c r="Q294" t="s">
        <v>270</v>
      </c>
      <c r="R294" t="s">
        <v>2367</v>
      </c>
      <c r="S294" t="s">
        <v>1178</v>
      </c>
      <c r="T294" t="s">
        <v>1502</v>
      </c>
      <c r="U294" t="s">
        <v>1192</v>
      </c>
      <c r="V294" t="s">
        <v>2368</v>
      </c>
      <c r="W294" t="s">
        <v>2369</v>
      </c>
      <c r="X294" t="s">
        <v>599</v>
      </c>
      <c r="Y294" t="s">
        <v>2370</v>
      </c>
      <c r="Z294" t="s">
        <v>2371</v>
      </c>
      <c r="AA294">
        <v>1808</v>
      </c>
      <c r="AB294">
        <v>1808</v>
      </c>
      <c r="AC294" t="s">
        <v>2372</v>
      </c>
      <c r="AD294" t="s">
        <v>1185</v>
      </c>
      <c r="AE294" t="s">
        <v>599</v>
      </c>
      <c r="AF294" t="s">
        <v>599</v>
      </c>
      <c r="AG294" t="s">
        <v>1746</v>
      </c>
      <c r="AH294" t="s">
        <v>599</v>
      </c>
      <c r="AI294" t="s">
        <v>599</v>
      </c>
      <c r="AJ294" t="s">
        <v>2373</v>
      </c>
      <c r="AK294" t="s">
        <v>1188</v>
      </c>
      <c r="AL294" t="s">
        <v>2374</v>
      </c>
      <c r="AM294" t="s">
        <v>1190</v>
      </c>
      <c r="AN294" t="s">
        <v>599</v>
      </c>
      <c r="AO294" t="s">
        <v>599</v>
      </c>
      <c r="AP294" t="s">
        <v>599</v>
      </c>
      <c r="AQ294" t="s">
        <v>599</v>
      </c>
      <c r="AR294" t="s">
        <v>599</v>
      </c>
      <c r="AS294" t="s">
        <v>599</v>
      </c>
      <c r="AT294" t="s">
        <v>599</v>
      </c>
    </row>
    <row r="295" spans="1:46" s="13" customFormat="1" ht="30" x14ac:dyDescent="0.25">
      <c r="A295" s="9">
        <v>10627</v>
      </c>
      <c r="B295" s="10">
        <v>256426</v>
      </c>
      <c r="C295" s="10">
        <v>1</v>
      </c>
      <c r="D295" s="9">
        <v>8</v>
      </c>
      <c r="E295" s="11" t="s">
        <v>271</v>
      </c>
      <c r="F295" s="12" t="s">
        <v>272</v>
      </c>
      <c r="G295" s="9">
        <v>8</v>
      </c>
      <c r="H295" s="34"/>
      <c r="I295" s="55" t="str">
        <f t="shared" si="9"/>
        <v>https://permalinkbnd.bnportugal.gov.pt/viewer/276130/?offset=#page=8&amp;viewer=picture&amp;o=info&amp;n=0&amp;q=</v>
      </c>
      <c r="J295" s="45"/>
      <c r="K295" s="45"/>
      <c r="L295" s="45"/>
      <c r="M295" t="s">
        <v>271</v>
      </c>
      <c r="N295">
        <v>276130</v>
      </c>
      <c r="O295" t="str">
        <f t="shared" si="8"/>
        <v>https://permalinkbnd.bnportugal.gov.pt/viewer/276130/?offset=#page=8&amp;viewer=picture&amp;o=info&amp;n=0&amp;q=</v>
      </c>
      <c r="P295">
        <v>256426</v>
      </c>
      <c r="Q295" t="s">
        <v>271</v>
      </c>
      <c r="R295" t="s">
        <v>2375</v>
      </c>
      <c r="S295" t="s">
        <v>1178</v>
      </c>
      <c r="T295" t="s">
        <v>1192</v>
      </c>
      <c r="U295" t="s">
        <v>599</v>
      </c>
      <c r="V295" t="s">
        <v>1551</v>
      </c>
      <c r="W295" t="s">
        <v>599</v>
      </c>
      <c r="X295" t="s">
        <v>599</v>
      </c>
      <c r="Y295" t="s">
        <v>2376</v>
      </c>
      <c r="Z295" t="s">
        <v>2377</v>
      </c>
      <c r="AA295">
        <v>1855</v>
      </c>
      <c r="AB295">
        <v>1855</v>
      </c>
      <c r="AC295" t="s">
        <v>2378</v>
      </c>
      <c r="AD295" t="s">
        <v>1185</v>
      </c>
      <c r="AE295" t="s">
        <v>599</v>
      </c>
      <c r="AF295" t="s">
        <v>599</v>
      </c>
      <c r="AG295" t="s">
        <v>2379</v>
      </c>
      <c r="AH295" t="s">
        <v>599</v>
      </c>
      <c r="AI295" t="s">
        <v>2380</v>
      </c>
      <c r="AJ295" t="s">
        <v>2381</v>
      </c>
      <c r="AK295" t="s">
        <v>1188</v>
      </c>
      <c r="AL295" t="s">
        <v>2382</v>
      </c>
      <c r="AM295" t="s">
        <v>1190</v>
      </c>
      <c r="AN295" t="s">
        <v>599</v>
      </c>
      <c r="AO295" t="s">
        <v>599</v>
      </c>
      <c r="AP295" t="s">
        <v>599</v>
      </c>
      <c r="AQ295" t="s">
        <v>599</v>
      </c>
      <c r="AR295" t="s">
        <v>599</v>
      </c>
      <c r="AS295" t="s">
        <v>599</v>
      </c>
      <c r="AT295" t="s">
        <v>599</v>
      </c>
    </row>
    <row r="296" spans="1:46" s="13" customFormat="1" ht="30" x14ac:dyDescent="0.25">
      <c r="A296" s="9">
        <v>10633</v>
      </c>
      <c r="B296" s="10">
        <v>381260</v>
      </c>
      <c r="C296" s="10">
        <v>1</v>
      </c>
      <c r="D296" s="9">
        <v>9</v>
      </c>
      <c r="E296" s="11" t="s">
        <v>273</v>
      </c>
      <c r="F296" s="12" t="s">
        <v>274</v>
      </c>
      <c r="G296" s="9" t="s">
        <v>275</v>
      </c>
      <c r="H296" s="34"/>
      <c r="I296" s="55" t="str">
        <f t="shared" si="9"/>
        <v>https://permalinkbnd.bnportugal.gov.pt/viewer/273100/?offset=#page=9&amp;viewer=picture&amp;o=info&amp;n=0&amp;q=</v>
      </c>
      <c r="J296" s="45"/>
      <c r="K296" s="45"/>
      <c r="L296" s="45"/>
      <c r="M296" t="s">
        <v>273</v>
      </c>
      <c r="N296">
        <v>273100</v>
      </c>
      <c r="O296" t="str">
        <f t="shared" si="8"/>
        <v>https://permalinkbnd.bnportugal.gov.pt/viewer/273100/?offset=#page=9&amp;viewer=picture&amp;o=info&amp;n=0&amp;q=</v>
      </c>
      <c r="P296">
        <v>381260</v>
      </c>
      <c r="Q296" t="s">
        <v>273</v>
      </c>
      <c r="R296" t="s">
        <v>2383</v>
      </c>
      <c r="S296" t="s">
        <v>1178</v>
      </c>
      <c r="T296" t="s">
        <v>1192</v>
      </c>
      <c r="U296" t="s">
        <v>599</v>
      </c>
      <c r="V296" t="s">
        <v>2384</v>
      </c>
      <c r="W296" t="s">
        <v>2385</v>
      </c>
      <c r="X296" t="s">
        <v>599</v>
      </c>
      <c r="Y296" t="s">
        <v>2386</v>
      </c>
      <c r="Z296" t="s">
        <v>2387</v>
      </c>
      <c r="AA296">
        <v>1720</v>
      </c>
      <c r="AB296">
        <v>1720</v>
      </c>
      <c r="AC296" t="s">
        <v>2388</v>
      </c>
      <c r="AD296" t="s">
        <v>1185</v>
      </c>
      <c r="AE296" t="s">
        <v>599</v>
      </c>
      <c r="AF296" t="s">
        <v>2389</v>
      </c>
      <c r="AG296" t="s">
        <v>2390</v>
      </c>
      <c r="AH296" t="s">
        <v>599</v>
      </c>
      <c r="AI296" t="s">
        <v>599</v>
      </c>
      <c r="AJ296" t="s">
        <v>2391</v>
      </c>
      <c r="AK296" t="s">
        <v>1188</v>
      </c>
      <c r="AL296" t="s">
        <v>2392</v>
      </c>
      <c r="AM296" t="s">
        <v>1190</v>
      </c>
      <c r="AN296" t="s">
        <v>599</v>
      </c>
      <c r="AO296" t="s">
        <v>599</v>
      </c>
      <c r="AP296" t="s">
        <v>2393</v>
      </c>
      <c r="AQ296" t="s">
        <v>599</v>
      </c>
      <c r="AR296" t="s">
        <v>599</v>
      </c>
      <c r="AS296" t="s">
        <v>599</v>
      </c>
      <c r="AT296" t="s">
        <v>599</v>
      </c>
    </row>
    <row r="297" spans="1:46" s="13" customFormat="1" ht="30" x14ac:dyDescent="0.25">
      <c r="A297" s="9">
        <v>10634</v>
      </c>
      <c r="B297" s="10">
        <v>381260</v>
      </c>
      <c r="C297" s="10">
        <v>1</v>
      </c>
      <c r="D297" s="9">
        <v>16</v>
      </c>
      <c r="E297" s="11" t="s">
        <v>273</v>
      </c>
      <c r="F297" s="12" t="s">
        <v>274</v>
      </c>
      <c r="G297" s="9" t="s">
        <v>275</v>
      </c>
      <c r="H297" s="34"/>
      <c r="I297" s="55" t="str">
        <f t="shared" si="9"/>
        <v>https://permalinkbnd.bnportugal.gov.pt/viewer/273100/?offset=#page=16&amp;viewer=picture&amp;o=info&amp;n=0&amp;q=</v>
      </c>
      <c r="J297" s="45"/>
      <c r="K297" s="45"/>
      <c r="L297" s="45"/>
      <c r="M297" t="s">
        <v>273</v>
      </c>
      <c r="N297">
        <v>273100</v>
      </c>
      <c r="O297" t="str">
        <f t="shared" si="8"/>
        <v>https://permalinkbnd.bnportugal.gov.pt/viewer/273100/?offset=#page=16&amp;viewer=picture&amp;o=info&amp;n=0&amp;q=</v>
      </c>
      <c r="P297">
        <v>381260</v>
      </c>
      <c r="Q297" t="s">
        <v>273</v>
      </c>
      <c r="R297" t="s">
        <v>2383</v>
      </c>
      <c r="S297" t="s">
        <v>1178</v>
      </c>
      <c r="T297" t="s">
        <v>1192</v>
      </c>
      <c r="U297" t="s">
        <v>599</v>
      </c>
      <c r="V297" t="s">
        <v>2384</v>
      </c>
      <c r="W297" t="s">
        <v>2385</v>
      </c>
      <c r="X297" t="s">
        <v>599</v>
      </c>
      <c r="Y297" t="s">
        <v>2386</v>
      </c>
      <c r="Z297" t="s">
        <v>2387</v>
      </c>
      <c r="AA297">
        <v>1720</v>
      </c>
      <c r="AB297">
        <v>1720</v>
      </c>
      <c r="AC297" t="s">
        <v>2388</v>
      </c>
      <c r="AD297" t="s">
        <v>1185</v>
      </c>
      <c r="AE297" t="s">
        <v>599</v>
      </c>
      <c r="AF297" t="s">
        <v>2389</v>
      </c>
      <c r="AG297" t="s">
        <v>2390</v>
      </c>
      <c r="AH297" t="s">
        <v>599</v>
      </c>
      <c r="AI297" t="s">
        <v>599</v>
      </c>
      <c r="AJ297" t="s">
        <v>2391</v>
      </c>
      <c r="AK297" t="s">
        <v>1188</v>
      </c>
      <c r="AL297" t="s">
        <v>2392</v>
      </c>
      <c r="AM297" t="s">
        <v>1190</v>
      </c>
      <c r="AN297" t="s">
        <v>599</v>
      </c>
      <c r="AO297" t="s">
        <v>599</v>
      </c>
      <c r="AP297" t="s">
        <v>2393</v>
      </c>
      <c r="AQ297" t="s">
        <v>599</v>
      </c>
      <c r="AR297" t="s">
        <v>599</v>
      </c>
      <c r="AS297" t="s">
        <v>599</v>
      </c>
      <c r="AT297" t="s">
        <v>599</v>
      </c>
    </row>
    <row r="298" spans="1:46" s="13" customFormat="1" ht="45" x14ac:dyDescent="0.25">
      <c r="A298" s="9">
        <v>10635</v>
      </c>
      <c r="B298" s="10">
        <v>397821</v>
      </c>
      <c r="C298" s="10">
        <v>1</v>
      </c>
      <c r="D298" s="9">
        <v>7</v>
      </c>
      <c r="E298" s="11" t="s">
        <v>276</v>
      </c>
      <c r="F298" s="12" t="s">
        <v>277</v>
      </c>
      <c r="G298" s="9" t="s">
        <v>278</v>
      </c>
      <c r="H298" s="34"/>
      <c r="I298" s="55" t="str">
        <f t="shared" si="9"/>
        <v>https://permalinkbnd.bnportugal.gov.pt/viewer/273782/?offset=#page=7&amp;viewer=picture&amp;o=info&amp;n=0&amp;q=</v>
      </c>
      <c r="J298" s="45"/>
      <c r="K298" s="45"/>
      <c r="L298" s="45"/>
      <c r="M298" t="s">
        <v>276</v>
      </c>
      <c r="N298">
        <v>273782</v>
      </c>
      <c r="O298" t="str">
        <f t="shared" si="8"/>
        <v>https://permalinkbnd.bnportugal.gov.pt/viewer/273782/?offset=#page=7&amp;viewer=picture&amp;o=info&amp;n=0&amp;q=</v>
      </c>
      <c r="P298">
        <v>397821</v>
      </c>
      <c r="Q298" t="s">
        <v>276</v>
      </c>
      <c r="R298" t="s">
        <v>2394</v>
      </c>
      <c r="S298" t="s">
        <v>1178</v>
      </c>
      <c r="T298" t="s">
        <v>1192</v>
      </c>
      <c r="U298" t="s">
        <v>599</v>
      </c>
      <c r="V298" t="s">
        <v>1193</v>
      </c>
      <c r="W298" t="s">
        <v>1202</v>
      </c>
      <c r="X298" t="s">
        <v>599</v>
      </c>
      <c r="Y298" t="s">
        <v>1182</v>
      </c>
      <c r="Z298" t="s">
        <v>1203</v>
      </c>
      <c r="AA298">
        <v>1898</v>
      </c>
      <c r="AB298">
        <v>1898</v>
      </c>
      <c r="AC298" t="s">
        <v>1204</v>
      </c>
      <c r="AD298" t="s">
        <v>1185</v>
      </c>
      <c r="AE298" t="s">
        <v>599</v>
      </c>
      <c r="AF298" t="s">
        <v>599</v>
      </c>
      <c r="AG298" t="s">
        <v>1205</v>
      </c>
      <c r="AH298" t="s">
        <v>599</v>
      </c>
      <c r="AI298" t="s">
        <v>599</v>
      </c>
      <c r="AJ298" t="s">
        <v>2395</v>
      </c>
      <c r="AK298" t="s">
        <v>1188</v>
      </c>
      <c r="AL298" t="s">
        <v>2396</v>
      </c>
      <c r="AM298" t="s">
        <v>1190</v>
      </c>
      <c r="AN298" t="s">
        <v>599</v>
      </c>
      <c r="AO298" t="s">
        <v>599</v>
      </c>
      <c r="AP298" t="s">
        <v>599</v>
      </c>
      <c r="AQ298" t="s">
        <v>599</v>
      </c>
      <c r="AR298" t="s">
        <v>599</v>
      </c>
      <c r="AS298" t="s">
        <v>599</v>
      </c>
      <c r="AT298" t="s">
        <v>599</v>
      </c>
    </row>
    <row r="299" spans="1:46" s="13" customFormat="1" ht="45" x14ac:dyDescent="0.25">
      <c r="A299" s="9">
        <v>10636</v>
      </c>
      <c r="B299" s="10">
        <v>397821</v>
      </c>
      <c r="C299" s="10">
        <v>1</v>
      </c>
      <c r="D299" s="9">
        <v>12</v>
      </c>
      <c r="E299" s="11" t="s">
        <v>276</v>
      </c>
      <c r="F299" s="12" t="s">
        <v>277</v>
      </c>
      <c r="G299" s="9" t="s">
        <v>278</v>
      </c>
      <c r="H299" s="34"/>
      <c r="I299" s="55" t="str">
        <f t="shared" si="9"/>
        <v>https://permalinkbnd.bnportugal.gov.pt/viewer/273782/?offset=#page=12&amp;viewer=picture&amp;o=info&amp;n=0&amp;q=</v>
      </c>
      <c r="J299" s="45"/>
      <c r="K299" s="45"/>
      <c r="L299" s="45"/>
      <c r="M299" t="s">
        <v>276</v>
      </c>
      <c r="N299">
        <v>273782</v>
      </c>
      <c r="O299" t="str">
        <f t="shared" si="8"/>
        <v>https://permalinkbnd.bnportugal.gov.pt/viewer/273782/?offset=#page=12&amp;viewer=picture&amp;o=info&amp;n=0&amp;q=</v>
      </c>
      <c r="P299">
        <v>397821</v>
      </c>
      <c r="Q299" t="s">
        <v>276</v>
      </c>
      <c r="R299" t="s">
        <v>2394</v>
      </c>
      <c r="S299" t="s">
        <v>1178</v>
      </c>
      <c r="T299" t="s">
        <v>1192</v>
      </c>
      <c r="U299" t="s">
        <v>599</v>
      </c>
      <c r="V299" t="s">
        <v>1193</v>
      </c>
      <c r="W299" t="s">
        <v>1202</v>
      </c>
      <c r="X299" t="s">
        <v>599</v>
      </c>
      <c r="Y299" t="s">
        <v>1182</v>
      </c>
      <c r="Z299" t="s">
        <v>1203</v>
      </c>
      <c r="AA299">
        <v>1898</v>
      </c>
      <c r="AB299">
        <v>1898</v>
      </c>
      <c r="AC299" t="s">
        <v>1204</v>
      </c>
      <c r="AD299" t="s">
        <v>1185</v>
      </c>
      <c r="AE299" t="s">
        <v>599</v>
      </c>
      <c r="AF299" t="s">
        <v>599</v>
      </c>
      <c r="AG299" t="s">
        <v>1205</v>
      </c>
      <c r="AH299" t="s">
        <v>599</v>
      </c>
      <c r="AI299" t="s">
        <v>599</v>
      </c>
      <c r="AJ299" t="s">
        <v>2395</v>
      </c>
      <c r="AK299" t="s">
        <v>1188</v>
      </c>
      <c r="AL299" t="s">
        <v>2396</v>
      </c>
      <c r="AM299" t="s">
        <v>1190</v>
      </c>
      <c r="AN299" t="s">
        <v>599</v>
      </c>
      <c r="AO299" t="s">
        <v>599</v>
      </c>
      <c r="AP299" t="s">
        <v>599</v>
      </c>
      <c r="AQ299" t="s">
        <v>599</v>
      </c>
      <c r="AR299" t="s">
        <v>599</v>
      </c>
      <c r="AS299" t="s">
        <v>599</v>
      </c>
      <c r="AT299" t="s">
        <v>599</v>
      </c>
    </row>
    <row r="300" spans="1:46" s="13" customFormat="1" ht="45" x14ac:dyDescent="0.25">
      <c r="A300" s="9">
        <v>10637</v>
      </c>
      <c r="B300" s="10">
        <v>397821</v>
      </c>
      <c r="C300" s="10">
        <v>1</v>
      </c>
      <c r="D300" s="9">
        <v>25</v>
      </c>
      <c r="E300" s="11" t="s">
        <v>276</v>
      </c>
      <c r="F300" s="12" t="s">
        <v>277</v>
      </c>
      <c r="G300" s="9" t="s">
        <v>278</v>
      </c>
      <c r="H300" s="34"/>
      <c r="I300" s="55" t="str">
        <f t="shared" si="9"/>
        <v>https://permalinkbnd.bnportugal.gov.pt/viewer/273782/?offset=#page=25&amp;viewer=picture&amp;o=info&amp;n=0&amp;q=</v>
      </c>
      <c r="J300" s="45"/>
      <c r="K300" s="45"/>
      <c r="L300" s="45"/>
      <c r="M300" t="s">
        <v>276</v>
      </c>
      <c r="N300">
        <v>273782</v>
      </c>
      <c r="O300" t="str">
        <f t="shared" si="8"/>
        <v>https://permalinkbnd.bnportugal.gov.pt/viewer/273782/?offset=#page=25&amp;viewer=picture&amp;o=info&amp;n=0&amp;q=</v>
      </c>
      <c r="P300">
        <v>397821</v>
      </c>
      <c r="Q300" t="s">
        <v>276</v>
      </c>
      <c r="R300" t="s">
        <v>2394</v>
      </c>
      <c r="S300" t="s">
        <v>1178</v>
      </c>
      <c r="T300" t="s">
        <v>1192</v>
      </c>
      <c r="U300" t="s">
        <v>599</v>
      </c>
      <c r="V300" t="s">
        <v>1193</v>
      </c>
      <c r="W300" t="s">
        <v>1202</v>
      </c>
      <c r="X300" t="s">
        <v>599</v>
      </c>
      <c r="Y300" t="s">
        <v>1182</v>
      </c>
      <c r="Z300" t="s">
        <v>1203</v>
      </c>
      <c r="AA300">
        <v>1898</v>
      </c>
      <c r="AB300">
        <v>1898</v>
      </c>
      <c r="AC300" t="s">
        <v>1204</v>
      </c>
      <c r="AD300" t="s">
        <v>1185</v>
      </c>
      <c r="AE300" t="s">
        <v>599</v>
      </c>
      <c r="AF300" t="s">
        <v>599</v>
      </c>
      <c r="AG300" t="s">
        <v>1205</v>
      </c>
      <c r="AH300" t="s">
        <v>599</v>
      </c>
      <c r="AI300" t="s">
        <v>599</v>
      </c>
      <c r="AJ300" t="s">
        <v>2395</v>
      </c>
      <c r="AK300" t="s">
        <v>1188</v>
      </c>
      <c r="AL300" t="s">
        <v>2396</v>
      </c>
      <c r="AM300" t="s">
        <v>1190</v>
      </c>
      <c r="AN300" t="s">
        <v>599</v>
      </c>
      <c r="AO300" t="s">
        <v>599</v>
      </c>
      <c r="AP300" t="s">
        <v>599</v>
      </c>
      <c r="AQ300" t="s">
        <v>599</v>
      </c>
      <c r="AR300" t="s">
        <v>599</v>
      </c>
      <c r="AS300" t="s">
        <v>599</v>
      </c>
      <c r="AT300" t="s">
        <v>599</v>
      </c>
    </row>
    <row r="301" spans="1:46" s="13" customFormat="1" ht="45" x14ac:dyDescent="0.25">
      <c r="A301" s="9">
        <v>10638</v>
      </c>
      <c r="B301" s="10">
        <v>397821</v>
      </c>
      <c r="C301" s="10">
        <v>1</v>
      </c>
      <c r="D301" s="9">
        <v>48</v>
      </c>
      <c r="E301" s="11" t="s">
        <v>276</v>
      </c>
      <c r="F301" s="12" t="s">
        <v>277</v>
      </c>
      <c r="G301" s="9" t="s">
        <v>278</v>
      </c>
      <c r="H301" s="34"/>
      <c r="I301" s="55" t="str">
        <f t="shared" si="9"/>
        <v>https://permalinkbnd.bnportugal.gov.pt/viewer/273782/?offset=#page=48&amp;viewer=picture&amp;o=info&amp;n=0&amp;q=</v>
      </c>
      <c r="J301" s="45"/>
      <c r="K301" s="45"/>
      <c r="L301" s="45"/>
      <c r="M301" t="s">
        <v>276</v>
      </c>
      <c r="N301">
        <v>273782</v>
      </c>
      <c r="O301" t="str">
        <f t="shared" si="8"/>
        <v>https://permalinkbnd.bnportugal.gov.pt/viewer/273782/?offset=#page=48&amp;viewer=picture&amp;o=info&amp;n=0&amp;q=</v>
      </c>
      <c r="P301">
        <v>397821</v>
      </c>
      <c r="Q301" t="s">
        <v>276</v>
      </c>
      <c r="R301" t="s">
        <v>2394</v>
      </c>
      <c r="S301" t="s">
        <v>1178</v>
      </c>
      <c r="T301" t="s">
        <v>1192</v>
      </c>
      <c r="U301" t="s">
        <v>599</v>
      </c>
      <c r="V301" t="s">
        <v>1193</v>
      </c>
      <c r="W301" t="s">
        <v>1202</v>
      </c>
      <c r="X301" t="s">
        <v>599</v>
      </c>
      <c r="Y301" t="s">
        <v>1182</v>
      </c>
      <c r="Z301" t="s">
        <v>1203</v>
      </c>
      <c r="AA301">
        <v>1898</v>
      </c>
      <c r="AB301">
        <v>1898</v>
      </c>
      <c r="AC301" t="s">
        <v>1204</v>
      </c>
      <c r="AD301" t="s">
        <v>1185</v>
      </c>
      <c r="AE301" t="s">
        <v>599</v>
      </c>
      <c r="AF301" t="s">
        <v>599</v>
      </c>
      <c r="AG301" t="s">
        <v>1205</v>
      </c>
      <c r="AH301" t="s">
        <v>599</v>
      </c>
      <c r="AI301" t="s">
        <v>599</v>
      </c>
      <c r="AJ301" t="s">
        <v>2395</v>
      </c>
      <c r="AK301" t="s">
        <v>1188</v>
      </c>
      <c r="AL301" t="s">
        <v>2396</v>
      </c>
      <c r="AM301" t="s">
        <v>1190</v>
      </c>
      <c r="AN301" t="s">
        <v>599</v>
      </c>
      <c r="AO301" t="s">
        <v>599</v>
      </c>
      <c r="AP301" t="s">
        <v>599</v>
      </c>
      <c r="AQ301" t="s">
        <v>599</v>
      </c>
      <c r="AR301" t="s">
        <v>599</v>
      </c>
      <c r="AS301" t="s">
        <v>599</v>
      </c>
      <c r="AT301" t="s">
        <v>599</v>
      </c>
    </row>
    <row r="302" spans="1:46" s="13" customFormat="1" ht="45" x14ac:dyDescent="0.25">
      <c r="A302" s="9">
        <v>10639</v>
      </c>
      <c r="B302" s="10">
        <v>397821</v>
      </c>
      <c r="C302" s="10">
        <v>1</v>
      </c>
      <c r="D302" s="9">
        <v>103</v>
      </c>
      <c r="E302" s="11" t="s">
        <v>276</v>
      </c>
      <c r="F302" s="12" t="s">
        <v>277</v>
      </c>
      <c r="G302" s="9" t="s">
        <v>278</v>
      </c>
      <c r="H302" s="34"/>
      <c r="I302" s="55" t="str">
        <f t="shared" si="9"/>
        <v>https://permalinkbnd.bnportugal.gov.pt/viewer/273782/?offset=#page=103&amp;viewer=picture&amp;o=info&amp;n=0&amp;q=</v>
      </c>
      <c r="J302" s="45"/>
      <c r="K302" s="45"/>
      <c r="L302" s="45"/>
      <c r="M302" t="s">
        <v>276</v>
      </c>
      <c r="N302">
        <v>273782</v>
      </c>
      <c r="O302" t="str">
        <f t="shared" si="8"/>
        <v>https://permalinkbnd.bnportugal.gov.pt/viewer/273782/?offset=#page=103&amp;viewer=picture&amp;o=info&amp;n=0&amp;q=</v>
      </c>
      <c r="P302">
        <v>397821</v>
      </c>
      <c r="Q302" t="s">
        <v>276</v>
      </c>
      <c r="R302" t="s">
        <v>2394</v>
      </c>
      <c r="S302" t="s">
        <v>1178</v>
      </c>
      <c r="T302" t="s">
        <v>1192</v>
      </c>
      <c r="U302" t="s">
        <v>599</v>
      </c>
      <c r="V302" t="s">
        <v>1193</v>
      </c>
      <c r="W302" t="s">
        <v>1202</v>
      </c>
      <c r="X302" t="s">
        <v>599</v>
      </c>
      <c r="Y302" t="s">
        <v>1182</v>
      </c>
      <c r="Z302" t="s">
        <v>1203</v>
      </c>
      <c r="AA302">
        <v>1898</v>
      </c>
      <c r="AB302">
        <v>1898</v>
      </c>
      <c r="AC302" t="s">
        <v>1204</v>
      </c>
      <c r="AD302" t="s">
        <v>1185</v>
      </c>
      <c r="AE302" t="s">
        <v>599</v>
      </c>
      <c r="AF302" t="s">
        <v>599</v>
      </c>
      <c r="AG302" t="s">
        <v>1205</v>
      </c>
      <c r="AH302" t="s">
        <v>599</v>
      </c>
      <c r="AI302" t="s">
        <v>599</v>
      </c>
      <c r="AJ302" t="s">
        <v>2395</v>
      </c>
      <c r="AK302" t="s">
        <v>1188</v>
      </c>
      <c r="AL302" t="s">
        <v>2396</v>
      </c>
      <c r="AM302" t="s">
        <v>1190</v>
      </c>
      <c r="AN302" t="s">
        <v>599</v>
      </c>
      <c r="AO302" t="s">
        <v>599</v>
      </c>
      <c r="AP302" t="s">
        <v>599</v>
      </c>
      <c r="AQ302" t="s">
        <v>599</v>
      </c>
      <c r="AR302" t="s">
        <v>599</v>
      </c>
      <c r="AS302" t="s">
        <v>599</v>
      </c>
      <c r="AT302" t="s">
        <v>599</v>
      </c>
    </row>
    <row r="303" spans="1:46" s="13" customFormat="1" ht="45" x14ac:dyDescent="0.25">
      <c r="A303" s="9">
        <v>10640</v>
      </c>
      <c r="B303" s="10">
        <v>397821</v>
      </c>
      <c r="C303" s="10">
        <v>1</v>
      </c>
      <c r="D303" s="9">
        <v>163</v>
      </c>
      <c r="E303" s="11" t="s">
        <v>276</v>
      </c>
      <c r="F303" s="12" t="s">
        <v>277</v>
      </c>
      <c r="G303" s="9" t="s">
        <v>278</v>
      </c>
      <c r="H303" s="34"/>
      <c r="I303" s="55" t="str">
        <f t="shared" si="9"/>
        <v>https://permalinkbnd.bnportugal.gov.pt/viewer/273782/?offset=#page=163&amp;viewer=picture&amp;o=info&amp;n=0&amp;q=</v>
      </c>
      <c r="J303" s="45"/>
      <c r="K303" s="45"/>
      <c r="L303" s="45"/>
      <c r="M303" t="s">
        <v>276</v>
      </c>
      <c r="N303">
        <v>273782</v>
      </c>
      <c r="O303" t="str">
        <f t="shared" si="8"/>
        <v>https://permalinkbnd.bnportugal.gov.pt/viewer/273782/?offset=#page=163&amp;viewer=picture&amp;o=info&amp;n=0&amp;q=</v>
      </c>
      <c r="P303">
        <v>397821</v>
      </c>
      <c r="Q303" t="s">
        <v>276</v>
      </c>
      <c r="R303" t="s">
        <v>2394</v>
      </c>
      <c r="S303" t="s">
        <v>1178</v>
      </c>
      <c r="T303" t="s">
        <v>1192</v>
      </c>
      <c r="U303" t="s">
        <v>599</v>
      </c>
      <c r="V303" t="s">
        <v>1193</v>
      </c>
      <c r="W303" t="s">
        <v>1202</v>
      </c>
      <c r="X303" t="s">
        <v>599</v>
      </c>
      <c r="Y303" t="s">
        <v>1182</v>
      </c>
      <c r="Z303" t="s">
        <v>1203</v>
      </c>
      <c r="AA303">
        <v>1898</v>
      </c>
      <c r="AB303">
        <v>1898</v>
      </c>
      <c r="AC303" t="s">
        <v>1204</v>
      </c>
      <c r="AD303" t="s">
        <v>1185</v>
      </c>
      <c r="AE303" t="s">
        <v>599</v>
      </c>
      <c r="AF303" t="s">
        <v>599</v>
      </c>
      <c r="AG303" t="s">
        <v>1205</v>
      </c>
      <c r="AH303" t="s">
        <v>599</v>
      </c>
      <c r="AI303" t="s">
        <v>599</v>
      </c>
      <c r="AJ303" t="s">
        <v>2395</v>
      </c>
      <c r="AK303" t="s">
        <v>1188</v>
      </c>
      <c r="AL303" t="s">
        <v>2396</v>
      </c>
      <c r="AM303" t="s">
        <v>1190</v>
      </c>
      <c r="AN303" t="s">
        <v>599</v>
      </c>
      <c r="AO303" t="s">
        <v>599</v>
      </c>
      <c r="AP303" t="s">
        <v>599</v>
      </c>
      <c r="AQ303" t="s">
        <v>599</v>
      </c>
      <c r="AR303" t="s">
        <v>599</v>
      </c>
      <c r="AS303" t="s">
        <v>599</v>
      </c>
      <c r="AT303" t="s">
        <v>599</v>
      </c>
    </row>
    <row r="304" spans="1:46" s="13" customFormat="1" ht="45" x14ac:dyDescent="0.25">
      <c r="A304" s="9">
        <v>10641</v>
      </c>
      <c r="B304" s="10">
        <v>397821</v>
      </c>
      <c r="C304" s="10">
        <v>1</v>
      </c>
      <c r="D304" s="9">
        <v>237</v>
      </c>
      <c r="E304" s="11" t="s">
        <v>276</v>
      </c>
      <c r="F304" s="12" t="s">
        <v>277</v>
      </c>
      <c r="G304" s="9" t="s">
        <v>278</v>
      </c>
      <c r="H304" s="34"/>
      <c r="I304" s="55" t="str">
        <f t="shared" si="9"/>
        <v>https://permalinkbnd.bnportugal.gov.pt/viewer/273782/?offset=#page=237&amp;viewer=picture&amp;o=info&amp;n=0&amp;q=</v>
      </c>
      <c r="J304" s="45"/>
      <c r="K304" s="45"/>
      <c r="L304" s="45"/>
      <c r="M304" t="s">
        <v>276</v>
      </c>
      <c r="N304">
        <v>273782</v>
      </c>
      <c r="O304" t="str">
        <f t="shared" si="8"/>
        <v>https://permalinkbnd.bnportugal.gov.pt/viewer/273782/?offset=#page=237&amp;viewer=picture&amp;o=info&amp;n=0&amp;q=</v>
      </c>
      <c r="P304">
        <v>397821</v>
      </c>
      <c r="Q304" t="s">
        <v>276</v>
      </c>
      <c r="R304" t="s">
        <v>2394</v>
      </c>
      <c r="S304" t="s">
        <v>1178</v>
      </c>
      <c r="T304" t="s">
        <v>1192</v>
      </c>
      <c r="U304" t="s">
        <v>599</v>
      </c>
      <c r="V304" t="s">
        <v>1193</v>
      </c>
      <c r="W304" t="s">
        <v>1202</v>
      </c>
      <c r="X304" t="s">
        <v>599</v>
      </c>
      <c r="Y304" t="s">
        <v>1182</v>
      </c>
      <c r="Z304" t="s">
        <v>1203</v>
      </c>
      <c r="AA304">
        <v>1898</v>
      </c>
      <c r="AB304">
        <v>1898</v>
      </c>
      <c r="AC304" t="s">
        <v>1204</v>
      </c>
      <c r="AD304" t="s">
        <v>1185</v>
      </c>
      <c r="AE304" t="s">
        <v>599</v>
      </c>
      <c r="AF304" t="s">
        <v>599</v>
      </c>
      <c r="AG304" t="s">
        <v>1205</v>
      </c>
      <c r="AH304" t="s">
        <v>599</v>
      </c>
      <c r="AI304" t="s">
        <v>599</v>
      </c>
      <c r="AJ304" t="s">
        <v>2395</v>
      </c>
      <c r="AK304" t="s">
        <v>1188</v>
      </c>
      <c r="AL304" t="s">
        <v>2396</v>
      </c>
      <c r="AM304" t="s">
        <v>1190</v>
      </c>
      <c r="AN304" t="s">
        <v>599</v>
      </c>
      <c r="AO304" t="s">
        <v>599</v>
      </c>
      <c r="AP304" t="s">
        <v>599</v>
      </c>
      <c r="AQ304" t="s">
        <v>599</v>
      </c>
      <c r="AR304" t="s">
        <v>599</v>
      </c>
      <c r="AS304" t="s">
        <v>599</v>
      </c>
      <c r="AT304" t="s">
        <v>599</v>
      </c>
    </row>
    <row r="305" spans="1:46" s="13" customFormat="1" ht="45" x14ac:dyDescent="0.25">
      <c r="A305" s="9">
        <v>10642</v>
      </c>
      <c r="B305" s="10">
        <v>397821</v>
      </c>
      <c r="C305" s="10">
        <v>1</v>
      </c>
      <c r="D305" s="9">
        <v>239</v>
      </c>
      <c r="E305" s="11" t="s">
        <v>276</v>
      </c>
      <c r="F305" s="12" t="s">
        <v>277</v>
      </c>
      <c r="G305" s="9" t="s">
        <v>278</v>
      </c>
      <c r="H305" s="34"/>
      <c r="I305" s="55" t="str">
        <f t="shared" si="9"/>
        <v>https://permalinkbnd.bnportugal.gov.pt/viewer/273782/?offset=#page=239&amp;viewer=picture&amp;o=info&amp;n=0&amp;q=</v>
      </c>
      <c r="J305" s="45"/>
      <c r="K305" s="45"/>
      <c r="L305" s="45"/>
      <c r="M305" t="s">
        <v>276</v>
      </c>
      <c r="N305">
        <v>273782</v>
      </c>
      <c r="O305" t="str">
        <f t="shared" si="8"/>
        <v>https://permalinkbnd.bnportugal.gov.pt/viewer/273782/?offset=#page=239&amp;viewer=picture&amp;o=info&amp;n=0&amp;q=</v>
      </c>
      <c r="P305">
        <v>397821</v>
      </c>
      <c r="Q305" t="s">
        <v>276</v>
      </c>
      <c r="R305" t="s">
        <v>2394</v>
      </c>
      <c r="S305" t="s">
        <v>1178</v>
      </c>
      <c r="T305" t="s">
        <v>1192</v>
      </c>
      <c r="U305" t="s">
        <v>599</v>
      </c>
      <c r="V305" t="s">
        <v>1193</v>
      </c>
      <c r="W305" t="s">
        <v>1202</v>
      </c>
      <c r="X305" t="s">
        <v>599</v>
      </c>
      <c r="Y305" t="s">
        <v>1182</v>
      </c>
      <c r="Z305" t="s">
        <v>1203</v>
      </c>
      <c r="AA305">
        <v>1898</v>
      </c>
      <c r="AB305">
        <v>1898</v>
      </c>
      <c r="AC305" t="s">
        <v>1204</v>
      </c>
      <c r="AD305" t="s">
        <v>1185</v>
      </c>
      <c r="AE305" t="s">
        <v>599</v>
      </c>
      <c r="AF305" t="s">
        <v>599</v>
      </c>
      <c r="AG305" t="s">
        <v>1205</v>
      </c>
      <c r="AH305" t="s">
        <v>599</v>
      </c>
      <c r="AI305" t="s">
        <v>599</v>
      </c>
      <c r="AJ305" t="s">
        <v>2395</v>
      </c>
      <c r="AK305" t="s">
        <v>1188</v>
      </c>
      <c r="AL305" t="s">
        <v>2396</v>
      </c>
      <c r="AM305" t="s">
        <v>1190</v>
      </c>
      <c r="AN305" t="s">
        <v>599</v>
      </c>
      <c r="AO305" t="s">
        <v>599</v>
      </c>
      <c r="AP305" t="s">
        <v>599</v>
      </c>
      <c r="AQ305" t="s">
        <v>599</v>
      </c>
      <c r="AR305" t="s">
        <v>599</v>
      </c>
      <c r="AS305" t="s">
        <v>599</v>
      </c>
      <c r="AT305" t="s">
        <v>599</v>
      </c>
    </row>
    <row r="306" spans="1:46" s="13" customFormat="1" ht="45" x14ac:dyDescent="0.25">
      <c r="A306" s="9">
        <v>10643</v>
      </c>
      <c r="B306" s="10">
        <v>397821</v>
      </c>
      <c r="C306" s="10">
        <v>1</v>
      </c>
      <c r="D306" s="9">
        <v>293</v>
      </c>
      <c r="E306" s="11" t="s">
        <v>276</v>
      </c>
      <c r="F306" s="12" t="s">
        <v>277</v>
      </c>
      <c r="G306" s="9" t="s">
        <v>278</v>
      </c>
      <c r="H306" s="34"/>
      <c r="I306" s="55" t="str">
        <f t="shared" si="9"/>
        <v>https://permalinkbnd.bnportugal.gov.pt/viewer/273782/?offset=#page=293&amp;viewer=picture&amp;o=info&amp;n=0&amp;q=</v>
      </c>
      <c r="J306" s="45"/>
      <c r="K306" s="45"/>
      <c r="L306" s="45"/>
      <c r="M306" t="s">
        <v>276</v>
      </c>
      <c r="N306">
        <v>273782</v>
      </c>
      <c r="O306" t="str">
        <f t="shared" si="8"/>
        <v>https://permalinkbnd.bnportugal.gov.pt/viewer/273782/?offset=#page=293&amp;viewer=picture&amp;o=info&amp;n=0&amp;q=</v>
      </c>
      <c r="P306">
        <v>397821</v>
      </c>
      <c r="Q306" t="s">
        <v>276</v>
      </c>
      <c r="R306" t="s">
        <v>2394</v>
      </c>
      <c r="S306" t="s">
        <v>1178</v>
      </c>
      <c r="T306" t="s">
        <v>1192</v>
      </c>
      <c r="U306" t="s">
        <v>599</v>
      </c>
      <c r="V306" t="s">
        <v>1193</v>
      </c>
      <c r="W306" t="s">
        <v>1202</v>
      </c>
      <c r="X306" t="s">
        <v>599</v>
      </c>
      <c r="Y306" t="s">
        <v>1182</v>
      </c>
      <c r="Z306" t="s">
        <v>1203</v>
      </c>
      <c r="AA306">
        <v>1898</v>
      </c>
      <c r="AB306">
        <v>1898</v>
      </c>
      <c r="AC306" t="s">
        <v>1204</v>
      </c>
      <c r="AD306" t="s">
        <v>1185</v>
      </c>
      <c r="AE306" t="s">
        <v>599</v>
      </c>
      <c r="AF306" t="s">
        <v>599</v>
      </c>
      <c r="AG306" t="s">
        <v>1205</v>
      </c>
      <c r="AH306" t="s">
        <v>599</v>
      </c>
      <c r="AI306" t="s">
        <v>599</v>
      </c>
      <c r="AJ306" t="s">
        <v>2395</v>
      </c>
      <c r="AK306" t="s">
        <v>1188</v>
      </c>
      <c r="AL306" t="s">
        <v>2396</v>
      </c>
      <c r="AM306" t="s">
        <v>1190</v>
      </c>
      <c r="AN306" t="s">
        <v>599</v>
      </c>
      <c r="AO306" t="s">
        <v>599</v>
      </c>
      <c r="AP306" t="s">
        <v>599</v>
      </c>
      <c r="AQ306" t="s">
        <v>599</v>
      </c>
      <c r="AR306" t="s">
        <v>599</v>
      </c>
      <c r="AS306" t="s">
        <v>599</v>
      </c>
      <c r="AT306" t="s">
        <v>599</v>
      </c>
    </row>
    <row r="307" spans="1:46" s="13" customFormat="1" ht="45" x14ac:dyDescent="0.25">
      <c r="A307" s="9">
        <v>10644</v>
      </c>
      <c r="B307" s="10">
        <v>397821</v>
      </c>
      <c r="C307" s="10">
        <v>1</v>
      </c>
      <c r="D307" s="9">
        <v>347</v>
      </c>
      <c r="E307" s="11" t="s">
        <v>276</v>
      </c>
      <c r="F307" s="12" t="s">
        <v>277</v>
      </c>
      <c r="G307" s="9" t="s">
        <v>278</v>
      </c>
      <c r="H307" s="34"/>
      <c r="I307" s="55" t="str">
        <f t="shared" si="9"/>
        <v>https://permalinkbnd.bnportugal.gov.pt/viewer/273782/?offset=#page=347&amp;viewer=picture&amp;o=info&amp;n=0&amp;q=</v>
      </c>
      <c r="J307" s="45"/>
      <c r="K307" s="45"/>
      <c r="L307" s="45"/>
      <c r="M307" t="s">
        <v>276</v>
      </c>
      <c r="N307">
        <v>273782</v>
      </c>
      <c r="O307" t="str">
        <f t="shared" si="8"/>
        <v>https://permalinkbnd.bnportugal.gov.pt/viewer/273782/?offset=#page=347&amp;viewer=picture&amp;o=info&amp;n=0&amp;q=</v>
      </c>
      <c r="P307">
        <v>397821</v>
      </c>
      <c r="Q307" t="s">
        <v>276</v>
      </c>
      <c r="R307" t="s">
        <v>2394</v>
      </c>
      <c r="S307" t="s">
        <v>1178</v>
      </c>
      <c r="T307" t="s">
        <v>1192</v>
      </c>
      <c r="U307" t="s">
        <v>599</v>
      </c>
      <c r="V307" t="s">
        <v>1193</v>
      </c>
      <c r="W307" t="s">
        <v>1202</v>
      </c>
      <c r="X307" t="s">
        <v>599</v>
      </c>
      <c r="Y307" t="s">
        <v>1182</v>
      </c>
      <c r="Z307" t="s">
        <v>1203</v>
      </c>
      <c r="AA307">
        <v>1898</v>
      </c>
      <c r="AB307">
        <v>1898</v>
      </c>
      <c r="AC307" t="s">
        <v>1204</v>
      </c>
      <c r="AD307" t="s">
        <v>1185</v>
      </c>
      <c r="AE307" t="s">
        <v>599</v>
      </c>
      <c r="AF307" t="s">
        <v>599</v>
      </c>
      <c r="AG307" t="s">
        <v>1205</v>
      </c>
      <c r="AH307" t="s">
        <v>599</v>
      </c>
      <c r="AI307" t="s">
        <v>599</v>
      </c>
      <c r="AJ307" t="s">
        <v>2395</v>
      </c>
      <c r="AK307" t="s">
        <v>1188</v>
      </c>
      <c r="AL307" t="s">
        <v>2396</v>
      </c>
      <c r="AM307" t="s">
        <v>1190</v>
      </c>
      <c r="AN307" t="s">
        <v>599</v>
      </c>
      <c r="AO307" t="s">
        <v>599</v>
      </c>
      <c r="AP307" t="s">
        <v>599</v>
      </c>
      <c r="AQ307" t="s">
        <v>599</v>
      </c>
      <c r="AR307" t="s">
        <v>599</v>
      </c>
      <c r="AS307" t="s">
        <v>599</v>
      </c>
      <c r="AT307" t="s">
        <v>599</v>
      </c>
    </row>
    <row r="308" spans="1:46" s="13" customFormat="1" ht="45" x14ac:dyDescent="0.25">
      <c r="A308" s="9">
        <v>10645</v>
      </c>
      <c r="B308" s="10">
        <v>397821</v>
      </c>
      <c r="C308" s="10">
        <v>1</v>
      </c>
      <c r="D308" s="9">
        <v>349</v>
      </c>
      <c r="E308" s="11" t="s">
        <v>276</v>
      </c>
      <c r="F308" s="12" t="s">
        <v>277</v>
      </c>
      <c r="G308" s="9" t="s">
        <v>278</v>
      </c>
      <c r="H308" s="34"/>
      <c r="I308" s="55" t="str">
        <f t="shared" si="9"/>
        <v>https://permalinkbnd.bnportugal.gov.pt/viewer/273782/?offset=#page=349&amp;viewer=picture&amp;o=info&amp;n=0&amp;q=</v>
      </c>
      <c r="J308" s="45"/>
      <c r="K308" s="45"/>
      <c r="L308" s="45"/>
      <c r="M308" t="s">
        <v>276</v>
      </c>
      <c r="N308">
        <v>273782</v>
      </c>
      <c r="O308" t="str">
        <f t="shared" si="8"/>
        <v>https://permalinkbnd.bnportugal.gov.pt/viewer/273782/?offset=#page=349&amp;viewer=picture&amp;o=info&amp;n=0&amp;q=</v>
      </c>
      <c r="P308">
        <v>397821</v>
      </c>
      <c r="Q308" t="s">
        <v>276</v>
      </c>
      <c r="R308" t="s">
        <v>2394</v>
      </c>
      <c r="S308" t="s">
        <v>1178</v>
      </c>
      <c r="T308" t="s">
        <v>1192</v>
      </c>
      <c r="U308" t="s">
        <v>599</v>
      </c>
      <c r="V308" t="s">
        <v>1193</v>
      </c>
      <c r="W308" t="s">
        <v>1202</v>
      </c>
      <c r="X308" t="s">
        <v>599</v>
      </c>
      <c r="Y308" t="s">
        <v>1182</v>
      </c>
      <c r="Z308" t="s">
        <v>1203</v>
      </c>
      <c r="AA308">
        <v>1898</v>
      </c>
      <c r="AB308">
        <v>1898</v>
      </c>
      <c r="AC308" t="s">
        <v>1204</v>
      </c>
      <c r="AD308" t="s">
        <v>1185</v>
      </c>
      <c r="AE308" t="s">
        <v>599</v>
      </c>
      <c r="AF308" t="s">
        <v>599</v>
      </c>
      <c r="AG308" t="s">
        <v>1205</v>
      </c>
      <c r="AH308" t="s">
        <v>599</v>
      </c>
      <c r="AI308" t="s">
        <v>599</v>
      </c>
      <c r="AJ308" t="s">
        <v>2395</v>
      </c>
      <c r="AK308" t="s">
        <v>1188</v>
      </c>
      <c r="AL308" t="s">
        <v>2396</v>
      </c>
      <c r="AM308" t="s">
        <v>1190</v>
      </c>
      <c r="AN308" t="s">
        <v>599</v>
      </c>
      <c r="AO308" t="s">
        <v>599</v>
      </c>
      <c r="AP308" t="s">
        <v>599</v>
      </c>
      <c r="AQ308" t="s">
        <v>599</v>
      </c>
      <c r="AR308" t="s">
        <v>599</v>
      </c>
      <c r="AS308" t="s">
        <v>599</v>
      </c>
      <c r="AT308" t="s">
        <v>599</v>
      </c>
    </row>
    <row r="309" spans="1:46" s="13" customFormat="1" ht="45" x14ac:dyDescent="0.25">
      <c r="A309" s="9">
        <v>10646</v>
      </c>
      <c r="B309" s="10">
        <v>397821</v>
      </c>
      <c r="C309" s="10">
        <v>1</v>
      </c>
      <c r="D309" s="9">
        <v>399</v>
      </c>
      <c r="E309" s="11" t="s">
        <v>276</v>
      </c>
      <c r="F309" s="12" t="s">
        <v>277</v>
      </c>
      <c r="G309" s="9" t="s">
        <v>278</v>
      </c>
      <c r="H309" s="34"/>
      <c r="I309" s="55" t="str">
        <f t="shared" si="9"/>
        <v>https://permalinkbnd.bnportugal.gov.pt/viewer/273782/?offset=#page=399&amp;viewer=picture&amp;o=info&amp;n=0&amp;q=</v>
      </c>
      <c r="J309" s="45"/>
      <c r="K309" s="45"/>
      <c r="L309" s="45"/>
      <c r="M309" t="s">
        <v>276</v>
      </c>
      <c r="N309">
        <v>273782</v>
      </c>
      <c r="O309" t="str">
        <f t="shared" si="8"/>
        <v>https://permalinkbnd.bnportugal.gov.pt/viewer/273782/?offset=#page=399&amp;viewer=picture&amp;o=info&amp;n=0&amp;q=</v>
      </c>
      <c r="P309">
        <v>397821</v>
      </c>
      <c r="Q309" t="s">
        <v>276</v>
      </c>
      <c r="R309" t="s">
        <v>2394</v>
      </c>
      <c r="S309" t="s">
        <v>1178</v>
      </c>
      <c r="T309" t="s">
        <v>1192</v>
      </c>
      <c r="U309" t="s">
        <v>599</v>
      </c>
      <c r="V309" t="s">
        <v>1193</v>
      </c>
      <c r="W309" t="s">
        <v>1202</v>
      </c>
      <c r="X309" t="s">
        <v>599</v>
      </c>
      <c r="Y309" t="s">
        <v>1182</v>
      </c>
      <c r="Z309" t="s">
        <v>1203</v>
      </c>
      <c r="AA309">
        <v>1898</v>
      </c>
      <c r="AB309">
        <v>1898</v>
      </c>
      <c r="AC309" t="s">
        <v>1204</v>
      </c>
      <c r="AD309" t="s">
        <v>1185</v>
      </c>
      <c r="AE309" t="s">
        <v>599</v>
      </c>
      <c r="AF309" t="s">
        <v>599</v>
      </c>
      <c r="AG309" t="s">
        <v>1205</v>
      </c>
      <c r="AH309" t="s">
        <v>599</v>
      </c>
      <c r="AI309" t="s">
        <v>599</v>
      </c>
      <c r="AJ309" t="s">
        <v>2395</v>
      </c>
      <c r="AK309" t="s">
        <v>1188</v>
      </c>
      <c r="AL309" t="s">
        <v>2396</v>
      </c>
      <c r="AM309" t="s">
        <v>1190</v>
      </c>
      <c r="AN309" t="s">
        <v>599</v>
      </c>
      <c r="AO309" t="s">
        <v>599</v>
      </c>
      <c r="AP309" t="s">
        <v>599</v>
      </c>
      <c r="AQ309" t="s">
        <v>599</v>
      </c>
      <c r="AR309" t="s">
        <v>599</v>
      </c>
      <c r="AS309" t="s">
        <v>599</v>
      </c>
      <c r="AT309" t="s">
        <v>599</v>
      </c>
    </row>
    <row r="310" spans="1:46" s="13" customFormat="1" ht="45" x14ac:dyDescent="0.25">
      <c r="A310" s="9">
        <v>10647</v>
      </c>
      <c r="B310" s="10">
        <v>397821</v>
      </c>
      <c r="C310" s="10">
        <v>1</v>
      </c>
      <c r="D310" s="9">
        <v>401</v>
      </c>
      <c r="E310" s="11" t="s">
        <v>276</v>
      </c>
      <c r="F310" s="12" t="s">
        <v>277</v>
      </c>
      <c r="G310" s="9" t="s">
        <v>278</v>
      </c>
      <c r="H310" s="34"/>
      <c r="I310" s="55" t="str">
        <f t="shared" si="9"/>
        <v>https://permalinkbnd.bnportugal.gov.pt/viewer/273782/?offset=#page=401&amp;viewer=picture&amp;o=info&amp;n=0&amp;q=</v>
      </c>
      <c r="J310" s="45"/>
      <c r="K310" s="45"/>
      <c r="L310" s="45"/>
      <c r="M310" t="s">
        <v>276</v>
      </c>
      <c r="N310">
        <v>273782</v>
      </c>
      <c r="O310" t="str">
        <f t="shared" si="8"/>
        <v>https://permalinkbnd.bnportugal.gov.pt/viewer/273782/?offset=#page=401&amp;viewer=picture&amp;o=info&amp;n=0&amp;q=</v>
      </c>
      <c r="P310">
        <v>397821</v>
      </c>
      <c r="Q310" t="s">
        <v>276</v>
      </c>
      <c r="R310" t="s">
        <v>2394</v>
      </c>
      <c r="S310" t="s">
        <v>1178</v>
      </c>
      <c r="T310" t="s">
        <v>1192</v>
      </c>
      <c r="U310" t="s">
        <v>599</v>
      </c>
      <c r="V310" t="s">
        <v>1193</v>
      </c>
      <c r="W310" t="s">
        <v>1202</v>
      </c>
      <c r="X310" t="s">
        <v>599</v>
      </c>
      <c r="Y310" t="s">
        <v>1182</v>
      </c>
      <c r="Z310" t="s">
        <v>1203</v>
      </c>
      <c r="AA310">
        <v>1898</v>
      </c>
      <c r="AB310">
        <v>1898</v>
      </c>
      <c r="AC310" t="s">
        <v>1204</v>
      </c>
      <c r="AD310" t="s">
        <v>1185</v>
      </c>
      <c r="AE310" t="s">
        <v>599</v>
      </c>
      <c r="AF310" t="s">
        <v>599</v>
      </c>
      <c r="AG310" t="s">
        <v>1205</v>
      </c>
      <c r="AH310" t="s">
        <v>599</v>
      </c>
      <c r="AI310" t="s">
        <v>599</v>
      </c>
      <c r="AJ310" t="s">
        <v>2395</v>
      </c>
      <c r="AK310" t="s">
        <v>1188</v>
      </c>
      <c r="AL310" t="s">
        <v>2396</v>
      </c>
      <c r="AM310" t="s">
        <v>1190</v>
      </c>
      <c r="AN310" t="s">
        <v>599</v>
      </c>
      <c r="AO310" t="s">
        <v>599</v>
      </c>
      <c r="AP310" t="s">
        <v>599</v>
      </c>
      <c r="AQ310" t="s">
        <v>599</v>
      </c>
      <c r="AR310" t="s">
        <v>599</v>
      </c>
      <c r="AS310" t="s">
        <v>599</v>
      </c>
      <c r="AT310" t="s">
        <v>599</v>
      </c>
    </row>
    <row r="311" spans="1:46" s="13" customFormat="1" ht="45" x14ac:dyDescent="0.25">
      <c r="A311" s="9">
        <v>10648</v>
      </c>
      <c r="B311" s="10">
        <v>397821</v>
      </c>
      <c r="C311" s="10">
        <v>1</v>
      </c>
      <c r="D311" s="9">
        <v>445</v>
      </c>
      <c r="E311" s="11" t="s">
        <v>276</v>
      </c>
      <c r="F311" s="12" t="s">
        <v>277</v>
      </c>
      <c r="G311" s="9" t="s">
        <v>278</v>
      </c>
      <c r="H311" s="34"/>
      <c r="I311" s="55" t="str">
        <f t="shared" si="9"/>
        <v>https://permalinkbnd.bnportugal.gov.pt/viewer/273782/?offset=#page=445&amp;viewer=picture&amp;o=info&amp;n=0&amp;q=</v>
      </c>
      <c r="J311" s="45"/>
      <c r="K311" s="45"/>
      <c r="L311" s="45"/>
      <c r="M311" t="s">
        <v>276</v>
      </c>
      <c r="N311">
        <v>273782</v>
      </c>
      <c r="O311" t="str">
        <f t="shared" si="8"/>
        <v>https://permalinkbnd.bnportugal.gov.pt/viewer/273782/?offset=#page=445&amp;viewer=picture&amp;o=info&amp;n=0&amp;q=</v>
      </c>
      <c r="P311">
        <v>397821</v>
      </c>
      <c r="Q311" t="s">
        <v>276</v>
      </c>
      <c r="R311" t="s">
        <v>2394</v>
      </c>
      <c r="S311" t="s">
        <v>1178</v>
      </c>
      <c r="T311" t="s">
        <v>1192</v>
      </c>
      <c r="U311" t="s">
        <v>599</v>
      </c>
      <c r="V311" t="s">
        <v>1193</v>
      </c>
      <c r="W311" t="s">
        <v>1202</v>
      </c>
      <c r="X311" t="s">
        <v>599</v>
      </c>
      <c r="Y311" t="s">
        <v>1182</v>
      </c>
      <c r="Z311" t="s">
        <v>1203</v>
      </c>
      <c r="AA311">
        <v>1898</v>
      </c>
      <c r="AB311">
        <v>1898</v>
      </c>
      <c r="AC311" t="s">
        <v>1204</v>
      </c>
      <c r="AD311" t="s">
        <v>1185</v>
      </c>
      <c r="AE311" t="s">
        <v>599</v>
      </c>
      <c r="AF311" t="s">
        <v>599</v>
      </c>
      <c r="AG311" t="s">
        <v>1205</v>
      </c>
      <c r="AH311" t="s">
        <v>599</v>
      </c>
      <c r="AI311" t="s">
        <v>599</v>
      </c>
      <c r="AJ311" t="s">
        <v>2395</v>
      </c>
      <c r="AK311" t="s">
        <v>1188</v>
      </c>
      <c r="AL311" t="s">
        <v>2396</v>
      </c>
      <c r="AM311" t="s">
        <v>1190</v>
      </c>
      <c r="AN311" t="s">
        <v>599</v>
      </c>
      <c r="AO311" t="s">
        <v>599</v>
      </c>
      <c r="AP311" t="s">
        <v>599</v>
      </c>
      <c r="AQ311" t="s">
        <v>599</v>
      </c>
      <c r="AR311" t="s">
        <v>599</v>
      </c>
      <c r="AS311" t="s">
        <v>599</v>
      </c>
      <c r="AT311" t="s">
        <v>599</v>
      </c>
    </row>
    <row r="312" spans="1:46" s="13" customFormat="1" ht="45" x14ac:dyDescent="0.25">
      <c r="A312" s="9">
        <v>10649</v>
      </c>
      <c r="B312" s="10">
        <v>397821</v>
      </c>
      <c r="C312" s="10">
        <v>1</v>
      </c>
      <c r="D312" s="9">
        <v>447</v>
      </c>
      <c r="E312" s="11" t="s">
        <v>276</v>
      </c>
      <c r="F312" s="12" t="s">
        <v>277</v>
      </c>
      <c r="G312" s="9" t="s">
        <v>278</v>
      </c>
      <c r="H312" s="34"/>
      <c r="I312" s="55" t="str">
        <f t="shared" si="9"/>
        <v>https://permalinkbnd.bnportugal.gov.pt/viewer/273782/?offset=#page=447&amp;viewer=picture&amp;o=info&amp;n=0&amp;q=</v>
      </c>
      <c r="J312" s="45"/>
      <c r="K312" s="45"/>
      <c r="L312" s="45"/>
      <c r="M312" t="s">
        <v>276</v>
      </c>
      <c r="N312">
        <v>273782</v>
      </c>
      <c r="O312" t="str">
        <f t="shared" si="8"/>
        <v>https://permalinkbnd.bnportugal.gov.pt/viewer/273782/?offset=#page=447&amp;viewer=picture&amp;o=info&amp;n=0&amp;q=</v>
      </c>
      <c r="P312">
        <v>397821</v>
      </c>
      <c r="Q312" t="s">
        <v>276</v>
      </c>
      <c r="R312" t="s">
        <v>2394</v>
      </c>
      <c r="S312" t="s">
        <v>1178</v>
      </c>
      <c r="T312" t="s">
        <v>1192</v>
      </c>
      <c r="U312" t="s">
        <v>599</v>
      </c>
      <c r="V312" t="s">
        <v>1193</v>
      </c>
      <c r="W312" t="s">
        <v>1202</v>
      </c>
      <c r="X312" t="s">
        <v>599</v>
      </c>
      <c r="Y312" t="s">
        <v>1182</v>
      </c>
      <c r="Z312" t="s">
        <v>1203</v>
      </c>
      <c r="AA312">
        <v>1898</v>
      </c>
      <c r="AB312">
        <v>1898</v>
      </c>
      <c r="AC312" t="s">
        <v>1204</v>
      </c>
      <c r="AD312" t="s">
        <v>1185</v>
      </c>
      <c r="AE312" t="s">
        <v>599</v>
      </c>
      <c r="AF312" t="s">
        <v>599</v>
      </c>
      <c r="AG312" t="s">
        <v>1205</v>
      </c>
      <c r="AH312" t="s">
        <v>599</v>
      </c>
      <c r="AI312" t="s">
        <v>599</v>
      </c>
      <c r="AJ312" t="s">
        <v>2395</v>
      </c>
      <c r="AK312" t="s">
        <v>1188</v>
      </c>
      <c r="AL312" t="s">
        <v>2396</v>
      </c>
      <c r="AM312" t="s">
        <v>1190</v>
      </c>
      <c r="AN312" t="s">
        <v>599</v>
      </c>
      <c r="AO312" t="s">
        <v>599</v>
      </c>
      <c r="AP312" t="s">
        <v>599</v>
      </c>
      <c r="AQ312" t="s">
        <v>599</v>
      </c>
      <c r="AR312" t="s">
        <v>599</v>
      </c>
      <c r="AS312" t="s">
        <v>599</v>
      </c>
      <c r="AT312" t="s">
        <v>599</v>
      </c>
    </row>
    <row r="313" spans="1:46" s="13" customFormat="1" ht="45" x14ac:dyDescent="0.25">
      <c r="A313" s="9">
        <v>10650</v>
      </c>
      <c r="B313" s="10">
        <v>397821</v>
      </c>
      <c r="C313" s="10">
        <v>1</v>
      </c>
      <c r="D313" s="9">
        <v>497</v>
      </c>
      <c r="E313" s="11" t="s">
        <v>276</v>
      </c>
      <c r="F313" s="12" t="s">
        <v>277</v>
      </c>
      <c r="G313" s="9" t="s">
        <v>278</v>
      </c>
      <c r="H313" s="34"/>
      <c r="I313" s="55" t="str">
        <f t="shared" si="9"/>
        <v>https://permalinkbnd.bnportugal.gov.pt/viewer/273782/?offset=#page=497&amp;viewer=picture&amp;o=info&amp;n=0&amp;q=</v>
      </c>
      <c r="J313" s="45"/>
      <c r="K313" s="45"/>
      <c r="L313" s="45"/>
      <c r="M313" t="s">
        <v>276</v>
      </c>
      <c r="N313">
        <v>273782</v>
      </c>
      <c r="O313" t="str">
        <f t="shared" si="8"/>
        <v>https://permalinkbnd.bnportugal.gov.pt/viewer/273782/?offset=#page=497&amp;viewer=picture&amp;o=info&amp;n=0&amp;q=</v>
      </c>
      <c r="P313">
        <v>397821</v>
      </c>
      <c r="Q313" t="s">
        <v>276</v>
      </c>
      <c r="R313" t="s">
        <v>2394</v>
      </c>
      <c r="S313" t="s">
        <v>1178</v>
      </c>
      <c r="T313" t="s">
        <v>1192</v>
      </c>
      <c r="U313" t="s">
        <v>599</v>
      </c>
      <c r="V313" t="s">
        <v>1193</v>
      </c>
      <c r="W313" t="s">
        <v>1202</v>
      </c>
      <c r="X313" t="s">
        <v>599</v>
      </c>
      <c r="Y313" t="s">
        <v>1182</v>
      </c>
      <c r="Z313" t="s">
        <v>1203</v>
      </c>
      <c r="AA313">
        <v>1898</v>
      </c>
      <c r="AB313">
        <v>1898</v>
      </c>
      <c r="AC313" t="s">
        <v>1204</v>
      </c>
      <c r="AD313" t="s">
        <v>1185</v>
      </c>
      <c r="AE313" t="s">
        <v>599</v>
      </c>
      <c r="AF313" t="s">
        <v>599</v>
      </c>
      <c r="AG313" t="s">
        <v>1205</v>
      </c>
      <c r="AH313" t="s">
        <v>599</v>
      </c>
      <c r="AI313" t="s">
        <v>599</v>
      </c>
      <c r="AJ313" t="s">
        <v>2395</v>
      </c>
      <c r="AK313" t="s">
        <v>1188</v>
      </c>
      <c r="AL313" t="s">
        <v>2396</v>
      </c>
      <c r="AM313" t="s">
        <v>1190</v>
      </c>
      <c r="AN313" t="s">
        <v>599</v>
      </c>
      <c r="AO313" t="s">
        <v>599</v>
      </c>
      <c r="AP313" t="s">
        <v>599</v>
      </c>
      <c r="AQ313" t="s">
        <v>599</v>
      </c>
      <c r="AR313" t="s">
        <v>599</v>
      </c>
      <c r="AS313" t="s">
        <v>599</v>
      </c>
      <c r="AT313" t="s">
        <v>599</v>
      </c>
    </row>
    <row r="314" spans="1:46" s="13" customFormat="1" ht="45" x14ac:dyDescent="0.25">
      <c r="A314" s="9">
        <v>10651</v>
      </c>
      <c r="B314" s="10">
        <v>397821</v>
      </c>
      <c r="C314" s="10">
        <v>1</v>
      </c>
      <c r="D314" s="9">
        <v>499</v>
      </c>
      <c r="E314" s="11" t="s">
        <v>276</v>
      </c>
      <c r="F314" s="12" t="s">
        <v>277</v>
      </c>
      <c r="G314" s="9" t="s">
        <v>278</v>
      </c>
      <c r="H314" s="34"/>
      <c r="I314" s="55" t="str">
        <f t="shared" si="9"/>
        <v>https://permalinkbnd.bnportugal.gov.pt/viewer/273782/?offset=#page=499&amp;viewer=picture&amp;o=info&amp;n=0&amp;q=</v>
      </c>
      <c r="J314" s="45"/>
      <c r="K314" s="45"/>
      <c r="L314" s="45"/>
      <c r="M314" t="s">
        <v>276</v>
      </c>
      <c r="N314">
        <v>273782</v>
      </c>
      <c r="O314" t="str">
        <f t="shared" si="8"/>
        <v>https://permalinkbnd.bnportugal.gov.pt/viewer/273782/?offset=#page=499&amp;viewer=picture&amp;o=info&amp;n=0&amp;q=</v>
      </c>
      <c r="P314">
        <v>397821</v>
      </c>
      <c r="Q314" t="s">
        <v>276</v>
      </c>
      <c r="R314" t="s">
        <v>2394</v>
      </c>
      <c r="S314" t="s">
        <v>1178</v>
      </c>
      <c r="T314" t="s">
        <v>1192</v>
      </c>
      <c r="U314" t="s">
        <v>599</v>
      </c>
      <c r="V314" t="s">
        <v>1193</v>
      </c>
      <c r="W314" t="s">
        <v>1202</v>
      </c>
      <c r="X314" t="s">
        <v>599</v>
      </c>
      <c r="Y314" t="s">
        <v>1182</v>
      </c>
      <c r="Z314" t="s">
        <v>1203</v>
      </c>
      <c r="AA314">
        <v>1898</v>
      </c>
      <c r="AB314">
        <v>1898</v>
      </c>
      <c r="AC314" t="s">
        <v>1204</v>
      </c>
      <c r="AD314" t="s">
        <v>1185</v>
      </c>
      <c r="AE314" t="s">
        <v>599</v>
      </c>
      <c r="AF314" t="s">
        <v>599</v>
      </c>
      <c r="AG314" t="s">
        <v>1205</v>
      </c>
      <c r="AH314" t="s">
        <v>599</v>
      </c>
      <c r="AI314" t="s">
        <v>599</v>
      </c>
      <c r="AJ314" t="s">
        <v>2395</v>
      </c>
      <c r="AK314" t="s">
        <v>1188</v>
      </c>
      <c r="AL314" t="s">
        <v>2396</v>
      </c>
      <c r="AM314" t="s">
        <v>1190</v>
      </c>
      <c r="AN314" t="s">
        <v>599</v>
      </c>
      <c r="AO314" t="s">
        <v>599</v>
      </c>
      <c r="AP314" t="s">
        <v>599</v>
      </c>
      <c r="AQ314" t="s">
        <v>599</v>
      </c>
      <c r="AR314" t="s">
        <v>599</v>
      </c>
      <c r="AS314" t="s">
        <v>599</v>
      </c>
      <c r="AT314" t="s">
        <v>599</v>
      </c>
    </row>
    <row r="315" spans="1:46" s="13" customFormat="1" ht="45" x14ac:dyDescent="0.25">
      <c r="A315" s="9">
        <v>10652</v>
      </c>
      <c r="B315" s="10">
        <v>397821</v>
      </c>
      <c r="C315" s="10">
        <v>1</v>
      </c>
      <c r="D315" s="9">
        <v>547</v>
      </c>
      <c r="E315" s="11" t="s">
        <v>276</v>
      </c>
      <c r="F315" s="12" t="s">
        <v>277</v>
      </c>
      <c r="G315" s="9" t="s">
        <v>278</v>
      </c>
      <c r="H315" s="34"/>
      <c r="I315" s="55" t="str">
        <f t="shared" si="9"/>
        <v>https://permalinkbnd.bnportugal.gov.pt/viewer/273782/?offset=#page=547&amp;viewer=picture&amp;o=info&amp;n=0&amp;q=</v>
      </c>
      <c r="J315" s="45"/>
      <c r="K315" s="45"/>
      <c r="L315" s="45"/>
      <c r="M315" t="s">
        <v>276</v>
      </c>
      <c r="N315">
        <v>273782</v>
      </c>
      <c r="O315" t="str">
        <f t="shared" si="8"/>
        <v>https://permalinkbnd.bnportugal.gov.pt/viewer/273782/?offset=#page=547&amp;viewer=picture&amp;o=info&amp;n=0&amp;q=</v>
      </c>
      <c r="P315">
        <v>397821</v>
      </c>
      <c r="Q315" t="s">
        <v>276</v>
      </c>
      <c r="R315" t="s">
        <v>2394</v>
      </c>
      <c r="S315" t="s">
        <v>1178</v>
      </c>
      <c r="T315" t="s">
        <v>1192</v>
      </c>
      <c r="U315" t="s">
        <v>599</v>
      </c>
      <c r="V315" t="s">
        <v>1193</v>
      </c>
      <c r="W315" t="s">
        <v>1202</v>
      </c>
      <c r="X315" t="s">
        <v>599</v>
      </c>
      <c r="Y315" t="s">
        <v>1182</v>
      </c>
      <c r="Z315" t="s">
        <v>1203</v>
      </c>
      <c r="AA315">
        <v>1898</v>
      </c>
      <c r="AB315">
        <v>1898</v>
      </c>
      <c r="AC315" t="s">
        <v>1204</v>
      </c>
      <c r="AD315" t="s">
        <v>1185</v>
      </c>
      <c r="AE315" t="s">
        <v>599</v>
      </c>
      <c r="AF315" t="s">
        <v>599</v>
      </c>
      <c r="AG315" t="s">
        <v>1205</v>
      </c>
      <c r="AH315" t="s">
        <v>599</v>
      </c>
      <c r="AI315" t="s">
        <v>599</v>
      </c>
      <c r="AJ315" t="s">
        <v>2395</v>
      </c>
      <c r="AK315" t="s">
        <v>1188</v>
      </c>
      <c r="AL315" t="s">
        <v>2396</v>
      </c>
      <c r="AM315" t="s">
        <v>1190</v>
      </c>
      <c r="AN315" t="s">
        <v>599</v>
      </c>
      <c r="AO315" t="s">
        <v>599</v>
      </c>
      <c r="AP315" t="s">
        <v>599</v>
      </c>
      <c r="AQ315" t="s">
        <v>599</v>
      </c>
      <c r="AR315" t="s">
        <v>599</v>
      </c>
      <c r="AS315" t="s">
        <v>599</v>
      </c>
      <c r="AT315" t="s">
        <v>599</v>
      </c>
    </row>
    <row r="316" spans="1:46" s="13" customFormat="1" ht="45" x14ac:dyDescent="0.25">
      <c r="A316" s="9">
        <v>10653</v>
      </c>
      <c r="B316" s="10">
        <v>397821</v>
      </c>
      <c r="C316" s="10">
        <v>1</v>
      </c>
      <c r="D316" s="9">
        <v>549</v>
      </c>
      <c r="E316" s="11" t="s">
        <v>276</v>
      </c>
      <c r="F316" s="12" t="s">
        <v>277</v>
      </c>
      <c r="G316" s="9" t="s">
        <v>278</v>
      </c>
      <c r="H316" s="34"/>
      <c r="I316" s="55" t="str">
        <f t="shared" si="9"/>
        <v>https://permalinkbnd.bnportugal.gov.pt/viewer/273782/?offset=#page=549&amp;viewer=picture&amp;o=info&amp;n=0&amp;q=</v>
      </c>
      <c r="J316" s="45"/>
      <c r="K316" s="45"/>
      <c r="L316" s="45"/>
      <c r="M316" t="s">
        <v>276</v>
      </c>
      <c r="N316">
        <v>273782</v>
      </c>
      <c r="O316" t="str">
        <f t="shared" si="8"/>
        <v>https://permalinkbnd.bnportugal.gov.pt/viewer/273782/?offset=#page=549&amp;viewer=picture&amp;o=info&amp;n=0&amp;q=</v>
      </c>
      <c r="P316">
        <v>397821</v>
      </c>
      <c r="Q316" t="s">
        <v>276</v>
      </c>
      <c r="R316" t="s">
        <v>2394</v>
      </c>
      <c r="S316" t="s">
        <v>1178</v>
      </c>
      <c r="T316" t="s">
        <v>1192</v>
      </c>
      <c r="U316" t="s">
        <v>599</v>
      </c>
      <c r="V316" t="s">
        <v>1193</v>
      </c>
      <c r="W316" t="s">
        <v>1202</v>
      </c>
      <c r="X316" t="s">
        <v>599</v>
      </c>
      <c r="Y316" t="s">
        <v>1182</v>
      </c>
      <c r="Z316" t="s">
        <v>1203</v>
      </c>
      <c r="AA316">
        <v>1898</v>
      </c>
      <c r="AB316">
        <v>1898</v>
      </c>
      <c r="AC316" t="s">
        <v>1204</v>
      </c>
      <c r="AD316" t="s">
        <v>1185</v>
      </c>
      <c r="AE316" t="s">
        <v>599</v>
      </c>
      <c r="AF316" t="s">
        <v>599</v>
      </c>
      <c r="AG316" t="s">
        <v>1205</v>
      </c>
      <c r="AH316" t="s">
        <v>599</v>
      </c>
      <c r="AI316" t="s">
        <v>599</v>
      </c>
      <c r="AJ316" t="s">
        <v>2395</v>
      </c>
      <c r="AK316" t="s">
        <v>1188</v>
      </c>
      <c r="AL316" t="s">
        <v>2396</v>
      </c>
      <c r="AM316" t="s">
        <v>1190</v>
      </c>
      <c r="AN316" t="s">
        <v>599</v>
      </c>
      <c r="AO316" t="s">
        <v>599</v>
      </c>
      <c r="AP316" t="s">
        <v>599</v>
      </c>
      <c r="AQ316" t="s">
        <v>599</v>
      </c>
      <c r="AR316" t="s">
        <v>599</v>
      </c>
      <c r="AS316" t="s">
        <v>599</v>
      </c>
      <c r="AT316" t="s">
        <v>599</v>
      </c>
    </row>
    <row r="317" spans="1:46" s="13" customFormat="1" ht="75" x14ac:dyDescent="0.25">
      <c r="A317" s="9">
        <v>10655</v>
      </c>
      <c r="B317" s="10">
        <v>2284</v>
      </c>
      <c r="C317" s="10">
        <v>1</v>
      </c>
      <c r="D317" s="9">
        <v>67</v>
      </c>
      <c r="E317" s="11" t="s">
        <v>279</v>
      </c>
      <c r="F317" s="12" t="s">
        <v>280</v>
      </c>
      <c r="G317" s="9" t="s">
        <v>281</v>
      </c>
      <c r="H317" s="34"/>
      <c r="I317" s="55" t="str">
        <f t="shared" si="9"/>
        <v>https://permalinkbnd.bnportugal.gov.pt/viewer/272627/?offset=#page=67&amp;viewer=picture&amp;o=info&amp;n=0&amp;q=</v>
      </c>
      <c r="J317" s="45"/>
      <c r="K317" s="45"/>
      <c r="L317" s="45"/>
      <c r="M317" t="s">
        <v>279</v>
      </c>
      <c r="N317">
        <v>272627</v>
      </c>
      <c r="O317" t="str">
        <f t="shared" si="8"/>
        <v>https://permalinkbnd.bnportugal.gov.pt/viewer/272627/?offset=#page=67&amp;viewer=picture&amp;o=info&amp;n=0&amp;q=</v>
      </c>
      <c r="P317">
        <v>2284</v>
      </c>
      <c r="Q317" t="s">
        <v>279</v>
      </c>
      <c r="R317" t="s">
        <v>2397</v>
      </c>
      <c r="S317" t="s">
        <v>1178</v>
      </c>
      <c r="T317" t="s">
        <v>1192</v>
      </c>
      <c r="U317" t="s">
        <v>599</v>
      </c>
      <c r="V317" t="s">
        <v>1193</v>
      </c>
      <c r="W317" t="s">
        <v>2398</v>
      </c>
      <c r="X317" t="s">
        <v>599</v>
      </c>
      <c r="Y317" t="s">
        <v>2399</v>
      </c>
      <c r="Z317" t="s">
        <v>2261</v>
      </c>
      <c r="AA317">
        <v>1960</v>
      </c>
      <c r="AB317">
        <v>1960</v>
      </c>
      <c r="AC317" t="s">
        <v>2400</v>
      </c>
      <c r="AD317" t="s">
        <v>1185</v>
      </c>
      <c r="AE317" t="s">
        <v>599</v>
      </c>
      <c r="AF317" t="s">
        <v>599</v>
      </c>
      <c r="AG317" t="s">
        <v>2401</v>
      </c>
      <c r="AH317" t="s">
        <v>599</v>
      </c>
      <c r="AI317" t="s">
        <v>599</v>
      </c>
      <c r="AJ317" t="s">
        <v>2402</v>
      </c>
      <c r="AK317" t="s">
        <v>1188</v>
      </c>
      <c r="AL317" t="s">
        <v>2403</v>
      </c>
      <c r="AM317" t="s">
        <v>1190</v>
      </c>
      <c r="AN317" t="s">
        <v>599</v>
      </c>
      <c r="AO317" t="s">
        <v>599</v>
      </c>
      <c r="AP317" t="s">
        <v>599</v>
      </c>
      <c r="AQ317" t="s">
        <v>599</v>
      </c>
      <c r="AR317" t="s">
        <v>599</v>
      </c>
      <c r="AS317" t="s">
        <v>599</v>
      </c>
      <c r="AT317" t="s">
        <v>599</v>
      </c>
    </row>
    <row r="318" spans="1:46" s="13" customFormat="1" ht="75" x14ac:dyDescent="0.25">
      <c r="A318" s="9">
        <v>10656</v>
      </c>
      <c r="B318" s="10">
        <v>2284</v>
      </c>
      <c r="C318" s="10">
        <v>1</v>
      </c>
      <c r="D318" s="9">
        <v>71</v>
      </c>
      <c r="E318" s="11" t="s">
        <v>279</v>
      </c>
      <c r="F318" s="12" t="s">
        <v>280</v>
      </c>
      <c r="G318" s="9" t="s">
        <v>281</v>
      </c>
      <c r="H318" s="34"/>
      <c r="I318" s="55" t="str">
        <f t="shared" si="9"/>
        <v>https://permalinkbnd.bnportugal.gov.pt/viewer/272627/?offset=#page=71&amp;viewer=picture&amp;o=info&amp;n=0&amp;q=</v>
      </c>
      <c r="J318" s="45"/>
      <c r="K318" s="45"/>
      <c r="L318" s="45"/>
      <c r="M318" t="s">
        <v>279</v>
      </c>
      <c r="N318">
        <v>272627</v>
      </c>
      <c r="O318" t="str">
        <f t="shared" si="8"/>
        <v>https://permalinkbnd.bnportugal.gov.pt/viewer/272627/?offset=#page=71&amp;viewer=picture&amp;o=info&amp;n=0&amp;q=</v>
      </c>
      <c r="P318">
        <v>2284</v>
      </c>
      <c r="Q318" t="s">
        <v>279</v>
      </c>
      <c r="R318" t="s">
        <v>2397</v>
      </c>
      <c r="S318" t="s">
        <v>1178</v>
      </c>
      <c r="T318" t="s">
        <v>1192</v>
      </c>
      <c r="U318" t="s">
        <v>599</v>
      </c>
      <c r="V318" t="s">
        <v>1193</v>
      </c>
      <c r="W318" t="s">
        <v>2398</v>
      </c>
      <c r="X318" t="s">
        <v>599</v>
      </c>
      <c r="Y318" t="s">
        <v>2399</v>
      </c>
      <c r="Z318" t="s">
        <v>2261</v>
      </c>
      <c r="AA318">
        <v>1960</v>
      </c>
      <c r="AB318">
        <v>1960</v>
      </c>
      <c r="AC318" t="s">
        <v>2400</v>
      </c>
      <c r="AD318" t="s">
        <v>1185</v>
      </c>
      <c r="AE318" t="s">
        <v>599</v>
      </c>
      <c r="AF318" t="s">
        <v>599</v>
      </c>
      <c r="AG318" t="s">
        <v>2401</v>
      </c>
      <c r="AH318" t="s">
        <v>599</v>
      </c>
      <c r="AI318" t="s">
        <v>599</v>
      </c>
      <c r="AJ318" t="s">
        <v>2402</v>
      </c>
      <c r="AK318" t="s">
        <v>1188</v>
      </c>
      <c r="AL318" t="s">
        <v>2403</v>
      </c>
      <c r="AM318" t="s">
        <v>1190</v>
      </c>
      <c r="AN318" t="s">
        <v>599</v>
      </c>
      <c r="AO318" t="s">
        <v>599</v>
      </c>
      <c r="AP318" t="s">
        <v>599</v>
      </c>
      <c r="AQ318" t="s">
        <v>599</v>
      </c>
      <c r="AR318" t="s">
        <v>599</v>
      </c>
      <c r="AS318" t="s">
        <v>599</v>
      </c>
      <c r="AT318" t="s">
        <v>599</v>
      </c>
    </row>
    <row r="319" spans="1:46" s="13" customFormat="1" ht="75" x14ac:dyDescent="0.25">
      <c r="A319" s="9">
        <v>10657</v>
      </c>
      <c r="B319" s="10">
        <v>2284</v>
      </c>
      <c r="C319" s="10">
        <v>1</v>
      </c>
      <c r="D319" s="9">
        <v>101</v>
      </c>
      <c r="E319" s="11" t="s">
        <v>279</v>
      </c>
      <c r="F319" s="12" t="s">
        <v>280</v>
      </c>
      <c r="G319" s="9" t="s">
        <v>281</v>
      </c>
      <c r="H319" s="34"/>
      <c r="I319" s="55" t="str">
        <f t="shared" si="9"/>
        <v>https://permalinkbnd.bnportugal.gov.pt/viewer/272627/?offset=#page=101&amp;viewer=picture&amp;o=info&amp;n=0&amp;q=</v>
      </c>
      <c r="J319" s="45"/>
      <c r="K319" s="45"/>
      <c r="L319" s="45"/>
      <c r="M319" t="s">
        <v>279</v>
      </c>
      <c r="N319">
        <v>272627</v>
      </c>
      <c r="O319" t="str">
        <f t="shared" si="8"/>
        <v>https://permalinkbnd.bnportugal.gov.pt/viewer/272627/?offset=#page=101&amp;viewer=picture&amp;o=info&amp;n=0&amp;q=</v>
      </c>
      <c r="P319">
        <v>2284</v>
      </c>
      <c r="Q319" t="s">
        <v>279</v>
      </c>
      <c r="R319" t="s">
        <v>2397</v>
      </c>
      <c r="S319" t="s">
        <v>1178</v>
      </c>
      <c r="T319" t="s">
        <v>1192</v>
      </c>
      <c r="U319" t="s">
        <v>599</v>
      </c>
      <c r="V319" t="s">
        <v>1193</v>
      </c>
      <c r="W319" t="s">
        <v>2398</v>
      </c>
      <c r="X319" t="s">
        <v>599</v>
      </c>
      <c r="Y319" t="s">
        <v>2399</v>
      </c>
      <c r="Z319" t="s">
        <v>2261</v>
      </c>
      <c r="AA319">
        <v>1960</v>
      </c>
      <c r="AB319">
        <v>1960</v>
      </c>
      <c r="AC319" t="s">
        <v>2400</v>
      </c>
      <c r="AD319" t="s">
        <v>1185</v>
      </c>
      <c r="AE319" t="s">
        <v>599</v>
      </c>
      <c r="AF319" t="s">
        <v>599</v>
      </c>
      <c r="AG319" t="s">
        <v>2401</v>
      </c>
      <c r="AH319" t="s">
        <v>599</v>
      </c>
      <c r="AI319" t="s">
        <v>599</v>
      </c>
      <c r="AJ319" t="s">
        <v>2402</v>
      </c>
      <c r="AK319" t="s">
        <v>1188</v>
      </c>
      <c r="AL319" t="s">
        <v>2403</v>
      </c>
      <c r="AM319" t="s">
        <v>1190</v>
      </c>
      <c r="AN319" t="s">
        <v>599</v>
      </c>
      <c r="AO319" t="s">
        <v>599</v>
      </c>
      <c r="AP319" t="s">
        <v>599</v>
      </c>
      <c r="AQ319" t="s">
        <v>599</v>
      </c>
      <c r="AR319" t="s">
        <v>599</v>
      </c>
      <c r="AS319" t="s">
        <v>599</v>
      </c>
      <c r="AT319" t="s">
        <v>599</v>
      </c>
    </row>
    <row r="320" spans="1:46" s="13" customFormat="1" ht="75" x14ac:dyDescent="0.25">
      <c r="A320" s="9">
        <v>10658</v>
      </c>
      <c r="B320" s="10">
        <v>2284</v>
      </c>
      <c r="C320" s="10">
        <v>1</v>
      </c>
      <c r="D320" s="9">
        <v>133</v>
      </c>
      <c r="E320" s="11" t="s">
        <v>279</v>
      </c>
      <c r="F320" s="12" t="s">
        <v>280</v>
      </c>
      <c r="G320" s="9" t="s">
        <v>281</v>
      </c>
      <c r="H320" s="34"/>
      <c r="I320" s="55" t="str">
        <f t="shared" si="9"/>
        <v>https://permalinkbnd.bnportugal.gov.pt/viewer/272627/?offset=#page=133&amp;viewer=picture&amp;o=info&amp;n=0&amp;q=</v>
      </c>
      <c r="J320" s="45"/>
      <c r="K320" s="45"/>
      <c r="L320" s="45"/>
      <c r="M320" t="s">
        <v>279</v>
      </c>
      <c r="N320">
        <v>272627</v>
      </c>
      <c r="O320" t="str">
        <f t="shared" si="8"/>
        <v>https://permalinkbnd.bnportugal.gov.pt/viewer/272627/?offset=#page=133&amp;viewer=picture&amp;o=info&amp;n=0&amp;q=</v>
      </c>
      <c r="P320">
        <v>2284</v>
      </c>
      <c r="Q320" t="s">
        <v>279</v>
      </c>
      <c r="R320" t="s">
        <v>2397</v>
      </c>
      <c r="S320" t="s">
        <v>1178</v>
      </c>
      <c r="T320" t="s">
        <v>1192</v>
      </c>
      <c r="U320" t="s">
        <v>599</v>
      </c>
      <c r="V320" t="s">
        <v>1193</v>
      </c>
      <c r="W320" t="s">
        <v>2398</v>
      </c>
      <c r="X320" t="s">
        <v>599</v>
      </c>
      <c r="Y320" t="s">
        <v>2399</v>
      </c>
      <c r="Z320" t="s">
        <v>2261</v>
      </c>
      <c r="AA320">
        <v>1960</v>
      </c>
      <c r="AB320">
        <v>1960</v>
      </c>
      <c r="AC320" t="s">
        <v>2400</v>
      </c>
      <c r="AD320" t="s">
        <v>1185</v>
      </c>
      <c r="AE320" t="s">
        <v>599</v>
      </c>
      <c r="AF320" t="s">
        <v>599</v>
      </c>
      <c r="AG320" t="s">
        <v>2401</v>
      </c>
      <c r="AH320" t="s">
        <v>599</v>
      </c>
      <c r="AI320" t="s">
        <v>599</v>
      </c>
      <c r="AJ320" t="s">
        <v>2402</v>
      </c>
      <c r="AK320" t="s">
        <v>1188</v>
      </c>
      <c r="AL320" t="s">
        <v>2403</v>
      </c>
      <c r="AM320" t="s">
        <v>1190</v>
      </c>
      <c r="AN320" t="s">
        <v>599</v>
      </c>
      <c r="AO320" t="s">
        <v>599</v>
      </c>
      <c r="AP320" t="s">
        <v>599</v>
      </c>
      <c r="AQ320" t="s">
        <v>599</v>
      </c>
      <c r="AR320" t="s">
        <v>599</v>
      </c>
      <c r="AS320" t="s">
        <v>599</v>
      </c>
      <c r="AT320" t="s">
        <v>599</v>
      </c>
    </row>
    <row r="321" spans="1:46" s="13" customFormat="1" ht="75" x14ac:dyDescent="0.25">
      <c r="A321" s="9">
        <v>10659</v>
      </c>
      <c r="B321" s="10">
        <v>2284</v>
      </c>
      <c r="C321" s="10">
        <v>1</v>
      </c>
      <c r="D321" s="9">
        <v>173</v>
      </c>
      <c r="E321" s="11" t="s">
        <v>279</v>
      </c>
      <c r="F321" s="12" t="s">
        <v>280</v>
      </c>
      <c r="G321" s="9" t="s">
        <v>281</v>
      </c>
      <c r="H321" s="34"/>
      <c r="I321" s="55" t="str">
        <f t="shared" si="9"/>
        <v>https://permalinkbnd.bnportugal.gov.pt/viewer/272627/?offset=#page=173&amp;viewer=picture&amp;o=info&amp;n=0&amp;q=</v>
      </c>
      <c r="J321" s="45"/>
      <c r="K321" s="45"/>
      <c r="L321" s="45"/>
      <c r="M321" t="s">
        <v>279</v>
      </c>
      <c r="N321">
        <v>272627</v>
      </c>
      <c r="O321" t="str">
        <f t="shared" si="8"/>
        <v>https://permalinkbnd.bnportugal.gov.pt/viewer/272627/?offset=#page=173&amp;viewer=picture&amp;o=info&amp;n=0&amp;q=</v>
      </c>
      <c r="P321">
        <v>2284</v>
      </c>
      <c r="Q321" t="s">
        <v>279</v>
      </c>
      <c r="R321" t="s">
        <v>2397</v>
      </c>
      <c r="S321" t="s">
        <v>1178</v>
      </c>
      <c r="T321" t="s">
        <v>1192</v>
      </c>
      <c r="U321" t="s">
        <v>599</v>
      </c>
      <c r="V321" t="s">
        <v>1193</v>
      </c>
      <c r="W321" t="s">
        <v>2398</v>
      </c>
      <c r="X321" t="s">
        <v>599</v>
      </c>
      <c r="Y321" t="s">
        <v>2399</v>
      </c>
      <c r="Z321" t="s">
        <v>2261</v>
      </c>
      <c r="AA321">
        <v>1960</v>
      </c>
      <c r="AB321">
        <v>1960</v>
      </c>
      <c r="AC321" t="s">
        <v>2400</v>
      </c>
      <c r="AD321" t="s">
        <v>1185</v>
      </c>
      <c r="AE321" t="s">
        <v>599</v>
      </c>
      <c r="AF321" t="s">
        <v>599</v>
      </c>
      <c r="AG321" t="s">
        <v>2401</v>
      </c>
      <c r="AH321" t="s">
        <v>599</v>
      </c>
      <c r="AI321" t="s">
        <v>599</v>
      </c>
      <c r="AJ321" t="s">
        <v>2402</v>
      </c>
      <c r="AK321" t="s">
        <v>1188</v>
      </c>
      <c r="AL321" t="s">
        <v>2403</v>
      </c>
      <c r="AM321" t="s">
        <v>1190</v>
      </c>
      <c r="AN321" t="s">
        <v>599</v>
      </c>
      <c r="AO321" t="s">
        <v>599</v>
      </c>
      <c r="AP321" t="s">
        <v>599</v>
      </c>
      <c r="AQ321" t="s">
        <v>599</v>
      </c>
      <c r="AR321" t="s">
        <v>599</v>
      </c>
      <c r="AS321" t="s">
        <v>599</v>
      </c>
      <c r="AT321" t="s">
        <v>599</v>
      </c>
    </row>
    <row r="322" spans="1:46" s="13" customFormat="1" ht="75" x14ac:dyDescent="0.25">
      <c r="A322" s="9">
        <v>10660</v>
      </c>
      <c r="B322" s="10">
        <v>2284</v>
      </c>
      <c r="C322" s="10">
        <v>1</v>
      </c>
      <c r="D322" s="9">
        <v>203</v>
      </c>
      <c r="E322" s="11" t="s">
        <v>279</v>
      </c>
      <c r="F322" s="12" t="s">
        <v>280</v>
      </c>
      <c r="G322" s="9" t="s">
        <v>281</v>
      </c>
      <c r="H322" s="34"/>
      <c r="I322" s="55" t="str">
        <f t="shared" si="9"/>
        <v>https://permalinkbnd.bnportugal.gov.pt/viewer/272627/?offset=#page=203&amp;viewer=picture&amp;o=info&amp;n=0&amp;q=</v>
      </c>
      <c r="J322" s="45"/>
      <c r="K322" s="45"/>
      <c r="L322" s="45"/>
      <c r="M322" t="s">
        <v>279</v>
      </c>
      <c r="N322">
        <v>272627</v>
      </c>
      <c r="O322" t="str">
        <f t="shared" ref="O322:O385" si="10">CONCATENATE("https://permalinkbnd.bnportugal.gov.pt/viewer/",N322,"/?offset=#page=",D322,"&amp;viewer=picture&amp;o=info&amp;n=0&amp;q=")</f>
        <v>https://permalinkbnd.bnportugal.gov.pt/viewer/272627/?offset=#page=203&amp;viewer=picture&amp;o=info&amp;n=0&amp;q=</v>
      </c>
      <c r="P322">
        <v>2284</v>
      </c>
      <c r="Q322" t="s">
        <v>279</v>
      </c>
      <c r="R322" t="s">
        <v>2397</v>
      </c>
      <c r="S322" t="s">
        <v>1178</v>
      </c>
      <c r="T322" t="s">
        <v>1192</v>
      </c>
      <c r="U322" t="s">
        <v>599</v>
      </c>
      <c r="V322" t="s">
        <v>1193</v>
      </c>
      <c r="W322" t="s">
        <v>2398</v>
      </c>
      <c r="X322" t="s">
        <v>599</v>
      </c>
      <c r="Y322" t="s">
        <v>2399</v>
      </c>
      <c r="Z322" t="s">
        <v>2261</v>
      </c>
      <c r="AA322">
        <v>1960</v>
      </c>
      <c r="AB322">
        <v>1960</v>
      </c>
      <c r="AC322" t="s">
        <v>2400</v>
      </c>
      <c r="AD322" t="s">
        <v>1185</v>
      </c>
      <c r="AE322" t="s">
        <v>599</v>
      </c>
      <c r="AF322" t="s">
        <v>599</v>
      </c>
      <c r="AG322" t="s">
        <v>2401</v>
      </c>
      <c r="AH322" t="s">
        <v>599</v>
      </c>
      <c r="AI322" t="s">
        <v>599</v>
      </c>
      <c r="AJ322" t="s">
        <v>2402</v>
      </c>
      <c r="AK322" t="s">
        <v>1188</v>
      </c>
      <c r="AL322" t="s">
        <v>2403</v>
      </c>
      <c r="AM322" t="s">
        <v>1190</v>
      </c>
      <c r="AN322" t="s">
        <v>599</v>
      </c>
      <c r="AO322" t="s">
        <v>599</v>
      </c>
      <c r="AP322" t="s">
        <v>599</v>
      </c>
      <c r="AQ322" t="s">
        <v>599</v>
      </c>
      <c r="AR322" t="s">
        <v>599</v>
      </c>
      <c r="AS322" t="s">
        <v>599</v>
      </c>
      <c r="AT322" t="s">
        <v>599</v>
      </c>
    </row>
    <row r="323" spans="1:46" s="13" customFormat="1" ht="75" x14ac:dyDescent="0.25">
      <c r="A323" s="9">
        <v>10661</v>
      </c>
      <c r="B323" s="10">
        <v>2284</v>
      </c>
      <c r="C323" s="10">
        <v>1</v>
      </c>
      <c r="D323" s="9">
        <v>231</v>
      </c>
      <c r="E323" s="11" t="s">
        <v>279</v>
      </c>
      <c r="F323" s="12" t="s">
        <v>280</v>
      </c>
      <c r="G323" s="9" t="s">
        <v>281</v>
      </c>
      <c r="H323" s="34"/>
      <c r="I323" s="55" t="str">
        <f t="shared" ref="I323:I386" si="11">HYPERLINK(O323)</f>
        <v>https://permalinkbnd.bnportugal.gov.pt/viewer/272627/?offset=#page=231&amp;viewer=picture&amp;o=info&amp;n=0&amp;q=</v>
      </c>
      <c r="J323" s="45"/>
      <c r="K323" s="45"/>
      <c r="L323" s="45"/>
      <c r="M323" t="s">
        <v>279</v>
      </c>
      <c r="N323">
        <v>272627</v>
      </c>
      <c r="O323" t="str">
        <f t="shared" si="10"/>
        <v>https://permalinkbnd.bnportugal.gov.pt/viewer/272627/?offset=#page=231&amp;viewer=picture&amp;o=info&amp;n=0&amp;q=</v>
      </c>
      <c r="P323">
        <v>2284</v>
      </c>
      <c r="Q323" t="s">
        <v>279</v>
      </c>
      <c r="R323" t="s">
        <v>2397</v>
      </c>
      <c r="S323" t="s">
        <v>1178</v>
      </c>
      <c r="T323" t="s">
        <v>1192</v>
      </c>
      <c r="U323" t="s">
        <v>599</v>
      </c>
      <c r="V323" t="s">
        <v>1193</v>
      </c>
      <c r="W323" t="s">
        <v>2398</v>
      </c>
      <c r="X323" t="s">
        <v>599</v>
      </c>
      <c r="Y323" t="s">
        <v>2399</v>
      </c>
      <c r="Z323" t="s">
        <v>2261</v>
      </c>
      <c r="AA323">
        <v>1960</v>
      </c>
      <c r="AB323">
        <v>1960</v>
      </c>
      <c r="AC323" t="s">
        <v>2400</v>
      </c>
      <c r="AD323" t="s">
        <v>1185</v>
      </c>
      <c r="AE323" t="s">
        <v>599</v>
      </c>
      <c r="AF323" t="s">
        <v>599</v>
      </c>
      <c r="AG323" t="s">
        <v>2401</v>
      </c>
      <c r="AH323" t="s">
        <v>599</v>
      </c>
      <c r="AI323" t="s">
        <v>599</v>
      </c>
      <c r="AJ323" t="s">
        <v>2402</v>
      </c>
      <c r="AK323" t="s">
        <v>1188</v>
      </c>
      <c r="AL323" t="s">
        <v>2403</v>
      </c>
      <c r="AM323" t="s">
        <v>1190</v>
      </c>
      <c r="AN323" t="s">
        <v>599</v>
      </c>
      <c r="AO323" t="s">
        <v>599</v>
      </c>
      <c r="AP323" t="s">
        <v>599</v>
      </c>
      <c r="AQ323" t="s">
        <v>599</v>
      </c>
      <c r="AR323" t="s">
        <v>599</v>
      </c>
      <c r="AS323" t="s">
        <v>599</v>
      </c>
      <c r="AT323" t="s">
        <v>599</v>
      </c>
    </row>
    <row r="324" spans="1:46" s="13" customFormat="1" ht="75" x14ac:dyDescent="0.25">
      <c r="A324" s="9">
        <v>10662</v>
      </c>
      <c r="B324" s="10">
        <v>2284</v>
      </c>
      <c r="C324" s="10">
        <v>1</v>
      </c>
      <c r="D324" s="9">
        <v>259</v>
      </c>
      <c r="E324" s="11" t="s">
        <v>279</v>
      </c>
      <c r="F324" s="12" t="s">
        <v>280</v>
      </c>
      <c r="G324" s="9" t="s">
        <v>281</v>
      </c>
      <c r="H324" s="34"/>
      <c r="I324" s="55" t="str">
        <f t="shared" si="11"/>
        <v>https://permalinkbnd.bnportugal.gov.pt/viewer/272627/?offset=#page=259&amp;viewer=picture&amp;o=info&amp;n=0&amp;q=</v>
      </c>
      <c r="J324" s="45"/>
      <c r="K324" s="45"/>
      <c r="L324" s="45"/>
      <c r="M324" t="s">
        <v>279</v>
      </c>
      <c r="N324">
        <v>272627</v>
      </c>
      <c r="O324" t="str">
        <f t="shared" si="10"/>
        <v>https://permalinkbnd.bnportugal.gov.pt/viewer/272627/?offset=#page=259&amp;viewer=picture&amp;o=info&amp;n=0&amp;q=</v>
      </c>
      <c r="P324">
        <v>2284</v>
      </c>
      <c r="Q324" t="s">
        <v>279</v>
      </c>
      <c r="R324" t="s">
        <v>2397</v>
      </c>
      <c r="S324" t="s">
        <v>1178</v>
      </c>
      <c r="T324" t="s">
        <v>1192</v>
      </c>
      <c r="U324" t="s">
        <v>599</v>
      </c>
      <c r="V324" t="s">
        <v>1193</v>
      </c>
      <c r="W324" t="s">
        <v>2398</v>
      </c>
      <c r="X324" t="s">
        <v>599</v>
      </c>
      <c r="Y324" t="s">
        <v>2399</v>
      </c>
      <c r="Z324" t="s">
        <v>2261</v>
      </c>
      <c r="AA324">
        <v>1960</v>
      </c>
      <c r="AB324">
        <v>1960</v>
      </c>
      <c r="AC324" t="s">
        <v>2400</v>
      </c>
      <c r="AD324" t="s">
        <v>1185</v>
      </c>
      <c r="AE324" t="s">
        <v>599</v>
      </c>
      <c r="AF324" t="s">
        <v>599</v>
      </c>
      <c r="AG324" t="s">
        <v>2401</v>
      </c>
      <c r="AH324" t="s">
        <v>599</v>
      </c>
      <c r="AI324" t="s">
        <v>599</v>
      </c>
      <c r="AJ324" t="s">
        <v>2402</v>
      </c>
      <c r="AK324" t="s">
        <v>1188</v>
      </c>
      <c r="AL324" t="s">
        <v>2403</v>
      </c>
      <c r="AM324" t="s">
        <v>1190</v>
      </c>
      <c r="AN324" t="s">
        <v>599</v>
      </c>
      <c r="AO324" t="s">
        <v>599</v>
      </c>
      <c r="AP324" t="s">
        <v>599</v>
      </c>
      <c r="AQ324" t="s">
        <v>599</v>
      </c>
      <c r="AR324" t="s">
        <v>599</v>
      </c>
      <c r="AS324" t="s">
        <v>599</v>
      </c>
      <c r="AT324" t="s">
        <v>599</v>
      </c>
    </row>
    <row r="325" spans="1:46" s="13" customFormat="1" ht="75" x14ac:dyDescent="0.25">
      <c r="A325" s="9">
        <v>10663</v>
      </c>
      <c r="B325" s="10">
        <v>2284</v>
      </c>
      <c r="C325" s="10">
        <v>1</v>
      </c>
      <c r="D325" s="9">
        <v>285</v>
      </c>
      <c r="E325" s="11" t="s">
        <v>279</v>
      </c>
      <c r="F325" s="12" t="s">
        <v>280</v>
      </c>
      <c r="G325" s="9" t="s">
        <v>281</v>
      </c>
      <c r="H325" s="34"/>
      <c r="I325" s="55" t="str">
        <f t="shared" si="11"/>
        <v>https://permalinkbnd.bnportugal.gov.pt/viewer/272627/?offset=#page=285&amp;viewer=picture&amp;o=info&amp;n=0&amp;q=</v>
      </c>
      <c r="J325" s="45"/>
      <c r="K325" s="45"/>
      <c r="L325" s="45"/>
      <c r="M325" t="s">
        <v>279</v>
      </c>
      <c r="N325">
        <v>272627</v>
      </c>
      <c r="O325" t="str">
        <f t="shared" si="10"/>
        <v>https://permalinkbnd.bnportugal.gov.pt/viewer/272627/?offset=#page=285&amp;viewer=picture&amp;o=info&amp;n=0&amp;q=</v>
      </c>
      <c r="P325">
        <v>2284</v>
      </c>
      <c r="Q325" t="s">
        <v>279</v>
      </c>
      <c r="R325" t="s">
        <v>2397</v>
      </c>
      <c r="S325" t="s">
        <v>1178</v>
      </c>
      <c r="T325" t="s">
        <v>1192</v>
      </c>
      <c r="U325" t="s">
        <v>599</v>
      </c>
      <c r="V325" t="s">
        <v>1193</v>
      </c>
      <c r="W325" t="s">
        <v>2398</v>
      </c>
      <c r="X325" t="s">
        <v>599</v>
      </c>
      <c r="Y325" t="s">
        <v>2399</v>
      </c>
      <c r="Z325" t="s">
        <v>2261</v>
      </c>
      <c r="AA325">
        <v>1960</v>
      </c>
      <c r="AB325">
        <v>1960</v>
      </c>
      <c r="AC325" t="s">
        <v>2400</v>
      </c>
      <c r="AD325" t="s">
        <v>1185</v>
      </c>
      <c r="AE325" t="s">
        <v>599</v>
      </c>
      <c r="AF325" t="s">
        <v>599</v>
      </c>
      <c r="AG325" t="s">
        <v>2401</v>
      </c>
      <c r="AH325" t="s">
        <v>599</v>
      </c>
      <c r="AI325" t="s">
        <v>599</v>
      </c>
      <c r="AJ325" t="s">
        <v>2402</v>
      </c>
      <c r="AK325" t="s">
        <v>1188</v>
      </c>
      <c r="AL325" t="s">
        <v>2403</v>
      </c>
      <c r="AM325" t="s">
        <v>1190</v>
      </c>
      <c r="AN325" t="s">
        <v>599</v>
      </c>
      <c r="AO325" t="s">
        <v>599</v>
      </c>
      <c r="AP325" t="s">
        <v>599</v>
      </c>
      <c r="AQ325" t="s">
        <v>599</v>
      </c>
      <c r="AR325" t="s">
        <v>599</v>
      </c>
      <c r="AS325" t="s">
        <v>599</v>
      </c>
      <c r="AT325" t="s">
        <v>599</v>
      </c>
    </row>
    <row r="326" spans="1:46" s="13" customFormat="1" ht="75" x14ac:dyDescent="0.25">
      <c r="A326" s="9">
        <v>10664</v>
      </c>
      <c r="B326" s="10">
        <v>2284</v>
      </c>
      <c r="C326" s="10">
        <v>1</v>
      </c>
      <c r="D326" s="9">
        <v>313</v>
      </c>
      <c r="E326" s="11" t="s">
        <v>279</v>
      </c>
      <c r="F326" s="12" t="s">
        <v>280</v>
      </c>
      <c r="G326" s="9" t="s">
        <v>281</v>
      </c>
      <c r="H326" s="34"/>
      <c r="I326" s="55" t="str">
        <f t="shared" si="11"/>
        <v>https://permalinkbnd.bnportugal.gov.pt/viewer/272627/?offset=#page=313&amp;viewer=picture&amp;o=info&amp;n=0&amp;q=</v>
      </c>
      <c r="J326" s="45"/>
      <c r="K326" s="45"/>
      <c r="L326" s="45"/>
      <c r="M326" t="s">
        <v>279</v>
      </c>
      <c r="N326">
        <v>272627</v>
      </c>
      <c r="O326" t="str">
        <f t="shared" si="10"/>
        <v>https://permalinkbnd.bnportugal.gov.pt/viewer/272627/?offset=#page=313&amp;viewer=picture&amp;o=info&amp;n=0&amp;q=</v>
      </c>
      <c r="P326">
        <v>2284</v>
      </c>
      <c r="Q326" t="s">
        <v>279</v>
      </c>
      <c r="R326" t="s">
        <v>2397</v>
      </c>
      <c r="S326" t="s">
        <v>1178</v>
      </c>
      <c r="T326" t="s">
        <v>1192</v>
      </c>
      <c r="U326" t="s">
        <v>599</v>
      </c>
      <c r="V326" t="s">
        <v>1193</v>
      </c>
      <c r="W326" t="s">
        <v>2398</v>
      </c>
      <c r="X326" t="s">
        <v>599</v>
      </c>
      <c r="Y326" t="s">
        <v>2399</v>
      </c>
      <c r="Z326" t="s">
        <v>2261</v>
      </c>
      <c r="AA326">
        <v>1960</v>
      </c>
      <c r="AB326">
        <v>1960</v>
      </c>
      <c r="AC326" t="s">
        <v>2400</v>
      </c>
      <c r="AD326" t="s">
        <v>1185</v>
      </c>
      <c r="AE326" t="s">
        <v>599</v>
      </c>
      <c r="AF326" t="s">
        <v>599</v>
      </c>
      <c r="AG326" t="s">
        <v>2401</v>
      </c>
      <c r="AH326" t="s">
        <v>599</v>
      </c>
      <c r="AI326" t="s">
        <v>599</v>
      </c>
      <c r="AJ326" t="s">
        <v>2402</v>
      </c>
      <c r="AK326" t="s">
        <v>1188</v>
      </c>
      <c r="AL326" t="s">
        <v>2403</v>
      </c>
      <c r="AM326" t="s">
        <v>1190</v>
      </c>
      <c r="AN326" t="s">
        <v>599</v>
      </c>
      <c r="AO326" t="s">
        <v>599</v>
      </c>
      <c r="AP326" t="s">
        <v>599</v>
      </c>
      <c r="AQ326" t="s">
        <v>599</v>
      </c>
      <c r="AR326" t="s">
        <v>599</v>
      </c>
      <c r="AS326" t="s">
        <v>599</v>
      </c>
      <c r="AT326" t="s">
        <v>599</v>
      </c>
    </row>
    <row r="327" spans="1:46" s="13" customFormat="1" ht="75" x14ac:dyDescent="0.25">
      <c r="A327" s="9">
        <v>10665</v>
      </c>
      <c r="B327" s="10">
        <v>2284</v>
      </c>
      <c r="C327" s="10">
        <v>1</v>
      </c>
      <c r="D327" s="9">
        <v>341</v>
      </c>
      <c r="E327" s="11" t="s">
        <v>279</v>
      </c>
      <c r="F327" s="12" t="s">
        <v>280</v>
      </c>
      <c r="G327" s="9" t="s">
        <v>281</v>
      </c>
      <c r="H327" s="34"/>
      <c r="I327" s="55" t="str">
        <f t="shared" si="11"/>
        <v>https://permalinkbnd.bnportugal.gov.pt/viewer/272627/?offset=#page=341&amp;viewer=picture&amp;o=info&amp;n=0&amp;q=</v>
      </c>
      <c r="J327" s="45"/>
      <c r="K327" s="45"/>
      <c r="L327" s="45"/>
      <c r="M327" t="s">
        <v>279</v>
      </c>
      <c r="N327">
        <v>272627</v>
      </c>
      <c r="O327" t="str">
        <f t="shared" si="10"/>
        <v>https://permalinkbnd.bnportugal.gov.pt/viewer/272627/?offset=#page=341&amp;viewer=picture&amp;o=info&amp;n=0&amp;q=</v>
      </c>
      <c r="P327">
        <v>2284</v>
      </c>
      <c r="Q327" t="s">
        <v>279</v>
      </c>
      <c r="R327" t="s">
        <v>2397</v>
      </c>
      <c r="S327" t="s">
        <v>1178</v>
      </c>
      <c r="T327" t="s">
        <v>1192</v>
      </c>
      <c r="U327" t="s">
        <v>599</v>
      </c>
      <c r="V327" t="s">
        <v>1193</v>
      </c>
      <c r="W327" t="s">
        <v>2398</v>
      </c>
      <c r="X327" t="s">
        <v>599</v>
      </c>
      <c r="Y327" t="s">
        <v>2399</v>
      </c>
      <c r="Z327" t="s">
        <v>2261</v>
      </c>
      <c r="AA327">
        <v>1960</v>
      </c>
      <c r="AB327">
        <v>1960</v>
      </c>
      <c r="AC327" t="s">
        <v>2400</v>
      </c>
      <c r="AD327" t="s">
        <v>1185</v>
      </c>
      <c r="AE327" t="s">
        <v>599</v>
      </c>
      <c r="AF327" t="s">
        <v>599</v>
      </c>
      <c r="AG327" t="s">
        <v>2401</v>
      </c>
      <c r="AH327" t="s">
        <v>599</v>
      </c>
      <c r="AI327" t="s">
        <v>599</v>
      </c>
      <c r="AJ327" t="s">
        <v>2402</v>
      </c>
      <c r="AK327" t="s">
        <v>1188</v>
      </c>
      <c r="AL327" t="s">
        <v>2403</v>
      </c>
      <c r="AM327" t="s">
        <v>1190</v>
      </c>
      <c r="AN327" t="s">
        <v>599</v>
      </c>
      <c r="AO327" t="s">
        <v>599</v>
      </c>
      <c r="AP327" t="s">
        <v>599</v>
      </c>
      <c r="AQ327" t="s">
        <v>599</v>
      </c>
      <c r="AR327" t="s">
        <v>599</v>
      </c>
      <c r="AS327" t="s">
        <v>599</v>
      </c>
      <c r="AT327" t="s">
        <v>599</v>
      </c>
    </row>
    <row r="328" spans="1:46" s="13" customFormat="1" ht="45" x14ac:dyDescent="0.25">
      <c r="A328" s="9">
        <v>10678</v>
      </c>
      <c r="B328" s="10">
        <v>256560</v>
      </c>
      <c r="C328" s="10">
        <v>1</v>
      </c>
      <c r="D328" s="9">
        <v>8</v>
      </c>
      <c r="E328" s="11" t="s">
        <v>282</v>
      </c>
      <c r="F328" s="12" t="s">
        <v>283</v>
      </c>
      <c r="G328" s="9" t="s">
        <v>284</v>
      </c>
      <c r="H328" s="34"/>
      <c r="I328" s="55" t="str">
        <f t="shared" si="11"/>
        <v>https://permalinkbnd.bnportugal.gov.pt/viewer/277151/?offset=#page=8&amp;viewer=picture&amp;o=info&amp;n=0&amp;q=</v>
      </c>
      <c r="J328" s="45"/>
      <c r="K328" s="45"/>
      <c r="L328" s="45"/>
      <c r="M328" t="s">
        <v>282</v>
      </c>
      <c r="N328">
        <v>277151</v>
      </c>
      <c r="O328" t="str">
        <f t="shared" si="10"/>
        <v>https://permalinkbnd.bnportugal.gov.pt/viewer/277151/?offset=#page=8&amp;viewer=picture&amp;o=info&amp;n=0&amp;q=</v>
      </c>
      <c r="P328">
        <v>256560</v>
      </c>
      <c r="Q328" t="s">
        <v>282</v>
      </c>
      <c r="R328" t="s">
        <v>2404</v>
      </c>
      <c r="S328" t="s">
        <v>1178</v>
      </c>
      <c r="T328" t="s">
        <v>1192</v>
      </c>
      <c r="U328" t="s">
        <v>599</v>
      </c>
      <c r="V328" t="s">
        <v>1551</v>
      </c>
      <c r="W328" t="s">
        <v>599</v>
      </c>
      <c r="X328" t="s">
        <v>599</v>
      </c>
      <c r="Y328" t="s">
        <v>2405</v>
      </c>
      <c r="Z328" t="s">
        <v>2406</v>
      </c>
      <c r="AA328">
        <v>1865</v>
      </c>
      <c r="AB328">
        <v>1865</v>
      </c>
      <c r="AC328" t="s">
        <v>2407</v>
      </c>
      <c r="AD328" t="s">
        <v>1185</v>
      </c>
      <c r="AE328" t="s">
        <v>599</v>
      </c>
      <c r="AF328" t="s">
        <v>599</v>
      </c>
      <c r="AG328" t="s">
        <v>2408</v>
      </c>
      <c r="AH328" t="s">
        <v>599</v>
      </c>
      <c r="AI328" t="s">
        <v>2409</v>
      </c>
      <c r="AJ328" t="s">
        <v>2410</v>
      </c>
      <c r="AK328" t="s">
        <v>1188</v>
      </c>
      <c r="AL328" t="s">
        <v>2411</v>
      </c>
      <c r="AM328" t="s">
        <v>1190</v>
      </c>
      <c r="AN328" t="s">
        <v>599</v>
      </c>
      <c r="AO328" t="s">
        <v>2412</v>
      </c>
      <c r="AP328" t="s">
        <v>599</v>
      </c>
      <c r="AQ328" t="s">
        <v>599</v>
      </c>
      <c r="AR328" t="s">
        <v>599</v>
      </c>
      <c r="AS328" t="s">
        <v>599</v>
      </c>
      <c r="AT328" t="s">
        <v>599</v>
      </c>
    </row>
    <row r="329" spans="1:46" s="13" customFormat="1" ht="45" x14ac:dyDescent="0.25">
      <c r="A329" s="9">
        <v>10679</v>
      </c>
      <c r="B329" s="10">
        <v>256560</v>
      </c>
      <c r="C329" s="10">
        <v>1</v>
      </c>
      <c r="D329" s="9">
        <v>63</v>
      </c>
      <c r="E329" s="11" t="s">
        <v>282</v>
      </c>
      <c r="F329" s="12" t="s">
        <v>283</v>
      </c>
      <c r="G329" s="9" t="s">
        <v>284</v>
      </c>
      <c r="H329" s="34"/>
      <c r="I329" s="55" t="str">
        <f t="shared" si="11"/>
        <v>https://permalinkbnd.bnportugal.gov.pt/viewer/277151/?offset=#page=63&amp;viewer=picture&amp;o=info&amp;n=0&amp;q=</v>
      </c>
      <c r="J329" s="45"/>
      <c r="K329" s="45"/>
      <c r="L329" s="45"/>
      <c r="M329" t="s">
        <v>282</v>
      </c>
      <c r="N329">
        <v>277151</v>
      </c>
      <c r="O329" t="str">
        <f t="shared" si="10"/>
        <v>https://permalinkbnd.bnportugal.gov.pt/viewer/277151/?offset=#page=63&amp;viewer=picture&amp;o=info&amp;n=0&amp;q=</v>
      </c>
      <c r="P329">
        <v>256560</v>
      </c>
      <c r="Q329" t="s">
        <v>282</v>
      </c>
      <c r="R329" t="s">
        <v>2404</v>
      </c>
      <c r="S329" t="s">
        <v>1178</v>
      </c>
      <c r="T329" t="s">
        <v>1192</v>
      </c>
      <c r="U329" t="s">
        <v>599</v>
      </c>
      <c r="V329" t="s">
        <v>1551</v>
      </c>
      <c r="W329" t="s">
        <v>599</v>
      </c>
      <c r="X329" t="s">
        <v>599</v>
      </c>
      <c r="Y329" t="s">
        <v>2405</v>
      </c>
      <c r="Z329" t="s">
        <v>2406</v>
      </c>
      <c r="AA329">
        <v>1865</v>
      </c>
      <c r="AB329">
        <v>1865</v>
      </c>
      <c r="AC329" t="s">
        <v>2407</v>
      </c>
      <c r="AD329" t="s">
        <v>1185</v>
      </c>
      <c r="AE329" t="s">
        <v>599</v>
      </c>
      <c r="AF329" t="s">
        <v>599</v>
      </c>
      <c r="AG329" t="s">
        <v>2408</v>
      </c>
      <c r="AH329" t="s">
        <v>599</v>
      </c>
      <c r="AI329" t="s">
        <v>2409</v>
      </c>
      <c r="AJ329" t="s">
        <v>2410</v>
      </c>
      <c r="AK329" t="s">
        <v>1188</v>
      </c>
      <c r="AL329" t="s">
        <v>2411</v>
      </c>
      <c r="AM329" t="s">
        <v>1190</v>
      </c>
      <c r="AN329" t="s">
        <v>599</v>
      </c>
      <c r="AO329" t="s">
        <v>2412</v>
      </c>
      <c r="AP329" t="s">
        <v>599</v>
      </c>
      <c r="AQ329" t="s">
        <v>599</v>
      </c>
      <c r="AR329" t="s">
        <v>599</v>
      </c>
      <c r="AS329" t="s">
        <v>599</v>
      </c>
      <c r="AT329" t="s">
        <v>599</v>
      </c>
    </row>
    <row r="330" spans="1:46" s="13" customFormat="1" ht="45" x14ac:dyDescent="0.25">
      <c r="A330" s="9">
        <v>10680</v>
      </c>
      <c r="B330" s="10">
        <v>256560</v>
      </c>
      <c r="C330" s="10">
        <v>1</v>
      </c>
      <c r="D330" s="9">
        <v>101</v>
      </c>
      <c r="E330" s="11" t="s">
        <v>282</v>
      </c>
      <c r="F330" s="12" t="s">
        <v>283</v>
      </c>
      <c r="G330" s="9" t="s">
        <v>284</v>
      </c>
      <c r="H330" s="34"/>
      <c r="I330" s="55" t="str">
        <f t="shared" si="11"/>
        <v>https://permalinkbnd.bnportugal.gov.pt/viewer/277151/?offset=#page=101&amp;viewer=picture&amp;o=info&amp;n=0&amp;q=</v>
      </c>
      <c r="J330" s="45"/>
      <c r="K330" s="45"/>
      <c r="L330" s="45"/>
      <c r="M330" t="s">
        <v>282</v>
      </c>
      <c r="N330">
        <v>277151</v>
      </c>
      <c r="O330" t="str">
        <f t="shared" si="10"/>
        <v>https://permalinkbnd.bnportugal.gov.pt/viewer/277151/?offset=#page=101&amp;viewer=picture&amp;o=info&amp;n=0&amp;q=</v>
      </c>
      <c r="P330">
        <v>256560</v>
      </c>
      <c r="Q330" t="s">
        <v>282</v>
      </c>
      <c r="R330" t="s">
        <v>2404</v>
      </c>
      <c r="S330" t="s">
        <v>1178</v>
      </c>
      <c r="T330" t="s">
        <v>1192</v>
      </c>
      <c r="U330" t="s">
        <v>599</v>
      </c>
      <c r="V330" t="s">
        <v>1551</v>
      </c>
      <c r="W330" t="s">
        <v>599</v>
      </c>
      <c r="X330" t="s">
        <v>599</v>
      </c>
      <c r="Y330" t="s">
        <v>2405</v>
      </c>
      <c r="Z330" t="s">
        <v>2406</v>
      </c>
      <c r="AA330">
        <v>1865</v>
      </c>
      <c r="AB330">
        <v>1865</v>
      </c>
      <c r="AC330" t="s">
        <v>2407</v>
      </c>
      <c r="AD330" t="s">
        <v>1185</v>
      </c>
      <c r="AE330" t="s">
        <v>599</v>
      </c>
      <c r="AF330" t="s">
        <v>599</v>
      </c>
      <c r="AG330" t="s">
        <v>2408</v>
      </c>
      <c r="AH330" t="s">
        <v>599</v>
      </c>
      <c r="AI330" t="s">
        <v>2409</v>
      </c>
      <c r="AJ330" t="s">
        <v>2410</v>
      </c>
      <c r="AK330" t="s">
        <v>1188</v>
      </c>
      <c r="AL330" t="s">
        <v>2411</v>
      </c>
      <c r="AM330" t="s">
        <v>1190</v>
      </c>
      <c r="AN330" t="s">
        <v>599</v>
      </c>
      <c r="AO330" t="s">
        <v>2412</v>
      </c>
      <c r="AP330" t="s">
        <v>599</v>
      </c>
      <c r="AQ330" t="s">
        <v>599</v>
      </c>
      <c r="AR330" t="s">
        <v>599</v>
      </c>
      <c r="AS330" t="s">
        <v>599</v>
      </c>
      <c r="AT330" t="s">
        <v>599</v>
      </c>
    </row>
    <row r="331" spans="1:46" s="13" customFormat="1" ht="45" x14ac:dyDescent="0.25">
      <c r="A331" s="9">
        <v>10681</v>
      </c>
      <c r="B331" s="10">
        <v>256560</v>
      </c>
      <c r="C331" s="10">
        <v>1</v>
      </c>
      <c r="D331" s="9">
        <v>143</v>
      </c>
      <c r="E331" s="11" t="s">
        <v>282</v>
      </c>
      <c r="F331" s="12" t="s">
        <v>283</v>
      </c>
      <c r="G331" s="9" t="s">
        <v>284</v>
      </c>
      <c r="H331" s="34"/>
      <c r="I331" s="55" t="str">
        <f t="shared" si="11"/>
        <v>https://permalinkbnd.bnportugal.gov.pt/viewer/277151/?offset=#page=143&amp;viewer=picture&amp;o=info&amp;n=0&amp;q=</v>
      </c>
      <c r="J331" s="45"/>
      <c r="K331" s="45"/>
      <c r="L331" s="45"/>
      <c r="M331" t="s">
        <v>282</v>
      </c>
      <c r="N331">
        <v>277151</v>
      </c>
      <c r="O331" t="str">
        <f t="shared" si="10"/>
        <v>https://permalinkbnd.bnportugal.gov.pt/viewer/277151/?offset=#page=143&amp;viewer=picture&amp;o=info&amp;n=0&amp;q=</v>
      </c>
      <c r="P331">
        <v>256560</v>
      </c>
      <c r="Q331" t="s">
        <v>282</v>
      </c>
      <c r="R331" t="s">
        <v>2404</v>
      </c>
      <c r="S331" t="s">
        <v>1178</v>
      </c>
      <c r="T331" t="s">
        <v>1192</v>
      </c>
      <c r="U331" t="s">
        <v>599</v>
      </c>
      <c r="V331" t="s">
        <v>1551</v>
      </c>
      <c r="W331" t="s">
        <v>599</v>
      </c>
      <c r="X331" t="s">
        <v>599</v>
      </c>
      <c r="Y331" t="s">
        <v>2405</v>
      </c>
      <c r="Z331" t="s">
        <v>2406</v>
      </c>
      <c r="AA331">
        <v>1865</v>
      </c>
      <c r="AB331">
        <v>1865</v>
      </c>
      <c r="AC331" t="s">
        <v>2407</v>
      </c>
      <c r="AD331" t="s">
        <v>1185</v>
      </c>
      <c r="AE331" t="s">
        <v>599</v>
      </c>
      <c r="AF331" t="s">
        <v>599</v>
      </c>
      <c r="AG331" t="s">
        <v>2408</v>
      </c>
      <c r="AH331" t="s">
        <v>599</v>
      </c>
      <c r="AI331" t="s">
        <v>2409</v>
      </c>
      <c r="AJ331" t="s">
        <v>2410</v>
      </c>
      <c r="AK331" t="s">
        <v>1188</v>
      </c>
      <c r="AL331" t="s">
        <v>2411</v>
      </c>
      <c r="AM331" t="s">
        <v>1190</v>
      </c>
      <c r="AN331" t="s">
        <v>599</v>
      </c>
      <c r="AO331" t="s">
        <v>2412</v>
      </c>
      <c r="AP331" t="s">
        <v>599</v>
      </c>
      <c r="AQ331" t="s">
        <v>599</v>
      </c>
      <c r="AR331" t="s">
        <v>599</v>
      </c>
      <c r="AS331" t="s">
        <v>599</v>
      </c>
      <c r="AT331" t="s">
        <v>599</v>
      </c>
    </row>
    <row r="332" spans="1:46" s="13" customFormat="1" ht="45" x14ac:dyDescent="0.25">
      <c r="A332" s="9">
        <v>10682</v>
      </c>
      <c r="B332" s="10">
        <v>256560</v>
      </c>
      <c r="C332" s="10">
        <v>1</v>
      </c>
      <c r="D332" s="9">
        <v>195</v>
      </c>
      <c r="E332" s="11" t="s">
        <v>282</v>
      </c>
      <c r="F332" s="12" t="s">
        <v>283</v>
      </c>
      <c r="G332" s="9" t="s">
        <v>284</v>
      </c>
      <c r="H332" s="34"/>
      <c r="I332" s="55" t="str">
        <f t="shared" si="11"/>
        <v>https://permalinkbnd.bnportugal.gov.pt/viewer/277151/?offset=#page=195&amp;viewer=picture&amp;o=info&amp;n=0&amp;q=</v>
      </c>
      <c r="J332" s="45"/>
      <c r="K332" s="45"/>
      <c r="L332" s="45"/>
      <c r="M332" t="s">
        <v>282</v>
      </c>
      <c r="N332">
        <v>277151</v>
      </c>
      <c r="O332" t="str">
        <f t="shared" si="10"/>
        <v>https://permalinkbnd.bnportugal.gov.pt/viewer/277151/?offset=#page=195&amp;viewer=picture&amp;o=info&amp;n=0&amp;q=</v>
      </c>
      <c r="P332">
        <v>256560</v>
      </c>
      <c r="Q332" t="s">
        <v>282</v>
      </c>
      <c r="R332" t="s">
        <v>2404</v>
      </c>
      <c r="S332" t="s">
        <v>1178</v>
      </c>
      <c r="T332" t="s">
        <v>1192</v>
      </c>
      <c r="U332" t="s">
        <v>599</v>
      </c>
      <c r="V332" t="s">
        <v>1551</v>
      </c>
      <c r="W332" t="s">
        <v>599</v>
      </c>
      <c r="X332" t="s">
        <v>599</v>
      </c>
      <c r="Y332" t="s">
        <v>2405</v>
      </c>
      <c r="Z332" t="s">
        <v>2406</v>
      </c>
      <c r="AA332">
        <v>1865</v>
      </c>
      <c r="AB332">
        <v>1865</v>
      </c>
      <c r="AC332" t="s">
        <v>2407</v>
      </c>
      <c r="AD332" t="s">
        <v>1185</v>
      </c>
      <c r="AE332" t="s">
        <v>599</v>
      </c>
      <c r="AF332" t="s">
        <v>599</v>
      </c>
      <c r="AG332" t="s">
        <v>2408</v>
      </c>
      <c r="AH332" t="s">
        <v>599</v>
      </c>
      <c r="AI332" t="s">
        <v>2409</v>
      </c>
      <c r="AJ332" t="s">
        <v>2410</v>
      </c>
      <c r="AK332" t="s">
        <v>1188</v>
      </c>
      <c r="AL332" t="s">
        <v>2411</v>
      </c>
      <c r="AM332" t="s">
        <v>1190</v>
      </c>
      <c r="AN332" t="s">
        <v>599</v>
      </c>
      <c r="AO332" t="s">
        <v>2412</v>
      </c>
      <c r="AP332" t="s">
        <v>599</v>
      </c>
      <c r="AQ332" t="s">
        <v>599</v>
      </c>
      <c r="AR332" t="s">
        <v>599</v>
      </c>
      <c r="AS332" t="s">
        <v>599</v>
      </c>
      <c r="AT332" t="s">
        <v>599</v>
      </c>
    </row>
    <row r="333" spans="1:46" s="13" customFormat="1" ht="45" x14ac:dyDescent="0.25">
      <c r="A333" s="9">
        <v>10683</v>
      </c>
      <c r="B333" s="10">
        <v>256560</v>
      </c>
      <c r="C333" s="10">
        <v>1</v>
      </c>
      <c r="D333" s="9">
        <v>233</v>
      </c>
      <c r="E333" s="11" t="s">
        <v>282</v>
      </c>
      <c r="F333" s="12" t="s">
        <v>283</v>
      </c>
      <c r="G333" s="9" t="s">
        <v>284</v>
      </c>
      <c r="H333" s="34"/>
      <c r="I333" s="55" t="str">
        <f t="shared" si="11"/>
        <v>https://permalinkbnd.bnportugal.gov.pt/viewer/277151/?offset=#page=233&amp;viewer=picture&amp;o=info&amp;n=0&amp;q=</v>
      </c>
      <c r="J333" s="45"/>
      <c r="K333" s="45"/>
      <c r="L333" s="45"/>
      <c r="M333" t="s">
        <v>282</v>
      </c>
      <c r="N333">
        <v>277151</v>
      </c>
      <c r="O333" t="str">
        <f t="shared" si="10"/>
        <v>https://permalinkbnd.bnportugal.gov.pt/viewer/277151/?offset=#page=233&amp;viewer=picture&amp;o=info&amp;n=0&amp;q=</v>
      </c>
      <c r="P333">
        <v>256560</v>
      </c>
      <c r="Q333" t="s">
        <v>282</v>
      </c>
      <c r="R333" t="s">
        <v>2404</v>
      </c>
      <c r="S333" t="s">
        <v>1178</v>
      </c>
      <c r="T333" t="s">
        <v>1192</v>
      </c>
      <c r="U333" t="s">
        <v>599</v>
      </c>
      <c r="V333" t="s">
        <v>1551</v>
      </c>
      <c r="W333" t="s">
        <v>599</v>
      </c>
      <c r="X333" t="s">
        <v>599</v>
      </c>
      <c r="Y333" t="s">
        <v>2405</v>
      </c>
      <c r="Z333" t="s">
        <v>2406</v>
      </c>
      <c r="AA333">
        <v>1865</v>
      </c>
      <c r="AB333">
        <v>1865</v>
      </c>
      <c r="AC333" t="s">
        <v>2407</v>
      </c>
      <c r="AD333" t="s">
        <v>1185</v>
      </c>
      <c r="AE333" t="s">
        <v>599</v>
      </c>
      <c r="AF333" t="s">
        <v>599</v>
      </c>
      <c r="AG333" t="s">
        <v>2408</v>
      </c>
      <c r="AH333" t="s">
        <v>599</v>
      </c>
      <c r="AI333" t="s">
        <v>2409</v>
      </c>
      <c r="AJ333" t="s">
        <v>2410</v>
      </c>
      <c r="AK333" t="s">
        <v>1188</v>
      </c>
      <c r="AL333" t="s">
        <v>2411</v>
      </c>
      <c r="AM333" t="s">
        <v>1190</v>
      </c>
      <c r="AN333" t="s">
        <v>599</v>
      </c>
      <c r="AO333" t="s">
        <v>2412</v>
      </c>
      <c r="AP333" t="s">
        <v>599</v>
      </c>
      <c r="AQ333" t="s">
        <v>599</v>
      </c>
      <c r="AR333" t="s">
        <v>599</v>
      </c>
      <c r="AS333" t="s">
        <v>599</v>
      </c>
      <c r="AT333" t="s">
        <v>599</v>
      </c>
    </row>
    <row r="334" spans="1:46" s="13" customFormat="1" ht="45" x14ac:dyDescent="0.25">
      <c r="A334" s="9">
        <v>10684</v>
      </c>
      <c r="B334" s="10">
        <v>256560</v>
      </c>
      <c r="C334" s="10">
        <v>1</v>
      </c>
      <c r="D334" s="9">
        <v>269</v>
      </c>
      <c r="E334" s="11" t="s">
        <v>282</v>
      </c>
      <c r="F334" s="12" t="s">
        <v>283</v>
      </c>
      <c r="G334" s="9" t="s">
        <v>284</v>
      </c>
      <c r="H334" s="34"/>
      <c r="I334" s="55" t="str">
        <f t="shared" si="11"/>
        <v>https://permalinkbnd.bnportugal.gov.pt/viewer/277151/?offset=#page=269&amp;viewer=picture&amp;o=info&amp;n=0&amp;q=</v>
      </c>
      <c r="J334" s="45"/>
      <c r="K334" s="45"/>
      <c r="L334" s="45"/>
      <c r="M334" t="s">
        <v>282</v>
      </c>
      <c r="N334">
        <v>277151</v>
      </c>
      <c r="O334" t="str">
        <f t="shared" si="10"/>
        <v>https://permalinkbnd.bnportugal.gov.pt/viewer/277151/?offset=#page=269&amp;viewer=picture&amp;o=info&amp;n=0&amp;q=</v>
      </c>
      <c r="P334">
        <v>256560</v>
      </c>
      <c r="Q334" t="s">
        <v>282</v>
      </c>
      <c r="R334" t="s">
        <v>2404</v>
      </c>
      <c r="S334" t="s">
        <v>1178</v>
      </c>
      <c r="T334" t="s">
        <v>1192</v>
      </c>
      <c r="U334" t="s">
        <v>599</v>
      </c>
      <c r="V334" t="s">
        <v>1551</v>
      </c>
      <c r="W334" t="s">
        <v>599</v>
      </c>
      <c r="X334" t="s">
        <v>599</v>
      </c>
      <c r="Y334" t="s">
        <v>2405</v>
      </c>
      <c r="Z334" t="s">
        <v>2406</v>
      </c>
      <c r="AA334">
        <v>1865</v>
      </c>
      <c r="AB334">
        <v>1865</v>
      </c>
      <c r="AC334" t="s">
        <v>2407</v>
      </c>
      <c r="AD334" t="s">
        <v>1185</v>
      </c>
      <c r="AE334" t="s">
        <v>599</v>
      </c>
      <c r="AF334" t="s">
        <v>599</v>
      </c>
      <c r="AG334" t="s">
        <v>2408</v>
      </c>
      <c r="AH334" t="s">
        <v>599</v>
      </c>
      <c r="AI334" t="s">
        <v>2409</v>
      </c>
      <c r="AJ334" t="s">
        <v>2410</v>
      </c>
      <c r="AK334" t="s">
        <v>1188</v>
      </c>
      <c r="AL334" t="s">
        <v>2411</v>
      </c>
      <c r="AM334" t="s">
        <v>1190</v>
      </c>
      <c r="AN334" t="s">
        <v>599</v>
      </c>
      <c r="AO334" t="s">
        <v>2412</v>
      </c>
      <c r="AP334" t="s">
        <v>599</v>
      </c>
      <c r="AQ334" t="s">
        <v>599</v>
      </c>
      <c r="AR334" t="s">
        <v>599</v>
      </c>
      <c r="AS334" t="s">
        <v>599</v>
      </c>
      <c r="AT334" t="s">
        <v>599</v>
      </c>
    </row>
    <row r="335" spans="1:46" s="13" customFormat="1" ht="45" x14ac:dyDescent="0.25">
      <c r="A335" s="9">
        <v>10685</v>
      </c>
      <c r="B335" s="10">
        <v>256560</v>
      </c>
      <c r="C335" s="10">
        <v>1</v>
      </c>
      <c r="D335" s="9">
        <v>305</v>
      </c>
      <c r="E335" s="11" t="s">
        <v>282</v>
      </c>
      <c r="F335" s="12" t="s">
        <v>283</v>
      </c>
      <c r="G335" s="9" t="s">
        <v>284</v>
      </c>
      <c r="H335" s="34"/>
      <c r="I335" s="55" t="str">
        <f t="shared" si="11"/>
        <v>https://permalinkbnd.bnportugal.gov.pt/viewer/277151/?offset=#page=305&amp;viewer=picture&amp;o=info&amp;n=0&amp;q=</v>
      </c>
      <c r="J335" s="45"/>
      <c r="K335" s="45"/>
      <c r="L335" s="45"/>
      <c r="M335" t="s">
        <v>282</v>
      </c>
      <c r="N335">
        <v>277151</v>
      </c>
      <c r="O335" t="str">
        <f t="shared" si="10"/>
        <v>https://permalinkbnd.bnportugal.gov.pt/viewer/277151/?offset=#page=305&amp;viewer=picture&amp;o=info&amp;n=0&amp;q=</v>
      </c>
      <c r="P335">
        <v>256560</v>
      </c>
      <c r="Q335" t="s">
        <v>282</v>
      </c>
      <c r="R335" t="s">
        <v>2404</v>
      </c>
      <c r="S335" t="s">
        <v>1178</v>
      </c>
      <c r="T335" t="s">
        <v>1192</v>
      </c>
      <c r="U335" t="s">
        <v>599</v>
      </c>
      <c r="V335" t="s">
        <v>1551</v>
      </c>
      <c r="W335" t="s">
        <v>599</v>
      </c>
      <c r="X335" t="s">
        <v>599</v>
      </c>
      <c r="Y335" t="s">
        <v>2405</v>
      </c>
      <c r="Z335" t="s">
        <v>2406</v>
      </c>
      <c r="AA335">
        <v>1865</v>
      </c>
      <c r="AB335">
        <v>1865</v>
      </c>
      <c r="AC335" t="s">
        <v>2407</v>
      </c>
      <c r="AD335" t="s">
        <v>1185</v>
      </c>
      <c r="AE335" t="s">
        <v>599</v>
      </c>
      <c r="AF335" t="s">
        <v>599</v>
      </c>
      <c r="AG335" t="s">
        <v>2408</v>
      </c>
      <c r="AH335" t="s">
        <v>599</v>
      </c>
      <c r="AI335" t="s">
        <v>2409</v>
      </c>
      <c r="AJ335" t="s">
        <v>2410</v>
      </c>
      <c r="AK335" t="s">
        <v>1188</v>
      </c>
      <c r="AL335" t="s">
        <v>2411</v>
      </c>
      <c r="AM335" t="s">
        <v>1190</v>
      </c>
      <c r="AN335" t="s">
        <v>599</v>
      </c>
      <c r="AO335" t="s">
        <v>2412</v>
      </c>
      <c r="AP335" t="s">
        <v>599</v>
      </c>
      <c r="AQ335" t="s">
        <v>599</v>
      </c>
      <c r="AR335" t="s">
        <v>599</v>
      </c>
      <c r="AS335" t="s">
        <v>599</v>
      </c>
      <c r="AT335" t="s">
        <v>599</v>
      </c>
    </row>
    <row r="336" spans="1:46" s="13" customFormat="1" ht="45" x14ac:dyDescent="0.25">
      <c r="A336" s="9">
        <v>10686</v>
      </c>
      <c r="B336" s="10">
        <v>256560</v>
      </c>
      <c r="C336" s="10">
        <v>1</v>
      </c>
      <c r="D336" s="9">
        <v>337</v>
      </c>
      <c r="E336" s="11" t="s">
        <v>282</v>
      </c>
      <c r="F336" s="12" t="s">
        <v>283</v>
      </c>
      <c r="G336" s="9" t="s">
        <v>284</v>
      </c>
      <c r="H336" s="34"/>
      <c r="I336" s="55" t="str">
        <f t="shared" si="11"/>
        <v>https://permalinkbnd.bnportugal.gov.pt/viewer/277151/?offset=#page=337&amp;viewer=picture&amp;o=info&amp;n=0&amp;q=</v>
      </c>
      <c r="J336" s="45"/>
      <c r="K336" s="45"/>
      <c r="L336" s="45"/>
      <c r="M336" t="s">
        <v>282</v>
      </c>
      <c r="N336">
        <v>277151</v>
      </c>
      <c r="O336" t="str">
        <f t="shared" si="10"/>
        <v>https://permalinkbnd.bnportugal.gov.pt/viewer/277151/?offset=#page=337&amp;viewer=picture&amp;o=info&amp;n=0&amp;q=</v>
      </c>
      <c r="P336">
        <v>256560</v>
      </c>
      <c r="Q336" t="s">
        <v>282</v>
      </c>
      <c r="R336" t="s">
        <v>2404</v>
      </c>
      <c r="S336" t="s">
        <v>1178</v>
      </c>
      <c r="T336" t="s">
        <v>1192</v>
      </c>
      <c r="U336" t="s">
        <v>599</v>
      </c>
      <c r="V336" t="s">
        <v>1551</v>
      </c>
      <c r="W336" t="s">
        <v>599</v>
      </c>
      <c r="X336" t="s">
        <v>599</v>
      </c>
      <c r="Y336" t="s">
        <v>2405</v>
      </c>
      <c r="Z336" t="s">
        <v>2406</v>
      </c>
      <c r="AA336">
        <v>1865</v>
      </c>
      <c r="AB336">
        <v>1865</v>
      </c>
      <c r="AC336" t="s">
        <v>2407</v>
      </c>
      <c r="AD336" t="s">
        <v>1185</v>
      </c>
      <c r="AE336" t="s">
        <v>599</v>
      </c>
      <c r="AF336" t="s">
        <v>599</v>
      </c>
      <c r="AG336" t="s">
        <v>2408</v>
      </c>
      <c r="AH336" t="s">
        <v>599</v>
      </c>
      <c r="AI336" t="s">
        <v>2409</v>
      </c>
      <c r="AJ336" t="s">
        <v>2410</v>
      </c>
      <c r="AK336" t="s">
        <v>1188</v>
      </c>
      <c r="AL336" t="s">
        <v>2411</v>
      </c>
      <c r="AM336" t="s">
        <v>1190</v>
      </c>
      <c r="AN336" t="s">
        <v>599</v>
      </c>
      <c r="AO336" t="s">
        <v>2412</v>
      </c>
      <c r="AP336" t="s">
        <v>599</v>
      </c>
      <c r="AQ336" t="s">
        <v>599</v>
      </c>
      <c r="AR336" t="s">
        <v>599</v>
      </c>
      <c r="AS336" t="s">
        <v>599</v>
      </c>
      <c r="AT336" t="s">
        <v>599</v>
      </c>
    </row>
    <row r="337" spans="1:46" s="13" customFormat="1" ht="45" x14ac:dyDescent="0.25">
      <c r="A337" s="9">
        <v>10687</v>
      </c>
      <c r="B337" s="10">
        <v>256560</v>
      </c>
      <c r="C337" s="10">
        <v>1</v>
      </c>
      <c r="D337" s="9">
        <v>373</v>
      </c>
      <c r="E337" s="11" t="s">
        <v>282</v>
      </c>
      <c r="F337" s="12" t="s">
        <v>283</v>
      </c>
      <c r="G337" s="9" t="s">
        <v>284</v>
      </c>
      <c r="H337" s="34"/>
      <c r="I337" s="55" t="str">
        <f t="shared" si="11"/>
        <v>https://permalinkbnd.bnportugal.gov.pt/viewer/277151/?offset=#page=373&amp;viewer=picture&amp;o=info&amp;n=0&amp;q=</v>
      </c>
      <c r="J337" s="45"/>
      <c r="K337" s="45"/>
      <c r="L337" s="45"/>
      <c r="M337" t="s">
        <v>282</v>
      </c>
      <c r="N337">
        <v>277151</v>
      </c>
      <c r="O337" t="str">
        <f t="shared" si="10"/>
        <v>https://permalinkbnd.bnportugal.gov.pt/viewer/277151/?offset=#page=373&amp;viewer=picture&amp;o=info&amp;n=0&amp;q=</v>
      </c>
      <c r="P337">
        <v>256560</v>
      </c>
      <c r="Q337" t="s">
        <v>282</v>
      </c>
      <c r="R337" t="s">
        <v>2404</v>
      </c>
      <c r="S337" t="s">
        <v>1178</v>
      </c>
      <c r="T337" t="s">
        <v>1192</v>
      </c>
      <c r="U337" t="s">
        <v>599</v>
      </c>
      <c r="V337" t="s">
        <v>1551</v>
      </c>
      <c r="W337" t="s">
        <v>599</v>
      </c>
      <c r="X337" t="s">
        <v>599</v>
      </c>
      <c r="Y337" t="s">
        <v>2405</v>
      </c>
      <c r="Z337" t="s">
        <v>2406</v>
      </c>
      <c r="AA337">
        <v>1865</v>
      </c>
      <c r="AB337">
        <v>1865</v>
      </c>
      <c r="AC337" t="s">
        <v>2407</v>
      </c>
      <c r="AD337" t="s">
        <v>1185</v>
      </c>
      <c r="AE337" t="s">
        <v>599</v>
      </c>
      <c r="AF337" t="s">
        <v>599</v>
      </c>
      <c r="AG337" t="s">
        <v>2408</v>
      </c>
      <c r="AH337" t="s">
        <v>599</v>
      </c>
      <c r="AI337" t="s">
        <v>2409</v>
      </c>
      <c r="AJ337" t="s">
        <v>2410</v>
      </c>
      <c r="AK337" t="s">
        <v>1188</v>
      </c>
      <c r="AL337" t="s">
        <v>2411</v>
      </c>
      <c r="AM337" t="s">
        <v>1190</v>
      </c>
      <c r="AN337" t="s">
        <v>599</v>
      </c>
      <c r="AO337" t="s">
        <v>2412</v>
      </c>
      <c r="AP337" t="s">
        <v>599</v>
      </c>
      <c r="AQ337" t="s">
        <v>599</v>
      </c>
      <c r="AR337" t="s">
        <v>599</v>
      </c>
      <c r="AS337" t="s">
        <v>599</v>
      </c>
      <c r="AT337" t="s">
        <v>599</v>
      </c>
    </row>
    <row r="338" spans="1:46" s="13" customFormat="1" ht="45" x14ac:dyDescent="0.25">
      <c r="A338" s="9">
        <v>10688</v>
      </c>
      <c r="B338" s="10">
        <v>256560</v>
      </c>
      <c r="C338" s="10">
        <v>1</v>
      </c>
      <c r="D338" s="9">
        <v>409</v>
      </c>
      <c r="E338" s="11" t="s">
        <v>282</v>
      </c>
      <c r="F338" s="12" t="s">
        <v>283</v>
      </c>
      <c r="G338" s="9" t="s">
        <v>284</v>
      </c>
      <c r="H338" s="34"/>
      <c r="I338" s="55" t="str">
        <f t="shared" si="11"/>
        <v>https://permalinkbnd.bnportugal.gov.pt/viewer/277151/?offset=#page=409&amp;viewer=picture&amp;o=info&amp;n=0&amp;q=</v>
      </c>
      <c r="J338" s="45"/>
      <c r="K338" s="45"/>
      <c r="L338" s="45"/>
      <c r="M338" t="s">
        <v>282</v>
      </c>
      <c r="N338">
        <v>277151</v>
      </c>
      <c r="O338" t="str">
        <f t="shared" si="10"/>
        <v>https://permalinkbnd.bnportugal.gov.pt/viewer/277151/?offset=#page=409&amp;viewer=picture&amp;o=info&amp;n=0&amp;q=</v>
      </c>
      <c r="P338">
        <v>256560</v>
      </c>
      <c r="Q338" t="s">
        <v>282</v>
      </c>
      <c r="R338" t="s">
        <v>2404</v>
      </c>
      <c r="S338" t="s">
        <v>1178</v>
      </c>
      <c r="T338" t="s">
        <v>1192</v>
      </c>
      <c r="U338" t="s">
        <v>599</v>
      </c>
      <c r="V338" t="s">
        <v>1551</v>
      </c>
      <c r="W338" t="s">
        <v>599</v>
      </c>
      <c r="X338" t="s">
        <v>599</v>
      </c>
      <c r="Y338" t="s">
        <v>2405</v>
      </c>
      <c r="Z338" t="s">
        <v>2406</v>
      </c>
      <c r="AA338">
        <v>1865</v>
      </c>
      <c r="AB338">
        <v>1865</v>
      </c>
      <c r="AC338" t="s">
        <v>2407</v>
      </c>
      <c r="AD338" t="s">
        <v>1185</v>
      </c>
      <c r="AE338" t="s">
        <v>599</v>
      </c>
      <c r="AF338" t="s">
        <v>599</v>
      </c>
      <c r="AG338" t="s">
        <v>2408</v>
      </c>
      <c r="AH338" t="s">
        <v>599</v>
      </c>
      <c r="AI338" t="s">
        <v>2409</v>
      </c>
      <c r="AJ338" t="s">
        <v>2410</v>
      </c>
      <c r="AK338" t="s">
        <v>1188</v>
      </c>
      <c r="AL338" t="s">
        <v>2411</v>
      </c>
      <c r="AM338" t="s">
        <v>1190</v>
      </c>
      <c r="AN338" t="s">
        <v>599</v>
      </c>
      <c r="AO338" t="s">
        <v>2412</v>
      </c>
      <c r="AP338" t="s">
        <v>599</v>
      </c>
      <c r="AQ338" t="s">
        <v>599</v>
      </c>
      <c r="AR338" t="s">
        <v>599</v>
      </c>
      <c r="AS338" t="s">
        <v>599</v>
      </c>
      <c r="AT338" t="s">
        <v>599</v>
      </c>
    </row>
    <row r="339" spans="1:46" s="13" customFormat="1" ht="75" x14ac:dyDescent="0.25">
      <c r="A339" s="9">
        <v>10694</v>
      </c>
      <c r="B339" s="10">
        <v>852331</v>
      </c>
      <c r="C339" s="10">
        <v>1</v>
      </c>
      <c r="D339" s="9">
        <v>12</v>
      </c>
      <c r="E339" s="11" t="s">
        <v>285</v>
      </c>
      <c r="F339" s="12" t="s">
        <v>286</v>
      </c>
      <c r="G339" s="9" t="s">
        <v>287</v>
      </c>
      <c r="H339" s="34"/>
      <c r="I339" s="55" t="str">
        <f t="shared" si="11"/>
        <v>https://permalinkbnd.bnportugal.gov.pt/viewer/277145/?offset=#page=12&amp;viewer=picture&amp;o=info&amp;n=0&amp;q=</v>
      </c>
      <c r="J339" s="45"/>
      <c r="K339" s="45"/>
      <c r="L339" s="45"/>
      <c r="M339" t="s">
        <v>285</v>
      </c>
      <c r="N339">
        <v>277145</v>
      </c>
      <c r="O339" t="str">
        <f t="shared" si="10"/>
        <v>https://permalinkbnd.bnportugal.gov.pt/viewer/277145/?offset=#page=12&amp;viewer=picture&amp;o=info&amp;n=0&amp;q=</v>
      </c>
      <c r="P339">
        <v>852331</v>
      </c>
      <c r="Q339" t="s">
        <v>285</v>
      </c>
      <c r="R339" t="s">
        <v>2413</v>
      </c>
      <c r="S339" t="s">
        <v>1226</v>
      </c>
      <c r="T339" t="s">
        <v>1192</v>
      </c>
      <c r="U339" t="s">
        <v>599</v>
      </c>
      <c r="V339" t="s">
        <v>2414</v>
      </c>
      <c r="W339" t="s">
        <v>2415</v>
      </c>
      <c r="X339" t="s">
        <v>599</v>
      </c>
      <c r="Y339" t="s">
        <v>1182</v>
      </c>
      <c r="Z339" t="s">
        <v>2416</v>
      </c>
      <c r="AA339">
        <v>1889</v>
      </c>
      <c r="AB339">
        <v>1889</v>
      </c>
      <c r="AC339" t="s">
        <v>599</v>
      </c>
      <c r="AD339" t="s">
        <v>599</v>
      </c>
      <c r="AE339" t="s">
        <v>599</v>
      </c>
      <c r="AF339" t="s">
        <v>599</v>
      </c>
      <c r="AG339" t="s">
        <v>2417</v>
      </c>
      <c r="AH339" t="s">
        <v>599</v>
      </c>
      <c r="AI339" t="s">
        <v>599</v>
      </c>
      <c r="AJ339" t="s">
        <v>2418</v>
      </c>
      <c r="AK339" t="s">
        <v>1188</v>
      </c>
      <c r="AL339" t="s">
        <v>2419</v>
      </c>
      <c r="AM339" t="s">
        <v>1190</v>
      </c>
      <c r="AN339" t="s">
        <v>599</v>
      </c>
      <c r="AO339" t="s">
        <v>599</v>
      </c>
      <c r="AP339" t="s">
        <v>599</v>
      </c>
      <c r="AQ339" t="s">
        <v>599</v>
      </c>
      <c r="AR339" t="s">
        <v>599</v>
      </c>
      <c r="AS339" t="s">
        <v>599</v>
      </c>
      <c r="AT339" t="s">
        <v>599</v>
      </c>
    </row>
    <row r="340" spans="1:46" s="13" customFormat="1" ht="75" x14ac:dyDescent="0.25">
      <c r="A340" s="9">
        <v>10695</v>
      </c>
      <c r="B340" s="10">
        <v>852331</v>
      </c>
      <c r="C340" s="10">
        <v>1</v>
      </c>
      <c r="D340" s="9">
        <v>110</v>
      </c>
      <c r="E340" s="11" t="s">
        <v>285</v>
      </c>
      <c r="F340" s="12" t="s">
        <v>286</v>
      </c>
      <c r="G340" s="9" t="s">
        <v>287</v>
      </c>
      <c r="H340" s="34"/>
      <c r="I340" s="55" t="str">
        <f t="shared" si="11"/>
        <v>https://permalinkbnd.bnportugal.gov.pt/viewer/277145/?offset=#page=110&amp;viewer=picture&amp;o=info&amp;n=0&amp;q=</v>
      </c>
      <c r="J340" s="45"/>
      <c r="K340" s="45"/>
      <c r="L340" s="45"/>
      <c r="M340" t="s">
        <v>285</v>
      </c>
      <c r="N340">
        <v>277145</v>
      </c>
      <c r="O340" t="str">
        <f t="shared" si="10"/>
        <v>https://permalinkbnd.bnportugal.gov.pt/viewer/277145/?offset=#page=110&amp;viewer=picture&amp;o=info&amp;n=0&amp;q=</v>
      </c>
      <c r="P340">
        <v>852331</v>
      </c>
      <c r="Q340" t="s">
        <v>285</v>
      </c>
      <c r="R340" t="s">
        <v>2413</v>
      </c>
      <c r="S340" t="s">
        <v>1226</v>
      </c>
      <c r="T340" t="s">
        <v>1192</v>
      </c>
      <c r="U340" t="s">
        <v>599</v>
      </c>
      <c r="V340" t="s">
        <v>2414</v>
      </c>
      <c r="W340" t="s">
        <v>2415</v>
      </c>
      <c r="X340" t="s">
        <v>599</v>
      </c>
      <c r="Y340" t="s">
        <v>1182</v>
      </c>
      <c r="Z340" t="s">
        <v>2416</v>
      </c>
      <c r="AA340">
        <v>1889</v>
      </c>
      <c r="AB340">
        <v>1889</v>
      </c>
      <c r="AC340" t="s">
        <v>599</v>
      </c>
      <c r="AD340" t="s">
        <v>599</v>
      </c>
      <c r="AE340" t="s">
        <v>599</v>
      </c>
      <c r="AF340" t="s">
        <v>599</v>
      </c>
      <c r="AG340" t="s">
        <v>2417</v>
      </c>
      <c r="AH340" t="s">
        <v>599</v>
      </c>
      <c r="AI340" t="s">
        <v>599</v>
      </c>
      <c r="AJ340" t="s">
        <v>2418</v>
      </c>
      <c r="AK340" t="s">
        <v>1188</v>
      </c>
      <c r="AL340" t="s">
        <v>2419</v>
      </c>
      <c r="AM340" t="s">
        <v>1190</v>
      </c>
      <c r="AN340" t="s">
        <v>599</v>
      </c>
      <c r="AO340" t="s">
        <v>599</v>
      </c>
      <c r="AP340" t="s">
        <v>599</v>
      </c>
      <c r="AQ340" t="s">
        <v>599</v>
      </c>
      <c r="AR340" t="s">
        <v>599</v>
      </c>
      <c r="AS340" t="s">
        <v>599</v>
      </c>
      <c r="AT340" t="s">
        <v>599</v>
      </c>
    </row>
    <row r="341" spans="1:46" s="13" customFormat="1" ht="75" x14ac:dyDescent="0.25">
      <c r="A341" s="9">
        <v>10696</v>
      </c>
      <c r="B341" s="10">
        <v>852331</v>
      </c>
      <c r="C341" s="10">
        <v>1</v>
      </c>
      <c r="D341" s="9">
        <v>273</v>
      </c>
      <c r="E341" s="11" t="s">
        <v>285</v>
      </c>
      <c r="F341" s="12" t="s">
        <v>286</v>
      </c>
      <c r="G341" s="9" t="s">
        <v>287</v>
      </c>
      <c r="H341" s="34"/>
      <c r="I341" s="55" t="str">
        <f t="shared" si="11"/>
        <v>https://permalinkbnd.bnportugal.gov.pt/viewer/277145/?offset=#page=273&amp;viewer=picture&amp;o=info&amp;n=0&amp;q=</v>
      </c>
      <c r="J341" s="45"/>
      <c r="K341" s="45"/>
      <c r="L341" s="45"/>
      <c r="M341" t="s">
        <v>285</v>
      </c>
      <c r="N341">
        <v>277145</v>
      </c>
      <c r="O341" t="str">
        <f t="shared" si="10"/>
        <v>https://permalinkbnd.bnportugal.gov.pt/viewer/277145/?offset=#page=273&amp;viewer=picture&amp;o=info&amp;n=0&amp;q=</v>
      </c>
      <c r="P341">
        <v>852331</v>
      </c>
      <c r="Q341" t="s">
        <v>285</v>
      </c>
      <c r="R341" t="s">
        <v>2413</v>
      </c>
      <c r="S341" t="s">
        <v>1226</v>
      </c>
      <c r="T341" t="s">
        <v>1192</v>
      </c>
      <c r="U341" t="s">
        <v>599</v>
      </c>
      <c r="V341" t="s">
        <v>2414</v>
      </c>
      <c r="W341" t="s">
        <v>2415</v>
      </c>
      <c r="X341" t="s">
        <v>599</v>
      </c>
      <c r="Y341" t="s">
        <v>1182</v>
      </c>
      <c r="Z341" t="s">
        <v>2416</v>
      </c>
      <c r="AA341">
        <v>1889</v>
      </c>
      <c r="AB341">
        <v>1889</v>
      </c>
      <c r="AC341" t="s">
        <v>599</v>
      </c>
      <c r="AD341" t="s">
        <v>599</v>
      </c>
      <c r="AE341" t="s">
        <v>599</v>
      </c>
      <c r="AF341" t="s">
        <v>599</v>
      </c>
      <c r="AG341" t="s">
        <v>2417</v>
      </c>
      <c r="AH341" t="s">
        <v>599</v>
      </c>
      <c r="AI341" t="s">
        <v>599</v>
      </c>
      <c r="AJ341" t="s">
        <v>2418</v>
      </c>
      <c r="AK341" t="s">
        <v>1188</v>
      </c>
      <c r="AL341" t="s">
        <v>2419</v>
      </c>
      <c r="AM341" t="s">
        <v>1190</v>
      </c>
      <c r="AN341" t="s">
        <v>599</v>
      </c>
      <c r="AO341" t="s">
        <v>599</v>
      </c>
      <c r="AP341" t="s">
        <v>599</v>
      </c>
      <c r="AQ341" t="s">
        <v>599</v>
      </c>
      <c r="AR341" t="s">
        <v>599</v>
      </c>
      <c r="AS341" t="s">
        <v>599</v>
      </c>
      <c r="AT341" t="s">
        <v>599</v>
      </c>
    </row>
    <row r="342" spans="1:46" s="13" customFormat="1" ht="30" x14ac:dyDescent="0.25">
      <c r="A342" s="9">
        <v>10700</v>
      </c>
      <c r="B342" s="10">
        <v>852140</v>
      </c>
      <c r="C342" s="10">
        <v>1</v>
      </c>
      <c r="D342" s="9">
        <v>23</v>
      </c>
      <c r="E342" s="11" t="s">
        <v>288</v>
      </c>
      <c r="F342" s="12" t="s">
        <v>289</v>
      </c>
      <c r="G342" s="9" t="s">
        <v>290</v>
      </c>
      <c r="H342" s="34"/>
      <c r="I342" s="55" t="str">
        <f t="shared" si="11"/>
        <v>https://permalinkbnd.bnportugal.gov.pt/viewer/273814/?offset=#page=23&amp;viewer=picture&amp;o=info&amp;n=0&amp;q=</v>
      </c>
      <c r="J342" s="45"/>
      <c r="K342" s="45"/>
      <c r="L342" s="45"/>
      <c r="M342" t="s">
        <v>288</v>
      </c>
      <c r="N342">
        <v>273814</v>
      </c>
      <c r="O342" t="str">
        <f t="shared" si="10"/>
        <v>https://permalinkbnd.bnportugal.gov.pt/viewer/273814/?offset=#page=23&amp;viewer=picture&amp;o=info&amp;n=0&amp;q=</v>
      </c>
      <c r="P342">
        <v>852140</v>
      </c>
      <c r="Q342" t="s">
        <v>288</v>
      </c>
      <c r="R342" t="s">
        <v>2420</v>
      </c>
      <c r="S342" t="s">
        <v>1178</v>
      </c>
      <c r="T342" t="s">
        <v>1192</v>
      </c>
      <c r="U342" t="s">
        <v>599</v>
      </c>
      <c r="V342" t="s">
        <v>2421</v>
      </c>
      <c r="W342" t="s">
        <v>2422</v>
      </c>
      <c r="X342" t="s">
        <v>599</v>
      </c>
      <c r="Y342" t="s">
        <v>1182</v>
      </c>
      <c r="Z342" t="s">
        <v>2423</v>
      </c>
      <c r="AA342">
        <v>1898</v>
      </c>
      <c r="AB342">
        <v>1898</v>
      </c>
      <c r="AC342" t="s">
        <v>2424</v>
      </c>
      <c r="AD342" t="s">
        <v>2425</v>
      </c>
      <c r="AE342" t="s">
        <v>599</v>
      </c>
      <c r="AF342" t="s">
        <v>599</v>
      </c>
      <c r="AG342" t="s">
        <v>599</v>
      </c>
      <c r="AH342" t="s">
        <v>599</v>
      </c>
      <c r="AI342" t="s">
        <v>599</v>
      </c>
      <c r="AJ342" t="s">
        <v>2426</v>
      </c>
      <c r="AK342" t="s">
        <v>1188</v>
      </c>
      <c r="AL342" t="s">
        <v>2427</v>
      </c>
      <c r="AM342" t="s">
        <v>1190</v>
      </c>
      <c r="AN342" t="s">
        <v>599</v>
      </c>
      <c r="AO342" t="s">
        <v>599</v>
      </c>
      <c r="AP342" t="s">
        <v>599</v>
      </c>
      <c r="AQ342" t="s">
        <v>599</v>
      </c>
      <c r="AR342" t="s">
        <v>599</v>
      </c>
      <c r="AS342" t="s">
        <v>599</v>
      </c>
      <c r="AT342" t="s">
        <v>599</v>
      </c>
    </row>
    <row r="343" spans="1:46" s="13" customFormat="1" ht="30" x14ac:dyDescent="0.25">
      <c r="A343" s="9">
        <v>10701</v>
      </c>
      <c r="B343" s="10">
        <v>852140</v>
      </c>
      <c r="C343" s="10">
        <v>1</v>
      </c>
      <c r="D343" s="9">
        <v>102</v>
      </c>
      <c r="E343" s="11" t="s">
        <v>288</v>
      </c>
      <c r="F343" s="12" t="s">
        <v>289</v>
      </c>
      <c r="G343" s="9" t="s">
        <v>290</v>
      </c>
      <c r="H343" s="34"/>
      <c r="I343" s="55" t="str">
        <f t="shared" si="11"/>
        <v>https://permalinkbnd.bnportugal.gov.pt/viewer/273814/?offset=#page=102&amp;viewer=picture&amp;o=info&amp;n=0&amp;q=</v>
      </c>
      <c r="J343" s="45"/>
      <c r="K343" s="45"/>
      <c r="L343" s="45"/>
      <c r="M343" t="s">
        <v>288</v>
      </c>
      <c r="N343">
        <v>273814</v>
      </c>
      <c r="O343" t="str">
        <f t="shared" si="10"/>
        <v>https://permalinkbnd.bnportugal.gov.pt/viewer/273814/?offset=#page=102&amp;viewer=picture&amp;o=info&amp;n=0&amp;q=</v>
      </c>
      <c r="P343">
        <v>852140</v>
      </c>
      <c r="Q343" t="s">
        <v>288</v>
      </c>
      <c r="R343" t="s">
        <v>2420</v>
      </c>
      <c r="S343" t="s">
        <v>1178</v>
      </c>
      <c r="T343" t="s">
        <v>1192</v>
      </c>
      <c r="U343" t="s">
        <v>599</v>
      </c>
      <c r="V343" t="s">
        <v>2421</v>
      </c>
      <c r="W343" t="s">
        <v>2422</v>
      </c>
      <c r="X343" t="s">
        <v>599</v>
      </c>
      <c r="Y343" t="s">
        <v>1182</v>
      </c>
      <c r="Z343" t="s">
        <v>2423</v>
      </c>
      <c r="AA343">
        <v>1898</v>
      </c>
      <c r="AB343">
        <v>1898</v>
      </c>
      <c r="AC343" t="s">
        <v>2424</v>
      </c>
      <c r="AD343" t="s">
        <v>2425</v>
      </c>
      <c r="AE343" t="s">
        <v>599</v>
      </c>
      <c r="AF343" t="s">
        <v>599</v>
      </c>
      <c r="AG343" t="s">
        <v>599</v>
      </c>
      <c r="AH343" t="s">
        <v>599</v>
      </c>
      <c r="AI343" t="s">
        <v>599</v>
      </c>
      <c r="AJ343" t="s">
        <v>2426</v>
      </c>
      <c r="AK343" t="s">
        <v>1188</v>
      </c>
      <c r="AL343" t="s">
        <v>2427</v>
      </c>
      <c r="AM343" t="s">
        <v>1190</v>
      </c>
      <c r="AN343" t="s">
        <v>599</v>
      </c>
      <c r="AO343" t="s">
        <v>599</v>
      </c>
      <c r="AP343" t="s">
        <v>599</v>
      </c>
      <c r="AQ343" t="s">
        <v>599</v>
      </c>
      <c r="AR343" t="s">
        <v>599</v>
      </c>
      <c r="AS343" t="s">
        <v>599</v>
      </c>
      <c r="AT343" t="s">
        <v>599</v>
      </c>
    </row>
    <row r="344" spans="1:46" s="13" customFormat="1" ht="30" x14ac:dyDescent="0.25">
      <c r="A344" s="9">
        <v>10702</v>
      </c>
      <c r="B344" s="10">
        <v>852140</v>
      </c>
      <c r="C344" s="10">
        <v>1</v>
      </c>
      <c r="D344" s="9">
        <v>198</v>
      </c>
      <c r="E344" s="11" t="s">
        <v>288</v>
      </c>
      <c r="F344" s="12" t="s">
        <v>289</v>
      </c>
      <c r="G344" s="9" t="s">
        <v>290</v>
      </c>
      <c r="H344" s="34"/>
      <c r="I344" s="55" t="str">
        <f t="shared" si="11"/>
        <v>https://permalinkbnd.bnportugal.gov.pt/viewer/273814/?offset=#page=198&amp;viewer=picture&amp;o=info&amp;n=0&amp;q=</v>
      </c>
      <c r="J344" s="45"/>
      <c r="K344" s="45"/>
      <c r="L344" s="45"/>
      <c r="M344" t="s">
        <v>288</v>
      </c>
      <c r="N344">
        <v>273814</v>
      </c>
      <c r="O344" t="str">
        <f t="shared" si="10"/>
        <v>https://permalinkbnd.bnportugal.gov.pt/viewer/273814/?offset=#page=198&amp;viewer=picture&amp;o=info&amp;n=0&amp;q=</v>
      </c>
      <c r="P344">
        <v>852140</v>
      </c>
      <c r="Q344" t="s">
        <v>288</v>
      </c>
      <c r="R344" t="s">
        <v>2420</v>
      </c>
      <c r="S344" t="s">
        <v>1178</v>
      </c>
      <c r="T344" t="s">
        <v>1192</v>
      </c>
      <c r="U344" t="s">
        <v>599</v>
      </c>
      <c r="V344" t="s">
        <v>2421</v>
      </c>
      <c r="W344" t="s">
        <v>2422</v>
      </c>
      <c r="X344" t="s">
        <v>599</v>
      </c>
      <c r="Y344" t="s">
        <v>1182</v>
      </c>
      <c r="Z344" t="s">
        <v>2423</v>
      </c>
      <c r="AA344">
        <v>1898</v>
      </c>
      <c r="AB344">
        <v>1898</v>
      </c>
      <c r="AC344" t="s">
        <v>2424</v>
      </c>
      <c r="AD344" t="s">
        <v>2425</v>
      </c>
      <c r="AE344" t="s">
        <v>599</v>
      </c>
      <c r="AF344" t="s">
        <v>599</v>
      </c>
      <c r="AG344" t="s">
        <v>599</v>
      </c>
      <c r="AH344" t="s">
        <v>599</v>
      </c>
      <c r="AI344" t="s">
        <v>599</v>
      </c>
      <c r="AJ344" t="s">
        <v>2426</v>
      </c>
      <c r="AK344" t="s">
        <v>1188</v>
      </c>
      <c r="AL344" t="s">
        <v>2427</v>
      </c>
      <c r="AM344" t="s">
        <v>1190</v>
      </c>
      <c r="AN344" t="s">
        <v>599</v>
      </c>
      <c r="AO344" t="s">
        <v>599</v>
      </c>
      <c r="AP344" t="s">
        <v>599</v>
      </c>
      <c r="AQ344" t="s">
        <v>599</v>
      </c>
      <c r="AR344" t="s">
        <v>599</v>
      </c>
      <c r="AS344" t="s">
        <v>599</v>
      </c>
      <c r="AT344" t="s">
        <v>599</v>
      </c>
    </row>
    <row r="345" spans="1:46" s="13" customFormat="1" ht="45" x14ac:dyDescent="0.25">
      <c r="A345" s="9">
        <v>10705</v>
      </c>
      <c r="B345" s="10">
        <v>256620</v>
      </c>
      <c r="C345" s="10">
        <v>1</v>
      </c>
      <c r="D345" s="9">
        <v>8</v>
      </c>
      <c r="E345" s="11" t="s">
        <v>291</v>
      </c>
      <c r="F345" s="12" t="s">
        <v>292</v>
      </c>
      <c r="G345" s="9" t="s">
        <v>293</v>
      </c>
      <c r="H345" s="34"/>
      <c r="I345" s="55" t="str">
        <f t="shared" si="11"/>
        <v>https://permalinkbnd.bnportugal.gov.pt/viewer/277150/?offset=#page=8&amp;viewer=picture&amp;o=info&amp;n=0&amp;q=</v>
      </c>
      <c r="J345" s="45"/>
      <c r="K345" s="45"/>
      <c r="L345" s="45"/>
      <c r="M345" t="s">
        <v>291</v>
      </c>
      <c r="N345">
        <v>277150</v>
      </c>
      <c r="O345" t="str">
        <f t="shared" si="10"/>
        <v>https://permalinkbnd.bnportugal.gov.pt/viewer/277150/?offset=#page=8&amp;viewer=picture&amp;o=info&amp;n=0&amp;q=</v>
      </c>
      <c r="P345">
        <v>256620</v>
      </c>
      <c r="Q345" t="s">
        <v>291</v>
      </c>
      <c r="R345" t="s">
        <v>2428</v>
      </c>
      <c r="S345" t="s">
        <v>1178</v>
      </c>
      <c r="T345" t="s">
        <v>1192</v>
      </c>
      <c r="U345" t="s">
        <v>599</v>
      </c>
      <c r="V345" t="s">
        <v>1551</v>
      </c>
      <c r="W345" t="s">
        <v>599</v>
      </c>
      <c r="X345" t="s">
        <v>599</v>
      </c>
      <c r="Y345" t="s">
        <v>2429</v>
      </c>
      <c r="Z345" t="s">
        <v>2430</v>
      </c>
      <c r="AA345">
        <v>1873</v>
      </c>
      <c r="AB345">
        <v>1873</v>
      </c>
      <c r="AC345" t="s">
        <v>2431</v>
      </c>
      <c r="AD345" t="s">
        <v>1185</v>
      </c>
      <c r="AE345" t="s">
        <v>599</v>
      </c>
      <c r="AF345" t="s">
        <v>599</v>
      </c>
      <c r="AG345" t="s">
        <v>2432</v>
      </c>
      <c r="AH345" t="s">
        <v>599</v>
      </c>
      <c r="AI345" t="s">
        <v>2433</v>
      </c>
      <c r="AJ345" t="s">
        <v>2434</v>
      </c>
      <c r="AK345" t="s">
        <v>1188</v>
      </c>
      <c r="AL345" t="s">
        <v>2435</v>
      </c>
      <c r="AM345" t="s">
        <v>1190</v>
      </c>
      <c r="AN345" t="s">
        <v>599</v>
      </c>
      <c r="AO345" t="s">
        <v>2412</v>
      </c>
      <c r="AP345" t="s">
        <v>599</v>
      </c>
      <c r="AQ345" t="s">
        <v>599</v>
      </c>
      <c r="AR345" t="s">
        <v>599</v>
      </c>
      <c r="AS345" t="s">
        <v>599</v>
      </c>
      <c r="AT345" t="s">
        <v>599</v>
      </c>
    </row>
    <row r="346" spans="1:46" s="13" customFormat="1" ht="45" x14ac:dyDescent="0.25">
      <c r="A346" s="9">
        <v>10706</v>
      </c>
      <c r="B346" s="10">
        <v>256620</v>
      </c>
      <c r="C346" s="10">
        <v>1</v>
      </c>
      <c r="D346" s="9">
        <v>59</v>
      </c>
      <c r="E346" s="11" t="s">
        <v>291</v>
      </c>
      <c r="F346" s="12" t="s">
        <v>292</v>
      </c>
      <c r="G346" s="9" t="s">
        <v>293</v>
      </c>
      <c r="H346" s="34"/>
      <c r="I346" s="55" t="str">
        <f t="shared" si="11"/>
        <v>https://permalinkbnd.bnportugal.gov.pt/viewer/277150/?offset=#page=59&amp;viewer=picture&amp;o=info&amp;n=0&amp;q=</v>
      </c>
      <c r="J346" s="45"/>
      <c r="K346" s="45"/>
      <c r="L346" s="45"/>
      <c r="M346" t="s">
        <v>291</v>
      </c>
      <c r="N346">
        <v>277150</v>
      </c>
      <c r="O346" t="str">
        <f t="shared" si="10"/>
        <v>https://permalinkbnd.bnportugal.gov.pt/viewer/277150/?offset=#page=59&amp;viewer=picture&amp;o=info&amp;n=0&amp;q=</v>
      </c>
      <c r="P346">
        <v>256620</v>
      </c>
      <c r="Q346" t="s">
        <v>291</v>
      </c>
      <c r="R346" t="s">
        <v>2428</v>
      </c>
      <c r="S346" t="s">
        <v>1178</v>
      </c>
      <c r="T346" t="s">
        <v>1192</v>
      </c>
      <c r="U346" t="s">
        <v>599</v>
      </c>
      <c r="V346" t="s">
        <v>1551</v>
      </c>
      <c r="W346" t="s">
        <v>599</v>
      </c>
      <c r="X346" t="s">
        <v>599</v>
      </c>
      <c r="Y346" t="s">
        <v>2429</v>
      </c>
      <c r="Z346" t="s">
        <v>2430</v>
      </c>
      <c r="AA346">
        <v>1873</v>
      </c>
      <c r="AB346">
        <v>1873</v>
      </c>
      <c r="AC346" t="s">
        <v>2431</v>
      </c>
      <c r="AD346" t="s">
        <v>1185</v>
      </c>
      <c r="AE346" t="s">
        <v>599</v>
      </c>
      <c r="AF346" t="s">
        <v>599</v>
      </c>
      <c r="AG346" t="s">
        <v>2432</v>
      </c>
      <c r="AH346" t="s">
        <v>599</v>
      </c>
      <c r="AI346" t="s">
        <v>2433</v>
      </c>
      <c r="AJ346" t="s">
        <v>2434</v>
      </c>
      <c r="AK346" t="s">
        <v>1188</v>
      </c>
      <c r="AL346" t="s">
        <v>2435</v>
      </c>
      <c r="AM346" t="s">
        <v>1190</v>
      </c>
      <c r="AN346" t="s">
        <v>599</v>
      </c>
      <c r="AO346" t="s">
        <v>2412</v>
      </c>
      <c r="AP346" t="s">
        <v>599</v>
      </c>
      <c r="AQ346" t="s">
        <v>599</v>
      </c>
      <c r="AR346" t="s">
        <v>599</v>
      </c>
      <c r="AS346" t="s">
        <v>599</v>
      </c>
      <c r="AT346" t="s">
        <v>599</v>
      </c>
    </row>
    <row r="347" spans="1:46" s="13" customFormat="1" ht="45" x14ac:dyDescent="0.25">
      <c r="A347" s="9">
        <v>10707</v>
      </c>
      <c r="B347" s="10">
        <v>256620</v>
      </c>
      <c r="C347" s="10">
        <v>1</v>
      </c>
      <c r="D347" s="9">
        <v>97</v>
      </c>
      <c r="E347" s="11" t="s">
        <v>291</v>
      </c>
      <c r="F347" s="12" t="s">
        <v>292</v>
      </c>
      <c r="G347" s="9" t="s">
        <v>293</v>
      </c>
      <c r="H347" s="34"/>
      <c r="I347" s="55" t="str">
        <f t="shared" si="11"/>
        <v>https://permalinkbnd.bnportugal.gov.pt/viewer/277150/?offset=#page=97&amp;viewer=picture&amp;o=info&amp;n=0&amp;q=</v>
      </c>
      <c r="J347" s="45"/>
      <c r="K347" s="45"/>
      <c r="L347" s="45"/>
      <c r="M347" t="s">
        <v>291</v>
      </c>
      <c r="N347">
        <v>277150</v>
      </c>
      <c r="O347" t="str">
        <f t="shared" si="10"/>
        <v>https://permalinkbnd.bnportugal.gov.pt/viewer/277150/?offset=#page=97&amp;viewer=picture&amp;o=info&amp;n=0&amp;q=</v>
      </c>
      <c r="P347">
        <v>256620</v>
      </c>
      <c r="Q347" t="s">
        <v>291</v>
      </c>
      <c r="R347" t="s">
        <v>2428</v>
      </c>
      <c r="S347" t="s">
        <v>1178</v>
      </c>
      <c r="T347" t="s">
        <v>1192</v>
      </c>
      <c r="U347" t="s">
        <v>599</v>
      </c>
      <c r="V347" t="s">
        <v>1551</v>
      </c>
      <c r="W347" t="s">
        <v>599</v>
      </c>
      <c r="X347" t="s">
        <v>599</v>
      </c>
      <c r="Y347" t="s">
        <v>2429</v>
      </c>
      <c r="Z347" t="s">
        <v>2430</v>
      </c>
      <c r="AA347">
        <v>1873</v>
      </c>
      <c r="AB347">
        <v>1873</v>
      </c>
      <c r="AC347" t="s">
        <v>2431</v>
      </c>
      <c r="AD347" t="s">
        <v>1185</v>
      </c>
      <c r="AE347" t="s">
        <v>599</v>
      </c>
      <c r="AF347" t="s">
        <v>599</v>
      </c>
      <c r="AG347" t="s">
        <v>2432</v>
      </c>
      <c r="AH347" t="s">
        <v>599</v>
      </c>
      <c r="AI347" t="s">
        <v>2433</v>
      </c>
      <c r="AJ347" t="s">
        <v>2434</v>
      </c>
      <c r="AK347" t="s">
        <v>1188</v>
      </c>
      <c r="AL347" t="s">
        <v>2435</v>
      </c>
      <c r="AM347" t="s">
        <v>1190</v>
      </c>
      <c r="AN347" t="s">
        <v>599</v>
      </c>
      <c r="AO347" t="s">
        <v>2412</v>
      </c>
      <c r="AP347" t="s">
        <v>599</v>
      </c>
      <c r="AQ347" t="s">
        <v>599</v>
      </c>
      <c r="AR347" t="s">
        <v>599</v>
      </c>
      <c r="AS347" t="s">
        <v>599</v>
      </c>
      <c r="AT347" t="s">
        <v>599</v>
      </c>
    </row>
    <row r="348" spans="1:46" s="13" customFormat="1" ht="45" x14ac:dyDescent="0.25">
      <c r="A348" s="9">
        <v>10708</v>
      </c>
      <c r="B348" s="10">
        <v>256620</v>
      </c>
      <c r="C348" s="10">
        <v>1</v>
      </c>
      <c r="D348" s="9">
        <v>139</v>
      </c>
      <c r="E348" s="11" t="s">
        <v>291</v>
      </c>
      <c r="F348" s="12" t="s">
        <v>292</v>
      </c>
      <c r="G348" s="9" t="s">
        <v>293</v>
      </c>
      <c r="H348" s="34"/>
      <c r="I348" s="55" t="str">
        <f t="shared" si="11"/>
        <v>https://permalinkbnd.bnportugal.gov.pt/viewer/277150/?offset=#page=139&amp;viewer=picture&amp;o=info&amp;n=0&amp;q=</v>
      </c>
      <c r="J348" s="45"/>
      <c r="K348" s="45"/>
      <c r="L348" s="45"/>
      <c r="M348" t="s">
        <v>291</v>
      </c>
      <c r="N348">
        <v>277150</v>
      </c>
      <c r="O348" t="str">
        <f t="shared" si="10"/>
        <v>https://permalinkbnd.bnportugal.gov.pt/viewer/277150/?offset=#page=139&amp;viewer=picture&amp;o=info&amp;n=0&amp;q=</v>
      </c>
      <c r="P348">
        <v>256620</v>
      </c>
      <c r="Q348" t="s">
        <v>291</v>
      </c>
      <c r="R348" t="s">
        <v>2428</v>
      </c>
      <c r="S348" t="s">
        <v>1178</v>
      </c>
      <c r="T348" t="s">
        <v>1192</v>
      </c>
      <c r="U348" t="s">
        <v>599</v>
      </c>
      <c r="V348" t="s">
        <v>1551</v>
      </c>
      <c r="W348" t="s">
        <v>599</v>
      </c>
      <c r="X348" t="s">
        <v>599</v>
      </c>
      <c r="Y348" t="s">
        <v>2429</v>
      </c>
      <c r="Z348" t="s">
        <v>2430</v>
      </c>
      <c r="AA348">
        <v>1873</v>
      </c>
      <c r="AB348">
        <v>1873</v>
      </c>
      <c r="AC348" t="s">
        <v>2431</v>
      </c>
      <c r="AD348" t="s">
        <v>1185</v>
      </c>
      <c r="AE348" t="s">
        <v>599</v>
      </c>
      <c r="AF348" t="s">
        <v>599</v>
      </c>
      <c r="AG348" t="s">
        <v>2432</v>
      </c>
      <c r="AH348" t="s">
        <v>599</v>
      </c>
      <c r="AI348" t="s">
        <v>2433</v>
      </c>
      <c r="AJ348" t="s">
        <v>2434</v>
      </c>
      <c r="AK348" t="s">
        <v>1188</v>
      </c>
      <c r="AL348" t="s">
        <v>2435</v>
      </c>
      <c r="AM348" t="s">
        <v>1190</v>
      </c>
      <c r="AN348" t="s">
        <v>599</v>
      </c>
      <c r="AO348" t="s">
        <v>2412</v>
      </c>
      <c r="AP348" t="s">
        <v>599</v>
      </c>
      <c r="AQ348" t="s">
        <v>599</v>
      </c>
      <c r="AR348" t="s">
        <v>599</v>
      </c>
      <c r="AS348" t="s">
        <v>599</v>
      </c>
      <c r="AT348" t="s">
        <v>599</v>
      </c>
    </row>
    <row r="349" spans="1:46" s="13" customFormat="1" ht="45" x14ac:dyDescent="0.25">
      <c r="A349" s="9">
        <v>10709</v>
      </c>
      <c r="B349" s="10">
        <v>256620</v>
      </c>
      <c r="C349" s="10">
        <v>1</v>
      </c>
      <c r="D349" s="9">
        <v>191</v>
      </c>
      <c r="E349" s="11" t="s">
        <v>291</v>
      </c>
      <c r="F349" s="12" t="s">
        <v>292</v>
      </c>
      <c r="G349" s="9" t="s">
        <v>293</v>
      </c>
      <c r="H349" s="34"/>
      <c r="I349" s="55" t="str">
        <f t="shared" si="11"/>
        <v>https://permalinkbnd.bnportugal.gov.pt/viewer/277150/?offset=#page=191&amp;viewer=picture&amp;o=info&amp;n=0&amp;q=</v>
      </c>
      <c r="J349" s="45"/>
      <c r="K349" s="45"/>
      <c r="L349" s="45"/>
      <c r="M349" t="s">
        <v>291</v>
      </c>
      <c r="N349">
        <v>277150</v>
      </c>
      <c r="O349" t="str">
        <f t="shared" si="10"/>
        <v>https://permalinkbnd.bnportugal.gov.pt/viewer/277150/?offset=#page=191&amp;viewer=picture&amp;o=info&amp;n=0&amp;q=</v>
      </c>
      <c r="P349">
        <v>256620</v>
      </c>
      <c r="Q349" t="s">
        <v>291</v>
      </c>
      <c r="R349" t="s">
        <v>2428</v>
      </c>
      <c r="S349" t="s">
        <v>1178</v>
      </c>
      <c r="T349" t="s">
        <v>1192</v>
      </c>
      <c r="U349" t="s">
        <v>599</v>
      </c>
      <c r="V349" t="s">
        <v>1551</v>
      </c>
      <c r="W349" t="s">
        <v>599</v>
      </c>
      <c r="X349" t="s">
        <v>599</v>
      </c>
      <c r="Y349" t="s">
        <v>2429</v>
      </c>
      <c r="Z349" t="s">
        <v>2430</v>
      </c>
      <c r="AA349">
        <v>1873</v>
      </c>
      <c r="AB349">
        <v>1873</v>
      </c>
      <c r="AC349" t="s">
        <v>2431</v>
      </c>
      <c r="AD349" t="s">
        <v>1185</v>
      </c>
      <c r="AE349" t="s">
        <v>599</v>
      </c>
      <c r="AF349" t="s">
        <v>599</v>
      </c>
      <c r="AG349" t="s">
        <v>2432</v>
      </c>
      <c r="AH349" t="s">
        <v>599</v>
      </c>
      <c r="AI349" t="s">
        <v>2433</v>
      </c>
      <c r="AJ349" t="s">
        <v>2434</v>
      </c>
      <c r="AK349" t="s">
        <v>1188</v>
      </c>
      <c r="AL349" t="s">
        <v>2435</v>
      </c>
      <c r="AM349" t="s">
        <v>1190</v>
      </c>
      <c r="AN349" t="s">
        <v>599</v>
      </c>
      <c r="AO349" t="s">
        <v>2412</v>
      </c>
      <c r="AP349" t="s">
        <v>599</v>
      </c>
      <c r="AQ349" t="s">
        <v>599</v>
      </c>
      <c r="AR349" t="s">
        <v>599</v>
      </c>
      <c r="AS349" t="s">
        <v>599</v>
      </c>
      <c r="AT349" t="s">
        <v>599</v>
      </c>
    </row>
    <row r="350" spans="1:46" s="13" customFormat="1" ht="45" x14ac:dyDescent="0.25">
      <c r="A350" s="9">
        <v>10710</v>
      </c>
      <c r="B350" s="10">
        <v>256620</v>
      </c>
      <c r="C350" s="10">
        <v>1</v>
      </c>
      <c r="D350" s="9">
        <v>229</v>
      </c>
      <c r="E350" s="11" t="s">
        <v>291</v>
      </c>
      <c r="F350" s="12" t="s">
        <v>292</v>
      </c>
      <c r="G350" s="9" t="s">
        <v>293</v>
      </c>
      <c r="H350" s="34"/>
      <c r="I350" s="55" t="str">
        <f t="shared" si="11"/>
        <v>https://permalinkbnd.bnportugal.gov.pt/viewer/277150/?offset=#page=229&amp;viewer=picture&amp;o=info&amp;n=0&amp;q=</v>
      </c>
      <c r="J350" s="45"/>
      <c r="K350" s="45"/>
      <c r="L350" s="45"/>
      <c r="M350" t="s">
        <v>291</v>
      </c>
      <c r="N350">
        <v>277150</v>
      </c>
      <c r="O350" t="str">
        <f t="shared" si="10"/>
        <v>https://permalinkbnd.bnportugal.gov.pt/viewer/277150/?offset=#page=229&amp;viewer=picture&amp;o=info&amp;n=0&amp;q=</v>
      </c>
      <c r="P350">
        <v>256620</v>
      </c>
      <c r="Q350" t="s">
        <v>291</v>
      </c>
      <c r="R350" t="s">
        <v>2428</v>
      </c>
      <c r="S350" t="s">
        <v>1178</v>
      </c>
      <c r="T350" t="s">
        <v>1192</v>
      </c>
      <c r="U350" t="s">
        <v>599</v>
      </c>
      <c r="V350" t="s">
        <v>1551</v>
      </c>
      <c r="W350" t="s">
        <v>599</v>
      </c>
      <c r="X350" t="s">
        <v>599</v>
      </c>
      <c r="Y350" t="s">
        <v>2429</v>
      </c>
      <c r="Z350" t="s">
        <v>2430</v>
      </c>
      <c r="AA350">
        <v>1873</v>
      </c>
      <c r="AB350">
        <v>1873</v>
      </c>
      <c r="AC350" t="s">
        <v>2431</v>
      </c>
      <c r="AD350" t="s">
        <v>1185</v>
      </c>
      <c r="AE350" t="s">
        <v>599</v>
      </c>
      <c r="AF350" t="s">
        <v>599</v>
      </c>
      <c r="AG350" t="s">
        <v>2432</v>
      </c>
      <c r="AH350" t="s">
        <v>599</v>
      </c>
      <c r="AI350" t="s">
        <v>2433</v>
      </c>
      <c r="AJ350" t="s">
        <v>2434</v>
      </c>
      <c r="AK350" t="s">
        <v>1188</v>
      </c>
      <c r="AL350" t="s">
        <v>2435</v>
      </c>
      <c r="AM350" t="s">
        <v>1190</v>
      </c>
      <c r="AN350" t="s">
        <v>599</v>
      </c>
      <c r="AO350" t="s">
        <v>2412</v>
      </c>
      <c r="AP350" t="s">
        <v>599</v>
      </c>
      <c r="AQ350" t="s">
        <v>599</v>
      </c>
      <c r="AR350" t="s">
        <v>599</v>
      </c>
      <c r="AS350" t="s">
        <v>599</v>
      </c>
      <c r="AT350" t="s">
        <v>599</v>
      </c>
    </row>
    <row r="351" spans="1:46" s="13" customFormat="1" ht="45" x14ac:dyDescent="0.25">
      <c r="A351" s="9">
        <v>10711</v>
      </c>
      <c r="B351" s="10">
        <v>256620</v>
      </c>
      <c r="C351" s="10">
        <v>1</v>
      </c>
      <c r="D351" s="9">
        <v>265</v>
      </c>
      <c r="E351" s="11" t="s">
        <v>291</v>
      </c>
      <c r="F351" s="12" t="s">
        <v>292</v>
      </c>
      <c r="G351" s="9" t="s">
        <v>293</v>
      </c>
      <c r="H351" s="34"/>
      <c r="I351" s="55" t="str">
        <f t="shared" si="11"/>
        <v>https://permalinkbnd.bnportugal.gov.pt/viewer/277150/?offset=#page=265&amp;viewer=picture&amp;o=info&amp;n=0&amp;q=</v>
      </c>
      <c r="J351" s="45"/>
      <c r="K351" s="45"/>
      <c r="L351" s="45"/>
      <c r="M351" t="s">
        <v>291</v>
      </c>
      <c r="N351">
        <v>277150</v>
      </c>
      <c r="O351" t="str">
        <f t="shared" si="10"/>
        <v>https://permalinkbnd.bnportugal.gov.pt/viewer/277150/?offset=#page=265&amp;viewer=picture&amp;o=info&amp;n=0&amp;q=</v>
      </c>
      <c r="P351">
        <v>256620</v>
      </c>
      <c r="Q351" t="s">
        <v>291</v>
      </c>
      <c r="R351" t="s">
        <v>2428</v>
      </c>
      <c r="S351" t="s">
        <v>1178</v>
      </c>
      <c r="T351" t="s">
        <v>1192</v>
      </c>
      <c r="U351" t="s">
        <v>599</v>
      </c>
      <c r="V351" t="s">
        <v>1551</v>
      </c>
      <c r="W351" t="s">
        <v>599</v>
      </c>
      <c r="X351" t="s">
        <v>599</v>
      </c>
      <c r="Y351" t="s">
        <v>2429</v>
      </c>
      <c r="Z351" t="s">
        <v>2430</v>
      </c>
      <c r="AA351">
        <v>1873</v>
      </c>
      <c r="AB351">
        <v>1873</v>
      </c>
      <c r="AC351" t="s">
        <v>2431</v>
      </c>
      <c r="AD351" t="s">
        <v>1185</v>
      </c>
      <c r="AE351" t="s">
        <v>599</v>
      </c>
      <c r="AF351" t="s">
        <v>599</v>
      </c>
      <c r="AG351" t="s">
        <v>2432</v>
      </c>
      <c r="AH351" t="s">
        <v>599</v>
      </c>
      <c r="AI351" t="s">
        <v>2433</v>
      </c>
      <c r="AJ351" t="s">
        <v>2434</v>
      </c>
      <c r="AK351" t="s">
        <v>1188</v>
      </c>
      <c r="AL351" t="s">
        <v>2435</v>
      </c>
      <c r="AM351" t="s">
        <v>1190</v>
      </c>
      <c r="AN351" t="s">
        <v>599</v>
      </c>
      <c r="AO351" t="s">
        <v>2412</v>
      </c>
      <c r="AP351" t="s">
        <v>599</v>
      </c>
      <c r="AQ351" t="s">
        <v>599</v>
      </c>
      <c r="AR351" t="s">
        <v>599</v>
      </c>
      <c r="AS351" t="s">
        <v>599</v>
      </c>
      <c r="AT351" t="s">
        <v>599</v>
      </c>
    </row>
    <row r="352" spans="1:46" s="13" customFormat="1" ht="45" x14ac:dyDescent="0.25">
      <c r="A352" s="9">
        <v>10712</v>
      </c>
      <c r="B352" s="10">
        <v>256620</v>
      </c>
      <c r="C352" s="10">
        <v>1</v>
      </c>
      <c r="D352" s="9">
        <v>301</v>
      </c>
      <c r="E352" s="11" t="s">
        <v>291</v>
      </c>
      <c r="F352" s="12" t="s">
        <v>292</v>
      </c>
      <c r="G352" s="9" t="s">
        <v>293</v>
      </c>
      <c r="H352" s="34"/>
      <c r="I352" s="55" t="str">
        <f t="shared" si="11"/>
        <v>https://permalinkbnd.bnportugal.gov.pt/viewer/277150/?offset=#page=301&amp;viewer=picture&amp;o=info&amp;n=0&amp;q=</v>
      </c>
      <c r="J352" s="45"/>
      <c r="K352" s="45"/>
      <c r="L352" s="45"/>
      <c r="M352" t="s">
        <v>291</v>
      </c>
      <c r="N352">
        <v>277150</v>
      </c>
      <c r="O352" t="str">
        <f t="shared" si="10"/>
        <v>https://permalinkbnd.bnportugal.gov.pt/viewer/277150/?offset=#page=301&amp;viewer=picture&amp;o=info&amp;n=0&amp;q=</v>
      </c>
      <c r="P352">
        <v>256620</v>
      </c>
      <c r="Q352" t="s">
        <v>291</v>
      </c>
      <c r="R352" t="s">
        <v>2428</v>
      </c>
      <c r="S352" t="s">
        <v>1178</v>
      </c>
      <c r="T352" t="s">
        <v>1192</v>
      </c>
      <c r="U352" t="s">
        <v>599</v>
      </c>
      <c r="V352" t="s">
        <v>1551</v>
      </c>
      <c r="W352" t="s">
        <v>599</v>
      </c>
      <c r="X352" t="s">
        <v>599</v>
      </c>
      <c r="Y352" t="s">
        <v>2429</v>
      </c>
      <c r="Z352" t="s">
        <v>2430</v>
      </c>
      <c r="AA352">
        <v>1873</v>
      </c>
      <c r="AB352">
        <v>1873</v>
      </c>
      <c r="AC352" t="s">
        <v>2431</v>
      </c>
      <c r="AD352" t="s">
        <v>1185</v>
      </c>
      <c r="AE352" t="s">
        <v>599</v>
      </c>
      <c r="AF352" t="s">
        <v>599</v>
      </c>
      <c r="AG352" t="s">
        <v>2432</v>
      </c>
      <c r="AH352" t="s">
        <v>599</v>
      </c>
      <c r="AI352" t="s">
        <v>2433</v>
      </c>
      <c r="AJ352" t="s">
        <v>2434</v>
      </c>
      <c r="AK352" t="s">
        <v>1188</v>
      </c>
      <c r="AL352" t="s">
        <v>2435</v>
      </c>
      <c r="AM352" t="s">
        <v>1190</v>
      </c>
      <c r="AN352" t="s">
        <v>599</v>
      </c>
      <c r="AO352" t="s">
        <v>2412</v>
      </c>
      <c r="AP352" t="s">
        <v>599</v>
      </c>
      <c r="AQ352" t="s">
        <v>599</v>
      </c>
      <c r="AR352" t="s">
        <v>599</v>
      </c>
      <c r="AS352" t="s">
        <v>599</v>
      </c>
      <c r="AT352" t="s">
        <v>599</v>
      </c>
    </row>
    <row r="353" spans="1:46" s="13" customFormat="1" ht="45" x14ac:dyDescent="0.25">
      <c r="A353" s="9">
        <v>10713</v>
      </c>
      <c r="B353" s="10">
        <v>256620</v>
      </c>
      <c r="C353" s="10">
        <v>1</v>
      </c>
      <c r="D353" s="9">
        <v>333</v>
      </c>
      <c r="E353" s="11" t="s">
        <v>291</v>
      </c>
      <c r="F353" s="12" t="s">
        <v>292</v>
      </c>
      <c r="G353" s="9" t="s">
        <v>293</v>
      </c>
      <c r="H353" s="34"/>
      <c r="I353" s="55" t="str">
        <f t="shared" si="11"/>
        <v>https://permalinkbnd.bnportugal.gov.pt/viewer/277150/?offset=#page=333&amp;viewer=picture&amp;o=info&amp;n=0&amp;q=</v>
      </c>
      <c r="J353" s="45"/>
      <c r="K353" s="45"/>
      <c r="L353" s="45"/>
      <c r="M353" t="s">
        <v>291</v>
      </c>
      <c r="N353">
        <v>277150</v>
      </c>
      <c r="O353" t="str">
        <f t="shared" si="10"/>
        <v>https://permalinkbnd.bnportugal.gov.pt/viewer/277150/?offset=#page=333&amp;viewer=picture&amp;o=info&amp;n=0&amp;q=</v>
      </c>
      <c r="P353">
        <v>256620</v>
      </c>
      <c r="Q353" t="s">
        <v>291</v>
      </c>
      <c r="R353" t="s">
        <v>2428</v>
      </c>
      <c r="S353" t="s">
        <v>1178</v>
      </c>
      <c r="T353" t="s">
        <v>1192</v>
      </c>
      <c r="U353" t="s">
        <v>599</v>
      </c>
      <c r="V353" t="s">
        <v>1551</v>
      </c>
      <c r="W353" t="s">
        <v>599</v>
      </c>
      <c r="X353" t="s">
        <v>599</v>
      </c>
      <c r="Y353" t="s">
        <v>2429</v>
      </c>
      <c r="Z353" t="s">
        <v>2430</v>
      </c>
      <c r="AA353">
        <v>1873</v>
      </c>
      <c r="AB353">
        <v>1873</v>
      </c>
      <c r="AC353" t="s">
        <v>2431</v>
      </c>
      <c r="AD353" t="s">
        <v>1185</v>
      </c>
      <c r="AE353" t="s">
        <v>599</v>
      </c>
      <c r="AF353" t="s">
        <v>599</v>
      </c>
      <c r="AG353" t="s">
        <v>2432</v>
      </c>
      <c r="AH353" t="s">
        <v>599</v>
      </c>
      <c r="AI353" t="s">
        <v>2433</v>
      </c>
      <c r="AJ353" t="s">
        <v>2434</v>
      </c>
      <c r="AK353" t="s">
        <v>1188</v>
      </c>
      <c r="AL353" t="s">
        <v>2435</v>
      </c>
      <c r="AM353" t="s">
        <v>1190</v>
      </c>
      <c r="AN353" t="s">
        <v>599</v>
      </c>
      <c r="AO353" t="s">
        <v>2412</v>
      </c>
      <c r="AP353" t="s">
        <v>599</v>
      </c>
      <c r="AQ353" t="s">
        <v>599</v>
      </c>
      <c r="AR353" t="s">
        <v>599</v>
      </c>
      <c r="AS353" t="s">
        <v>599</v>
      </c>
      <c r="AT353" t="s">
        <v>599</v>
      </c>
    </row>
    <row r="354" spans="1:46" s="13" customFormat="1" ht="45" x14ac:dyDescent="0.25">
      <c r="A354" s="9">
        <v>10714</v>
      </c>
      <c r="B354" s="10">
        <v>256620</v>
      </c>
      <c r="C354" s="10">
        <v>1</v>
      </c>
      <c r="D354" s="9">
        <v>369</v>
      </c>
      <c r="E354" s="11" t="s">
        <v>291</v>
      </c>
      <c r="F354" s="12" t="s">
        <v>292</v>
      </c>
      <c r="G354" s="9" t="s">
        <v>293</v>
      </c>
      <c r="H354" s="34"/>
      <c r="I354" s="55" t="str">
        <f t="shared" si="11"/>
        <v>https://permalinkbnd.bnportugal.gov.pt/viewer/277150/?offset=#page=369&amp;viewer=picture&amp;o=info&amp;n=0&amp;q=</v>
      </c>
      <c r="J354" s="45"/>
      <c r="K354" s="45"/>
      <c r="L354" s="45"/>
      <c r="M354" t="s">
        <v>291</v>
      </c>
      <c r="N354">
        <v>277150</v>
      </c>
      <c r="O354" t="str">
        <f t="shared" si="10"/>
        <v>https://permalinkbnd.bnportugal.gov.pt/viewer/277150/?offset=#page=369&amp;viewer=picture&amp;o=info&amp;n=0&amp;q=</v>
      </c>
      <c r="P354">
        <v>256620</v>
      </c>
      <c r="Q354" t="s">
        <v>291</v>
      </c>
      <c r="R354" t="s">
        <v>2428</v>
      </c>
      <c r="S354" t="s">
        <v>1178</v>
      </c>
      <c r="T354" t="s">
        <v>1192</v>
      </c>
      <c r="U354" t="s">
        <v>599</v>
      </c>
      <c r="V354" t="s">
        <v>1551</v>
      </c>
      <c r="W354" t="s">
        <v>599</v>
      </c>
      <c r="X354" t="s">
        <v>599</v>
      </c>
      <c r="Y354" t="s">
        <v>2429</v>
      </c>
      <c r="Z354" t="s">
        <v>2430</v>
      </c>
      <c r="AA354">
        <v>1873</v>
      </c>
      <c r="AB354">
        <v>1873</v>
      </c>
      <c r="AC354" t="s">
        <v>2431</v>
      </c>
      <c r="AD354" t="s">
        <v>1185</v>
      </c>
      <c r="AE354" t="s">
        <v>599</v>
      </c>
      <c r="AF354" t="s">
        <v>599</v>
      </c>
      <c r="AG354" t="s">
        <v>2432</v>
      </c>
      <c r="AH354" t="s">
        <v>599</v>
      </c>
      <c r="AI354" t="s">
        <v>2433</v>
      </c>
      <c r="AJ354" t="s">
        <v>2434</v>
      </c>
      <c r="AK354" t="s">
        <v>1188</v>
      </c>
      <c r="AL354" t="s">
        <v>2435</v>
      </c>
      <c r="AM354" t="s">
        <v>1190</v>
      </c>
      <c r="AN354" t="s">
        <v>599</v>
      </c>
      <c r="AO354" t="s">
        <v>2412</v>
      </c>
      <c r="AP354" t="s">
        <v>599</v>
      </c>
      <c r="AQ354" t="s">
        <v>599</v>
      </c>
      <c r="AR354" t="s">
        <v>599</v>
      </c>
      <c r="AS354" t="s">
        <v>599</v>
      </c>
      <c r="AT354" t="s">
        <v>599</v>
      </c>
    </row>
    <row r="355" spans="1:46" s="13" customFormat="1" ht="45" x14ac:dyDescent="0.25">
      <c r="A355" s="9">
        <v>10715</v>
      </c>
      <c r="B355" s="10">
        <v>256620</v>
      </c>
      <c r="C355" s="10">
        <v>1</v>
      </c>
      <c r="D355" s="9">
        <v>405</v>
      </c>
      <c r="E355" s="11" t="s">
        <v>291</v>
      </c>
      <c r="F355" s="12" t="s">
        <v>292</v>
      </c>
      <c r="G355" s="9" t="s">
        <v>293</v>
      </c>
      <c r="H355" s="34"/>
      <c r="I355" s="55" t="str">
        <f t="shared" si="11"/>
        <v>https://permalinkbnd.bnportugal.gov.pt/viewer/277150/?offset=#page=405&amp;viewer=picture&amp;o=info&amp;n=0&amp;q=</v>
      </c>
      <c r="J355" s="45"/>
      <c r="K355" s="45"/>
      <c r="L355" s="45"/>
      <c r="M355" t="s">
        <v>291</v>
      </c>
      <c r="N355">
        <v>277150</v>
      </c>
      <c r="O355" t="str">
        <f t="shared" si="10"/>
        <v>https://permalinkbnd.bnportugal.gov.pt/viewer/277150/?offset=#page=405&amp;viewer=picture&amp;o=info&amp;n=0&amp;q=</v>
      </c>
      <c r="P355">
        <v>256620</v>
      </c>
      <c r="Q355" t="s">
        <v>291</v>
      </c>
      <c r="R355" t="s">
        <v>2428</v>
      </c>
      <c r="S355" t="s">
        <v>1178</v>
      </c>
      <c r="T355" t="s">
        <v>1192</v>
      </c>
      <c r="U355" t="s">
        <v>599</v>
      </c>
      <c r="V355" t="s">
        <v>1551</v>
      </c>
      <c r="W355" t="s">
        <v>599</v>
      </c>
      <c r="X355" t="s">
        <v>599</v>
      </c>
      <c r="Y355" t="s">
        <v>2429</v>
      </c>
      <c r="Z355" t="s">
        <v>2430</v>
      </c>
      <c r="AA355">
        <v>1873</v>
      </c>
      <c r="AB355">
        <v>1873</v>
      </c>
      <c r="AC355" t="s">
        <v>2431</v>
      </c>
      <c r="AD355" t="s">
        <v>1185</v>
      </c>
      <c r="AE355" t="s">
        <v>599</v>
      </c>
      <c r="AF355" t="s">
        <v>599</v>
      </c>
      <c r="AG355" t="s">
        <v>2432</v>
      </c>
      <c r="AH355" t="s">
        <v>599</v>
      </c>
      <c r="AI355" t="s">
        <v>2433</v>
      </c>
      <c r="AJ355" t="s">
        <v>2434</v>
      </c>
      <c r="AK355" t="s">
        <v>1188</v>
      </c>
      <c r="AL355" t="s">
        <v>2435</v>
      </c>
      <c r="AM355" t="s">
        <v>1190</v>
      </c>
      <c r="AN355" t="s">
        <v>599</v>
      </c>
      <c r="AO355" t="s">
        <v>2412</v>
      </c>
      <c r="AP355" t="s">
        <v>599</v>
      </c>
      <c r="AQ355" t="s">
        <v>599</v>
      </c>
      <c r="AR355" t="s">
        <v>599</v>
      </c>
      <c r="AS355" t="s">
        <v>599</v>
      </c>
      <c r="AT355" t="s">
        <v>599</v>
      </c>
    </row>
    <row r="356" spans="1:46" s="13" customFormat="1" ht="30" x14ac:dyDescent="0.25">
      <c r="A356" s="9">
        <v>10725</v>
      </c>
      <c r="B356" s="10">
        <v>257364</v>
      </c>
      <c r="C356" s="10">
        <v>1</v>
      </c>
      <c r="D356" s="9">
        <v>6</v>
      </c>
      <c r="E356" s="11" t="s">
        <v>294</v>
      </c>
      <c r="F356" s="12" t="s">
        <v>295</v>
      </c>
      <c r="G356" s="9">
        <v>6</v>
      </c>
      <c r="H356" s="34"/>
      <c r="I356" s="55" t="str">
        <f t="shared" si="11"/>
        <v>https://permalinkbnd.bnportugal.gov.pt/viewer/281138/?offset=#page=6&amp;viewer=picture&amp;o=info&amp;n=0&amp;q=</v>
      </c>
      <c r="J356" s="45"/>
      <c r="K356" s="45"/>
      <c r="L356" s="45"/>
      <c r="M356" t="s">
        <v>294</v>
      </c>
      <c r="N356">
        <v>281138</v>
      </c>
      <c r="O356" t="str">
        <f t="shared" si="10"/>
        <v>https://permalinkbnd.bnportugal.gov.pt/viewer/281138/?offset=#page=6&amp;viewer=picture&amp;o=info&amp;n=0&amp;q=</v>
      </c>
      <c r="P356">
        <v>257364</v>
      </c>
      <c r="Q356" t="s">
        <v>294</v>
      </c>
      <c r="R356" t="s">
        <v>2436</v>
      </c>
      <c r="S356" t="s">
        <v>1178</v>
      </c>
      <c r="T356" t="s">
        <v>1192</v>
      </c>
      <c r="U356" t="s">
        <v>599</v>
      </c>
      <c r="V356" t="s">
        <v>1551</v>
      </c>
      <c r="W356" t="s">
        <v>599</v>
      </c>
      <c r="X356" t="s">
        <v>599</v>
      </c>
      <c r="Y356" t="s">
        <v>2437</v>
      </c>
      <c r="Z356" t="s">
        <v>2438</v>
      </c>
      <c r="AA356">
        <v>1875</v>
      </c>
      <c r="AB356">
        <v>1875</v>
      </c>
      <c r="AC356" t="s">
        <v>2439</v>
      </c>
      <c r="AD356" t="s">
        <v>1185</v>
      </c>
      <c r="AE356" t="s">
        <v>599</v>
      </c>
      <c r="AF356" t="s">
        <v>599</v>
      </c>
      <c r="AG356" t="s">
        <v>2440</v>
      </c>
      <c r="AH356" t="s">
        <v>599</v>
      </c>
      <c r="AI356" t="s">
        <v>2441</v>
      </c>
      <c r="AJ356" t="s">
        <v>2442</v>
      </c>
      <c r="AK356" t="s">
        <v>1188</v>
      </c>
      <c r="AL356" t="s">
        <v>2443</v>
      </c>
      <c r="AM356" t="s">
        <v>1190</v>
      </c>
      <c r="AN356" t="s">
        <v>599</v>
      </c>
      <c r="AO356" t="s">
        <v>599</v>
      </c>
      <c r="AP356" t="s">
        <v>599</v>
      </c>
      <c r="AQ356" t="s">
        <v>599</v>
      </c>
      <c r="AR356" t="s">
        <v>599</v>
      </c>
      <c r="AS356" t="s">
        <v>599</v>
      </c>
      <c r="AT356" t="s">
        <v>599</v>
      </c>
    </row>
    <row r="357" spans="1:46" s="13" customFormat="1" ht="30" x14ac:dyDescent="0.25">
      <c r="A357" s="9">
        <v>10728</v>
      </c>
      <c r="B357" s="10">
        <v>196562</v>
      </c>
      <c r="C357" s="10">
        <v>1</v>
      </c>
      <c r="D357" s="9">
        <v>11</v>
      </c>
      <c r="E357" s="11" t="s">
        <v>296</v>
      </c>
      <c r="F357" s="12">
        <v>11</v>
      </c>
      <c r="G357" s="9">
        <v>11</v>
      </c>
      <c r="H357" s="34"/>
      <c r="I357" s="55" t="str">
        <f t="shared" si="11"/>
        <v>https://permalinkbnd.bnportugal.gov.pt/viewer/1892/?offset=#page=11&amp;viewer=picture&amp;o=info&amp;n=0&amp;q=</v>
      </c>
      <c r="J357" s="45"/>
      <c r="K357" s="45"/>
      <c r="L357" s="45"/>
      <c r="M357" t="s">
        <v>296</v>
      </c>
      <c r="N357">
        <v>1892</v>
      </c>
      <c r="O357" t="str">
        <f t="shared" si="10"/>
        <v>https://permalinkbnd.bnportugal.gov.pt/viewer/1892/?offset=#page=11&amp;viewer=picture&amp;o=info&amp;n=0&amp;q=</v>
      </c>
      <c r="P357">
        <v>196562</v>
      </c>
      <c r="Q357" t="s">
        <v>296</v>
      </c>
      <c r="R357" t="s">
        <v>2444</v>
      </c>
      <c r="S357" t="s">
        <v>1178</v>
      </c>
      <c r="T357" t="s">
        <v>1192</v>
      </c>
      <c r="U357" t="s">
        <v>599</v>
      </c>
      <c r="V357" t="s">
        <v>2445</v>
      </c>
      <c r="W357" t="s">
        <v>2446</v>
      </c>
      <c r="X357" t="s">
        <v>599</v>
      </c>
      <c r="Y357" t="s">
        <v>1182</v>
      </c>
      <c r="Z357" t="s">
        <v>2447</v>
      </c>
      <c r="AA357">
        <v>1892</v>
      </c>
      <c r="AB357">
        <v>1892</v>
      </c>
      <c r="AC357" t="s">
        <v>2448</v>
      </c>
      <c r="AD357" t="s">
        <v>599</v>
      </c>
      <c r="AE357" t="s">
        <v>2449</v>
      </c>
      <c r="AF357" t="s">
        <v>599</v>
      </c>
      <c r="AG357" t="s">
        <v>599</v>
      </c>
      <c r="AH357" t="s">
        <v>599</v>
      </c>
      <c r="AI357" t="s">
        <v>599</v>
      </c>
      <c r="AJ357" t="s">
        <v>2450</v>
      </c>
      <c r="AK357" t="s">
        <v>1188</v>
      </c>
      <c r="AL357" t="s">
        <v>2451</v>
      </c>
      <c r="AM357" t="s">
        <v>1190</v>
      </c>
      <c r="AN357" t="s">
        <v>2452</v>
      </c>
      <c r="AO357" t="s">
        <v>599</v>
      </c>
      <c r="AP357" t="s">
        <v>599</v>
      </c>
      <c r="AQ357" t="s">
        <v>599</v>
      </c>
      <c r="AR357" t="s">
        <v>2453</v>
      </c>
      <c r="AS357" t="s">
        <v>599</v>
      </c>
      <c r="AT357" t="s">
        <v>599</v>
      </c>
    </row>
    <row r="358" spans="1:46" s="13" customFormat="1" ht="30" x14ac:dyDescent="0.25">
      <c r="A358" s="9">
        <v>10729</v>
      </c>
      <c r="B358" s="10">
        <v>257368</v>
      </c>
      <c r="C358" s="10">
        <v>1</v>
      </c>
      <c r="D358" s="9">
        <v>6</v>
      </c>
      <c r="E358" s="11" t="s">
        <v>297</v>
      </c>
      <c r="F358" s="12" t="s">
        <v>298</v>
      </c>
      <c r="G358" s="9">
        <v>6</v>
      </c>
      <c r="H358" s="34"/>
      <c r="I358" s="55" t="str">
        <f t="shared" si="11"/>
        <v>https://permalinkbnd.bnportugal.gov.pt/viewer/277143/?offset=#page=6&amp;viewer=picture&amp;o=info&amp;n=0&amp;q=</v>
      </c>
      <c r="J358" s="45"/>
      <c r="K358" s="45"/>
      <c r="L358" s="45"/>
      <c r="M358" t="s">
        <v>297</v>
      </c>
      <c r="N358">
        <v>277143</v>
      </c>
      <c r="O358" t="str">
        <f t="shared" si="10"/>
        <v>https://permalinkbnd.bnportugal.gov.pt/viewer/277143/?offset=#page=6&amp;viewer=picture&amp;o=info&amp;n=0&amp;q=</v>
      </c>
      <c r="P358">
        <v>257368</v>
      </c>
      <c r="Q358" t="s">
        <v>297</v>
      </c>
      <c r="R358" t="s">
        <v>2454</v>
      </c>
      <c r="S358" t="s">
        <v>1178</v>
      </c>
      <c r="T358" t="s">
        <v>1192</v>
      </c>
      <c r="U358" t="s">
        <v>599</v>
      </c>
      <c r="V358" t="s">
        <v>1551</v>
      </c>
      <c r="W358" t="s">
        <v>599</v>
      </c>
      <c r="X358" t="s">
        <v>599</v>
      </c>
      <c r="Y358" t="s">
        <v>2455</v>
      </c>
      <c r="Z358" t="s">
        <v>2456</v>
      </c>
      <c r="AA358">
        <v>1876</v>
      </c>
      <c r="AB358">
        <v>1876</v>
      </c>
      <c r="AC358" t="s">
        <v>2457</v>
      </c>
      <c r="AD358" t="s">
        <v>1185</v>
      </c>
      <c r="AE358" t="s">
        <v>599</v>
      </c>
      <c r="AF358" t="s">
        <v>599</v>
      </c>
      <c r="AG358" t="s">
        <v>2458</v>
      </c>
      <c r="AH358" t="s">
        <v>599</v>
      </c>
      <c r="AI358" t="s">
        <v>2459</v>
      </c>
      <c r="AJ358" t="s">
        <v>2460</v>
      </c>
      <c r="AK358" t="s">
        <v>1188</v>
      </c>
      <c r="AL358" t="s">
        <v>2461</v>
      </c>
      <c r="AM358" t="s">
        <v>1190</v>
      </c>
      <c r="AN358" t="s">
        <v>599</v>
      </c>
      <c r="AO358" t="s">
        <v>599</v>
      </c>
      <c r="AP358" t="s">
        <v>599</v>
      </c>
      <c r="AQ358" t="s">
        <v>599</v>
      </c>
      <c r="AR358" t="s">
        <v>599</v>
      </c>
      <c r="AS358" t="s">
        <v>599</v>
      </c>
      <c r="AT358" t="s">
        <v>599</v>
      </c>
    </row>
    <row r="359" spans="1:46" s="13" customFormat="1" ht="45" x14ac:dyDescent="0.25">
      <c r="A359" s="9">
        <v>10737</v>
      </c>
      <c r="B359" s="10">
        <v>257404</v>
      </c>
      <c r="C359" s="10">
        <v>1</v>
      </c>
      <c r="D359" s="9">
        <v>6</v>
      </c>
      <c r="E359" s="11" t="s">
        <v>299</v>
      </c>
      <c r="F359" s="12" t="s">
        <v>300</v>
      </c>
      <c r="G359" s="9" t="s">
        <v>301</v>
      </c>
      <c r="H359" s="34"/>
      <c r="I359" s="55" t="str">
        <f t="shared" si="11"/>
        <v>https://permalinkbnd.bnportugal.gov.pt/viewer/277149/?offset=#page=6&amp;viewer=picture&amp;o=info&amp;n=0&amp;q=</v>
      </c>
      <c r="J359" s="45"/>
      <c r="K359" s="45"/>
      <c r="L359" s="45"/>
      <c r="M359" t="s">
        <v>299</v>
      </c>
      <c r="N359">
        <v>277149</v>
      </c>
      <c r="O359" t="str">
        <f t="shared" si="10"/>
        <v>https://permalinkbnd.bnportugal.gov.pt/viewer/277149/?offset=#page=6&amp;viewer=picture&amp;o=info&amp;n=0&amp;q=</v>
      </c>
      <c r="P359">
        <v>257404</v>
      </c>
      <c r="Q359" t="s">
        <v>299</v>
      </c>
      <c r="R359" t="s">
        <v>2462</v>
      </c>
      <c r="S359" t="s">
        <v>1178</v>
      </c>
      <c r="T359" t="s">
        <v>1192</v>
      </c>
      <c r="U359" t="s">
        <v>599</v>
      </c>
      <c r="V359" t="s">
        <v>1551</v>
      </c>
      <c r="W359" t="s">
        <v>599</v>
      </c>
      <c r="X359" t="s">
        <v>599</v>
      </c>
      <c r="Y359" t="s">
        <v>2463</v>
      </c>
      <c r="Z359" t="s">
        <v>2464</v>
      </c>
      <c r="AA359">
        <v>1880</v>
      </c>
      <c r="AB359">
        <v>1880</v>
      </c>
      <c r="AC359" t="s">
        <v>2465</v>
      </c>
      <c r="AD359" t="s">
        <v>1185</v>
      </c>
      <c r="AE359" t="s">
        <v>599</v>
      </c>
      <c r="AF359" t="s">
        <v>599</v>
      </c>
      <c r="AG359" t="s">
        <v>2466</v>
      </c>
      <c r="AH359" t="s">
        <v>599</v>
      </c>
      <c r="AI359" t="s">
        <v>599</v>
      </c>
      <c r="AJ359" t="s">
        <v>2467</v>
      </c>
      <c r="AK359" t="s">
        <v>1188</v>
      </c>
      <c r="AL359" t="s">
        <v>2468</v>
      </c>
      <c r="AM359" t="s">
        <v>1190</v>
      </c>
      <c r="AN359" t="s">
        <v>2469</v>
      </c>
      <c r="AO359" t="s">
        <v>599</v>
      </c>
      <c r="AP359" t="s">
        <v>599</v>
      </c>
      <c r="AQ359" t="s">
        <v>599</v>
      </c>
      <c r="AR359" t="s">
        <v>599</v>
      </c>
      <c r="AS359" t="s">
        <v>599</v>
      </c>
      <c r="AT359" t="s">
        <v>599</v>
      </c>
    </row>
    <row r="360" spans="1:46" s="13" customFormat="1" ht="45" x14ac:dyDescent="0.25">
      <c r="A360" s="9">
        <v>10738</v>
      </c>
      <c r="B360" s="10">
        <v>257404</v>
      </c>
      <c r="C360" s="10">
        <v>1</v>
      </c>
      <c r="D360" s="9">
        <v>282</v>
      </c>
      <c r="E360" s="11" t="s">
        <v>299</v>
      </c>
      <c r="F360" s="12" t="s">
        <v>300</v>
      </c>
      <c r="G360" s="9" t="s">
        <v>301</v>
      </c>
      <c r="H360" s="34"/>
      <c r="I360" s="55" t="str">
        <f t="shared" si="11"/>
        <v>https://permalinkbnd.bnportugal.gov.pt/viewer/277149/?offset=#page=282&amp;viewer=picture&amp;o=info&amp;n=0&amp;q=</v>
      </c>
      <c r="J360" s="45"/>
      <c r="K360" s="45"/>
      <c r="L360" s="45"/>
      <c r="M360" t="s">
        <v>299</v>
      </c>
      <c r="N360">
        <v>277149</v>
      </c>
      <c r="O360" t="str">
        <f t="shared" si="10"/>
        <v>https://permalinkbnd.bnportugal.gov.pt/viewer/277149/?offset=#page=282&amp;viewer=picture&amp;o=info&amp;n=0&amp;q=</v>
      </c>
      <c r="P360">
        <v>257404</v>
      </c>
      <c r="Q360" t="s">
        <v>299</v>
      </c>
      <c r="R360" t="s">
        <v>2462</v>
      </c>
      <c r="S360" t="s">
        <v>1178</v>
      </c>
      <c r="T360" t="s">
        <v>1192</v>
      </c>
      <c r="U360" t="s">
        <v>599</v>
      </c>
      <c r="V360" t="s">
        <v>1551</v>
      </c>
      <c r="W360" t="s">
        <v>599</v>
      </c>
      <c r="X360" t="s">
        <v>599</v>
      </c>
      <c r="Y360" t="s">
        <v>2463</v>
      </c>
      <c r="Z360" t="s">
        <v>2464</v>
      </c>
      <c r="AA360">
        <v>1880</v>
      </c>
      <c r="AB360">
        <v>1880</v>
      </c>
      <c r="AC360" t="s">
        <v>2465</v>
      </c>
      <c r="AD360" t="s">
        <v>1185</v>
      </c>
      <c r="AE360" t="s">
        <v>599</v>
      </c>
      <c r="AF360" t="s">
        <v>599</v>
      </c>
      <c r="AG360" t="s">
        <v>2466</v>
      </c>
      <c r="AH360" t="s">
        <v>599</v>
      </c>
      <c r="AI360" t="s">
        <v>599</v>
      </c>
      <c r="AJ360" t="s">
        <v>2467</v>
      </c>
      <c r="AK360" t="s">
        <v>1188</v>
      </c>
      <c r="AL360" t="s">
        <v>2468</v>
      </c>
      <c r="AM360" t="s">
        <v>1190</v>
      </c>
      <c r="AN360" t="s">
        <v>2469</v>
      </c>
      <c r="AO360" t="s">
        <v>599</v>
      </c>
      <c r="AP360" t="s">
        <v>599</v>
      </c>
      <c r="AQ360" t="s">
        <v>599</v>
      </c>
      <c r="AR360" t="s">
        <v>599</v>
      </c>
      <c r="AS360" t="s">
        <v>599</v>
      </c>
      <c r="AT360" t="s">
        <v>599</v>
      </c>
    </row>
    <row r="361" spans="1:46" s="13" customFormat="1" ht="45" x14ac:dyDescent="0.25">
      <c r="A361" s="9">
        <v>10739</v>
      </c>
      <c r="B361" s="10">
        <v>257404</v>
      </c>
      <c r="C361" s="10">
        <v>1</v>
      </c>
      <c r="D361" s="9">
        <v>318</v>
      </c>
      <c r="E361" s="11" t="s">
        <v>299</v>
      </c>
      <c r="F361" s="12" t="s">
        <v>300</v>
      </c>
      <c r="G361" s="9" t="s">
        <v>301</v>
      </c>
      <c r="H361" s="34"/>
      <c r="I361" s="55" t="str">
        <f t="shared" si="11"/>
        <v>https://permalinkbnd.bnportugal.gov.pt/viewer/277149/?offset=#page=318&amp;viewer=picture&amp;o=info&amp;n=0&amp;q=</v>
      </c>
      <c r="J361" s="45"/>
      <c r="K361" s="45"/>
      <c r="L361" s="45"/>
      <c r="M361" t="s">
        <v>299</v>
      </c>
      <c r="N361">
        <v>277149</v>
      </c>
      <c r="O361" t="str">
        <f t="shared" si="10"/>
        <v>https://permalinkbnd.bnportugal.gov.pt/viewer/277149/?offset=#page=318&amp;viewer=picture&amp;o=info&amp;n=0&amp;q=</v>
      </c>
      <c r="P361">
        <v>257404</v>
      </c>
      <c r="Q361" t="s">
        <v>299</v>
      </c>
      <c r="R361" t="s">
        <v>2462</v>
      </c>
      <c r="S361" t="s">
        <v>1178</v>
      </c>
      <c r="T361" t="s">
        <v>1192</v>
      </c>
      <c r="U361" t="s">
        <v>599</v>
      </c>
      <c r="V361" t="s">
        <v>1551</v>
      </c>
      <c r="W361" t="s">
        <v>599</v>
      </c>
      <c r="X361" t="s">
        <v>599</v>
      </c>
      <c r="Y361" t="s">
        <v>2463</v>
      </c>
      <c r="Z361" t="s">
        <v>2464</v>
      </c>
      <c r="AA361">
        <v>1880</v>
      </c>
      <c r="AB361">
        <v>1880</v>
      </c>
      <c r="AC361" t="s">
        <v>2465</v>
      </c>
      <c r="AD361" t="s">
        <v>1185</v>
      </c>
      <c r="AE361" t="s">
        <v>599</v>
      </c>
      <c r="AF361" t="s">
        <v>599</v>
      </c>
      <c r="AG361" t="s">
        <v>2466</v>
      </c>
      <c r="AH361" t="s">
        <v>599</v>
      </c>
      <c r="AI361" t="s">
        <v>599</v>
      </c>
      <c r="AJ361" t="s">
        <v>2467</v>
      </c>
      <c r="AK361" t="s">
        <v>1188</v>
      </c>
      <c r="AL361" t="s">
        <v>2468</v>
      </c>
      <c r="AM361" t="s">
        <v>1190</v>
      </c>
      <c r="AN361" t="s">
        <v>2469</v>
      </c>
      <c r="AO361" t="s">
        <v>599</v>
      </c>
      <c r="AP361" t="s">
        <v>599</v>
      </c>
      <c r="AQ361" t="s">
        <v>599</v>
      </c>
      <c r="AR361" t="s">
        <v>599</v>
      </c>
      <c r="AS361" t="s">
        <v>599</v>
      </c>
      <c r="AT361" t="s">
        <v>599</v>
      </c>
    </row>
    <row r="362" spans="1:46" s="13" customFormat="1" ht="45" x14ac:dyDescent="0.25">
      <c r="A362" s="9">
        <v>10742</v>
      </c>
      <c r="B362" s="10">
        <v>220128</v>
      </c>
      <c r="C362" s="10">
        <v>1</v>
      </c>
      <c r="D362" s="9">
        <v>101</v>
      </c>
      <c r="E362" s="11" t="s">
        <v>302</v>
      </c>
      <c r="F362" s="12" t="s">
        <v>303</v>
      </c>
      <c r="G362" s="9" t="s">
        <v>304</v>
      </c>
      <c r="H362" s="34"/>
      <c r="I362" s="55" t="str">
        <f t="shared" si="11"/>
        <v>https://permalinkbnd.bnportugal.gov.pt/viewer/272672/?offset=#page=101&amp;viewer=picture&amp;o=info&amp;n=0&amp;q=</v>
      </c>
      <c r="J362" s="45"/>
      <c r="K362" s="45"/>
      <c r="L362" s="45"/>
      <c r="M362" t="s">
        <v>302</v>
      </c>
      <c r="N362">
        <v>272672</v>
      </c>
      <c r="O362" t="str">
        <f t="shared" si="10"/>
        <v>https://permalinkbnd.bnportugal.gov.pt/viewer/272672/?offset=#page=101&amp;viewer=picture&amp;o=info&amp;n=0&amp;q=</v>
      </c>
      <c r="P362">
        <v>220128</v>
      </c>
      <c r="Q362" t="s">
        <v>302</v>
      </c>
      <c r="R362" t="s">
        <v>2470</v>
      </c>
      <c r="S362" t="s">
        <v>1178</v>
      </c>
      <c r="T362" t="s">
        <v>1192</v>
      </c>
      <c r="U362" t="s">
        <v>599</v>
      </c>
      <c r="V362" t="s">
        <v>1193</v>
      </c>
      <c r="W362" t="s">
        <v>599</v>
      </c>
      <c r="X362" t="s">
        <v>599</v>
      </c>
      <c r="Y362" t="s">
        <v>2471</v>
      </c>
      <c r="Z362" t="s">
        <v>2472</v>
      </c>
      <c r="AA362">
        <v>1989</v>
      </c>
      <c r="AB362">
        <v>1989</v>
      </c>
      <c r="AC362" t="s">
        <v>2473</v>
      </c>
      <c r="AD362" t="s">
        <v>1185</v>
      </c>
      <c r="AE362" t="s">
        <v>599</v>
      </c>
      <c r="AF362" t="s">
        <v>599</v>
      </c>
      <c r="AG362" t="s">
        <v>2474</v>
      </c>
      <c r="AH362" t="s">
        <v>599</v>
      </c>
      <c r="AI362" t="s">
        <v>599</v>
      </c>
      <c r="AJ362" t="s">
        <v>2475</v>
      </c>
      <c r="AK362" t="s">
        <v>1188</v>
      </c>
      <c r="AL362" t="s">
        <v>2476</v>
      </c>
      <c r="AM362" t="s">
        <v>1190</v>
      </c>
      <c r="AN362" t="s">
        <v>599</v>
      </c>
      <c r="AO362" t="s">
        <v>599</v>
      </c>
      <c r="AP362" t="s">
        <v>599</v>
      </c>
      <c r="AQ362" t="s">
        <v>599</v>
      </c>
      <c r="AR362" t="s">
        <v>599</v>
      </c>
      <c r="AS362" t="s">
        <v>599</v>
      </c>
      <c r="AT362" t="s">
        <v>599</v>
      </c>
    </row>
    <row r="363" spans="1:46" s="13" customFormat="1" ht="45" x14ac:dyDescent="0.25">
      <c r="A363" s="9">
        <v>10743</v>
      </c>
      <c r="B363" s="10">
        <v>220128</v>
      </c>
      <c r="C363" s="10">
        <v>1</v>
      </c>
      <c r="D363" s="9">
        <v>159</v>
      </c>
      <c r="E363" s="11" t="s">
        <v>302</v>
      </c>
      <c r="F363" s="12" t="s">
        <v>303</v>
      </c>
      <c r="G363" s="9" t="s">
        <v>304</v>
      </c>
      <c r="H363" s="34"/>
      <c r="I363" s="55" t="str">
        <f t="shared" si="11"/>
        <v>https://permalinkbnd.bnportugal.gov.pt/viewer/272672/?offset=#page=159&amp;viewer=picture&amp;o=info&amp;n=0&amp;q=</v>
      </c>
      <c r="J363" s="45"/>
      <c r="K363" s="45"/>
      <c r="L363" s="45"/>
      <c r="M363" t="s">
        <v>302</v>
      </c>
      <c r="N363">
        <v>272672</v>
      </c>
      <c r="O363" t="str">
        <f t="shared" si="10"/>
        <v>https://permalinkbnd.bnportugal.gov.pt/viewer/272672/?offset=#page=159&amp;viewer=picture&amp;o=info&amp;n=0&amp;q=</v>
      </c>
      <c r="P363">
        <v>220128</v>
      </c>
      <c r="Q363" t="s">
        <v>302</v>
      </c>
      <c r="R363" t="s">
        <v>2470</v>
      </c>
      <c r="S363" t="s">
        <v>1178</v>
      </c>
      <c r="T363" t="s">
        <v>1192</v>
      </c>
      <c r="U363" t="s">
        <v>599</v>
      </c>
      <c r="V363" t="s">
        <v>1193</v>
      </c>
      <c r="W363" t="s">
        <v>599</v>
      </c>
      <c r="X363" t="s">
        <v>599</v>
      </c>
      <c r="Y363" t="s">
        <v>2471</v>
      </c>
      <c r="Z363" t="s">
        <v>2472</v>
      </c>
      <c r="AA363">
        <v>1989</v>
      </c>
      <c r="AB363">
        <v>1989</v>
      </c>
      <c r="AC363" t="s">
        <v>2473</v>
      </c>
      <c r="AD363" t="s">
        <v>1185</v>
      </c>
      <c r="AE363" t="s">
        <v>599</v>
      </c>
      <c r="AF363" t="s">
        <v>599</v>
      </c>
      <c r="AG363" t="s">
        <v>2474</v>
      </c>
      <c r="AH363" t="s">
        <v>599</v>
      </c>
      <c r="AI363" t="s">
        <v>599</v>
      </c>
      <c r="AJ363" t="s">
        <v>2475</v>
      </c>
      <c r="AK363" t="s">
        <v>1188</v>
      </c>
      <c r="AL363" t="s">
        <v>2476</v>
      </c>
      <c r="AM363" t="s">
        <v>1190</v>
      </c>
      <c r="AN363" t="s">
        <v>599</v>
      </c>
      <c r="AO363" t="s">
        <v>599</v>
      </c>
      <c r="AP363" t="s">
        <v>599</v>
      </c>
      <c r="AQ363" t="s">
        <v>599</v>
      </c>
      <c r="AR363" t="s">
        <v>599</v>
      </c>
      <c r="AS363" t="s">
        <v>599</v>
      </c>
      <c r="AT363" t="s">
        <v>599</v>
      </c>
    </row>
    <row r="364" spans="1:46" s="13" customFormat="1" ht="45" x14ac:dyDescent="0.25">
      <c r="A364" s="9">
        <v>10744</v>
      </c>
      <c r="B364" s="10">
        <v>220128</v>
      </c>
      <c r="C364" s="10">
        <v>1</v>
      </c>
      <c r="D364" s="9">
        <v>201</v>
      </c>
      <c r="E364" s="11" t="s">
        <v>302</v>
      </c>
      <c r="F364" s="12" t="s">
        <v>303</v>
      </c>
      <c r="G364" s="9" t="s">
        <v>304</v>
      </c>
      <c r="H364" s="34"/>
      <c r="I364" s="55" t="str">
        <f t="shared" si="11"/>
        <v>https://permalinkbnd.bnportugal.gov.pt/viewer/272672/?offset=#page=201&amp;viewer=picture&amp;o=info&amp;n=0&amp;q=</v>
      </c>
      <c r="J364" s="45"/>
      <c r="K364" s="45"/>
      <c r="L364" s="45"/>
      <c r="M364" t="s">
        <v>302</v>
      </c>
      <c r="N364">
        <v>272672</v>
      </c>
      <c r="O364" t="str">
        <f t="shared" si="10"/>
        <v>https://permalinkbnd.bnportugal.gov.pt/viewer/272672/?offset=#page=201&amp;viewer=picture&amp;o=info&amp;n=0&amp;q=</v>
      </c>
      <c r="P364">
        <v>220128</v>
      </c>
      <c r="Q364" t="s">
        <v>302</v>
      </c>
      <c r="R364" t="s">
        <v>2470</v>
      </c>
      <c r="S364" t="s">
        <v>1178</v>
      </c>
      <c r="T364" t="s">
        <v>1192</v>
      </c>
      <c r="U364" t="s">
        <v>599</v>
      </c>
      <c r="V364" t="s">
        <v>1193</v>
      </c>
      <c r="W364" t="s">
        <v>599</v>
      </c>
      <c r="X364" t="s">
        <v>599</v>
      </c>
      <c r="Y364" t="s">
        <v>2471</v>
      </c>
      <c r="Z364" t="s">
        <v>2472</v>
      </c>
      <c r="AA364">
        <v>1989</v>
      </c>
      <c r="AB364">
        <v>1989</v>
      </c>
      <c r="AC364" t="s">
        <v>2473</v>
      </c>
      <c r="AD364" t="s">
        <v>1185</v>
      </c>
      <c r="AE364" t="s">
        <v>599</v>
      </c>
      <c r="AF364" t="s">
        <v>599</v>
      </c>
      <c r="AG364" t="s">
        <v>2474</v>
      </c>
      <c r="AH364" t="s">
        <v>599</v>
      </c>
      <c r="AI364" t="s">
        <v>599</v>
      </c>
      <c r="AJ364" t="s">
        <v>2475</v>
      </c>
      <c r="AK364" t="s">
        <v>1188</v>
      </c>
      <c r="AL364" t="s">
        <v>2476</v>
      </c>
      <c r="AM364" t="s">
        <v>1190</v>
      </c>
      <c r="AN364" t="s">
        <v>599</v>
      </c>
      <c r="AO364" t="s">
        <v>599</v>
      </c>
      <c r="AP364" t="s">
        <v>599</v>
      </c>
      <c r="AQ364" t="s">
        <v>599</v>
      </c>
      <c r="AR364" t="s">
        <v>599</v>
      </c>
      <c r="AS364" t="s">
        <v>599</v>
      </c>
      <c r="AT364" t="s">
        <v>599</v>
      </c>
    </row>
    <row r="365" spans="1:46" s="13" customFormat="1" ht="45" x14ac:dyDescent="0.25">
      <c r="A365" s="9">
        <v>10745</v>
      </c>
      <c r="B365" s="10">
        <v>220128</v>
      </c>
      <c r="C365" s="10">
        <v>1</v>
      </c>
      <c r="D365" s="9">
        <v>307</v>
      </c>
      <c r="E365" s="11" t="s">
        <v>302</v>
      </c>
      <c r="F365" s="12" t="s">
        <v>303</v>
      </c>
      <c r="G365" s="9" t="s">
        <v>304</v>
      </c>
      <c r="H365" s="34"/>
      <c r="I365" s="55" t="str">
        <f t="shared" si="11"/>
        <v>https://permalinkbnd.bnportugal.gov.pt/viewer/272672/?offset=#page=307&amp;viewer=picture&amp;o=info&amp;n=0&amp;q=</v>
      </c>
      <c r="J365" s="45"/>
      <c r="K365" s="45"/>
      <c r="L365" s="45"/>
      <c r="M365" t="s">
        <v>302</v>
      </c>
      <c r="N365">
        <v>272672</v>
      </c>
      <c r="O365" t="str">
        <f t="shared" si="10"/>
        <v>https://permalinkbnd.bnportugal.gov.pt/viewer/272672/?offset=#page=307&amp;viewer=picture&amp;o=info&amp;n=0&amp;q=</v>
      </c>
      <c r="P365">
        <v>220128</v>
      </c>
      <c r="Q365" t="s">
        <v>302</v>
      </c>
      <c r="R365" t="s">
        <v>2470</v>
      </c>
      <c r="S365" t="s">
        <v>1178</v>
      </c>
      <c r="T365" t="s">
        <v>1192</v>
      </c>
      <c r="U365" t="s">
        <v>599</v>
      </c>
      <c r="V365" t="s">
        <v>1193</v>
      </c>
      <c r="W365" t="s">
        <v>599</v>
      </c>
      <c r="X365" t="s">
        <v>599</v>
      </c>
      <c r="Y365" t="s">
        <v>2471</v>
      </c>
      <c r="Z365" t="s">
        <v>2472</v>
      </c>
      <c r="AA365">
        <v>1989</v>
      </c>
      <c r="AB365">
        <v>1989</v>
      </c>
      <c r="AC365" t="s">
        <v>2473</v>
      </c>
      <c r="AD365" t="s">
        <v>1185</v>
      </c>
      <c r="AE365" t="s">
        <v>599</v>
      </c>
      <c r="AF365" t="s">
        <v>599</v>
      </c>
      <c r="AG365" t="s">
        <v>2474</v>
      </c>
      <c r="AH365" t="s">
        <v>599</v>
      </c>
      <c r="AI365" t="s">
        <v>599</v>
      </c>
      <c r="AJ365" t="s">
        <v>2475</v>
      </c>
      <c r="AK365" t="s">
        <v>1188</v>
      </c>
      <c r="AL365" t="s">
        <v>2476</v>
      </c>
      <c r="AM365" t="s">
        <v>1190</v>
      </c>
      <c r="AN365" t="s">
        <v>599</v>
      </c>
      <c r="AO365" t="s">
        <v>599</v>
      </c>
      <c r="AP365" t="s">
        <v>599</v>
      </c>
      <c r="AQ365" t="s">
        <v>599</v>
      </c>
      <c r="AR365" t="s">
        <v>599</v>
      </c>
      <c r="AS365" t="s">
        <v>599</v>
      </c>
      <c r="AT365" t="s">
        <v>599</v>
      </c>
    </row>
    <row r="366" spans="1:46" s="13" customFormat="1" ht="30" x14ac:dyDescent="0.25">
      <c r="A366" s="9">
        <v>10750</v>
      </c>
      <c r="B366" s="10">
        <v>453095</v>
      </c>
      <c r="C366" s="10">
        <v>1</v>
      </c>
      <c r="D366" s="9">
        <v>5</v>
      </c>
      <c r="E366" s="11" t="s">
        <v>305</v>
      </c>
      <c r="F366" s="12" t="s">
        <v>306</v>
      </c>
      <c r="G366" s="9" t="s">
        <v>307</v>
      </c>
      <c r="H366" s="34"/>
      <c r="I366" s="55" t="str">
        <f t="shared" si="11"/>
        <v>https://permalinkbnd.bnportugal.gov.pt/viewer/272668/?offset=#page=5&amp;viewer=picture&amp;o=info&amp;n=0&amp;q=</v>
      </c>
      <c r="J366" s="45"/>
      <c r="K366" s="45"/>
      <c r="L366" s="45"/>
      <c r="M366" t="s">
        <v>305</v>
      </c>
      <c r="N366">
        <v>272668</v>
      </c>
      <c r="O366" t="str">
        <f t="shared" si="10"/>
        <v>https://permalinkbnd.bnportugal.gov.pt/viewer/272668/?offset=#page=5&amp;viewer=picture&amp;o=info&amp;n=0&amp;q=</v>
      </c>
      <c r="P366">
        <v>453095</v>
      </c>
      <c r="Q366" t="s">
        <v>305</v>
      </c>
      <c r="R366" t="s">
        <v>2477</v>
      </c>
      <c r="S366" t="s">
        <v>1178</v>
      </c>
      <c r="T366" t="s">
        <v>1192</v>
      </c>
      <c r="U366" t="s">
        <v>599</v>
      </c>
      <c r="V366" t="s">
        <v>2478</v>
      </c>
      <c r="W366" t="s">
        <v>599</v>
      </c>
      <c r="X366" t="s">
        <v>599</v>
      </c>
      <c r="Y366" t="s">
        <v>1182</v>
      </c>
      <c r="Z366" t="s">
        <v>2479</v>
      </c>
      <c r="AA366">
        <v>1994</v>
      </c>
      <c r="AB366">
        <v>1994</v>
      </c>
      <c r="AC366" t="s">
        <v>2480</v>
      </c>
      <c r="AD366" t="s">
        <v>1185</v>
      </c>
      <c r="AE366" t="s">
        <v>599</v>
      </c>
      <c r="AF366" t="s">
        <v>599</v>
      </c>
      <c r="AG366" t="s">
        <v>2481</v>
      </c>
      <c r="AH366" t="s">
        <v>599</v>
      </c>
      <c r="AI366" t="s">
        <v>599</v>
      </c>
      <c r="AJ366" t="s">
        <v>2482</v>
      </c>
      <c r="AK366" t="s">
        <v>1188</v>
      </c>
      <c r="AL366" t="s">
        <v>2483</v>
      </c>
      <c r="AM366" t="s">
        <v>1190</v>
      </c>
      <c r="AN366" t="s">
        <v>599</v>
      </c>
      <c r="AO366" t="s">
        <v>599</v>
      </c>
      <c r="AP366" t="s">
        <v>599</v>
      </c>
      <c r="AQ366" t="s">
        <v>599</v>
      </c>
      <c r="AR366" t="s">
        <v>599</v>
      </c>
      <c r="AS366" t="s">
        <v>599</v>
      </c>
      <c r="AT366" t="s">
        <v>599</v>
      </c>
    </row>
    <row r="367" spans="1:46" s="13" customFormat="1" ht="30" x14ac:dyDescent="0.25">
      <c r="A367" s="9">
        <v>10751</v>
      </c>
      <c r="B367" s="10">
        <v>453095</v>
      </c>
      <c r="C367" s="10">
        <v>1</v>
      </c>
      <c r="D367" s="9">
        <v>63</v>
      </c>
      <c r="E367" s="11" t="s">
        <v>305</v>
      </c>
      <c r="F367" s="12" t="s">
        <v>306</v>
      </c>
      <c r="G367" s="9" t="s">
        <v>307</v>
      </c>
      <c r="H367" s="34"/>
      <c r="I367" s="55" t="str">
        <f t="shared" si="11"/>
        <v>https://permalinkbnd.bnportugal.gov.pt/viewer/272668/?offset=#page=63&amp;viewer=picture&amp;o=info&amp;n=0&amp;q=</v>
      </c>
      <c r="J367" s="45"/>
      <c r="K367" s="45"/>
      <c r="L367" s="45"/>
      <c r="M367" t="s">
        <v>305</v>
      </c>
      <c r="N367">
        <v>272668</v>
      </c>
      <c r="O367" t="str">
        <f t="shared" si="10"/>
        <v>https://permalinkbnd.bnportugal.gov.pt/viewer/272668/?offset=#page=63&amp;viewer=picture&amp;o=info&amp;n=0&amp;q=</v>
      </c>
      <c r="P367">
        <v>453095</v>
      </c>
      <c r="Q367" t="s">
        <v>305</v>
      </c>
      <c r="R367" t="s">
        <v>2477</v>
      </c>
      <c r="S367" t="s">
        <v>1178</v>
      </c>
      <c r="T367" t="s">
        <v>1192</v>
      </c>
      <c r="U367" t="s">
        <v>599</v>
      </c>
      <c r="V367" t="s">
        <v>2478</v>
      </c>
      <c r="W367" t="s">
        <v>599</v>
      </c>
      <c r="X367" t="s">
        <v>599</v>
      </c>
      <c r="Y367" t="s">
        <v>1182</v>
      </c>
      <c r="Z367" t="s">
        <v>2479</v>
      </c>
      <c r="AA367">
        <v>1994</v>
      </c>
      <c r="AB367">
        <v>1994</v>
      </c>
      <c r="AC367" t="s">
        <v>2480</v>
      </c>
      <c r="AD367" t="s">
        <v>1185</v>
      </c>
      <c r="AE367" t="s">
        <v>599</v>
      </c>
      <c r="AF367" t="s">
        <v>599</v>
      </c>
      <c r="AG367" t="s">
        <v>2481</v>
      </c>
      <c r="AH367" t="s">
        <v>599</v>
      </c>
      <c r="AI367" t="s">
        <v>599</v>
      </c>
      <c r="AJ367" t="s">
        <v>2482</v>
      </c>
      <c r="AK367" t="s">
        <v>1188</v>
      </c>
      <c r="AL367" t="s">
        <v>2483</v>
      </c>
      <c r="AM367" t="s">
        <v>1190</v>
      </c>
      <c r="AN367" t="s">
        <v>599</v>
      </c>
      <c r="AO367" t="s">
        <v>599</v>
      </c>
      <c r="AP367" t="s">
        <v>599</v>
      </c>
      <c r="AQ367" t="s">
        <v>599</v>
      </c>
      <c r="AR367" t="s">
        <v>599</v>
      </c>
      <c r="AS367" t="s">
        <v>599</v>
      </c>
      <c r="AT367" t="s">
        <v>599</v>
      </c>
    </row>
    <row r="368" spans="1:46" s="13" customFormat="1" ht="30" x14ac:dyDescent="0.25">
      <c r="A368" s="9">
        <v>10752</v>
      </c>
      <c r="B368" s="10">
        <v>453095</v>
      </c>
      <c r="C368" s="10">
        <v>1</v>
      </c>
      <c r="D368" s="9">
        <v>65</v>
      </c>
      <c r="E368" s="11" t="s">
        <v>305</v>
      </c>
      <c r="F368" s="12" t="s">
        <v>306</v>
      </c>
      <c r="G368" s="9" t="s">
        <v>307</v>
      </c>
      <c r="H368" s="34"/>
      <c r="I368" s="55" t="str">
        <f t="shared" si="11"/>
        <v>https://permalinkbnd.bnportugal.gov.pt/viewer/272668/?offset=#page=65&amp;viewer=picture&amp;o=info&amp;n=0&amp;q=</v>
      </c>
      <c r="J368" s="45"/>
      <c r="K368" s="45"/>
      <c r="L368" s="45"/>
      <c r="M368" t="s">
        <v>305</v>
      </c>
      <c r="N368">
        <v>272668</v>
      </c>
      <c r="O368" t="str">
        <f t="shared" si="10"/>
        <v>https://permalinkbnd.bnportugal.gov.pt/viewer/272668/?offset=#page=65&amp;viewer=picture&amp;o=info&amp;n=0&amp;q=</v>
      </c>
      <c r="P368">
        <v>453095</v>
      </c>
      <c r="Q368" t="s">
        <v>305</v>
      </c>
      <c r="R368" t="s">
        <v>2477</v>
      </c>
      <c r="S368" t="s">
        <v>1178</v>
      </c>
      <c r="T368" t="s">
        <v>1192</v>
      </c>
      <c r="U368" t="s">
        <v>599</v>
      </c>
      <c r="V368" t="s">
        <v>2478</v>
      </c>
      <c r="W368" t="s">
        <v>599</v>
      </c>
      <c r="X368" t="s">
        <v>599</v>
      </c>
      <c r="Y368" t="s">
        <v>1182</v>
      </c>
      <c r="Z368" t="s">
        <v>2479</v>
      </c>
      <c r="AA368">
        <v>1994</v>
      </c>
      <c r="AB368">
        <v>1994</v>
      </c>
      <c r="AC368" t="s">
        <v>2480</v>
      </c>
      <c r="AD368" t="s">
        <v>1185</v>
      </c>
      <c r="AE368" t="s">
        <v>599</v>
      </c>
      <c r="AF368" t="s">
        <v>599</v>
      </c>
      <c r="AG368" t="s">
        <v>2481</v>
      </c>
      <c r="AH368" t="s">
        <v>599</v>
      </c>
      <c r="AI368" t="s">
        <v>599</v>
      </c>
      <c r="AJ368" t="s">
        <v>2482</v>
      </c>
      <c r="AK368" t="s">
        <v>1188</v>
      </c>
      <c r="AL368" t="s">
        <v>2483</v>
      </c>
      <c r="AM368" t="s">
        <v>1190</v>
      </c>
      <c r="AN368" t="s">
        <v>599</v>
      </c>
      <c r="AO368" t="s">
        <v>599</v>
      </c>
      <c r="AP368" t="s">
        <v>599</v>
      </c>
      <c r="AQ368" t="s">
        <v>599</v>
      </c>
      <c r="AR368" t="s">
        <v>599</v>
      </c>
      <c r="AS368" t="s">
        <v>599</v>
      </c>
      <c r="AT368" t="s">
        <v>599</v>
      </c>
    </row>
    <row r="369" spans="1:46" s="13" customFormat="1" ht="30" x14ac:dyDescent="0.25">
      <c r="A369" s="9">
        <v>10753</v>
      </c>
      <c r="B369" s="10">
        <v>453095</v>
      </c>
      <c r="C369" s="10">
        <v>1</v>
      </c>
      <c r="D369" s="9">
        <v>203</v>
      </c>
      <c r="E369" s="11" t="s">
        <v>305</v>
      </c>
      <c r="F369" s="12" t="s">
        <v>306</v>
      </c>
      <c r="G369" s="9" t="s">
        <v>307</v>
      </c>
      <c r="H369" s="34"/>
      <c r="I369" s="55" t="str">
        <f t="shared" si="11"/>
        <v>https://permalinkbnd.bnportugal.gov.pt/viewer/272668/?offset=#page=203&amp;viewer=picture&amp;o=info&amp;n=0&amp;q=</v>
      </c>
      <c r="J369" s="45"/>
      <c r="K369" s="45"/>
      <c r="L369" s="45"/>
      <c r="M369" t="s">
        <v>305</v>
      </c>
      <c r="N369">
        <v>272668</v>
      </c>
      <c r="O369" t="str">
        <f t="shared" si="10"/>
        <v>https://permalinkbnd.bnportugal.gov.pt/viewer/272668/?offset=#page=203&amp;viewer=picture&amp;o=info&amp;n=0&amp;q=</v>
      </c>
      <c r="P369">
        <v>453095</v>
      </c>
      <c r="Q369" t="s">
        <v>305</v>
      </c>
      <c r="R369" t="s">
        <v>2477</v>
      </c>
      <c r="S369" t="s">
        <v>1178</v>
      </c>
      <c r="T369" t="s">
        <v>1192</v>
      </c>
      <c r="U369" t="s">
        <v>599</v>
      </c>
      <c r="V369" t="s">
        <v>2478</v>
      </c>
      <c r="W369" t="s">
        <v>599</v>
      </c>
      <c r="X369" t="s">
        <v>599</v>
      </c>
      <c r="Y369" t="s">
        <v>1182</v>
      </c>
      <c r="Z369" t="s">
        <v>2479</v>
      </c>
      <c r="AA369">
        <v>1994</v>
      </c>
      <c r="AB369">
        <v>1994</v>
      </c>
      <c r="AC369" t="s">
        <v>2480</v>
      </c>
      <c r="AD369" t="s">
        <v>1185</v>
      </c>
      <c r="AE369" t="s">
        <v>599</v>
      </c>
      <c r="AF369" t="s">
        <v>599</v>
      </c>
      <c r="AG369" t="s">
        <v>2481</v>
      </c>
      <c r="AH369" t="s">
        <v>599</v>
      </c>
      <c r="AI369" t="s">
        <v>599</v>
      </c>
      <c r="AJ369" t="s">
        <v>2482</v>
      </c>
      <c r="AK369" t="s">
        <v>1188</v>
      </c>
      <c r="AL369" t="s">
        <v>2483</v>
      </c>
      <c r="AM369" t="s">
        <v>1190</v>
      </c>
      <c r="AN369" t="s">
        <v>599</v>
      </c>
      <c r="AO369" t="s">
        <v>599</v>
      </c>
      <c r="AP369" t="s">
        <v>599</v>
      </c>
      <c r="AQ369" t="s">
        <v>599</v>
      </c>
      <c r="AR369" t="s">
        <v>599</v>
      </c>
      <c r="AS369" t="s">
        <v>599</v>
      </c>
      <c r="AT369" t="s">
        <v>599</v>
      </c>
    </row>
    <row r="370" spans="1:46" s="13" customFormat="1" ht="30" x14ac:dyDescent="0.25">
      <c r="A370" s="9">
        <v>10754</v>
      </c>
      <c r="B370" s="10">
        <v>453095</v>
      </c>
      <c r="C370" s="10">
        <v>1</v>
      </c>
      <c r="D370" s="9">
        <v>291</v>
      </c>
      <c r="E370" s="11" t="s">
        <v>305</v>
      </c>
      <c r="F370" s="12" t="s">
        <v>306</v>
      </c>
      <c r="G370" s="9" t="s">
        <v>307</v>
      </c>
      <c r="H370" s="34"/>
      <c r="I370" s="55" t="str">
        <f t="shared" si="11"/>
        <v>https://permalinkbnd.bnportugal.gov.pt/viewer/272668/?offset=#page=291&amp;viewer=picture&amp;o=info&amp;n=0&amp;q=</v>
      </c>
      <c r="J370" s="45"/>
      <c r="K370" s="45"/>
      <c r="L370" s="45"/>
      <c r="M370" t="s">
        <v>305</v>
      </c>
      <c r="N370">
        <v>272668</v>
      </c>
      <c r="O370" t="str">
        <f t="shared" si="10"/>
        <v>https://permalinkbnd.bnportugal.gov.pt/viewer/272668/?offset=#page=291&amp;viewer=picture&amp;o=info&amp;n=0&amp;q=</v>
      </c>
      <c r="P370">
        <v>453095</v>
      </c>
      <c r="Q370" t="s">
        <v>305</v>
      </c>
      <c r="R370" t="s">
        <v>2477</v>
      </c>
      <c r="S370" t="s">
        <v>1178</v>
      </c>
      <c r="T370" t="s">
        <v>1192</v>
      </c>
      <c r="U370" t="s">
        <v>599</v>
      </c>
      <c r="V370" t="s">
        <v>2478</v>
      </c>
      <c r="W370" t="s">
        <v>599</v>
      </c>
      <c r="X370" t="s">
        <v>599</v>
      </c>
      <c r="Y370" t="s">
        <v>1182</v>
      </c>
      <c r="Z370" t="s">
        <v>2479</v>
      </c>
      <c r="AA370">
        <v>1994</v>
      </c>
      <c r="AB370">
        <v>1994</v>
      </c>
      <c r="AC370" t="s">
        <v>2480</v>
      </c>
      <c r="AD370" t="s">
        <v>1185</v>
      </c>
      <c r="AE370" t="s">
        <v>599</v>
      </c>
      <c r="AF370" t="s">
        <v>599</v>
      </c>
      <c r="AG370" t="s">
        <v>2481</v>
      </c>
      <c r="AH370" t="s">
        <v>599</v>
      </c>
      <c r="AI370" t="s">
        <v>599</v>
      </c>
      <c r="AJ370" t="s">
        <v>2482</v>
      </c>
      <c r="AK370" t="s">
        <v>1188</v>
      </c>
      <c r="AL370" t="s">
        <v>2483</v>
      </c>
      <c r="AM370" t="s">
        <v>1190</v>
      </c>
      <c r="AN370" t="s">
        <v>599</v>
      </c>
      <c r="AO370" t="s">
        <v>599</v>
      </c>
      <c r="AP370" t="s">
        <v>599</v>
      </c>
      <c r="AQ370" t="s">
        <v>599</v>
      </c>
      <c r="AR370" t="s">
        <v>599</v>
      </c>
      <c r="AS370" t="s">
        <v>599</v>
      </c>
      <c r="AT370" t="s">
        <v>599</v>
      </c>
    </row>
    <row r="371" spans="1:46" s="13" customFormat="1" ht="30" x14ac:dyDescent="0.25">
      <c r="A371" s="9">
        <v>10755</v>
      </c>
      <c r="B371" s="10">
        <v>453095</v>
      </c>
      <c r="C371" s="10">
        <v>1</v>
      </c>
      <c r="D371" s="9">
        <v>397</v>
      </c>
      <c r="E371" s="11" t="s">
        <v>305</v>
      </c>
      <c r="F371" s="12" t="s">
        <v>306</v>
      </c>
      <c r="G371" s="9" t="s">
        <v>307</v>
      </c>
      <c r="H371" s="34"/>
      <c r="I371" s="55" t="str">
        <f t="shared" si="11"/>
        <v>https://permalinkbnd.bnportugal.gov.pt/viewer/272668/?offset=#page=397&amp;viewer=picture&amp;o=info&amp;n=0&amp;q=</v>
      </c>
      <c r="J371" s="45"/>
      <c r="K371" s="45"/>
      <c r="L371" s="45"/>
      <c r="M371" t="s">
        <v>305</v>
      </c>
      <c r="N371">
        <v>272668</v>
      </c>
      <c r="O371" t="str">
        <f t="shared" si="10"/>
        <v>https://permalinkbnd.bnportugal.gov.pt/viewer/272668/?offset=#page=397&amp;viewer=picture&amp;o=info&amp;n=0&amp;q=</v>
      </c>
      <c r="P371">
        <v>453095</v>
      </c>
      <c r="Q371" t="s">
        <v>305</v>
      </c>
      <c r="R371" t="s">
        <v>2477</v>
      </c>
      <c r="S371" t="s">
        <v>1178</v>
      </c>
      <c r="T371" t="s">
        <v>1192</v>
      </c>
      <c r="U371" t="s">
        <v>599</v>
      </c>
      <c r="V371" t="s">
        <v>2478</v>
      </c>
      <c r="W371" t="s">
        <v>599</v>
      </c>
      <c r="X371" t="s">
        <v>599</v>
      </c>
      <c r="Y371" t="s">
        <v>1182</v>
      </c>
      <c r="Z371" t="s">
        <v>2479</v>
      </c>
      <c r="AA371">
        <v>1994</v>
      </c>
      <c r="AB371">
        <v>1994</v>
      </c>
      <c r="AC371" t="s">
        <v>2480</v>
      </c>
      <c r="AD371" t="s">
        <v>1185</v>
      </c>
      <c r="AE371" t="s">
        <v>599</v>
      </c>
      <c r="AF371" t="s">
        <v>599</v>
      </c>
      <c r="AG371" t="s">
        <v>2481</v>
      </c>
      <c r="AH371" t="s">
        <v>599</v>
      </c>
      <c r="AI371" t="s">
        <v>599</v>
      </c>
      <c r="AJ371" t="s">
        <v>2482</v>
      </c>
      <c r="AK371" t="s">
        <v>1188</v>
      </c>
      <c r="AL371" t="s">
        <v>2483</v>
      </c>
      <c r="AM371" t="s">
        <v>1190</v>
      </c>
      <c r="AN371" t="s">
        <v>599</v>
      </c>
      <c r="AO371" t="s">
        <v>599</v>
      </c>
      <c r="AP371" t="s">
        <v>599</v>
      </c>
      <c r="AQ371" t="s">
        <v>599</v>
      </c>
      <c r="AR371" t="s">
        <v>599</v>
      </c>
      <c r="AS371" t="s">
        <v>599</v>
      </c>
      <c r="AT371" t="s">
        <v>599</v>
      </c>
    </row>
    <row r="372" spans="1:46" s="13" customFormat="1" ht="30" x14ac:dyDescent="0.25">
      <c r="A372" s="9">
        <v>10756</v>
      </c>
      <c r="B372" s="10">
        <v>258477</v>
      </c>
      <c r="C372" s="10">
        <v>1</v>
      </c>
      <c r="D372" s="9">
        <v>10</v>
      </c>
      <c r="E372" s="11" t="s">
        <v>308</v>
      </c>
      <c r="F372" s="12" t="s">
        <v>309</v>
      </c>
      <c r="G372" s="9">
        <v>10</v>
      </c>
      <c r="H372" s="34"/>
      <c r="I372" s="55" t="str">
        <f t="shared" si="11"/>
        <v>https://permalinkbnd.bnportugal.gov.pt/viewer/277147/?offset=#page=10&amp;viewer=picture&amp;o=info&amp;n=0&amp;q=</v>
      </c>
      <c r="J372" s="45"/>
      <c r="K372" s="45"/>
      <c r="L372" s="45"/>
      <c r="M372" t="s">
        <v>308</v>
      </c>
      <c r="N372">
        <v>277147</v>
      </c>
      <c r="O372" t="str">
        <f t="shared" si="10"/>
        <v>https://permalinkbnd.bnportugal.gov.pt/viewer/277147/?offset=#page=10&amp;viewer=picture&amp;o=info&amp;n=0&amp;q=</v>
      </c>
      <c r="P372">
        <v>258477</v>
      </c>
      <c r="Q372" t="s">
        <v>308</v>
      </c>
      <c r="R372" t="s">
        <v>2484</v>
      </c>
      <c r="S372" t="s">
        <v>1178</v>
      </c>
      <c r="T372" t="s">
        <v>1192</v>
      </c>
      <c r="U372" t="s">
        <v>599</v>
      </c>
      <c r="V372" t="s">
        <v>1551</v>
      </c>
      <c r="W372" t="s">
        <v>599</v>
      </c>
      <c r="X372" t="s">
        <v>599</v>
      </c>
      <c r="Y372" t="s">
        <v>2485</v>
      </c>
      <c r="Z372" t="s">
        <v>2464</v>
      </c>
      <c r="AA372">
        <v>1881</v>
      </c>
      <c r="AB372">
        <v>1881</v>
      </c>
      <c r="AC372" t="s">
        <v>2486</v>
      </c>
      <c r="AD372" t="s">
        <v>1185</v>
      </c>
      <c r="AE372" t="s">
        <v>599</v>
      </c>
      <c r="AF372" t="s">
        <v>599</v>
      </c>
      <c r="AG372" t="s">
        <v>2487</v>
      </c>
      <c r="AH372" t="s">
        <v>599</v>
      </c>
      <c r="AI372" t="s">
        <v>2488</v>
      </c>
      <c r="AJ372" t="s">
        <v>2489</v>
      </c>
      <c r="AK372" t="s">
        <v>1188</v>
      </c>
      <c r="AL372" t="s">
        <v>2490</v>
      </c>
      <c r="AM372" t="s">
        <v>1190</v>
      </c>
      <c r="AN372" t="s">
        <v>599</v>
      </c>
      <c r="AO372" t="s">
        <v>599</v>
      </c>
      <c r="AP372" t="s">
        <v>2491</v>
      </c>
      <c r="AQ372" t="s">
        <v>599</v>
      </c>
      <c r="AR372" t="s">
        <v>599</v>
      </c>
      <c r="AS372" t="s">
        <v>599</v>
      </c>
      <c r="AT372" t="s">
        <v>599</v>
      </c>
    </row>
    <row r="373" spans="1:46" s="13" customFormat="1" ht="30" x14ac:dyDescent="0.25">
      <c r="A373" s="9">
        <v>10759</v>
      </c>
      <c r="B373" s="10">
        <v>258485</v>
      </c>
      <c r="C373" s="10">
        <v>1</v>
      </c>
      <c r="D373" s="9">
        <v>11</v>
      </c>
      <c r="E373" s="11" t="s">
        <v>310</v>
      </c>
      <c r="F373" s="12" t="s">
        <v>311</v>
      </c>
      <c r="G373" s="9" t="s">
        <v>312</v>
      </c>
      <c r="H373" s="34"/>
      <c r="I373" s="55" t="str">
        <f t="shared" si="11"/>
        <v>https://permalinkbnd.bnportugal.gov.pt/viewer/276783/?offset=#page=11&amp;viewer=picture&amp;o=info&amp;n=0&amp;q=</v>
      </c>
      <c r="J373" s="45"/>
      <c r="K373" s="45"/>
      <c r="L373" s="45"/>
      <c r="M373" t="s">
        <v>310</v>
      </c>
      <c r="N373">
        <v>276783</v>
      </c>
      <c r="O373" t="str">
        <f t="shared" si="10"/>
        <v>https://permalinkbnd.bnportugal.gov.pt/viewer/276783/?offset=#page=11&amp;viewer=picture&amp;o=info&amp;n=0&amp;q=</v>
      </c>
      <c r="P373">
        <v>258485</v>
      </c>
      <c r="Q373" t="s">
        <v>310</v>
      </c>
      <c r="R373" t="s">
        <v>2492</v>
      </c>
      <c r="S373" t="s">
        <v>1178</v>
      </c>
      <c r="T373" t="s">
        <v>1192</v>
      </c>
      <c r="U373" t="s">
        <v>599</v>
      </c>
      <c r="V373" t="s">
        <v>1551</v>
      </c>
      <c r="W373" t="s">
        <v>599</v>
      </c>
      <c r="X373" t="s">
        <v>599</v>
      </c>
      <c r="Y373" t="s">
        <v>2493</v>
      </c>
      <c r="Z373" t="s">
        <v>2494</v>
      </c>
      <c r="AA373">
        <v>1882</v>
      </c>
      <c r="AB373">
        <v>1882</v>
      </c>
      <c r="AC373" t="s">
        <v>2495</v>
      </c>
      <c r="AD373" t="s">
        <v>1185</v>
      </c>
      <c r="AE373" t="s">
        <v>599</v>
      </c>
      <c r="AF373" t="s">
        <v>599</v>
      </c>
      <c r="AG373" t="s">
        <v>2496</v>
      </c>
      <c r="AH373" t="s">
        <v>599</v>
      </c>
      <c r="AI373" t="s">
        <v>2497</v>
      </c>
      <c r="AJ373" t="s">
        <v>2498</v>
      </c>
      <c r="AK373" t="s">
        <v>1188</v>
      </c>
      <c r="AL373" t="s">
        <v>2499</v>
      </c>
      <c r="AM373" t="s">
        <v>1190</v>
      </c>
      <c r="AN373" t="s">
        <v>599</v>
      </c>
      <c r="AO373" t="s">
        <v>599</v>
      </c>
      <c r="AP373" t="s">
        <v>599</v>
      </c>
      <c r="AQ373" t="s">
        <v>599</v>
      </c>
      <c r="AR373" t="s">
        <v>599</v>
      </c>
      <c r="AS373" t="s">
        <v>599</v>
      </c>
      <c r="AT373" t="s">
        <v>599</v>
      </c>
    </row>
    <row r="374" spans="1:46" s="13" customFormat="1" ht="30" x14ac:dyDescent="0.25">
      <c r="A374" s="9">
        <v>10760</v>
      </c>
      <c r="B374" s="10">
        <v>258485</v>
      </c>
      <c r="C374" s="10">
        <v>1</v>
      </c>
      <c r="D374" s="9">
        <v>180</v>
      </c>
      <c r="E374" s="11" t="s">
        <v>310</v>
      </c>
      <c r="F374" s="12" t="s">
        <v>311</v>
      </c>
      <c r="G374" s="9" t="s">
        <v>312</v>
      </c>
      <c r="H374" s="34"/>
      <c r="I374" s="55" t="str">
        <f t="shared" si="11"/>
        <v>https://permalinkbnd.bnportugal.gov.pt/viewer/276783/?offset=#page=180&amp;viewer=picture&amp;o=info&amp;n=0&amp;q=</v>
      </c>
      <c r="J374" s="45"/>
      <c r="K374" s="45"/>
      <c r="L374" s="45"/>
      <c r="M374" t="s">
        <v>310</v>
      </c>
      <c r="N374">
        <v>276783</v>
      </c>
      <c r="O374" t="str">
        <f t="shared" si="10"/>
        <v>https://permalinkbnd.bnportugal.gov.pt/viewer/276783/?offset=#page=180&amp;viewer=picture&amp;o=info&amp;n=0&amp;q=</v>
      </c>
      <c r="P374">
        <v>258485</v>
      </c>
      <c r="Q374" t="s">
        <v>310</v>
      </c>
      <c r="R374" t="s">
        <v>2492</v>
      </c>
      <c r="S374" t="s">
        <v>1178</v>
      </c>
      <c r="T374" t="s">
        <v>1192</v>
      </c>
      <c r="U374" t="s">
        <v>599</v>
      </c>
      <c r="V374" t="s">
        <v>1551</v>
      </c>
      <c r="W374" t="s">
        <v>599</v>
      </c>
      <c r="X374" t="s">
        <v>599</v>
      </c>
      <c r="Y374" t="s">
        <v>2493</v>
      </c>
      <c r="Z374" t="s">
        <v>2494</v>
      </c>
      <c r="AA374">
        <v>1882</v>
      </c>
      <c r="AB374">
        <v>1882</v>
      </c>
      <c r="AC374" t="s">
        <v>2495</v>
      </c>
      <c r="AD374" t="s">
        <v>1185</v>
      </c>
      <c r="AE374" t="s">
        <v>599</v>
      </c>
      <c r="AF374" t="s">
        <v>599</v>
      </c>
      <c r="AG374" t="s">
        <v>2496</v>
      </c>
      <c r="AH374" t="s">
        <v>599</v>
      </c>
      <c r="AI374" t="s">
        <v>2497</v>
      </c>
      <c r="AJ374" t="s">
        <v>2498</v>
      </c>
      <c r="AK374" t="s">
        <v>1188</v>
      </c>
      <c r="AL374" t="s">
        <v>2499</v>
      </c>
      <c r="AM374" t="s">
        <v>1190</v>
      </c>
      <c r="AN374" t="s">
        <v>599</v>
      </c>
      <c r="AO374" t="s">
        <v>599</v>
      </c>
      <c r="AP374" t="s">
        <v>599</v>
      </c>
      <c r="AQ374" t="s">
        <v>599</v>
      </c>
      <c r="AR374" t="s">
        <v>599</v>
      </c>
      <c r="AS374" t="s">
        <v>599</v>
      </c>
      <c r="AT374" t="s">
        <v>599</v>
      </c>
    </row>
    <row r="375" spans="1:46" s="13" customFormat="1" ht="30" x14ac:dyDescent="0.25">
      <c r="A375" s="9">
        <v>10762</v>
      </c>
      <c r="B375" s="10">
        <v>258492</v>
      </c>
      <c r="C375" s="10">
        <v>1</v>
      </c>
      <c r="D375" s="9">
        <v>5</v>
      </c>
      <c r="E375" s="11" t="s">
        <v>313</v>
      </c>
      <c r="F375" s="12" t="s">
        <v>314</v>
      </c>
      <c r="G375" s="9" t="s">
        <v>315</v>
      </c>
      <c r="H375" s="34"/>
      <c r="I375" s="55" t="str">
        <f t="shared" si="11"/>
        <v>https://permalinkbnd.bnportugal.gov.pt/viewer/276790/?offset=#page=5&amp;viewer=picture&amp;o=info&amp;n=0&amp;q=</v>
      </c>
      <c r="J375" s="45"/>
      <c r="K375" s="45"/>
      <c r="L375" s="45"/>
      <c r="M375" t="s">
        <v>313</v>
      </c>
      <c r="N375">
        <v>276790</v>
      </c>
      <c r="O375" t="str">
        <f t="shared" si="10"/>
        <v>https://permalinkbnd.bnportugal.gov.pt/viewer/276790/?offset=#page=5&amp;viewer=picture&amp;o=info&amp;n=0&amp;q=</v>
      </c>
      <c r="P375">
        <v>258492</v>
      </c>
      <c r="Q375" t="s">
        <v>313</v>
      </c>
      <c r="R375" t="s">
        <v>2500</v>
      </c>
      <c r="S375" t="s">
        <v>1178</v>
      </c>
      <c r="T375" t="s">
        <v>1192</v>
      </c>
      <c r="U375" t="s">
        <v>599</v>
      </c>
      <c r="V375" t="s">
        <v>2501</v>
      </c>
      <c r="W375" t="s">
        <v>2502</v>
      </c>
      <c r="X375" t="s">
        <v>599</v>
      </c>
      <c r="Y375" t="s">
        <v>2503</v>
      </c>
      <c r="Z375" t="s">
        <v>2504</v>
      </c>
      <c r="AA375">
        <v>1882</v>
      </c>
      <c r="AB375">
        <v>1882</v>
      </c>
      <c r="AC375" t="s">
        <v>2505</v>
      </c>
      <c r="AD375" t="s">
        <v>1185</v>
      </c>
      <c r="AE375" t="s">
        <v>599</v>
      </c>
      <c r="AF375" t="s">
        <v>599</v>
      </c>
      <c r="AG375" t="s">
        <v>2506</v>
      </c>
      <c r="AH375" t="s">
        <v>599</v>
      </c>
      <c r="AI375" t="s">
        <v>2507</v>
      </c>
      <c r="AJ375" t="s">
        <v>2508</v>
      </c>
      <c r="AK375" t="s">
        <v>1188</v>
      </c>
      <c r="AL375" t="s">
        <v>2509</v>
      </c>
      <c r="AM375" t="s">
        <v>1190</v>
      </c>
      <c r="AN375" t="s">
        <v>599</v>
      </c>
      <c r="AO375" t="s">
        <v>599</v>
      </c>
      <c r="AP375" t="s">
        <v>2510</v>
      </c>
      <c r="AQ375" t="s">
        <v>599</v>
      </c>
      <c r="AR375" t="s">
        <v>599</v>
      </c>
      <c r="AS375" t="s">
        <v>599</v>
      </c>
      <c r="AT375" t="s">
        <v>599</v>
      </c>
    </row>
    <row r="376" spans="1:46" s="13" customFormat="1" ht="30" x14ac:dyDescent="0.25">
      <c r="A376" s="9">
        <v>10763</v>
      </c>
      <c r="B376" s="10">
        <v>258492</v>
      </c>
      <c r="C376" s="10">
        <v>1</v>
      </c>
      <c r="D376" s="9">
        <v>6</v>
      </c>
      <c r="E376" s="11" t="s">
        <v>313</v>
      </c>
      <c r="F376" s="12" t="s">
        <v>314</v>
      </c>
      <c r="G376" s="9" t="s">
        <v>315</v>
      </c>
      <c r="H376" s="34"/>
      <c r="I376" s="55" t="str">
        <f t="shared" si="11"/>
        <v>https://permalinkbnd.bnportugal.gov.pt/viewer/276790/?offset=#page=6&amp;viewer=picture&amp;o=info&amp;n=0&amp;q=</v>
      </c>
      <c r="J376" s="45"/>
      <c r="K376" s="45"/>
      <c r="L376" s="45"/>
      <c r="M376" t="s">
        <v>313</v>
      </c>
      <c r="N376">
        <v>276790</v>
      </c>
      <c r="O376" t="str">
        <f t="shared" si="10"/>
        <v>https://permalinkbnd.bnportugal.gov.pt/viewer/276790/?offset=#page=6&amp;viewer=picture&amp;o=info&amp;n=0&amp;q=</v>
      </c>
      <c r="P376">
        <v>258492</v>
      </c>
      <c r="Q376" t="s">
        <v>313</v>
      </c>
      <c r="R376" t="s">
        <v>2500</v>
      </c>
      <c r="S376" t="s">
        <v>1178</v>
      </c>
      <c r="T376" t="s">
        <v>1192</v>
      </c>
      <c r="U376" t="s">
        <v>599</v>
      </c>
      <c r="V376" t="s">
        <v>2501</v>
      </c>
      <c r="W376" t="s">
        <v>2502</v>
      </c>
      <c r="X376" t="s">
        <v>599</v>
      </c>
      <c r="Y376" t="s">
        <v>2503</v>
      </c>
      <c r="Z376" t="s">
        <v>2504</v>
      </c>
      <c r="AA376">
        <v>1882</v>
      </c>
      <c r="AB376">
        <v>1882</v>
      </c>
      <c r="AC376" t="s">
        <v>2505</v>
      </c>
      <c r="AD376" t="s">
        <v>1185</v>
      </c>
      <c r="AE376" t="s">
        <v>599</v>
      </c>
      <c r="AF376" t="s">
        <v>599</v>
      </c>
      <c r="AG376" t="s">
        <v>2506</v>
      </c>
      <c r="AH376" t="s">
        <v>599</v>
      </c>
      <c r="AI376" t="s">
        <v>2507</v>
      </c>
      <c r="AJ376" t="s">
        <v>2508</v>
      </c>
      <c r="AK376" t="s">
        <v>1188</v>
      </c>
      <c r="AL376" t="s">
        <v>2509</v>
      </c>
      <c r="AM376" t="s">
        <v>1190</v>
      </c>
      <c r="AN376" t="s">
        <v>599</v>
      </c>
      <c r="AO376" t="s">
        <v>599</v>
      </c>
      <c r="AP376" t="s">
        <v>2510</v>
      </c>
      <c r="AQ376" t="s">
        <v>599</v>
      </c>
      <c r="AR376" t="s">
        <v>599</v>
      </c>
      <c r="AS376" t="s">
        <v>599</v>
      </c>
      <c r="AT376" t="s">
        <v>599</v>
      </c>
    </row>
    <row r="377" spans="1:46" s="13" customFormat="1" ht="30" x14ac:dyDescent="0.25">
      <c r="A377" s="9">
        <v>10767</v>
      </c>
      <c r="B377" s="10">
        <v>252303</v>
      </c>
      <c r="C377" s="10">
        <v>1</v>
      </c>
      <c r="D377" s="9">
        <v>4</v>
      </c>
      <c r="E377" s="11" t="s">
        <v>316</v>
      </c>
      <c r="F377" s="12" t="s">
        <v>317</v>
      </c>
      <c r="G377" s="9" t="s">
        <v>318</v>
      </c>
      <c r="H377" s="34"/>
      <c r="I377" s="55" t="str">
        <f t="shared" si="11"/>
        <v>https://permalinkbnd.bnportugal.gov.pt/viewer/276785/?offset=#page=4&amp;viewer=picture&amp;o=info&amp;n=0&amp;q=</v>
      </c>
      <c r="J377" s="45"/>
      <c r="K377" s="45"/>
      <c r="L377" s="45"/>
      <c r="M377" t="s">
        <v>316</v>
      </c>
      <c r="N377">
        <v>276785</v>
      </c>
      <c r="O377" t="str">
        <f t="shared" si="10"/>
        <v>https://permalinkbnd.bnportugal.gov.pt/viewer/276785/?offset=#page=4&amp;viewer=picture&amp;o=info&amp;n=0&amp;q=</v>
      </c>
      <c r="P377">
        <v>252303</v>
      </c>
      <c r="Q377" t="s">
        <v>316</v>
      </c>
      <c r="R377" t="s">
        <v>2511</v>
      </c>
      <c r="S377" t="s">
        <v>1178</v>
      </c>
      <c r="T377" t="s">
        <v>1192</v>
      </c>
      <c r="U377" t="s">
        <v>599</v>
      </c>
      <c r="V377" t="s">
        <v>1551</v>
      </c>
      <c r="W377" t="s">
        <v>599</v>
      </c>
      <c r="X377" t="s">
        <v>599</v>
      </c>
      <c r="Y377" t="s">
        <v>2512</v>
      </c>
      <c r="Z377" t="s">
        <v>2513</v>
      </c>
      <c r="AA377">
        <v>1881</v>
      </c>
      <c r="AB377">
        <v>1881</v>
      </c>
      <c r="AC377" t="s">
        <v>2514</v>
      </c>
      <c r="AD377" t="s">
        <v>1185</v>
      </c>
      <c r="AE377" t="s">
        <v>599</v>
      </c>
      <c r="AF377" t="s">
        <v>599</v>
      </c>
      <c r="AG377" t="s">
        <v>2515</v>
      </c>
      <c r="AH377" t="s">
        <v>599</v>
      </c>
      <c r="AI377" t="s">
        <v>2516</v>
      </c>
      <c r="AJ377" t="s">
        <v>2517</v>
      </c>
      <c r="AK377" t="s">
        <v>1188</v>
      </c>
      <c r="AL377" t="s">
        <v>2518</v>
      </c>
      <c r="AM377" t="s">
        <v>1190</v>
      </c>
      <c r="AN377" t="s">
        <v>599</v>
      </c>
      <c r="AO377" t="s">
        <v>2519</v>
      </c>
      <c r="AP377" t="s">
        <v>599</v>
      </c>
      <c r="AQ377" t="s">
        <v>599</v>
      </c>
      <c r="AR377" t="s">
        <v>599</v>
      </c>
      <c r="AS377" t="s">
        <v>599</v>
      </c>
      <c r="AT377" t="s">
        <v>599</v>
      </c>
    </row>
    <row r="378" spans="1:46" s="13" customFormat="1" ht="30" x14ac:dyDescent="0.25">
      <c r="A378" s="9">
        <v>10768</v>
      </c>
      <c r="B378" s="10">
        <v>252303</v>
      </c>
      <c r="C378" s="10">
        <v>1</v>
      </c>
      <c r="D378" s="9">
        <v>162</v>
      </c>
      <c r="E378" s="11" t="s">
        <v>316</v>
      </c>
      <c r="F378" s="12" t="s">
        <v>317</v>
      </c>
      <c r="G378" s="9" t="s">
        <v>318</v>
      </c>
      <c r="H378" s="34"/>
      <c r="I378" s="55" t="str">
        <f t="shared" si="11"/>
        <v>https://permalinkbnd.bnportugal.gov.pt/viewer/276785/?offset=#page=162&amp;viewer=picture&amp;o=info&amp;n=0&amp;q=</v>
      </c>
      <c r="J378" s="45"/>
      <c r="K378" s="45"/>
      <c r="L378" s="45"/>
      <c r="M378" t="s">
        <v>316</v>
      </c>
      <c r="N378">
        <v>276785</v>
      </c>
      <c r="O378" t="str">
        <f t="shared" si="10"/>
        <v>https://permalinkbnd.bnportugal.gov.pt/viewer/276785/?offset=#page=162&amp;viewer=picture&amp;o=info&amp;n=0&amp;q=</v>
      </c>
      <c r="P378">
        <v>252303</v>
      </c>
      <c r="Q378" t="s">
        <v>316</v>
      </c>
      <c r="R378" t="s">
        <v>2511</v>
      </c>
      <c r="S378" t="s">
        <v>1178</v>
      </c>
      <c r="T378" t="s">
        <v>1192</v>
      </c>
      <c r="U378" t="s">
        <v>599</v>
      </c>
      <c r="V378" t="s">
        <v>1551</v>
      </c>
      <c r="W378" t="s">
        <v>599</v>
      </c>
      <c r="X378" t="s">
        <v>599</v>
      </c>
      <c r="Y378" t="s">
        <v>2512</v>
      </c>
      <c r="Z378" t="s">
        <v>2513</v>
      </c>
      <c r="AA378">
        <v>1881</v>
      </c>
      <c r="AB378">
        <v>1881</v>
      </c>
      <c r="AC378" t="s">
        <v>2514</v>
      </c>
      <c r="AD378" t="s">
        <v>1185</v>
      </c>
      <c r="AE378" t="s">
        <v>599</v>
      </c>
      <c r="AF378" t="s">
        <v>599</v>
      </c>
      <c r="AG378" t="s">
        <v>2515</v>
      </c>
      <c r="AH378" t="s">
        <v>599</v>
      </c>
      <c r="AI378" t="s">
        <v>2516</v>
      </c>
      <c r="AJ378" t="s">
        <v>2517</v>
      </c>
      <c r="AK378" t="s">
        <v>1188</v>
      </c>
      <c r="AL378" t="s">
        <v>2518</v>
      </c>
      <c r="AM378" t="s">
        <v>1190</v>
      </c>
      <c r="AN378" t="s">
        <v>599</v>
      </c>
      <c r="AO378" t="s">
        <v>2519</v>
      </c>
      <c r="AP378" t="s">
        <v>599</v>
      </c>
      <c r="AQ378" t="s">
        <v>599</v>
      </c>
      <c r="AR378" t="s">
        <v>599</v>
      </c>
      <c r="AS378" t="s">
        <v>599</v>
      </c>
      <c r="AT378" t="s">
        <v>599</v>
      </c>
    </row>
    <row r="379" spans="1:46" s="13" customFormat="1" ht="30" x14ac:dyDescent="0.25">
      <c r="A379" s="9">
        <v>10774</v>
      </c>
      <c r="B379" s="10">
        <v>258529</v>
      </c>
      <c r="C379" s="10">
        <v>1</v>
      </c>
      <c r="D379" s="9">
        <v>6</v>
      </c>
      <c r="E379" s="11" t="s">
        <v>319</v>
      </c>
      <c r="F379" s="12" t="s">
        <v>320</v>
      </c>
      <c r="G379" s="9">
        <v>6</v>
      </c>
      <c r="H379" s="34"/>
      <c r="I379" s="55" t="str">
        <f t="shared" si="11"/>
        <v>https://permalinkbnd.bnportugal.gov.pt/viewer/276792/?offset=#page=6&amp;viewer=picture&amp;o=info&amp;n=0&amp;q=</v>
      </c>
      <c r="J379" s="45"/>
      <c r="K379" s="45"/>
      <c r="L379" s="45"/>
      <c r="M379" t="s">
        <v>319</v>
      </c>
      <c r="N379">
        <v>276792</v>
      </c>
      <c r="O379" t="str">
        <f t="shared" si="10"/>
        <v>https://permalinkbnd.bnportugal.gov.pt/viewer/276792/?offset=#page=6&amp;viewer=picture&amp;o=info&amp;n=0&amp;q=</v>
      </c>
      <c r="P379">
        <v>258529</v>
      </c>
      <c r="Q379" t="s">
        <v>319</v>
      </c>
      <c r="R379" t="s">
        <v>2520</v>
      </c>
      <c r="S379" t="s">
        <v>1178</v>
      </c>
      <c r="T379" t="s">
        <v>1192</v>
      </c>
      <c r="U379" t="s">
        <v>599</v>
      </c>
      <c r="V379" t="s">
        <v>1551</v>
      </c>
      <c r="W379" t="s">
        <v>599</v>
      </c>
      <c r="X379" t="s">
        <v>599</v>
      </c>
      <c r="Y379" t="s">
        <v>2521</v>
      </c>
      <c r="Z379" t="s">
        <v>2456</v>
      </c>
      <c r="AA379">
        <v>1882</v>
      </c>
      <c r="AB379">
        <v>1882</v>
      </c>
      <c r="AC379" t="s">
        <v>2522</v>
      </c>
      <c r="AD379" t="s">
        <v>1185</v>
      </c>
      <c r="AE379" t="s">
        <v>599</v>
      </c>
      <c r="AF379" t="s">
        <v>599</v>
      </c>
      <c r="AG379" t="s">
        <v>2523</v>
      </c>
      <c r="AH379" t="s">
        <v>599</v>
      </c>
      <c r="AI379" t="s">
        <v>599</v>
      </c>
      <c r="AJ379" t="s">
        <v>2524</v>
      </c>
      <c r="AK379" t="s">
        <v>1188</v>
      </c>
      <c r="AL379" t="s">
        <v>2525</v>
      </c>
      <c r="AM379" t="s">
        <v>1190</v>
      </c>
      <c r="AN379" t="s">
        <v>599</v>
      </c>
      <c r="AO379" t="s">
        <v>599</v>
      </c>
      <c r="AP379" t="s">
        <v>2526</v>
      </c>
      <c r="AQ379" t="s">
        <v>599</v>
      </c>
      <c r="AR379" t="s">
        <v>599</v>
      </c>
      <c r="AS379" t="s">
        <v>599</v>
      </c>
      <c r="AT379" t="s">
        <v>599</v>
      </c>
    </row>
    <row r="380" spans="1:46" s="13" customFormat="1" ht="30" x14ac:dyDescent="0.25">
      <c r="A380" s="9">
        <v>10782</v>
      </c>
      <c r="B380" s="10">
        <v>397744</v>
      </c>
      <c r="C380" s="10">
        <v>1</v>
      </c>
      <c r="D380" s="9">
        <v>10</v>
      </c>
      <c r="E380" s="11" t="s">
        <v>321</v>
      </c>
      <c r="F380" s="12" t="s">
        <v>322</v>
      </c>
      <c r="G380" s="9">
        <v>10</v>
      </c>
      <c r="H380" s="34"/>
      <c r="I380" s="55" t="str">
        <f t="shared" si="11"/>
        <v>https://permalinkbnd.bnportugal.gov.pt/viewer/279509/?offset=#page=10&amp;viewer=picture&amp;o=info&amp;n=0&amp;q=</v>
      </c>
      <c r="J380" s="45"/>
      <c r="K380" s="45"/>
      <c r="L380" s="45"/>
      <c r="M380" t="s">
        <v>321</v>
      </c>
      <c r="N380">
        <v>279509</v>
      </c>
      <c r="O380" t="str">
        <f t="shared" si="10"/>
        <v>https://permalinkbnd.bnportugal.gov.pt/viewer/279509/?offset=#page=10&amp;viewer=picture&amp;o=info&amp;n=0&amp;q=</v>
      </c>
      <c r="P380">
        <v>397744</v>
      </c>
      <c r="Q380" t="s">
        <v>321</v>
      </c>
      <c r="R380" t="s">
        <v>2527</v>
      </c>
      <c r="S380" t="s">
        <v>1178</v>
      </c>
      <c r="T380" t="s">
        <v>1192</v>
      </c>
      <c r="U380" t="s">
        <v>599</v>
      </c>
      <c r="V380" t="s">
        <v>2528</v>
      </c>
      <c r="W380" t="s">
        <v>2529</v>
      </c>
      <c r="X380" t="s">
        <v>599</v>
      </c>
      <c r="Y380" t="s">
        <v>1182</v>
      </c>
      <c r="Z380" t="s">
        <v>2530</v>
      </c>
      <c r="AA380">
        <v>1883</v>
      </c>
      <c r="AB380">
        <v>1883</v>
      </c>
      <c r="AC380" t="s">
        <v>1470</v>
      </c>
      <c r="AD380" t="s">
        <v>1185</v>
      </c>
      <c r="AE380" t="s">
        <v>599</v>
      </c>
      <c r="AF380" t="s">
        <v>599</v>
      </c>
      <c r="AG380" t="s">
        <v>2531</v>
      </c>
      <c r="AH380" t="s">
        <v>599</v>
      </c>
      <c r="AI380" t="s">
        <v>599</v>
      </c>
      <c r="AJ380" t="s">
        <v>2532</v>
      </c>
      <c r="AK380" t="s">
        <v>1188</v>
      </c>
      <c r="AL380" t="s">
        <v>2533</v>
      </c>
      <c r="AM380" t="s">
        <v>1190</v>
      </c>
      <c r="AN380" t="s">
        <v>599</v>
      </c>
      <c r="AO380" t="s">
        <v>599</v>
      </c>
      <c r="AP380" t="s">
        <v>599</v>
      </c>
      <c r="AQ380" t="s">
        <v>599</v>
      </c>
      <c r="AR380" t="s">
        <v>2534</v>
      </c>
      <c r="AS380" t="s">
        <v>599</v>
      </c>
      <c r="AT380" t="s">
        <v>599</v>
      </c>
    </row>
    <row r="381" spans="1:46" s="13" customFormat="1" ht="30" x14ac:dyDescent="0.25">
      <c r="A381" s="9">
        <v>10783</v>
      </c>
      <c r="B381" s="10">
        <v>382847</v>
      </c>
      <c r="C381" s="10">
        <v>1</v>
      </c>
      <c r="D381" s="9">
        <v>10</v>
      </c>
      <c r="E381" s="11" t="s">
        <v>323</v>
      </c>
      <c r="F381" s="12" t="s">
        <v>139</v>
      </c>
      <c r="G381" s="9">
        <v>10</v>
      </c>
      <c r="H381" s="34"/>
      <c r="I381" s="55" t="str">
        <f t="shared" si="11"/>
        <v>https://permalinkbnd.bnportugal.gov.pt/viewer/279502/?offset=#page=10&amp;viewer=picture&amp;o=info&amp;n=0&amp;q=</v>
      </c>
      <c r="J381" s="45"/>
      <c r="K381" s="45"/>
      <c r="L381" s="45"/>
      <c r="M381" t="s">
        <v>323</v>
      </c>
      <c r="N381">
        <v>279502</v>
      </c>
      <c r="O381" t="str">
        <f t="shared" si="10"/>
        <v>https://permalinkbnd.bnportugal.gov.pt/viewer/279502/?offset=#page=10&amp;viewer=picture&amp;o=info&amp;n=0&amp;q=</v>
      </c>
      <c r="P381">
        <v>382847</v>
      </c>
      <c r="Q381" t="s">
        <v>323</v>
      </c>
      <c r="R381" t="s">
        <v>2535</v>
      </c>
      <c r="S381" t="s">
        <v>1178</v>
      </c>
      <c r="T381" t="s">
        <v>1192</v>
      </c>
      <c r="U381" t="s">
        <v>599</v>
      </c>
      <c r="V381" t="s">
        <v>2536</v>
      </c>
      <c r="W381" t="s">
        <v>2537</v>
      </c>
      <c r="X381" t="s">
        <v>599</v>
      </c>
      <c r="Y381" t="s">
        <v>1182</v>
      </c>
      <c r="Z381" t="s">
        <v>2538</v>
      </c>
      <c r="AA381">
        <v>1880</v>
      </c>
      <c r="AB381">
        <v>1880</v>
      </c>
      <c r="AC381" t="s">
        <v>2539</v>
      </c>
      <c r="AD381" t="s">
        <v>599</v>
      </c>
      <c r="AE381" t="s">
        <v>599</v>
      </c>
      <c r="AF381" t="s">
        <v>599</v>
      </c>
      <c r="AG381" t="s">
        <v>599</v>
      </c>
      <c r="AH381" t="s">
        <v>599</v>
      </c>
      <c r="AI381" t="s">
        <v>599</v>
      </c>
      <c r="AJ381" t="s">
        <v>2540</v>
      </c>
      <c r="AK381" t="s">
        <v>1188</v>
      </c>
      <c r="AL381" t="s">
        <v>2541</v>
      </c>
      <c r="AM381" t="s">
        <v>1190</v>
      </c>
      <c r="AN381" t="s">
        <v>599</v>
      </c>
      <c r="AO381" t="s">
        <v>599</v>
      </c>
      <c r="AP381" t="s">
        <v>599</v>
      </c>
      <c r="AQ381" t="s">
        <v>599</v>
      </c>
      <c r="AR381" t="s">
        <v>599</v>
      </c>
      <c r="AS381" t="s">
        <v>599</v>
      </c>
      <c r="AT381" t="s">
        <v>599</v>
      </c>
    </row>
    <row r="382" spans="1:46" s="13" customFormat="1" ht="30" x14ac:dyDescent="0.25">
      <c r="A382" s="9">
        <v>10786</v>
      </c>
      <c r="B382" s="10">
        <v>1072941</v>
      </c>
      <c r="C382" s="10">
        <v>1</v>
      </c>
      <c r="D382" s="9">
        <v>11</v>
      </c>
      <c r="E382" s="11" t="s">
        <v>324</v>
      </c>
      <c r="F382" s="12" t="s">
        <v>325</v>
      </c>
      <c r="G382" s="9" t="s">
        <v>325</v>
      </c>
      <c r="H382" s="34"/>
      <c r="I382" s="55" t="str">
        <f t="shared" si="11"/>
        <v>https://permalinkbnd.bnportugal.gov.pt/viewer/279513/?offset=#page=11&amp;viewer=picture&amp;o=info&amp;n=0&amp;q=</v>
      </c>
      <c r="J382" s="45"/>
      <c r="K382" s="45"/>
      <c r="L382" s="45"/>
      <c r="M382" t="s">
        <v>324</v>
      </c>
      <c r="N382">
        <v>279513</v>
      </c>
      <c r="O382" t="str">
        <f t="shared" si="10"/>
        <v>https://permalinkbnd.bnportugal.gov.pt/viewer/279513/?offset=#page=11&amp;viewer=picture&amp;o=info&amp;n=0&amp;q=</v>
      </c>
      <c r="P382">
        <v>1072941</v>
      </c>
      <c r="Q382" t="s">
        <v>324</v>
      </c>
      <c r="R382" t="s">
        <v>2542</v>
      </c>
      <c r="S382" t="s">
        <v>1178</v>
      </c>
      <c r="T382" t="s">
        <v>2543</v>
      </c>
      <c r="U382" t="s">
        <v>599</v>
      </c>
      <c r="V382" t="s">
        <v>2544</v>
      </c>
      <c r="W382" t="s">
        <v>2545</v>
      </c>
      <c r="X382" t="s">
        <v>599</v>
      </c>
      <c r="Y382" t="s">
        <v>1182</v>
      </c>
      <c r="Z382" t="s">
        <v>2546</v>
      </c>
      <c r="AA382">
        <v>1793</v>
      </c>
      <c r="AB382">
        <v>1793</v>
      </c>
      <c r="AC382" t="s">
        <v>2547</v>
      </c>
      <c r="AD382" t="s">
        <v>2548</v>
      </c>
      <c r="AE382" t="s">
        <v>599</v>
      </c>
      <c r="AF382" t="s">
        <v>599</v>
      </c>
      <c r="AG382" t="s">
        <v>2549</v>
      </c>
      <c r="AH382" t="s">
        <v>599</v>
      </c>
      <c r="AI382" t="s">
        <v>599</v>
      </c>
      <c r="AJ382" t="s">
        <v>2550</v>
      </c>
      <c r="AK382" t="s">
        <v>1188</v>
      </c>
      <c r="AL382" t="s">
        <v>2551</v>
      </c>
      <c r="AM382" t="s">
        <v>1190</v>
      </c>
      <c r="AN382" t="s">
        <v>599</v>
      </c>
      <c r="AO382" t="s">
        <v>599</v>
      </c>
      <c r="AP382" t="s">
        <v>599</v>
      </c>
      <c r="AQ382" t="s">
        <v>599</v>
      </c>
      <c r="AR382" t="s">
        <v>599</v>
      </c>
      <c r="AS382" t="s">
        <v>599</v>
      </c>
      <c r="AT382" t="s">
        <v>599</v>
      </c>
    </row>
    <row r="383" spans="1:46" s="13" customFormat="1" ht="30" x14ac:dyDescent="0.25">
      <c r="A383" s="9">
        <v>10787</v>
      </c>
      <c r="B383" s="10">
        <v>1072941</v>
      </c>
      <c r="C383" s="10">
        <v>1</v>
      </c>
      <c r="D383" s="9">
        <v>21</v>
      </c>
      <c r="E383" s="11" t="s">
        <v>324</v>
      </c>
      <c r="F383" s="12" t="s">
        <v>325</v>
      </c>
      <c r="G383" s="9" t="s">
        <v>325</v>
      </c>
      <c r="H383" s="34"/>
      <c r="I383" s="55" t="str">
        <f t="shared" si="11"/>
        <v>https://permalinkbnd.bnportugal.gov.pt/viewer/279513/?offset=#page=21&amp;viewer=picture&amp;o=info&amp;n=0&amp;q=</v>
      </c>
      <c r="J383" s="45"/>
      <c r="K383" s="45"/>
      <c r="L383" s="45"/>
      <c r="M383" t="s">
        <v>324</v>
      </c>
      <c r="N383">
        <v>279513</v>
      </c>
      <c r="O383" t="str">
        <f t="shared" si="10"/>
        <v>https://permalinkbnd.bnportugal.gov.pt/viewer/279513/?offset=#page=21&amp;viewer=picture&amp;o=info&amp;n=0&amp;q=</v>
      </c>
      <c r="P383">
        <v>1072941</v>
      </c>
      <c r="Q383" t="s">
        <v>324</v>
      </c>
      <c r="R383" t="s">
        <v>2542</v>
      </c>
      <c r="S383" t="s">
        <v>1178</v>
      </c>
      <c r="T383" t="s">
        <v>2543</v>
      </c>
      <c r="U383" t="s">
        <v>599</v>
      </c>
      <c r="V383" t="s">
        <v>2544</v>
      </c>
      <c r="W383" t="s">
        <v>2545</v>
      </c>
      <c r="X383" t="s">
        <v>599</v>
      </c>
      <c r="Y383" t="s">
        <v>1182</v>
      </c>
      <c r="Z383" t="s">
        <v>2546</v>
      </c>
      <c r="AA383">
        <v>1793</v>
      </c>
      <c r="AB383">
        <v>1793</v>
      </c>
      <c r="AC383" t="s">
        <v>2547</v>
      </c>
      <c r="AD383" t="s">
        <v>2548</v>
      </c>
      <c r="AE383" t="s">
        <v>599</v>
      </c>
      <c r="AF383" t="s">
        <v>599</v>
      </c>
      <c r="AG383" t="s">
        <v>2549</v>
      </c>
      <c r="AH383" t="s">
        <v>599</v>
      </c>
      <c r="AI383" t="s">
        <v>599</v>
      </c>
      <c r="AJ383" t="s">
        <v>2550</v>
      </c>
      <c r="AK383" t="s">
        <v>1188</v>
      </c>
      <c r="AL383" t="s">
        <v>2551</v>
      </c>
      <c r="AM383" t="s">
        <v>1190</v>
      </c>
      <c r="AN383" t="s">
        <v>599</v>
      </c>
      <c r="AO383" t="s">
        <v>599</v>
      </c>
      <c r="AP383" t="s">
        <v>599</v>
      </c>
      <c r="AQ383" t="s">
        <v>599</v>
      </c>
      <c r="AR383" t="s">
        <v>599</v>
      </c>
      <c r="AS383" t="s">
        <v>599</v>
      </c>
      <c r="AT383" t="s">
        <v>599</v>
      </c>
    </row>
    <row r="384" spans="1:46" s="13" customFormat="1" ht="30" x14ac:dyDescent="0.25">
      <c r="A384" s="9">
        <v>10789</v>
      </c>
      <c r="B384" s="10">
        <v>1073970</v>
      </c>
      <c r="C384" s="10">
        <v>1</v>
      </c>
      <c r="D384" s="9">
        <v>7</v>
      </c>
      <c r="E384" s="11" t="s">
        <v>326</v>
      </c>
      <c r="F384" s="12">
        <v>7</v>
      </c>
      <c r="G384" s="9">
        <v>7</v>
      </c>
      <c r="H384" s="34"/>
      <c r="I384" s="55" t="str">
        <f t="shared" si="11"/>
        <v>https://permalinkbnd.bnportugal.gov.pt/viewer/279512/?offset=#page=7&amp;viewer=picture&amp;o=info&amp;n=0&amp;q=</v>
      </c>
      <c r="J384" s="45"/>
      <c r="K384" s="45"/>
      <c r="L384" s="45"/>
      <c r="M384" t="s">
        <v>326</v>
      </c>
      <c r="N384">
        <v>279512</v>
      </c>
      <c r="O384" t="str">
        <f t="shared" si="10"/>
        <v>https://permalinkbnd.bnportugal.gov.pt/viewer/279512/?offset=#page=7&amp;viewer=picture&amp;o=info&amp;n=0&amp;q=</v>
      </c>
      <c r="P384">
        <v>1073970</v>
      </c>
      <c r="Q384" t="s">
        <v>326</v>
      </c>
      <c r="R384" t="s">
        <v>2552</v>
      </c>
      <c r="S384" t="s">
        <v>1178</v>
      </c>
      <c r="T384" t="s">
        <v>1179</v>
      </c>
      <c r="U384" t="s">
        <v>599</v>
      </c>
      <c r="V384" t="s">
        <v>2553</v>
      </c>
      <c r="W384" t="s">
        <v>2554</v>
      </c>
      <c r="X384" t="s">
        <v>599</v>
      </c>
      <c r="Y384" t="s">
        <v>1182</v>
      </c>
      <c r="Z384" t="s">
        <v>2555</v>
      </c>
      <c r="AA384">
        <v>1851</v>
      </c>
      <c r="AB384">
        <v>1851</v>
      </c>
      <c r="AC384" t="s">
        <v>2556</v>
      </c>
      <c r="AD384" t="s">
        <v>2557</v>
      </c>
      <c r="AE384" t="s">
        <v>599</v>
      </c>
      <c r="AF384" t="s">
        <v>599</v>
      </c>
      <c r="AG384" t="s">
        <v>599</v>
      </c>
      <c r="AH384" t="s">
        <v>599</v>
      </c>
      <c r="AI384" t="s">
        <v>599</v>
      </c>
      <c r="AJ384" t="s">
        <v>2558</v>
      </c>
      <c r="AK384" t="s">
        <v>1188</v>
      </c>
      <c r="AL384" t="s">
        <v>2559</v>
      </c>
      <c r="AM384" t="s">
        <v>1190</v>
      </c>
      <c r="AN384" t="s">
        <v>599</v>
      </c>
      <c r="AO384" t="s">
        <v>599</v>
      </c>
      <c r="AP384" t="s">
        <v>599</v>
      </c>
      <c r="AQ384" t="s">
        <v>599</v>
      </c>
      <c r="AR384" t="s">
        <v>599</v>
      </c>
      <c r="AS384" t="s">
        <v>599</v>
      </c>
      <c r="AT384" t="s">
        <v>599</v>
      </c>
    </row>
    <row r="385" spans="1:46" s="13" customFormat="1" ht="30" x14ac:dyDescent="0.25">
      <c r="A385" s="9">
        <v>10792</v>
      </c>
      <c r="B385" s="10">
        <v>258643</v>
      </c>
      <c r="C385" s="10">
        <v>1</v>
      </c>
      <c r="D385" s="9">
        <v>10</v>
      </c>
      <c r="E385" s="11" t="s">
        <v>327</v>
      </c>
      <c r="F385" s="12" t="s">
        <v>328</v>
      </c>
      <c r="G385" s="9">
        <v>10</v>
      </c>
      <c r="H385" s="34"/>
      <c r="I385" s="55" t="str">
        <f t="shared" si="11"/>
        <v>https://permalinkbnd.bnportugal.gov.pt/viewer/276787/?offset=#page=10&amp;viewer=picture&amp;o=info&amp;n=0&amp;q=</v>
      </c>
      <c r="J385" s="45"/>
      <c r="K385" s="45"/>
      <c r="L385" s="45"/>
      <c r="M385" t="s">
        <v>327</v>
      </c>
      <c r="N385">
        <v>276787</v>
      </c>
      <c r="O385" t="str">
        <f t="shared" si="10"/>
        <v>https://permalinkbnd.bnportugal.gov.pt/viewer/276787/?offset=#page=10&amp;viewer=picture&amp;o=info&amp;n=0&amp;q=</v>
      </c>
      <c r="P385">
        <v>258643</v>
      </c>
      <c r="Q385" t="s">
        <v>327</v>
      </c>
      <c r="R385" t="s">
        <v>2560</v>
      </c>
      <c r="S385" t="s">
        <v>1178</v>
      </c>
      <c r="T385" t="s">
        <v>1192</v>
      </c>
      <c r="U385" t="s">
        <v>599</v>
      </c>
      <c r="V385" t="s">
        <v>1551</v>
      </c>
      <c r="W385" t="s">
        <v>1778</v>
      </c>
      <c r="X385" t="s">
        <v>599</v>
      </c>
      <c r="Y385" t="s">
        <v>1182</v>
      </c>
      <c r="Z385" t="s">
        <v>2561</v>
      </c>
      <c r="AA385">
        <v>1899</v>
      </c>
      <c r="AB385">
        <v>1899</v>
      </c>
      <c r="AC385" t="s">
        <v>2562</v>
      </c>
      <c r="AD385" t="s">
        <v>1185</v>
      </c>
      <c r="AE385" t="s">
        <v>599</v>
      </c>
      <c r="AF385" t="s">
        <v>599</v>
      </c>
      <c r="AG385" t="s">
        <v>2563</v>
      </c>
      <c r="AH385" t="s">
        <v>599</v>
      </c>
      <c r="AI385" t="s">
        <v>599</v>
      </c>
      <c r="AJ385" t="s">
        <v>2564</v>
      </c>
      <c r="AK385" t="s">
        <v>1188</v>
      </c>
      <c r="AL385" t="s">
        <v>2565</v>
      </c>
      <c r="AM385" t="s">
        <v>1190</v>
      </c>
      <c r="AN385" t="s">
        <v>599</v>
      </c>
      <c r="AO385" t="s">
        <v>599</v>
      </c>
      <c r="AP385" t="s">
        <v>599</v>
      </c>
      <c r="AQ385" t="s">
        <v>599</v>
      </c>
      <c r="AR385" t="s">
        <v>599</v>
      </c>
      <c r="AS385" t="s">
        <v>599</v>
      </c>
      <c r="AT385" t="s">
        <v>599</v>
      </c>
    </row>
    <row r="386" spans="1:46" s="13" customFormat="1" ht="30" x14ac:dyDescent="0.25">
      <c r="A386" s="9">
        <v>10804</v>
      </c>
      <c r="B386" s="10">
        <v>1725327</v>
      </c>
      <c r="C386" s="10">
        <v>1</v>
      </c>
      <c r="D386" s="9">
        <v>1</v>
      </c>
      <c r="E386" s="11" t="s">
        <v>329</v>
      </c>
      <c r="F386" s="12" t="s">
        <v>330</v>
      </c>
      <c r="G386" s="9">
        <v>1</v>
      </c>
      <c r="H386" s="34"/>
      <c r="I386" s="55" t="str">
        <f t="shared" si="11"/>
        <v>https://permalinkbnd.bnportugal.gov.pt/viewer/275409/?offset=#page=1&amp;viewer=picture&amp;o=info&amp;n=0&amp;q=</v>
      </c>
      <c r="J386" s="45"/>
      <c r="K386" s="45"/>
      <c r="L386" s="45"/>
      <c r="M386" t="s">
        <v>329</v>
      </c>
      <c r="N386">
        <v>275409</v>
      </c>
      <c r="O386" t="str">
        <f t="shared" ref="O386:O449" si="12">CONCATENATE("https://permalinkbnd.bnportugal.gov.pt/viewer/",N386,"/?offset=#page=",D386,"&amp;viewer=picture&amp;o=info&amp;n=0&amp;q=")</f>
        <v>https://permalinkbnd.bnportugal.gov.pt/viewer/275409/?offset=#page=1&amp;viewer=picture&amp;o=info&amp;n=0&amp;q=</v>
      </c>
      <c r="P386">
        <v>1725327</v>
      </c>
      <c r="Q386" t="s">
        <v>329</v>
      </c>
      <c r="R386" t="s">
        <v>2566</v>
      </c>
      <c r="S386" t="s">
        <v>1178</v>
      </c>
      <c r="T386" t="s">
        <v>1179</v>
      </c>
      <c r="U386" t="s">
        <v>599</v>
      </c>
      <c r="V386" t="s">
        <v>2567</v>
      </c>
      <c r="W386" t="s">
        <v>2568</v>
      </c>
      <c r="X386" t="s">
        <v>599</v>
      </c>
      <c r="Y386" t="s">
        <v>1182</v>
      </c>
      <c r="Z386" t="s">
        <v>2569</v>
      </c>
      <c r="AA386">
        <v>1842</v>
      </c>
      <c r="AB386">
        <v>1842</v>
      </c>
      <c r="AC386" t="s">
        <v>2234</v>
      </c>
      <c r="AD386" t="s">
        <v>2570</v>
      </c>
      <c r="AE386" t="s">
        <v>599</v>
      </c>
      <c r="AF386" t="s">
        <v>599</v>
      </c>
      <c r="AG386" t="s">
        <v>599</v>
      </c>
      <c r="AH386" t="s">
        <v>599</v>
      </c>
      <c r="AI386" t="s">
        <v>599</v>
      </c>
      <c r="AJ386" t="s">
        <v>2571</v>
      </c>
      <c r="AK386" t="s">
        <v>1188</v>
      </c>
      <c r="AL386" t="s">
        <v>2572</v>
      </c>
      <c r="AM386" t="s">
        <v>1190</v>
      </c>
      <c r="AN386" t="s">
        <v>599</v>
      </c>
      <c r="AO386" t="s">
        <v>599</v>
      </c>
      <c r="AP386" t="s">
        <v>599</v>
      </c>
      <c r="AQ386" t="s">
        <v>599</v>
      </c>
      <c r="AR386" t="s">
        <v>599</v>
      </c>
      <c r="AS386" t="s">
        <v>599</v>
      </c>
      <c r="AT386" t="s">
        <v>599</v>
      </c>
    </row>
    <row r="387" spans="1:46" s="13" customFormat="1" ht="60" x14ac:dyDescent="0.25">
      <c r="A387" s="9">
        <v>10810</v>
      </c>
      <c r="B387" s="10">
        <v>388329</v>
      </c>
      <c r="C387" s="10">
        <v>1</v>
      </c>
      <c r="D387" s="9">
        <v>14</v>
      </c>
      <c r="E387" s="11" t="s">
        <v>331</v>
      </c>
      <c r="F387" s="12" t="s">
        <v>332</v>
      </c>
      <c r="G387" s="9" t="s">
        <v>333</v>
      </c>
      <c r="H387" s="34"/>
      <c r="I387" s="55" t="str">
        <f t="shared" ref="I387:I450" si="13">HYPERLINK(O387)</f>
        <v>https://permalinkbnd.bnportugal.gov.pt/viewer/273746/?offset=#page=14&amp;viewer=picture&amp;o=info&amp;n=0&amp;q=</v>
      </c>
      <c r="J387" s="45"/>
      <c r="K387" s="45"/>
      <c r="L387" s="45"/>
      <c r="M387" t="s">
        <v>331</v>
      </c>
      <c r="N387">
        <v>273746</v>
      </c>
      <c r="O387" t="str">
        <f t="shared" si="12"/>
        <v>https://permalinkbnd.bnportugal.gov.pt/viewer/273746/?offset=#page=14&amp;viewer=picture&amp;o=info&amp;n=0&amp;q=</v>
      </c>
      <c r="P387">
        <v>388329</v>
      </c>
      <c r="Q387" t="s">
        <v>331</v>
      </c>
      <c r="R387" t="s">
        <v>2573</v>
      </c>
      <c r="S387" t="s">
        <v>1178</v>
      </c>
      <c r="T387" t="s">
        <v>1192</v>
      </c>
      <c r="U387" t="s">
        <v>599</v>
      </c>
      <c r="V387" t="s">
        <v>2574</v>
      </c>
      <c r="W387" t="s">
        <v>599</v>
      </c>
      <c r="X387" t="s">
        <v>599</v>
      </c>
      <c r="Y387" t="s">
        <v>1182</v>
      </c>
      <c r="Z387" t="s">
        <v>1221</v>
      </c>
      <c r="AA387">
        <v>1898</v>
      </c>
      <c r="AB387">
        <v>1898</v>
      </c>
      <c r="AC387" t="s">
        <v>2575</v>
      </c>
      <c r="AD387" t="s">
        <v>2576</v>
      </c>
      <c r="AE387" t="s">
        <v>599</v>
      </c>
      <c r="AF387" t="s">
        <v>599</v>
      </c>
      <c r="AG387" t="s">
        <v>1432</v>
      </c>
      <c r="AH387" t="s">
        <v>599</v>
      </c>
      <c r="AI387" t="s">
        <v>2577</v>
      </c>
      <c r="AJ387" t="s">
        <v>2578</v>
      </c>
      <c r="AK387" t="s">
        <v>1188</v>
      </c>
      <c r="AL387" t="s">
        <v>2579</v>
      </c>
      <c r="AM387" t="s">
        <v>1190</v>
      </c>
      <c r="AN387" t="s">
        <v>599</v>
      </c>
      <c r="AO387" t="s">
        <v>599</v>
      </c>
      <c r="AP387" t="s">
        <v>599</v>
      </c>
      <c r="AQ387" t="s">
        <v>599</v>
      </c>
      <c r="AR387" t="s">
        <v>599</v>
      </c>
      <c r="AS387" t="s">
        <v>599</v>
      </c>
      <c r="AT387" t="s">
        <v>599</v>
      </c>
    </row>
    <row r="388" spans="1:46" s="13" customFormat="1" ht="60" x14ac:dyDescent="0.25">
      <c r="A388" s="9">
        <v>10811</v>
      </c>
      <c r="B388" s="10">
        <v>388329</v>
      </c>
      <c r="C388" s="10">
        <v>1</v>
      </c>
      <c r="D388" s="9">
        <v>74</v>
      </c>
      <c r="E388" s="11" t="s">
        <v>331</v>
      </c>
      <c r="F388" s="12" t="s">
        <v>332</v>
      </c>
      <c r="G388" s="9" t="s">
        <v>333</v>
      </c>
      <c r="H388" s="34"/>
      <c r="I388" s="55" t="str">
        <f t="shared" si="13"/>
        <v>https://permalinkbnd.bnportugal.gov.pt/viewer/273746/?offset=#page=74&amp;viewer=picture&amp;o=info&amp;n=0&amp;q=</v>
      </c>
      <c r="J388" s="45"/>
      <c r="K388" s="45"/>
      <c r="L388" s="45"/>
      <c r="M388" t="s">
        <v>331</v>
      </c>
      <c r="N388">
        <v>273746</v>
      </c>
      <c r="O388" t="str">
        <f t="shared" si="12"/>
        <v>https://permalinkbnd.bnportugal.gov.pt/viewer/273746/?offset=#page=74&amp;viewer=picture&amp;o=info&amp;n=0&amp;q=</v>
      </c>
      <c r="P388">
        <v>388329</v>
      </c>
      <c r="Q388" t="s">
        <v>331</v>
      </c>
      <c r="R388" t="s">
        <v>2573</v>
      </c>
      <c r="S388" t="s">
        <v>1178</v>
      </c>
      <c r="T388" t="s">
        <v>1192</v>
      </c>
      <c r="U388" t="s">
        <v>599</v>
      </c>
      <c r="V388" t="s">
        <v>2574</v>
      </c>
      <c r="W388" t="s">
        <v>599</v>
      </c>
      <c r="X388" t="s">
        <v>599</v>
      </c>
      <c r="Y388" t="s">
        <v>1182</v>
      </c>
      <c r="Z388" t="s">
        <v>1221</v>
      </c>
      <c r="AA388">
        <v>1898</v>
      </c>
      <c r="AB388">
        <v>1898</v>
      </c>
      <c r="AC388" t="s">
        <v>2575</v>
      </c>
      <c r="AD388" t="s">
        <v>2576</v>
      </c>
      <c r="AE388" t="s">
        <v>599</v>
      </c>
      <c r="AF388" t="s">
        <v>599</v>
      </c>
      <c r="AG388" t="s">
        <v>1432</v>
      </c>
      <c r="AH388" t="s">
        <v>599</v>
      </c>
      <c r="AI388" t="s">
        <v>2577</v>
      </c>
      <c r="AJ388" t="s">
        <v>2578</v>
      </c>
      <c r="AK388" t="s">
        <v>1188</v>
      </c>
      <c r="AL388" t="s">
        <v>2579</v>
      </c>
      <c r="AM388" t="s">
        <v>1190</v>
      </c>
      <c r="AN388" t="s">
        <v>599</v>
      </c>
      <c r="AO388" t="s">
        <v>599</v>
      </c>
      <c r="AP388" t="s">
        <v>599</v>
      </c>
      <c r="AQ388" t="s">
        <v>599</v>
      </c>
      <c r="AR388" t="s">
        <v>599</v>
      </c>
      <c r="AS388" t="s">
        <v>599</v>
      </c>
      <c r="AT388" t="s">
        <v>599</v>
      </c>
    </row>
    <row r="389" spans="1:46" s="13" customFormat="1" ht="60" x14ac:dyDescent="0.25">
      <c r="A389" s="9">
        <v>10812</v>
      </c>
      <c r="B389" s="10">
        <v>388329</v>
      </c>
      <c r="C389" s="10">
        <v>1</v>
      </c>
      <c r="D389" s="9">
        <v>89</v>
      </c>
      <c r="E389" s="11" t="s">
        <v>331</v>
      </c>
      <c r="F389" s="12" t="s">
        <v>332</v>
      </c>
      <c r="G389" s="9" t="s">
        <v>333</v>
      </c>
      <c r="H389" s="34"/>
      <c r="I389" s="55" t="str">
        <f t="shared" si="13"/>
        <v>https://permalinkbnd.bnportugal.gov.pt/viewer/273746/?offset=#page=89&amp;viewer=picture&amp;o=info&amp;n=0&amp;q=</v>
      </c>
      <c r="J389" s="45"/>
      <c r="K389" s="45"/>
      <c r="L389" s="45"/>
      <c r="M389" t="s">
        <v>331</v>
      </c>
      <c r="N389">
        <v>273746</v>
      </c>
      <c r="O389" t="str">
        <f t="shared" si="12"/>
        <v>https://permalinkbnd.bnportugal.gov.pt/viewer/273746/?offset=#page=89&amp;viewer=picture&amp;o=info&amp;n=0&amp;q=</v>
      </c>
      <c r="P389">
        <v>388329</v>
      </c>
      <c r="Q389" t="s">
        <v>331</v>
      </c>
      <c r="R389" t="s">
        <v>2573</v>
      </c>
      <c r="S389" t="s">
        <v>1178</v>
      </c>
      <c r="T389" t="s">
        <v>1192</v>
      </c>
      <c r="U389" t="s">
        <v>599</v>
      </c>
      <c r="V389" t="s">
        <v>2574</v>
      </c>
      <c r="W389" t="s">
        <v>599</v>
      </c>
      <c r="X389" t="s">
        <v>599</v>
      </c>
      <c r="Y389" t="s">
        <v>1182</v>
      </c>
      <c r="Z389" t="s">
        <v>1221</v>
      </c>
      <c r="AA389">
        <v>1898</v>
      </c>
      <c r="AB389">
        <v>1898</v>
      </c>
      <c r="AC389" t="s">
        <v>2575</v>
      </c>
      <c r="AD389" t="s">
        <v>2576</v>
      </c>
      <c r="AE389" t="s">
        <v>599</v>
      </c>
      <c r="AF389" t="s">
        <v>599</v>
      </c>
      <c r="AG389" t="s">
        <v>1432</v>
      </c>
      <c r="AH389" t="s">
        <v>599</v>
      </c>
      <c r="AI389" t="s">
        <v>2577</v>
      </c>
      <c r="AJ389" t="s">
        <v>2578</v>
      </c>
      <c r="AK389" t="s">
        <v>1188</v>
      </c>
      <c r="AL389" t="s">
        <v>2579</v>
      </c>
      <c r="AM389" t="s">
        <v>1190</v>
      </c>
      <c r="AN389" t="s">
        <v>599</v>
      </c>
      <c r="AO389" t="s">
        <v>599</v>
      </c>
      <c r="AP389" t="s">
        <v>599</v>
      </c>
      <c r="AQ389" t="s">
        <v>599</v>
      </c>
      <c r="AR389" t="s">
        <v>599</v>
      </c>
      <c r="AS389" t="s">
        <v>599</v>
      </c>
      <c r="AT389" t="s">
        <v>599</v>
      </c>
    </row>
    <row r="390" spans="1:46" s="13" customFormat="1" ht="60" x14ac:dyDescent="0.25">
      <c r="A390" s="9">
        <v>10813</v>
      </c>
      <c r="B390" s="10">
        <v>388329</v>
      </c>
      <c r="C390" s="10">
        <v>1</v>
      </c>
      <c r="D390" s="9">
        <v>103</v>
      </c>
      <c r="E390" s="11" t="s">
        <v>331</v>
      </c>
      <c r="F390" s="12" t="s">
        <v>332</v>
      </c>
      <c r="G390" s="9" t="s">
        <v>333</v>
      </c>
      <c r="H390" s="34"/>
      <c r="I390" s="55" t="str">
        <f t="shared" si="13"/>
        <v>https://permalinkbnd.bnportugal.gov.pt/viewer/273746/?offset=#page=103&amp;viewer=picture&amp;o=info&amp;n=0&amp;q=</v>
      </c>
      <c r="J390" s="45"/>
      <c r="K390" s="45"/>
      <c r="L390" s="45"/>
      <c r="M390" t="s">
        <v>331</v>
      </c>
      <c r="N390">
        <v>273746</v>
      </c>
      <c r="O390" t="str">
        <f t="shared" si="12"/>
        <v>https://permalinkbnd.bnportugal.gov.pt/viewer/273746/?offset=#page=103&amp;viewer=picture&amp;o=info&amp;n=0&amp;q=</v>
      </c>
      <c r="P390">
        <v>388329</v>
      </c>
      <c r="Q390" t="s">
        <v>331</v>
      </c>
      <c r="R390" t="s">
        <v>2573</v>
      </c>
      <c r="S390" t="s">
        <v>1178</v>
      </c>
      <c r="T390" t="s">
        <v>1192</v>
      </c>
      <c r="U390" t="s">
        <v>599</v>
      </c>
      <c r="V390" t="s">
        <v>2574</v>
      </c>
      <c r="W390" t="s">
        <v>599</v>
      </c>
      <c r="X390" t="s">
        <v>599</v>
      </c>
      <c r="Y390" t="s">
        <v>1182</v>
      </c>
      <c r="Z390" t="s">
        <v>1221</v>
      </c>
      <c r="AA390">
        <v>1898</v>
      </c>
      <c r="AB390">
        <v>1898</v>
      </c>
      <c r="AC390" t="s">
        <v>2575</v>
      </c>
      <c r="AD390" t="s">
        <v>2576</v>
      </c>
      <c r="AE390" t="s">
        <v>599</v>
      </c>
      <c r="AF390" t="s">
        <v>599</v>
      </c>
      <c r="AG390" t="s">
        <v>1432</v>
      </c>
      <c r="AH390" t="s">
        <v>599</v>
      </c>
      <c r="AI390" t="s">
        <v>2577</v>
      </c>
      <c r="AJ390" t="s">
        <v>2578</v>
      </c>
      <c r="AK390" t="s">
        <v>1188</v>
      </c>
      <c r="AL390" t="s">
        <v>2579</v>
      </c>
      <c r="AM390" t="s">
        <v>1190</v>
      </c>
      <c r="AN390" t="s">
        <v>599</v>
      </c>
      <c r="AO390" t="s">
        <v>599</v>
      </c>
      <c r="AP390" t="s">
        <v>599</v>
      </c>
      <c r="AQ390" t="s">
        <v>599</v>
      </c>
      <c r="AR390" t="s">
        <v>599</v>
      </c>
      <c r="AS390" t="s">
        <v>599</v>
      </c>
      <c r="AT390" t="s">
        <v>599</v>
      </c>
    </row>
    <row r="391" spans="1:46" s="13" customFormat="1" ht="30" x14ac:dyDescent="0.25">
      <c r="A391" s="9">
        <v>10817</v>
      </c>
      <c r="B391" s="10">
        <v>1951715</v>
      </c>
      <c r="C391" s="10">
        <v>1</v>
      </c>
      <c r="D391" s="9">
        <v>10</v>
      </c>
      <c r="E391" s="11" t="s">
        <v>334</v>
      </c>
      <c r="F391" s="12" t="s">
        <v>335</v>
      </c>
      <c r="G391" s="9">
        <v>10</v>
      </c>
      <c r="H391" s="34"/>
      <c r="I391" s="55" t="str">
        <f t="shared" si="13"/>
        <v>https://permalinkbnd.bnportugal.gov.pt/viewer/275415/?offset=#page=10&amp;viewer=picture&amp;o=info&amp;n=0&amp;q=</v>
      </c>
      <c r="J391" s="45"/>
      <c r="K391" s="45"/>
      <c r="L391" s="45"/>
      <c r="M391" t="s">
        <v>334</v>
      </c>
      <c r="N391">
        <v>275415</v>
      </c>
      <c r="O391" t="str">
        <f t="shared" si="12"/>
        <v>https://permalinkbnd.bnportugal.gov.pt/viewer/275415/?offset=#page=10&amp;viewer=picture&amp;o=info&amp;n=0&amp;q=</v>
      </c>
      <c r="P391">
        <v>1951715</v>
      </c>
      <c r="Q391" t="s">
        <v>334</v>
      </c>
      <c r="R391" t="s">
        <v>2580</v>
      </c>
      <c r="S391" t="s">
        <v>1178</v>
      </c>
      <c r="T391" t="s">
        <v>1362</v>
      </c>
      <c r="U391" t="s">
        <v>599</v>
      </c>
      <c r="V391" t="s">
        <v>2581</v>
      </c>
      <c r="W391" t="s">
        <v>599</v>
      </c>
      <c r="X391" t="s">
        <v>599</v>
      </c>
      <c r="Y391" t="s">
        <v>1182</v>
      </c>
      <c r="Z391" t="s">
        <v>2582</v>
      </c>
      <c r="AA391">
        <v>1829</v>
      </c>
      <c r="AB391">
        <v>1829</v>
      </c>
      <c r="AC391" t="s">
        <v>2583</v>
      </c>
      <c r="AD391" t="s">
        <v>2584</v>
      </c>
      <c r="AE391" t="s">
        <v>599</v>
      </c>
      <c r="AF391" t="s">
        <v>599</v>
      </c>
      <c r="AG391" t="s">
        <v>2585</v>
      </c>
      <c r="AH391" t="s">
        <v>599</v>
      </c>
      <c r="AI391" t="s">
        <v>599</v>
      </c>
      <c r="AJ391" t="s">
        <v>2586</v>
      </c>
      <c r="AK391" t="s">
        <v>1188</v>
      </c>
      <c r="AL391" t="s">
        <v>2587</v>
      </c>
      <c r="AM391" t="s">
        <v>1190</v>
      </c>
      <c r="AN391" t="s">
        <v>599</v>
      </c>
      <c r="AO391" t="s">
        <v>599</v>
      </c>
      <c r="AP391" t="s">
        <v>599</v>
      </c>
      <c r="AQ391" t="s">
        <v>599</v>
      </c>
      <c r="AR391" t="s">
        <v>599</v>
      </c>
      <c r="AS391" t="s">
        <v>599</v>
      </c>
      <c r="AT391" t="s">
        <v>599</v>
      </c>
    </row>
    <row r="392" spans="1:46" s="13" customFormat="1" ht="30" x14ac:dyDescent="0.25">
      <c r="A392" s="9">
        <v>10818</v>
      </c>
      <c r="B392" s="10">
        <v>252438</v>
      </c>
      <c r="C392" s="10">
        <v>1</v>
      </c>
      <c r="D392" s="9">
        <v>5</v>
      </c>
      <c r="E392" s="11" t="s">
        <v>336</v>
      </c>
      <c r="F392" s="12">
        <v>5</v>
      </c>
      <c r="G392" s="9">
        <v>5</v>
      </c>
      <c r="H392" s="34"/>
      <c r="I392" s="55" t="str">
        <f t="shared" si="13"/>
        <v>https://permalinkbnd.bnportugal.gov.pt/viewer/277335/?offset=#page=5&amp;viewer=picture&amp;o=info&amp;n=0&amp;q=</v>
      </c>
      <c r="J392" s="45"/>
      <c r="K392" s="45"/>
      <c r="L392" s="45"/>
      <c r="M392" t="s">
        <v>336</v>
      </c>
      <c r="N392">
        <v>277335</v>
      </c>
      <c r="O392" t="str">
        <f t="shared" si="12"/>
        <v>https://permalinkbnd.bnportugal.gov.pt/viewer/277335/?offset=#page=5&amp;viewer=picture&amp;o=info&amp;n=0&amp;q=</v>
      </c>
      <c r="P392">
        <v>252438</v>
      </c>
      <c r="Q392" t="s">
        <v>336</v>
      </c>
      <c r="R392" t="s">
        <v>2588</v>
      </c>
      <c r="S392" t="s">
        <v>1178</v>
      </c>
      <c r="T392" t="s">
        <v>1192</v>
      </c>
      <c r="U392" t="s">
        <v>599</v>
      </c>
      <c r="V392" t="s">
        <v>2589</v>
      </c>
      <c r="W392" t="s">
        <v>2590</v>
      </c>
      <c r="X392" t="s">
        <v>599</v>
      </c>
      <c r="Y392" t="s">
        <v>1182</v>
      </c>
      <c r="Z392" t="s">
        <v>2591</v>
      </c>
      <c r="AA392">
        <v>1880</v>
      </c>
      <c r="AB392">
        <v>1880</v>
      </c>
      <c r="AC392" t="s">
        <v>2592</v>
      </c>
      <c r="AD392" t="s">
        <v>599</v>
      </c>
      <c r="AE392" t="s">
        <v>599</v>
      </c>
      <c r="AF392" t="s">
        <v>599</v>
      </c>
      <c r="AG392" t="s">
        <v>599</v>
      </c>
      <c r="AH392" t="s">
        <v>599</v>
      </c>
      <c r="AI392" t="s">
        <v>599</v>
      </c>
      <c r="AJ392" t="s">
        <v>2593</v>
      </c>
      <c r="AK392" t="s">
        <v>1188</v>
      </c>
      <c r="AL392" t="s">
        <v>2594</v>
      </c>
      <c r="AM392" t="s">
        <v>1190</v>
      </c>
      <c r="AN392" t="s">
        <v>599</v>
      </c>
      <c r="AO392" t="s">
        <v>599</v>
      </c>
      <c r="AP392" t="s">
        <v>599</v>
      </c>
      <c r="AQ392" t="s">
        <v>599</v>
      </c>
      <c r="AR392" t="s">
        <v>599</v>
      </c>
      <c r="AS392" t="s">
        <v>599</v>
      </c>
      <c r="AT392" t="s">
        <v>599</v>
      </c>
    </row>
    <row r="393" spans="1:46" s="13" customFormat="1" ht="30" x14ac:dyDescent="0.25">
      <c r="A393" s="9">
        <v>10827</v>
      </c>
      <c r="B393" s="10">
        <v>259140</v>
      </c>
      <c r="C393" s="10">
        <v>1</v>
      </c>
      <c r="D393" s="9">
        <v>8</v>
      </c>
      <c r="E393" s="11" t="s">
        <v>337</v>
      </c>
      <c r="F393" s="12" t="s">
        <v>338</v>
      </c>
      <c r="G393" s="9">
        <v>8</v>
      </c>
      <c r="H393" s="34"/>
      <c r="I393" s="55" t="str">
        <f t="shared" si="13"/>
        <v>https://permalinkbnd.bnportugal.gov.pt/viewer/273811/?offset=#page=8&amp;viewer=picture&amp;o=info&amp;n=0&amp;q=</v>
      </c>
      <c r="J393" s="45"/>
      <c r="K393" s="45"/>
      <c r="L393" s="45"/>
      <c r="M393" t="s">
        <v>337</v>
      </c>
      <c r="N393">
        <v>273811</v>
      </c>
      <c r="O393" t="str">
        <f t="shared" si="12"/>
        <v>https://permalinkbnd.bnportugal.gov.pt/viewer/273811/?offset=#page=8&amp;viewer=picture&amp;o=info&amp;n=0&amp;q=</v>
      </c>
      <c r="P393">
        <v>259140</v>
      </c>
      <c r="Q393" t="s">
        <v>337</v>
      </c>
      <c r="R393" t="s">
        <v>2595</v>
      </c>
      <c r="S393" t="s">
        <v>1178</v>
      </c>
      <c r="T393" t="s">
        <v>1362</v>
      </c>
      <c r="U393" t="s">
        <v>599</v>
      </c>
      <c r="V393" t="s">
        <v>2596</v>
      </c>
      <c r="W393" t="s">
        <v>599</v>
      </c>
      <c r="X393" t="s">
        <v>599</v>
      </c>
      <c r="Y393" t="s">
        <v>1182</v>
      </c>
      <c r="Z393" t="s">
        <v>2597</v>
      </c>
      <c r="AA393">
        <v>1820</v>
      </c>
      <c r="AB393">
        <v>1820</v>
      </c>
      <c r="AC393" t="s">
        <v>2598</v>
      </c>
      <c r="AD393" t="s">
        <v>1185</v>
      </c>
      <c r="AE393" t="s">
        <v>599</v>
      </c>
      <c r="AF393" t="s">
        <v>599</v>
      </c>
      <c r="AG393" t="s">
        <v>2599</v>
      </c>
      <c r="AH393" t="s">
        <v>599</v>
      </c>
      <c r="AI393" t="s">
        <v>599</v>
      </c>
      <c r="AJ393" t="s">
        <v>2600</v>
      </c>
      <c r="AK393" t="s">
        <v>1188</v>
      </c>
      <c r="AL393" t="s">
        <v>2601</v>
      </c>
      <c r="AM393" t="s">
        <v>1190</v>
      </c>
      <c r="AN393" t="s">
        <v>599</v>
      </c>
      <c r="AO393" t="s">
        <v>599</v>
      </c>
      <c r="AP393" t="s">
        <v>599</v>
      </c>
      <c r="AQ393" t="s">
        <v>599</v>
      </c>
      <c r="AR393" t="s">
        <v>599</v>
      </c>
      <c r="AS393" t="s">
        <v>599</v>
      </c>
      <c r="AT393" t="s">
        <v>599</v>
      </c>
    </row>
    <row r="394" spans="1:46" s="13" customFormat="1" ht="30" x14ac:dyDescent="0.25">
      <c r="A394" s="9">
        <v>10830</v>
      </c>
      <c r="B394" s="10">
        <v>855528</v>
      </c>
      <c r="C394" s="10">
        <v>1</v>
      </c>
      <c r="D394" s="9">
        <v>49</v>
      </c>
      <c r="E394" s="11" t="s">
        <v>339</v>
      </c>
      <c r="F394" s="12" t="s">
        <v>340</v>
      </c>
      <c r="G394" s="9" t="s">
        <v>341</v>
      </c>
      <c r="H394" s="34"/>
      <c r="I394" s="55" t="str">
        <f t="shared" si="13"/>
        <v>https://permalinkbnd.bnportugal.gov.pt/viewer/273796/?offset=#page=49&amp;viewer=picture&amp;o=info&amp;n=0&amp;q=</v>
      </c>
      <c r="J394" s="45"/>
      <c r="K394" s="45"/>
      <c r="L394" s="45"/>
      <c r="M394" t="s">
        <v>339</v>
      </c>
      <c r="N394">
        <v>273796</v>
      </c>
      <c r="O394" t="str">
        <f t="shared" si="12"/>
        <v>https://permalinkbnd.bnportugal.gov.pt/viewer/273796/?offset=#page=49&amp;viewer=picture&amp;o=info&amp;n=0&amp;q=</v>
      </c>
      <c r="P394">
        <v>855528</v>
      </c>
      <c r="Q394" t="s">
        <v>339</v>
      </c>
      <c r="R394" t="s">
        <v>2602</v>
      </c>
      <c r="S394" t="s">
        <v>1178</v>
      </c>
      <c r="T394" t="s">
        <v>2603</v>
      </c>
      <c r="U394" t="s">
        <v>599</v>
      </c>
      <c r="V394" t="s">
        <v>2604</v>
      </c>
      <c r="W394" t="s">
        <v>2605</v>
      </c>
      <c r="X394" t="s">
        <v>599</v>
      </c>
      <c r="Y394" t="s">
        <v>1182</v>
      </c>
      <c r="Z394" t="s">
        <v>2241</v>
      </c>
      <c r="AA394">
        <v>1898</v>
      </c>
      <c r="AB394">
        <v>1898</v>
      </c>
      <c r="AC394" t="s">
        <v>2606</v>
      </c>
      <c r="AD394" t="s">
        <v>1185</v>
      </c>
      <c r="AE394" t="s">
        <v>599</v>
      </c>
      <c r="AF394" t="s">
        <v>599</v>
      </c>
      <c r="AG394" t="s">
        <v>2607</v>
      </c>
      <c r="AH394" t="s">
        <v>599</v>
      </c>
      <c r="AI394" t="s">
        <v>599</v>
      </c>
      <c r="AJ394" t="s">
        <v>2608</v>
      </c>
      <c r="AK394" t="s">
        <v>1188</v>
      </c>
      <c r="AL394" t="s">
        <v>2609</v>
      </c>
      <c r="AM394" t="s">
        <v>1190</v>
      </c>
      <c r="AN394" t="s">
        <v>599</v>
      </c>
      <c r="AO394" t="s">
        <v>599</v>
      </c>
      <c r="AP394" t="s">
        <v>599</v>
      </c>
      <c r="AQ394" t="s">
        <v>599</v>
      </c>
      <c r="AR394" t="s">
        <v>599</v>
      </c>
      <c r="AS394" t="s">
        <v>599</v>
      </c>
      <c r="AT394" t="s">
        <v>599</v>
      </c>
    </row>
    <row r="395" spans="1:46" s="13" customFormat="1" ht="30" x14ac:dyDescent="0.25">
      <c r="A395" s="9">
        <v>10831</v>
      </c>
      <c r="B395" s="10">
        <v>855528</v>
      </c>
      <c r="C395" s="10">
        <v>1</v>
      </c>
      <c r="D395" s="9">
        <v>51</v>
      </c>
      <c r="E395" s="11" t="s">
        <v>339</v>
      </c>
      <c r="F395" s="12" t="s">
        <v>340</v>
      </c>
      <c r="G395" s="9" t="s">
        <v>341</v>
      </c>
      <c r="H395" s="34"/>
      <c r="I395" s="55" t="str">
        <f t="shared" si="13"/>
        <v>https://permalinkbnd.bnportugal.gov.pt/viewer/273796/?offset=#page=51&amp;viewer=picture&amp;o=info&amp;n=0&amp;q=</v>
      </c>
      <c r="J395" s="45"/>
      <c r="K395" s="45"/>
      <c r="L395" s="45"/>
      <c r="M395" t="s">
        <v>339</v>
      </c>
      <c r="N395">
        <v>273796</v>
      </c>
      <c r="O395" t="str">
        <f t="shared" si="12"/>
        <v>https://permalinkbnd.bnportugal.gov.pt/viewer/273796/?offset=#page=51&amp;viewer=picture&amp;o=info&amp;n=0&amp;q=</v>
      </c>
      <c r="P395">
        <v>855528</v>
      </c>
      <c r="Q395" t="s">
        <v>339</v>
      </c>
      <c r="R395" t="s">
        <v>2602</v>
      </c>
      <c r="S395" t="s">
        <v>1178</v>
      </c>
      <c r="T395" t="s">
        <v>2603</v>
      </c>
      <c r="U395" t="s">
        <v>599</v>
      </c>
      <c r="V395" t="s">
        <v>2604</v>
      </c>
      <c r="W395" t="s">
        <v>2605</v>
      </c>
      <c r="X395" t="s">
        <v>599</v>
      </c>
      <c r="Y395" t="s">
        <v>1182</v>
      </c>
      <c r="Z395" t="s">
        <v>2241</v>
      </c>
      <c r="AA395">
        <v>1898</v>
      </c>
      <c r="AB395">
        <v>1898</v>
      </c>
      <c r="AC395" t="s">
        <v>2606</v>
      </c>
      <c r="AD395" t="s">
        <v>1185</v>
      </c>
      <c r="AE395" t="s">
        <v>599</v>
      </c>
      <c r="AF395" t="s">
        <v>599</v>
      </c>
      <c r="AG395" t="s">
        <v>2607</v>
      </c>
      <c r="AH395" t="s">
        <v>599</v>
      </c>
      <c r="AI395" t="s">
        <v>599</v>
      </c>
      <c r="AJ395" t="s">
        <v>2608</v>
      </c>
      <c r="AK395" t="s">
        <v>1188</v>
      </c>
      <c r="AL395" t="s">
        <v>2609</v>
      </c>
      <c r="AM395" t="s">
        <v>1190</v>
      </c>
      <c r="AN395" t="s">
        <v>599</v>
      </c>
      <c r="AO395" t="s">
        <v>599</v>
      </c>
      <c r="AP395" t="s">
        <v>599</v>
      </c>
      <c r="AQ395" t="s">
        <v>599</v>
      </c>
      <c r="AR395" t="s">
        <v>599</v>
      </c>
      <c r="AS395" t="s">
        <v>599</v>
      </c>
      <c r="AT395" t="s">
        <v>599</v>
      </c>
    </row>
    <row r="396" spans="1:46" s="13" customFormat="1" ht="30" x14ac:dyDescent="0.25">
      <c r="A396" s="9">
        <v>10842</v>
      </c>
      <c r="B396" s="10">
        <v>381381</v>
      </c>
      <c r="C396" s="10">
        <v>1</v>
      </c>
      <c r="D396" s="9">
        <v>10</v>
      </c>
      <c r="E396" s="11" t="s">
        <v>342</v>
      </c>
      <c r="F396" s="12" t="s">
        <v>343</v>
      </c>
      <c r="G396" s="9">
        <v>10</v>
      </c>
      <c r="H396" s="34"/>
      <c r="I396" s="55" t="str">
        <f t="shared" si="13"/>
        <v>https://permalinkbnd.bnportugal.gov.pt/viewer/273101/?offset=#page=10&amp;viewer=picture&amp;o=info&amp;n=0&amp;q=</v>
      </c>
      <c r="J396" s="45"/>
      <c r="K396" s="45"/>
      <c r="L396" s="45"/>
      <c r="M396" t="s">
        <v>342</v>
      </c>
      <c r="N396">
        <v>273101</v>
      </c>
      <c r="O396" t="str">
        <f t="shared" si="12"/>
        <v>https://permalinkbnd.bnportugal.gov.pt/viewer/273101/?offset=#page=10&amp;viewer=picture&amp;o=info&amp;n=0&amp;q=</v>
      </c>
      <c r="P396">
        <v>381381</v>
      </c>
      <c r="Q396" t="s">
        <v>342</v>
      </c>
      <c r="R396" t="s">
        <v>2610</v>
      </c>
      <c r="S396" t="s">
        <v>1178</v>
      </c>
      <c r="T396" t="s">
        <v>1192</v>
      </c>
      <c r="U396" t="s">
        <v>599</v>
      </c>
      <c r="V396" t="s">
        <v>1551</v>
      </c>
      <c r="W396" t="s">
        <v>599</v>
      </c>
      <c r="X396" t="s">
        <v>599</v>
      </c>
      <c r="Y396" t="s">
        <v>2611</v>
      </c>
      <c r="Z396" t="s">
        <v>2612</v>
      </c>
      <c r="AA396">
        <v>1880</v>
      </c>
      <c r="AB396">
        <v>1880</v>
      </c>
      <c r="AC396" t="s">
        <v>2613</v>
      </c>
      <c r="AD396" t="s">
        <v>1185</v>
      </c>
      <c r="AE396" t="s">
        <v>599</v>
      </c>
      <c r="AF396" t="s">
        <v>599</v>
      </c>
      <c r="AG396" t="s">
        <v>2614</v>
      </c>
      <c r="AH396" t="s">
        <v>599</v>
      </c>
      <c r="AI396" t="s">
        <v>599</v>
      </c>
      <c r="AJ396" t="s">
        <v>2615</v>
      </c>
      <c r="AK396" t="s">
        <v>1188</v>
      </c>
      <c r="AL396" t="s">
        <v>2616</v>
      </c>
      <c r="AM396" t="s">
        <v>1190</v>
      </c>
      <c r="AN396" t="s">
        <v>599</v>
      </c>
      <c r="AO396" t="s">
        <v>599</v>
      </c>
      <c r="AP396" t="s">
        <v>599</v>
      </c>
      <c r="AQ396" t="s">
        <v>599</v>
      </c>
      <c r="AR396" t="s">
        <v>599</v>
      </c>
      <c r="AS396" t="s">
        <v>599</v>
      </c>
      <c r="AT396" t="s">
        <v>599</v>
      </c>
    </row>
    <row r="397" spans="1:46" s="13" customFormat="1" ht="30" x14ac:dyDescent="0.25">
      <c r="A397" s="9">
        <v>10844</v>
      </c>
      <c r="B397" s="10">
        <v>259434</v>
      </c>
      <c r="C397" s="10">
        <v>1</v>
      </c>
      <c r="D397" s="9">
        <v>10</v>
      </c>
      <c r="E397" s="11" t="s">
        <v>344</v>
      </c>
      <c r="F397" s="12" t="s">
        <v>345</v>
      </c>
      <c r="G397" s="9">
        <v>10</v>
      </c>
      <c r="H397" s="34"/>
      <c r="I397" s="55" t="str">
        <f t="shared" si="13"/>
        <v>https://permalinkbnd.bnportugal.gov.pt/viewer/277366/?offset=#page=10&amp;viewer=picture&amp;o=info&amp;n=0&amp;q=</v>
      </c>
      <c r="J397" s="45"/>
      <c r="K397" s="45"/>
      <c r="L397" s="45"/>
      <c r="M397" t="s">
        <v>344</v>
      </c>
      <c r="N397">
        <v>277366</v>
      </c>
      <c r="O397" t="str">
        <f t="shared" si="12"/>
        <v>https://permalinkbnd.bnportugal.gov.pt/viewer/277366/?offset=#page=10&amp;viewer=picture&amp;o=info&amp;n=0&amp;q=</v>
      </c>
      <c r="P397">
        <v>259434</v>
      </c>
      <c r="Q397" t="s">
        <v>344</v>
      </c>
      <c r="R397" t="s">
        <v>2617</v>
      </c>
      <c r="S397" t="s">
        <v>1178</v>
      </c>
      <c r="T397" t="s">
        <v>1179</v>
      </c>
      <c r="U397" t="s">
        <v>599</v>
      </c>
      <c r="V397" t="s">
        <v>2618</v>
      </c>
      <c r="W397" t="s">
        <v>599</v>
      </c>
      <c r="X397" t="s">
        <v>599</v>
      </c>
      <c r="Y397" t="s">
        <v>2619</v>
      </c>
      <c r="Z397" t="s">
        <v>2620</v>
      </c>
      <c r="AA397">
        <v>1772</v>
      </c>
      <c r="AB397">
        <v>1772</v>
      </c>
      <c r="AC397" t="s">
        <v>2621</v>
      </c>
      <c r="AD397" t="s">
        <v>1185</v>
      </c>
      <c r="AE397" t="s">
        <v>599</v>
      </c>
      <c r="AF397" t="s">
        <v>599</v>
      </c>
      <c r="AG397" t="s">
        <v>2622</v>
      </c>
      <c r="AH397" t="s">
        <v>599</v>
      </c>
      <c r="AI397" t="s">
        <v>599</v>
      </c>
      <c r="AJ397" t="s">
        <v>2623</v>
      </c>
      <c r="AK397" t="s">
        <v>1188</v>
      </c>
      <c r="AL397" t="s">
        <v>2624</v>
      </c>
      <c r="AM397" t="s">
        <v>1190</v>
      </c>
      <c r="AN397" t="s">
        <v>2625</v>
      </c>
      <c r="AO397" t="s">
        <v>599</v>
      </c>
      <c r="AP397" t="s">
        <v>599</v>
      </c>
      <c r="AQ397" t="s">
        <v>599</v>
      </c>
      <c r="AR397" t="s">
        <v>599</v>
      </c>
      <c r="AS397" t="s">
        <v>599</v>
      </c>
      <c r="AT397" t="s">
        <v>599</v>
      </c>
    </row>
    <row r="398" spans="1:46" s="13" customFormat="1" ht="30" x14ac:dyDescent="0.25">
      <c r="A398" s="9">
        <v>10848</v>
      </c>
      <c r="B398" s="10">
        <v>913393</v>
      </c>
      <c r="C398" s="10">
        <v>1</v>
      </c>
      <c r="D398" s="9">
        <v>9</v>
      </c>
      <c r="E398" s="11" t="s">
        <v>346</v>
      </c>
      <c r="F398" s="12" t="s">
        <v>347</v>
      </c>
      <c r="G398" s="9">
        <v>9</v>
      </c>
      <c r="H398" s="34"/>
      <c r="I398" s="55" t="str">
        <f t="shared" si="13"/>
        <v>https://permalinkbnd.bnportugal.gov.pt/viewer/277369/?offset=#page=9&amp;viewer=picture&amp;o=info&amp;n=0&amp;q=</v>
      </c>
      <c r="J398" s="45"/>
      <c r="K398" s="45"/>
      <c r="L398" s="45"/>
      <c r="M398" t="s">
        <v>346</v>
      </c>
      <c r="N398">
        <v>277369</v>
      </c>
      <c r="O398" t="str">
        <f t="shared" si="12"/>
        <v>https://permalinkbnd.bnportugal.gov.pt/viewer/277369/?offset=#page=9&amp;viewer=picture&amp;o=info&amp;n=0&amp;q=</v>
      </c>
      <c r="P398">
        <v>913393</v>
      </c>
      <c r="Q398" t="s">
        <v>346</v>
      </c>
      <c r="R398" t="s">
        <v>2626</v>
      </c>
      <c r="S398" t="s">
        <v>1312</v>
      </c>
      <c r="T398" t="s">
        <v>1192</v>
      </c>
      <c r="U398" t="s">
        <v>599</v>
      </c>
      <c r="V398" t="s">
        <v>2627</v>
      </c>
      <c r="W398" t="s">
        <v>599</v>
      </c>
      <c r="X398" t="s">
        <v>599</v>
      </c>
      <c r="Y398" t="s">
        <v>2628</v>
      </c>
      <c r="Z398" t="s">
        <v>2629</v>
      </c>
      <c r="AA398">
        <v>1883</v>
      </c>
      <c r="AB398">
        <v>1883</v>
      </c>
      <c r="AC398" t="s">
        <v>1454</v>
      </c>
      <c r="AD398" t="s">
        <v>599</v>
      </c>
      <c r="AE398" t="s">
        <v>599</v>
      </c>
      <c r="AF398" t="s">
        <v>599</v>
      </c>
      <c r="AG398" t="s">
        <v>599</v>
      </c>
      <c r="AH398" t="s">
        <v>599</v>
      </c>
      <c r="AI398" t="s">
        <v>599</v>
      </c>
      <c r="AJ398" t="s">
        <v>2630</v>
      </c>
      <c r="AK398" t="s">
        <v>1188</v>
      </c>
      <c r="AL398" t="s">
        <v>2631</v>
      </c>
      <c r="AM398" t="s">
        <v>1190</v>
      </c>
      <c r="AN398" t="s">
        <v>599</v>
      </c>
      <c r="AO398" t="s">
        <v>599</v>
      </c>
      <c r="AP398" t="s">
        <v>599</v>
      </c>
      <c r="AQ398" t="s">
        <v>599</v>
      </c>
      <c r="AR398" t="s">
        <v>599</v>
      </c>
      <c r="AS398" t="s">
        <v>599</v>
      </c>
      <c r="AT398" t="s">
        <v>599</v>
      </c>
    </row>
    <row r="399" spans="1:46" s="13" customFormat="1" ht="30" x14ac:dyDescent="0.25">
      <c r="A399" s="9">
        <v>10850</v>
      </c>
      <c r="B399" s="10">
        <v>857274</v>
      </c>
      <c r="C399" s="10">
        <v>1</v>
      </c>
      <c r="D399" s="9">
        <v>15</v>
      </c>
      <c r="E399" s="11" t="s">
        <v>348</v>
      </c>
      <c r="F399" s="12" t="s">
        <v>349</v>
      </c>
      <c r="G399" s="9">
        <v>15</v>
      </c>
      <c r="H399" s="34"/>
      <c r="I399" s="55" t="str">
        <f t="shared" si="13"/>
        <v>https://permalinkbnd.bnportugal.gov.pt/viewer/277364/?offset=#page=15&amp;viewer=picture&amp;o=info&amp;n=0&amp;q=</v>
      </c>
      <c r="J399" s="45"/>
      <c r="K399" s="45"/>
      <c r="L399" s="45"/>
      <c r="M399" t="s">
        <v>348</v>
      </c>
      <c r="N399">
        <v>277364</v>
      </c>
      <c r="O399" t="str">
        <f t="shared" si="12"/>
        <v>https://permalinkbnd.bnportugal.gov.pt/viewer/277364/?offset=#page=15&amp;viewer=picture&amp;o=info&amp;n=0&amp;q=</v>
      </c>
      <c r="P399">
        <v>857274</v>
      </c>
      <c r="Q399" t="s">
        <v>348</v>
      </c>
      <c r="R399" t="s">
        <v>2632</v>
      </c>
      <c r="S399" t="s">
        <v>1178</v>
      </c>
      <c r="T399" t="s">
        <v>1192</v>
      </c>
      <c r="U399" t="s">
        <v>599</v>
      </c>
      <c r="V399" t="s">
        <v>1551</v>
      </c>
      <c r="W399" t="s">
        <v>599</v>
      </c>
      <c r="X399" t="s">
        <v>599</v>
      </c>
      <c r="Y399" t="s">
        <v>2633</v>
      </c>
      <c r="Z399" t="s">
        <v>1371</v>
      </c>
      <c r="AA399">
        <v>1887</v>
      </c>
      <c r="AB399">
        <v>1887</v>
      </c>
      <c r="AC399" t="s">
        <v>2634</v>
      </c>
      <c r="AD399" t="s">
        <v>1185</v>
      </c>
      <c r="AE399" t="s">
        <v>599</v>
      </c>
      <c r="AF399" t="s">
        <v>599</v>
      </c>
      <c r="AG399" t="s">
        <v>2515</v>
      </c>
      <c r="AH399" t="s">
        <v>599</v>
      </c>
      <c r="AI399" t="s">
        <v>599</v>
      </c>
      <c r="AJ399" t="s">
        <v>2635</v>
      </c>
      <c r="AK399" t="s">
        <v>1188</v>
      </c>
      <c r="AL399" t="s">
        <v>2636</v>
      </c>
      <c r="AM399" t="s">
        <v>1190</v>
      </c>
      <c r="AN399" t="s">
        <v>599</v>
      </c>
      <c r="AO399" t="s">
        <v>599</v>
      </c>
      <c r="AP399" t="s">
        <v>599</v>
      </c>
      <c r="AQ399" t="s">
        <v>599</v>
      </c>
      <c r="AR399" t="s">
        <v>599</v>
      </c>
      <c r="AS399" t="s">
        <v>599</v>
      </c>
      <c r="AT399" t="s">
        <v>599</v>
      </c>
    </row>
    <row r="400" spans="1:46" s="13" customFormat="1" ht="30" x14ac:dyDescent="0.25">
      <c r="A400" s="9">
        <v>10871</v>
      </c>
      <c r="B400" s="10">
        <v>259614</v>
      </c>
      <c r="C400" s="10">
        <v>1</v>
      </c>
      <c r="D400" s="9">
        <v>8</v>
      </c>
      <c r="E400" s="11" t="s">
        <v>350</v>
      </c>
      <c r="F400" s="12" t="s">
        <v>351</v>
      </c>
      <c r="G400" s="9" t="s">
        <v>351</v>
      </c>
      <c r="H400" s="34"/>
      <c r="I400" s="55" t="str">
        <f t="shared" si="13"/>
        <v>https://permalinkbnd.bnportugal.gov.pt/viewer/277455/?offset=#page=8&amp;viewer=picture&amp;o=info&amp;n=0&amp;q=</v>
      </c>
      <c r="J400" s="45"/>
      <c r="K400" s="45"/>
      <c r="L400" s="45"/>
      <c r="M400" t="s">
        <v>350</v>
      </c>
      <c r="N400">
        <v>277455</v>
      </c>
      <c r="O400" t="str">
        <f t="shared" si="12"/>
        <v>https://permalinkbnd.bnportugal.gov.pt/viewer/277455/?offset=#page=8&amp;viewer=picture&amp;o=info&amp;n=0&amp;q=</v>
      </c>
      <c r="P400">
        <v>259614</v>
      </c>
      <c r="Q400" t="s">
        <v>350</v>
      </c>
      <c r="R400" t="s">
        <v>2637</v>
      </c>
      <c r="S400" t="s">
        <v>1178</v>
      </c>
      <c r="T400" t="s">
        <v>1403</v>
      </c>
      <c r="U400" t="s">
        <v>599</v>
      </c>
      <c r="V400" t="s">
        <v>2638</v>
      </c>
      <c r="W400" t="s">
        <v>2639</v>
      </c>
      <c r="X400" t="s">
        <v>599</v>
      </c>
      <c r="Y400" t="s">
        <v>1182</v>
      </c>
      <c r="Z400" t="s">
        <v>2640</v>
      </c>
      <c r="AA400">
        <v>1854</v>
      </c>
      <c r="AB400">
        <v>1854</v>
      </c>
      <c r="AC400" t="s">
        <v>2641</v>
      </c>
      <c r="AD400" t="s">
        <v>1185</v>
      </c>
      <c r="AE400" t="s">
        <v>599</v>
      </c>
      <c r="AF400" t="s">
        <v>599</v>
      </c>
      <c r="AG400" t="s">
        <v>2642</v>
      </c>
      <c r="AH400" t="s">
        <v>599</v>
      </c>
      <c r="AI400" t="s">
        <v>599</v>
      </c>
      <c r="AJ400" t="s">
        <v>2643</v>
      </c>
      <c r="AK400" t="s">
        <v>1188</v>
      </c>
      <c r="AL400" t="s">
        <v>2644</v>
      </c>
      <c r="AM400" t="s">
        <v>1190</v>
      </c>
      <c r="AN400" t="s">
        <v>2645</v>
      </c>
      <c r="AO400" t="s">
        <v>599</v>
      </c>
      <c r="AP400" t="s">
        <v>2646</v>
      </c>
      <c r="AQ400" t="s">
        <v>599</v>
      </c>
      <c r="AR400" t="s">
        <v>599</v>
      </c>
      <c r="AS400" t="s">
        <v>599</v>
      </c>
      <c r="AT400" t="s">
        <v>599</v>
      </c>
    </row>
    <row r="401" spans="1:46" s="13" customFormat="1" ht="30" x14ac:dyDescent="0.25">
      <c r="A401" s="9">
        <v>10872</v>
      </c>
      <c r="B401" s="10">
        <v>259614</v>
      </c>
      <c r="C401" s="10">
        <v>1</v>
      </c>
      <c r="D401" s="9">
        <v>77</v>
      </c>
      <c r="E401" s="11" t="s">
        <v>350</v>
      </c>
      <c r="F401" s="12" t="s">
        <v>351</v>
      </c>
      <c r="G401" s="9" t="s">
        <v>351</v>
      </c>
      <c r="H401" s="34"/>
      <c r="I401" s="55" t="str">
        <f t="shared" si="13"/>
        <v>https://permalinkbnd.bnportugal.gov.pt/viewer/277455/?offset=#page=77&amp;viewer=picture&amp;o=info&amp;n=0&amp;q=</v>
      </c>
      <c r="J401" s="45"/>
      <c r="K401" s="45"/>
      <c r="L401" s="45"/>
      <c r="M401" t="s">
        <v>350</v>
      </c>
      <c r="N401">
        <v>277455</v>
      </c>
      <c r="O401" t="str">
        <f t="shared" si="12"/>
        <v>https://permalinkbnd.bnportugal.gov.pt/viewer/277455/?offset=#page=77&amp;viewer=picture&amp;o=info&amp;n=0&amp;q=</v>
      </c>
      <c r="P401">
        <v>259614</v>
      </c>
      <c r="Q401" t="s">
        <v>350</v>
      </c>
      <c r="R401" t="s">
        <v>2637</v>
      </c>
      <c r="S401" t="s">
        <v>1178</v>
      </c>
      <c r="T401" t="s">
        <v>1403</v>
      </c>
      <c r="U401" t="s">
        <v>599</v>
      </c>
      <c r="V401" t="s">
        <v>2638</v>
      </c>
      <c r="W401" t="s">
        <v>2639</v>
      </c>
      <c r="X401" t="s">
        <v>599</v>
      </c>
      <c r="Y401" t="s">
        <v>1182</v>
      </c>
      <c r="Z401" t="s">
        <v>2640</v>
      </c>
      <c r="AA401">
        <v>1854</v>
      </c>
      <c r="AB401">
        <v>1854</v>
      </c>
      <c r="AC401" t="s">
        <v>2641</v>
      </c>
      <c r="AD401" t="s">
        <v>1185</v>
      </c>
      <c r="AE401" t="s">
        <v>599</v>
      </c>
      <c r="AF401" t="s">
        <v>599</v>
      </c>
      <c r="AG401" t="s">
        <v>2642</v>
      </c>
      <c r="AH401" t="s">
        <v>599</v>
      </c>
      <c r="AI401" t="s">
        <v>599</v>
      </c>
      <c r="AJ401" t="s">
        <v>2643</v>
      </c>
      <c r="AK401" t="s">
        <v>1188</v>
      </c>
      <c r="AL401" t="s">
        <v>2644</v>
      </c>
      <c r="AM401" t="s">
        <v>1190</v>
      </c>
      <c r="AN401" t="s">
        <v>2645</v>
      </c>
      <c r="AO401" t="s">
        <v>599</v>
      </c>
      <c r="AP401" t="s">
        <v>2646</v>
      </c>
      <c r="AQ401" t="s">
        <v>599</v>
      </c>
      <c r="AR401" t="s">
        <v>599</v>
      </c>
      <c r="AS401" t="s">
        <v>599</v>
      </c>
      <c r="AT401" t="s">
        <v>599</v>
      </c>
    </row>
    <row r="402" spans="1:46" s="13" customFormat="1" ht="30" x14ac:dyDescent="0.25">
      <c r="A402" s="9">
        <v>10874</v>
      </c>
      <c r="B402" s="10">
        <v>381386</v>
      </c>
      <c r="C402" s="10">
        <v>1</v>
      </c>
      <c r="D402" s="9">
        <v>23</v>
      </c>
      <c r="E402" s="11" t="s">
        <v>352</v>
      </c>
      <c r="F402" s="12" t="s">
        <v>353</v>
      </c>
      <c r="G402" s="9" t="s">
        <v>354</v>
      </c>
      <c r="H402" s="34"/>
      <c r="I402" s="55" t="str">
        <f t="shared" si="13"/>
        <v>https://permalinkbnd.bnportugal.gov.pt/viewer/273117/?offset=#page=23&amp;viewer=picture&amp;o=info&amp;n=0&amp;q=</v>
      </c>
      <c r="J402" s="45"/>
      <c r="K402" s="45"/>
      <c r="L402" s="45"/>
      <c r="M402" t="s">
        <v>352</v>
      </c>
      <c r="N402">
        <v>273117</v>
      </c>
      <c r="O402" t="str">
        <f t="shared" si="12"/>
        <v>https://permalinkbnd.bnportugal.gov.pt/viewer/273117/?offset=#page=23&amp;viewer=picture&amp;o=info&amp;n=0&amp;q=</v>
      </c>
      <c r="P402">
        <v>381386</v>
      </c>
      <c r="Q402" t="s">
        <v>352</v>
      </c>
      <c r="R402" t="s">
        <v>2647</v>
      </c>
      <c r="S402" t="s">
        <v>1178</v>
      </c>
      <c r="T402" t="s">
        <v>1192</v>
      </c>
      <c r="U402" t="s">
        <v>599</v>
      </c>
      <c r="V402" t="s">
        <v>1293</v>
      </c>
      <c r="W402" t="s">
        <v>2648</v>
      </c>
      <c r="X402" t="s">
        <v>599</v>
      </c>
      <c r="Y402" t="s">
        <v>1182</v>
      </c>
      <c r="Z402" t="s">
        <v>2649</v>
      </c>
      <c r="AA402">
        <v>1883</v>
      </c>
      <c r="AB402">
        <v>1883</v>
      </c>
      <c r="AC402" t="s">
        <v>2650</v>
      </c>
      <c r="AD402" t="s">
        <v>1185</v>
      </c>
      <c r="AE402" t="s">
        <v>599</v>
      </c>
      <c r="AF402" t="s">
        <v>599</v>
      </c>
      <c r="AG402" t="s">
        <v>2651</v>
      </c>
      <c r="AH402" t="s">
        <v>599</v>
      </c>
      <c r="AI402" t="s">
        <v>599</v>
      </c>
      <c r="AJ402" t="s">
        <v>2652</v>
      </c>
      <c r="AK402" t="s">
        <v>1188</v>
      </c>
      <c r="AL402" t="s">
        <v>2653</v>
      </c>
      <c r="AM402" t="s">
        <v>1190</v>
      </c>
      <c r="AN402" t="s">
        <v>599</v>
      </c>
      <c r="AO402" t="s">
        <v>599</v>
      </c>
      <c r="AP402" t="s">
        <v>599</v>
      </c>
      <c r="AQ402" t="s">
        <v>599</v>
      </c>
      <c r="AR402" t="s">
        <v>1193</v>
      </c>
      <c r="AS402" t="s">
        <v>599</v>
      </c>
      <c r="AT402" t="s">
        <v>599</v>
      </c>
    </row>
    <row r="403" spans="1:46" s="13" customFormat="1" ht="30" x14ac:dyDescent="0.25">
      <c r="A403" s="9">
        <v>10875</v>
      </c>
      <c r="B403" s="10">
        <v>381386</v>
      </c>
      <c r="C403" s="10">
        <v>1</v>
      </c>
      <c r="D403" s="9">
        <v>79</v>
      </c>
      <c r="E403" s="11" t="s">
        <v>352</v>
      </c>
      <c r="F403" s="12" t="s">
        <v>353</v>
      </c>
      <c r="G403" s="9" t="s">
        <v>354</v>
      </c>
      <c r="H403" s="34"/>
      <c r="I403" s="55" t="str">
        <f t="shared" si="13"/>
        <v>https://permalinkbnd.bnportugal.gov.pt/viewer/273117/?offset=#page=79&amp;viewer=picture&amp;o=info&amp;n=0&amp;q=</v>
      </c>
      <c r="J403" s="45"/>
      <c r="K403" s="45"/>
      <c r="L403" s="45"/>
      <c r="M403" t="s">
        <v>352</v>
      </c>
      <c r="N403">
        <v>273117</v>
      </c>
      <c r="O403" t="str">
        <f t="shared" si="12"/>
        <v>https://permalinkbnd.bnportugal.gov.pt/viewer/273117/?offset=#page=79&amp;viewer=picture&amp;o=info&amp;n=0&amp;q=</v>
      </c>
      <c r="P403">
        <v>381386</v>
      </c>
      <c r="Q403" t="s">
        <v>352</v>
      </c>
      <c r="R403" t="s">
        <v>2647</v>
      </c>
      <c r="S403" t="s">
        <v>1178</v>
      </c>
      <c r="T403" t="s">
        <v>1192</v>
      </c>
      <c r="U403" t="s">
        <v>599</v>
      </c>
      <c r="V403" t="s">
        <v>1293</v>
      </c>
      <c r="W403" t="s">
        <v>2648</v>
      </c>
      <c r="X403" t="s">
        <v>599</v>
      </c>
      <c r="Y403" t="s">
        <v>1182</v>
      </c>
      <c r="Z403" t="s">
        <v>2649</v>
      </c>
      <c r="AA403">
        <v>1883</v>
      </c>
      <c r="AB403">
        <v>1883</v>
      </c>
      <c r="AC403" t="s">
        <v>2650</v>
      </c>
      <c r="AD403" t="s">
        <v>1185</v>
      </c>
      <c r="AE403" t="s">
        <v>599</v>
      </c>
      <c r="AF403" t="s">
        <v>599</v>
      </c>
      <c r="AG403" t="s">
        <v>2651</v>
      </c>
      <c r="AH403" t="s">
        <v>599</v>
      </c>
      <c r="AI403" t="s">
        <v>599</v>
      </c>
      <c r="AJ403" t="s">
        <v>2652</v>
      </c>
      <c r="AK403" t="s">
        <v>1188</v>
      </c>
      <c r="AL403" t="s">
        <v>2653</v>
      </c>
      <c r="AM403" t="s">
        <v>1190</v>
      </c>
      <c r="AN403" t="s">
        <v>599</v>
      </c>
      <c r="AO403" t="s">
        <v>599</v>
      </c>
      <c r="AP403" t="s">
        <v>599</v>
      </c>
      <c r="AQ403" t="s">
        <v>599</v>
      </c>
      <c r="AR403" t="s">
        <v>1193</v>
      </c>
      <c r="AS403" t="s">
        <v>599</v>
      </c>
      <c r="AT403" t="s">
        <v>599</v>
      </c>
    </row>
    <row r="404" spans="1:46" s="13" customFormat="1" ht="30" x14ac:dyDescent="0.25">
      <c r="A404" s="9">
        <v>10876</v>
      </c>
      <c r="B404" s="10">
        <v>381386</v>
      </c>
      <c r="C404" s="10">
        <v>1</v>
      </c>
      <c r="D404" s="9">
        <v>139</v>
      </c>
      <c r="E404" s="11" t="s">
        <v>352</v>
      </c>
      <c r="F404" s="12" t="s">
        <v>353</v>
      </c>
      <c r="G404" s="9" t="s">
        <v>354</v>
      </c>
      <c r="H404" s="34"/>
      <c r="I404" s="55" t="str">
        <f t="shared" si="13"/>
        <v>https://permalinkbnd.bnportugal.gov.pt/viewer/273117/?offset=#page=139&amp;viewer=picture&amp;o=info&amp;n=0&amp;q=</v>
      </c>
      <c r="J404" s="45"/>
      <c r="K404" s="45"/>
      <c r="L404" s="45"/>
      <c r="M404" t="s">
        <v>352</v>
      </c>
      <c r="N404">
        <v>273117</v>
      </c>
      <c r="O404" t="str">
        <f t="shared" si="12"/>
        <v>https://permalinkbnd.bnportugal.gov.pt/viewer/273117/?offset=#page=139&amp;viewer=picture&amp;o=info&amp;n=0&amp;q=</v>
      </c>
      <c r="P404">
        <v>381386</v>
      </c>
      <c r="Q404" t="s">
        <v>352</v>
      </c>
      <c r="R404" t="s">
        <v>2647</v>
      </c>
      <c r="S404" t="s">
        <v>1178</v>
      </c>
      <c r="T404" t="s">
        <v>1192</v>
      </c>
      <c r="U404" t="s">
        <v>599</v>
      </c>
      <c r="V404" t="s">
        <v>1293</v>
      </c>
      <c r="W404" t="s">
        <v>2648</v>
      </c>
      <c r="X404" t="s">
        <v>599</v>
      </c>
      <c r="Y404" t="s">
        <v>1182</v>
      </c>
      <c r="Z404" t="s">
        <v>2649</v>
      </c>
      <c r="AA404">
        <v>1883</v>
      </c>
      <c r="AB404">
        <v>1883</v>
      </c>
      <c r="AC404" t="s">
        <v>2650</v>
      </c>
      <c r="AD404" t="s">
        <v>1185</v>
      </c>
      <c r="AE404" t="s">
        <v>599</v>
      </c>
      <c r="AF404" t="s">
        <v>599</v>
      </c>
      <c r="AG404" t="s">
        <v>2651</v>
      </c>
      <c r="AH404" t="s">
        <v>599</v>
      </c>
      <c r="AI404" t="s">
        <v>599</v>
      </c>
      <c r="AJ404" t="s">
        <v>2652</v>
      </c>
      <c r="AK404" t="s">
        <v>1188</v>
      </c>
      <c r="AL404" t="s">
        <v>2653</v>
      </c>
      <c r="AM404" t="s">
        <v>1190</v>
      </c>
      <c r="AN404" t="s">
        <v>599</v>
      </c>
      <c r="AO404" t="s">
        <v>599</v>
      </c>
      <c r="AP404" t="s">
        <v>599</v>
      </c>
      <c r="AQ404" t="s">
        <v>599</v>
      </c>
      <c r="AR404" t="s">
        <v>1193</v>
      </c>
      <c r="AS404" t="s">
        <v>599</v>
      </c>
      <c r="AT404" t="s">
        <v>599</v>
      </c>
    </row>
    <row r="405" spans="1:46" s="13" customFormat="1" ht="30" x14ac:dyDescent="0.25">
      <c r="A405" s="9">
        <v>10877</v>
      </c>
      <c r="B405" s="10">
        <v>381386</v>
      </c>
      <c r="C405" s="10">
        <v>1</v>
      </c>
      <c r="D405" s="9">
        <v>141</v>
      </c>
      <c r="E405" s="11" t="s">
        <v>352</v>
      </c>
      <c r="F405" s="12" t="s">
        <v>353</v>
      </c>
      <c r="G405" s="9" t="s">
        <v>354</v>
      </c>
      <c r="H405" s="34"/>
      <c r="I405" s="55" t="str">
        <f t="shared" si="13"/>
        <v>https://permalinkbnd.bnportugal.gov.pt/viewer/273117/?offset=#page=141&amp;viewer=picture&amp;o=info&amp;n=0&amp;q=</v>
      </c>
      <c r="J405" s="45"/>
      <c r="K405" s="45"/>
      <c r="L405" s="45"/>
      <c r="M405" t="s">
        <v>352</v>
      </c>
      <c r="N405">
        <v>273117</v>
      </c>
      <c r="O405" t="str">
        <f t="shared" si="12"/>
        <v>https://permalinkbnd.bnportugal.gov.pt/viewer/273117/?offset=#page=141&amp;viewer=picture&amp;o=info&amp;n=0&amp;q=</v>
      </c>
      <c r="P405">
        <v>381386</v>
      </c>
      <c r="Q405" t="s">
        <v>352</v>
      </c>
      <c r="R405" t="s">
        <v>2647</v>
      </c>
      <c r="S405" t="s">
        <v>1178</v>
      </c>
      <c r="T405" t="s">
        <v>1192</v>
      </c>
      <c r="U405" t="s">
        <v>599</v>
      </c>
      <c r="V405" t="s">
        <v>1293</v>
      </c>
      <c r="W405" t="s">
        <v>2648</v>
      </c>
      <c r="X405" t="s">
        <v>599</v>
      </c>
      <c r="Y405" t="s">
        <v>1182</v>
      </c>
      <c r="Z405" t="s">
        <v>2649</v>
      </c>
      <c r="AA405">
        <v>1883</v>
      </c>
      <c r="AB405">
        <v>1883</v>
      </c>
      <c r="AC405" t="s">
        <v>2650</v>
      </c>
      <c r="AD405" t="s">
        <v>1185</v>
      </c>
      <c r="AE405" t="s">
        <v>599</v>
      </c>
      <c r="AF405" t="s">
        <v>599</v>
      </c>
      <c r="AG405" t="s">
        <v>2651</v>
      </c>
      <c r="AH405" t="s">
        <v>599</v>
      </c>
      <c r="AI405" t="s">
        <v>599</v>
      </c>
      <c r="AJ405" t="s">
        <v>2652</v>
      </c>
      <c r="AK405" t="s">
        <v>1188</v>
      </c>
      <c r="AL405" t="s">
        <v>2653</v>
      </c>
      <c r="AM405" t="s">
        <v>1190</v>
      </c>
      <c r="AN405" t="s">
        <v>599</v>
      </c>
      <c r="AO405" t="s">
        <v>599</v>
      </c>
      <c r="AP405" t="s">
        <v>599</v>
      </c>
      <c r="AQ405" t="s">
        <v>599</v>
      </c>
      <c r="AR405" t="s">
        <v>1193</v>
      </c>
      <c r="AS405" t="s">
        <v>599</v>
      </c>
      <c r="AT405" t="s">
        <v>599</v>
      </c>
    </row>
    <row r="406" spans="1:46" s="13" customFormat="1" ht="30" x14ac:dyDescent="0.25">
      <c r="A406" s="9">
        <v>10878</v>
      </c>
      <c r="B406" s="10">
        <v>381386</v>
      </c>
      <c r="C406" s="10">
        <v>1</v>
      </c>
      <c r="D406" s="9">
        <v>213</v>
      </c>
      <c r="E406" s="11" t="s">
        <v>352</v>
      </c>
      <c r="F406" s="12" t="s">
        <v>353</v>
      </c>
      <c r="G406" s="9" t="s">
        <v>354</v>
      </c>
      <c r="H406" s="34"/>
      <c r="I406" s="55" t="str">
        <f t="shared" si="13"/>
        <v>https://permalinkbnd.bnportugal.gov.pt/viewer/273117/?offset=#page=213&amp;viewer=picture&amp;o=info&amp;n=0&amp;q=</v>
      </c>
      <c r="J406" s="45"/>
      <c r="K406" s="45"/>
      <c r="L406" s="45"/>
      <c r="M406" t="s">
        <v>352</v>
      </c>
      <c r="N406">
        <v>273117</v>
      </c>
      <c r="O406" t="str">
        <f t="shared" si="12"/>
        <v>https://permalinkbnd.bnportugal.gov.pt/viewer/273117/?offset=#page=213&amp;viewer=picture&amp;o=info&amp;n=0&amp;q=</v>
      </c>
      <c r="P406">
        <v>381386</v>
      </c>
      <c r="Q406" t="s">
        <v>352</v>
      </c>
      <c r="R406" t="s">
        <v>2647</v>
      </c>
      <c r="S406" t="s">
        <v>1178</v>
      </c>
      <c r="T406" t="s">
        <v>1192</v>
      </c>
      <c r="U406" t="s">
        <v>599</v>
      </c>
      <c r="V406" t="s">
        <v>1293</v>
      </c>
      <c r="W406" t="s">
        <v>2648</v>
      </c>
      <c r="X406" t="s">
        <v>599</v>
      </c>
      <c r="Y406" t="s">
        <v>1182</v>
      </c>
      <c r="Z406" t="s">
        <v>2649</v>
      </c>
      <c r="AA406">
        <v>1883</v>
      </c>
      <c r="AB406">
        <v>1883</v>
      </c>
      <c r="AC406" t="s">
        <v>2650</v>
      </c>
      <c r="AD406" t="s">
        <v>1185</v>
      </c>
      <c r="AE406" t="s">
        <v>599</v>
      </c>
      <c r="AF406" t="s">
        <v>599</v>
      </c>
      <c r="AG406" t="s">
        <v>2651</v>
      </c>
      <c r="AH406" t="s">
        <v>599</v>
      </c>
      <c r="AI406" t="s">
        <v>599</v>
      </c>
      <c r="AJ406" t="s">
        <v>2652</v>
      </c>
      <c r="AK406" t="s">
        <v>1188</v>
      </c>
      <c r="AL406" t="s">
        <v>2653</v>
      </c>
      <c r="AM406" t="s">
        <v>1190</v>
      </c>
      <c r="AN406" t="s">
        <v>599</v>
      </c>
      <c r="AO406" t="s">
        <v>599</v>
      </c>
      <c r="AP406" t="s">
        <v>599</v>
      </c>
      <c r="AQ406" t="s">
        <v>599</v>
      </c>
      <c r="AR406" t="s">
        <v>1193</v>
      </c>
      <c r="AS406" t="s">
        <v>599</v>
      </c>
      <c r="AT406" t="s">
        <v>599</v>
      </c>
    </row>
    <row r="407" spans="1:46" s="13" customFormat="1" ht="30" x14ac:dyDescent="0.25">
      <c r="A407" s="9">
        <v>10879</v>
      </c>
      <c r="B407" s="10">
        <v>381386</v>
      </c>
      <c r="C407" s="10">
        <v>1</v>
      </c>
      <c r="D407" s="9">
        <v>215</v>
      </c>
      <c r="E407" s="11" t="s">
        <v>352</v>
      </c>
      <c r="F407" s="12" t="s">
        <v>353</v>
      </c>
      <c r="G407" s="9" t="s">
        <v>354</v>
      </c>
      <c r="H407" s="34"/>
      <c r="I407" s="55" t="str">
        <f t="shared" si="13"/>
        <v>https://permalinkbnd.bnportugal.gov.pt/viewer/273117/?offset=#page=215&amp;viewer=picture&amp;o=info&amp;n=0&amp;q=</v>
      </c>
      <c r="J407" s="45"/>
      <c r="K407" s="45"/>
      <c r="L407" s="45"/>
      <c r="M407" t="s">
        <v>352</v>
      </c>
      <c r="N407">
        <v>273117</v>
      </c>
      <c r="O407" t="str">
        <f t="shared" si="12"/>
        <v>https://permalinkbnd.bnportugal.gov.pt/viewer/273117/?offset=#page=215&amp;viewer=picture&amp;o=info&amp;n=0&amp;q=</v>
      </c>
      <c r="P407">
        <v>381386</v>
      </c>
      <c r="Q407" t="s">
        <v>352</v>
      </c>
      <c r="R407" t="s">
        <v>2647</v>
      </c>
      <c r="S407" t="s">
        <v>1178</v>
      </c>
      <c r="T407" t="s">
        <v>1192</v>
      </c>
      <c r="U407" t="s">
        <v>599</v>
      </c>
      <c r="V407" t="s">
        <v>1293</v>
      </c>
      <c r="W407" t="s">
        <v>2648</v>
      </c>
      <c r="X407" t="s">
        <v>599</v>
      </c>
      <c r="Y407" t="s">
        <v>1182</v>
      </c>
      <c r="Z407" t="s">
        <v>2649</v>
      </c>
      <c r="AA407">
        <v>1883</v>
      </c>
      <c r="AB407">
        <v>1883</v>
      </c>
      <c r="AC407" t="s">
        <v>2650</v>
      </c>
      <c r="AD407" t="s">
        <v>1185</v>
      </c>
      <c r="AE407" t="s">
        <v>599</v>
      </c>
      <c r="AF407" t="s">
        <v>599</v>
      </c>
      <c r="AG407" t="s">
        <v>2651</v>
      </c>
      <c r="AH407" t="s">
        <v>599</v>
      </c>
      <c r="AI407" t="s">
        <v>599</v>
      </c>
      <c r="AJ407" t="s">
        <v>2652</v>
      </c>
      <c r="AK407" t="s">
        <v>1188</v>
      </c>
      <c r="AL407" t="s">
        <v>2653</v>
      </c>
      <c r="AM407" t="s">
        <v>1190</v>
      </c>
      <c r="AN407" t="s">
        <v>599</v>
      </c>
      <c r="AO407" t="s">
        <v>599</v>
      </c>
      <c r="AP407" t="s">
        <v>599</v>
      </c>
      <c r="AQ407" t="s">
        <v>599</v>
      </c>
      <c r="AR407" t="s">
        <v>1193</v>
      </c>
      <c r="AS407" t="s">
        <v>599</v>
      </c>
      <c r="AT407" t="s">
        <v>599</v>
      </c>
    </row>
    <row r="408" spans="1:46" s="13" customFormat="1" ht="30" x14ac:dyDescent="0.25">
      <c r="A408" s="9">
        <v>10880</v>
      </c>
      <c r="B408" s="10">
        <v>381386</v>
      </c>
      <c r="C408" s="10">
        <v>1</v>
      </c>
      <c r="D408" s="9">
        <v>269</v>
      </c>
      <c r="E408" s="11" t="s">
        <v>352</v>
      </c>
      <c r="F408" s="12" t="s">
        <v>353</v>
      </c>
      <c r="G408" s="9" t="s">
        <v>354</v>
      </c>
      <c r="H408" s="34"/>
      <c r="I408" s="55" t="str">
        <f t="shared" si="13"/>
        <v>https://permalinkbnd.bnportugal.gov.pt/viewer/273117/?offset=#page=269&amp;viewer=picture&amp;o=info&amp;n=0&amp;q=</v>
      </c>
      <c r="J408" s="45"/>
      <c r="K408" s="45"/>
      <c r="L408" s="45"/>
      <c r="M408" t="s">
        <v>352</v>
      </c>
      <c r="N408">
        <v>273117</v>
      </c>
      <c r="O408" t="str">
        <f t="shared" si="12"/>
        <v>https://permalinkbnd.bnportugal.gov.pt/viewer/273117/?offset=#page=269&amp;viewer=picture&amp;o=info&amp;n=0&amp;q=</v>
      </c>
      <c r="P408">
        <v>381386</v>
      </c>
      <c r="Q408" t="s">
        <v>352</v>
      </c>
      <c r="R408" t="s">
        <v>2647</v>
      </c>
      <c r="S408" t="s">
        <v>1178</v>
      </c>
      <c r="T408" t="s">
        <v>1192</v>
      </c>
      <c r="U408" t="s">
        <v>599</v>
      </c>
      <c r="V408" t="s">
        <v>1293</v>
      </c>
      <c r="W408" t="s">
        <v>2648</v>
      </c>
      <c r="X408" t="s">
        <v>599</v>
      </c>
      <c r="Y408" t="s">
        <v>1182</v>
      </c>
      <c r="Z408" t="s">
        <v>2649</v>
      </c>
      <c r="AA408">
        <v>1883</v>
      </c>
      <c r="AB408">
        <v>1883</v>
      </c>
      <c r="AC408" t="s">
        <v>2650</v>
      </c>
      <c r="AD408" t="s">
        <v>1185</v>
      </c>
      <c r="AE408" t="s">
        <v>599</v>
      </c>
      <c r="AF408" t="s">
        <v>599</v>
      </c>
      <c r="AG408" t="s">
        <v>2651</v>
      </c>
      <c r="AH408" t="s">
        <v>599</v>
      </c>
      <c r="AI408" t="s">
        <v>599</v>
      </c>
      <c r="AJ408" t="s">
        <v>2652</v>
      </c>
      <c r="AK408" t="s">
        <v>1188</v>
      </c>
      <c r="AL408" t="s">
        <v>2653</v>
      </c>
      <c r="AM408" t="s">
        <v>1190</v>
      </c>
      <c r="AN408" t="s">
        <v>599</v>
      </c>
      <c r="AO408" t="s">
        <v>599</v>
      </c>
      <c r="AP408" t="s">
        <v>599</v>
      </c>
      <c r="AQ408" t="s">
        <v>599</v>
      </c>
      <c r="AR408" t="s">
        <v>1193</v>
      </c>
      <c r="AS408" t="s">
        <v>599</v>
      </c>
      <c r="AT408" t="s">
        <v>599</v>
      </c>
    </row>
    <row r="409" spans="1:46" s="13" customFormat="1" ht="30" x14ac:dyDescent="0.25">
      <c r="A409" s="9">
        <v>10881</v>
      </c>
      <c r="B409" s="10">
        <v>381386</v>
      </c>
      <c r="C409" s="10">
        <v>1</v>
      </c>
      <c r="D409" s="9">
        <v>271</v>
      </c>
      <c r="E409" s="11" t="s">
        <v>352</v>
      </c>
      <c r="F409" s="12" t="s">
        <v>353</v>
      </c>
      <c r="G409" s="9" t="s">
        <v>354</v>
      </c>
      <c r="H409" s="34"/>
      <c r="I409" s="55" t="str">
        <f t="shared" si="13"/>
        <v>https://permalinkbnd.bnportugal.gov.pt/viewer/273117/?offset=#page=271&amp;viewer=picture&amp;o=info&amp;n=0&amp;q=</v>
      </c>
      <c r="J409" s="45"/>
      <c r="K409" s="45"/>
      <c r="L409" s="45"/>
      <c r="M409" t="s">
        <v>352</v>
      </c>
      <c r="N409">
        <v>273117</v>
      </c>
      <c r="O409" t="str">
        <f t="shared" si="12"/>
        <v>https://permalinkbnd.bnportugal.gov.pt/viewer/273117/?offset=#page=271&amp;viewer=picture&amp;o=info&amp;n=0&amp;q=</v>
      </c>
      <c r="P409">
        <v>381386</v>
      </c>
      <c r="Q409" t="s">
        <v>352</v>
      </c>
      <c r="R409" t="s">
        <v>2647</v>
      </c>
      <c r="S409" t="s">
        <v>1178</v>
      </c>
      <c r="T409" t="s">
        <v>1192</v>
      </c>
      <c r="U409" t="s">
        <v>599</v>
      </c>
      <c r="V409" t="s">
        <v>1293</v>
      </c>
      <c r="W409" t="s">
        <v>2648</v>
      </c>
      <c r="X409" t="s">
        <v>599</v>
      </c>
      <c r="Y409" t="s">
        <v>1182</v>
      </c>
      <c r="Z409" t="s">
        <v>2649</v>
      </c>
      <c r="AA409">
        <v>1883</v>
      </c>
      <c r="AB409">
        <v>1883</v>
      </c>
      <c r="AC409" t="s">
        <v>2650</v>
      </c>
      <c r="AD409" t="s">
        <v>1185</v>
      </c>
      <c r="AE409" t="s">
        <v>599</v>
      </c>
      <c r="AF409" t="s">
        <v>599</v>
      </c>
      <c r="AG409" t="s">
        <v>2651</v>
      </c>
      <c r="AH409" t="s">
        <v>599</v>
      </c>
      <c r="AI409" t="s">
        <v>599</v>
      </c>
      <c r="AJ409" t="s">
        <v>2652</v>
      </c>
      <c r="AK409" t="s">
        <v>1188</v>
      </c>
      <c r="AL409" t="s">
        <v>2653</v>
      </c>
      <c r="AM409" t="s">
        <v>1190</v>
      </c>
      <c r="AN409" t="s">
        <v>599</v>
      </c>
      <c r="AO409" t="s">
        <v>599</v>
      </c>
      <c r="AP409" t="s">
        <v>599</v>
      </c>
      <c r="AQ409" t="s">
        <v>599</v>
      </c>
      <c r="AR409" t="s">
        <v>1193</v>
      </c>
      <c r="AS409" t="s">
        <v>599</v>
      </c>
      <c r="AT409" t="s">
        <v>599</v>
      </c>
    </row>
    <row r="410" spans="1:46" s="13" customFormat="1" ht="30" x14ac:dyDescent="0.25">
      <c r="A410" s="9">
        <v>10882</v>
      </c>
      <c r="B410" s="10">
        <v>804973</v>
      </c>
      <c r="C410" s="10">
        <v>1</v>
      </c>
      <c r="D410" s="9">
        <v>10</v>
      </c>
      <c r="E410" s="11" t="s">
        <v>355</v>
      </c>
      <c r="F410" s="12" t="s">
        <v>356</v>
      </c>
      <c r="G410" s="9">
        <v>10</v>
      </c>
      <c r="H410" s="34"/>
      <c r="I410" s="55" t="str">
        <f t="shared" si="13"/>
        <v>https://permalinkbnd.bnportugal.gov.pt/viewer/273120/?offset=#page=10&amp;viewer=picture&amp;o=info&amp;n=0&amp;q=</v>
      </c>
      <c r="J410" s="45"/>
      <c r="K410" s="45"/>
      <c r="L410" s="45"/>
      <c r="M410" t="s">
        <v>355</v>
      </c>
      <c r="N410">
        <v>273120</v>
      </c>
      <c r="O410" t="str">
        <f t="shared" si="12"/>
        <v>https://permalinkbnd.bnportugal.gov.pt/viewer/273120/?offset=#page=10&amp;viewer=picture&amp;o=info&amp;n=0&amp;q=</v>
      </c>
      <c r="P410">
        <v>804973</v>
      </c>
      <c r="Q410" t="s">
        <v>355</v>
      </c>
      <c r="R410" t="s">
        <v>2654</v>
      </c>
      <c r="S410" t="s">
        <v>1178</v>
      </c>
      <c r="T410" t="s">
        <v>1192</v>
      </c>
      <c r="U410" t="s">
        <v>599</v>
      </c>
      <c r="V410" t="s">
        <v>2655</v>
      </c>
      <c r="W410" t="s">
        <v>599</v>
      </c>
      <c r="X410" t="s">
        <v>599</v>
      </c>
      <c r="Y410" t="s">
        <v>2656</v>
      </c>
      <c r="Z410" t="s">
        <v>2657</v>
      </c>
      <c r="AA410">
        <v>1880</v>
      </c>
      <c r="AB410">
        <v>1880</v>
      </c>
      <c r="AC410" t="s">
        <v>2658</v>
      </c>
      <c r="AD410" t="s">
        <v>1185</v>
      </c>
      <c r="AE410" t="s">
        <v>599</v>
      </c>
      <c r="AF410" t="s">
        <v>599</v>
      </c>
      <c r="AG410" t="s">
        <v>2659</v>
      </c>
      <c r="AH410" t="s">
        <v>599</v>
      </c>
      <c r="AI410" t="s">
        <v>1198</v>
      </c>
      <c r="AJ410" t="s">
        <v>2660</v>
      </c>
      <c r="AK410" t="s">
        <v>1188</v>
      </c>
      <c r="AL410" t="s">
        <v>2661</v>
      </c>
      <c r="AM410" t="s">
        <v>1190</v>
      </c>
      <c r="AN410" t="s">
        <v>599</v>
      </c>
      <c r="AO410" t="s">
        <v>599</v>
      </c>
      <c r="AP410" t="s">
        <v>2662</v>
      </c>
      <c r="AQ410" t="s">
        <v>599</v>
      </c>
      <c r="AR410" t="s">
        <v>599</v>
      </c>
      <c r="AS410" t="s">
        <v>599</v>
      </c>
      <c r="AT410" t="s">
        <v>599</v>
      </c>
    </row>
    <row r="411" spans="1:46" s="13" customFormat="1" ht="30" x14ac:dyDescent="0.25">
      <c r="A411" s="9">
        <v>10887</v>
      </c>
      <c r="B411" s="10">
        <v>252299</v>
      </c>
      <c r="C411" s="10">
        <v>1</v>
      </c>
      <c r="D411" s="9">
        <v>7</v>
      </c>
      <c r="E411" s="11" t="s">
        <v>357</v>
      </c>
      <c r="F411" s="12" t="s">
        <v>358</v>
      </c>
      <c r="G411" s="9">
        <v>7</v>
      </c>
      <c r="H411" s="34"/>
      <c r="I411" s="55" t="str">
        <f t="shared" si="13"/>
        <v>https://permalinkbnd.bnportugal.gov.pt/viewer/277449/?offset=#page=7&amp;viewer=picture&amp;o=info&amp;n=0&amp;q=</v>
      </c>
      <c r="J411" s="45"/>
      <c r="K411" s="45"/>
      <c r="L411" s="45"/>
      <c r="M411" t="s">
        <v>357</v>
      </c>
      <c r="N411">
        <v>277449</v>
      </c>
      <c r="O411" t="str">
        <f t="shared" si="12"/>
        <v>https://permalinkbnd.bnportugal.gov.pt/viewer/277449/?offset=#page=7&amp;viewer=picture&amp;o=info&amp;n=0&amp;q=</v>
      </c>
      <c r="P411">
        <v>252299</v>
      </c>
      <c r="Q411" t="s">
        <v>357</v>
      </c>
      <c r="R411" t="s">
        <v>2663</v>
      </c>
      <c r="S411" t="s">
        <v>1178</v>
      </c>
      <c r="T411" t="s">
        <v>1403</v>
      </c>
      <c r="U411" t="s">
        <v>599</v>
      </c>
      <c r="V411" t="s">
        <v>2638</v>
      </c>
      <c r="W411" t="s">
        <v>599</v>
      </c>
      <c r="X411" t="s">
        <v>599</v>
      </c>
      <c r="Y411" t="s">
        <v>1182</v>
      </c>
      <c r="Z411" t="s">
        <v>2664</v>
      </c>
      <c r="AA411">
        <v>1883</v>
      </c>
      <c r="AB411">
        <v>1883</v>
      </c>
      <c r="AC411" t="s">
        <v>2665</v>
      </c>
      <c r="AD411" t="s">
        <v>1185</v>
      </c>
      <c r="AE411" t="s">
        <v>599</v>
      </c>
      <c r="AF411" t="s">
        <v>599</v>
      </c>
      <c r="AG411" t="s">
        <v>599</v>
      </c>
      <c r="AH411" t="s">
        <v>599</v>
      </c>
      <c r="AI411" t="s">
        <v>599</v>
      </c>
      <c r="AJ411" t="s">
        <v>2666</v>
      </c>
      <c r="AK411" t="s">
        <v>1188</v>
      </c>
      <c r="AL411" t="s">
        <v>2667</v>
      </c>
      <c r="AM411" t="s">
        <v>1190</v>
      </c>
      <c r="AN411" t="s">
        <v>2668</v>
      </c>
      <c r="AO411" t="s">
        <v>599</v>
      </c>
      <c r="AP411" t="s">
        <v>599</v>
      </c>
      <c r="AQ411" t="s">
        <v>599</v>
      </c>
      <c r="AR411" t="s">
        <v>599</v>
      </c>
      <c r="AS411" t="s">
        <v>599</v>
      </c>
      <c r="AT411" t="s">
        <v>599</v>
      </c>
    </row>
    <row r="412" spans="1:46" s="13" customFormat="1" ht="30" x14ac:dyDescent="0.25">
      <c r="A412" s="9">
        <v>10888</v>
      </c>
      <c r="B412" s="10">
        <v>860111</v>
      </c>
      <c r="C412" s="10">
        <v>1</v>
      </c>
      <c r="D412" s="9">
        <v>45</v>
      </c>
      <c r="E412" s="11" t="s">
        <v>359</v>
      </c>
      <c r="F412" s="12" t="s">
        <v>360</v>
      </c>
      <c r="G412" s="9" t="s">
        <v>361</v>
      </c>
      <c r="H412" s="34"/>
      <c r="I412" s="55" t="str">
        <f t="shared" si="13"/>
        <v>https://permalinkbnd.bnportugal.gov.pt/viewer/277452/?offset=#page=45&amp;viewer=picture&amp;o=info&amp;n=0&amp;q=</v>
      </c>
      <c r="J412" s="45"/>
      <c r="K412" s="45"/>
      <c r="L412" s="45"/>
      <c r="M412" t="s">
        <v>359</v>
      </c>
      <c r="N412">
        <v>277452</v>
      </c>
      <c r="O412" t="str">
        <f t="shared" si="12"/>
        <v>https://permalinkbnd.bnportugal.gov.pt/viewer/277452/?offset=#page=45&amp;viewer=picture&amp;o=info&amp;n=0&amp;q=</v>
      </c>
      <c r="P412">
        <v>860111</v>
      </c>
      <c r="Q412" t="s">
        <v>359</v>
      </c>
      <c r="R412" t="s">
        <v>2669</v>
      </c>
      <c r="S412" t="s">
        <v>1178</v>
      </c>
      <c r="T412" t="s">
        <v>2603</v>
      </c>
      <c r="U412" t="s">
        <v>599</v>
      </c>
      <c r="V412" t="s">
        <v>2670</v>
      </c>
      <c r="W412" t="s">
        <v>2671</v>
      </c>
      <c r="X412" t="s">
        <v>599</v>
      </c>
      <c r="Y412" t="s">
        <v>1182</v>
      </c>
      <c r="Z412" t="s">
        <v>2672</v>
      </c>
      <c r="AA412">
        <v>1898</v>
      </c>
      <c r="AB412">
        <v>1898</v>
      </c>
      <c r="AC412" t="s">
        <v>2673</v>
      </c>
      <c r="AD412" t="s">
        <v>599</v>
      </c>
      <c r="AE412" t="s">
        <v>599</v>
      </c>
      <c r="AF412" t="s">
        <v>599</v>
      </c>
      <c r="AG412" t="s">
        <v>2674</v>
      </c>
      <c r="AH412" t="s">
        <v>599</v>
      </c>
      <c r="AI412" t="s">
        <v>599</v>
      </c>
      <c r="AJ412" t="s">
        <v>2675</v>
      </c>
      <c r="AK412" t="s">
        <v>1188</v>
      </c>
      <c r="AL412" t="s">
        <v>2676</v>
      </c>
      <c r="AM412" t="s">
        <v>1190</v>
      </c>
      <c r="AN412" t="s">
        <v>2677</v>
      </c>
      <c r="AO412" t="s">
        <v>599</v>
      </c>
      <c r="AP412" t="s">
        <v>599</v>
      </c>
      <c r="AQ412" t="s">
        <v>599</v>
      </c>
      <c r="AR412" t="s">
        <v>599</v>
      </c>
      <c r="AS412" t="s">
        <v>599</v>
      </c>
      <c r="AT412" t="s">
        <v>599</v>
      </c>
    </row>
    <row r="413" spans="1:46" s="13" customFormat="1" ht="30" x14ac:dyDescent="0.25">
      <c r="A413" s="9">
        <v>10889</v>
      </c>
      <c r="B413" s="10">
        <v>860111</v>
      </c>
      <c r="C413" s="10">
        <v>1</v>
      </c>
      <c r="D413" s="9">
        <v>47</v>
      </c>
      <c r="E413" s="11" t="s">
        <v>359</v>
      </c>
      <c r="F413" s="12" t="s">
        <v>360</v>
      </c>
      <c r="G413" s="9" t="s">
        <v>361</v>
      </c>
      <c r="H413" s="34"/>
      <c r="I413" s="55" t="str">
        <f t="shared" si="13"/>
        <v>https://permalinkbnd.bnportugal.gov.pt/viewer/277452/?offset=#page=47&amp;viewer=picture&amp;o=info&amp;n=0&amp;q=</v>
      </c>
      <c r="J413" s="45"/>
      <c r="K413" s="45"/>
      <c r="L413" s="45"/>
      <c r="M413" t="s">
        <v>359</v>
      </c>
      <c r="N413">
        <v>277452</v>
      </c>
      <c r="O413" t="str">
        <f t="shared" si="12"/>
        <v>https://permalinkbnd.bnportugal.gov.pt/viewer/277452/?offset=#page=47&amp;viewer=picture&amp;o=info&amp;n=0&amp;q=</v>
      </c>
      <c r="P413">
        <v>860111</v>
      </c>
      <c r="Q413" t="s">
        <v>359</v>
      </c>
      <c r="R413" t="s">
        <v>2669</v>
      </c>
      <c r="S413" t="s">
        <v>1178</v>
      </c>
      <c r="T413" t="s">
        <v>2603</v>
      </c>
      <c r="U413" t="s">
        <v>599</v>
      </c>
      <c r="V413" t="s">
        <v>2670</v>
      </c>
      <c r="W413" t="s">
        <v>2671</v>
      </c>
      <c r="X413" t="s">
        <v>599</v>
      </c>
      <c r="Y413" t="s">
        <v>1182</v>
      </c>
      <c r="Z413" t="s">
        <v>2672</v>
      </c>
      <c r="AA413">
        <v>1898</v>
      </c>
      <c r="AB413">
        <v>1898</v>
      </c>
      <c r="AC413" t="s">
        <v>2673</v>
      </c>
      <c r="AD413" t="s">
        <v>599</v>
      </c>
      <c r="AE413" t="s">
        <v>599</v>
      </c>
      <c r="AF413" t="s">
        <v>599</v>
      </c>
      <c r="AG413" t="s">
        <v>2674</v>
      </c>
      <c r="AH413" t="s">
        <v>599</v>
      </c>
      <c r="AI413" t="s">
        <v>599</v>
      </c>
      <c r="AJ413" t="s">
        <v>2675</v>
      </c>
      <c r="AK413" t="s">
        <v>1188</v>
      </c>
      <c r="AL413" t="s">
        <v>2676</v>
      </c>
      <c r="AM413" t="s">
        <v>1190</v>
      </c>
      <c r="AN413" t="s">
        <v>2677</v>
      </c>
      <c r="AO413" t="s">
        <v>599</v>
      </c>
      <c r="AP413" t="s">
        <v>599</v>
      </c>
      <c r="AQ413" t="s">
        <v>599</v>
      </c>
      <c r="AR413" t="s">
        <v>599</v>
      </c>
      <c r="AS413" t="s">
        <v>599</v>
      </c>
      <c r="AT413" t="s">
        <v>599</v>
      </c>
    </row>
    <row r="414" spans="1:46" s="13" customFormat="1" ht="30" x14ac:dyDescent="0.25">
      <c r="A414" s="9">
        <v>10890</v>
      </c>
      <c r="B414" s="10">
        <v>860111</v>
      </c>
      <c r="C414" s="10">
        <v>1</v>
      </c>
      <c r="D414" s="9">
        <v>77</v>
      </c>
      <c r="E414" s="11" t="s">
        <v>359</v>
      </c>
      <c r="F414" s="12" t="s">
        <v>360</v>
      </c>
      <c r="G414" s="9" t="s">
        <v>361</v>
      </c>
      <c r="H414" s="34"/>
      <c r="I414" s="55" t="str">
        <f t="shared" si="13"/>
        <v>https://permalinkbnd.bnportugal.gov.pt/viewer/277452/?offset=#page=77&amp;viewer=picture&amp;o=info&amp;n=0&amp;q=</v>
      </c>
      <c r="J414" s="45"/>
      <c r="K414" s="45"/>
      <c r="L414" s="45"/>
      <c r="M414" t="s">
        <v>359</v>
      </c>
      <c r="N414">
        <v>277452</v>
      </c>
      <c r="O414" t="str">
        <f t="shared" si="12"/>
        <v>https://permalinkbnd.bnportugal.gov.pt/viewer/277452/?offset=#page=77&amp;viewer=picture&amp;o=info&amp;n=0&amp;q=</v>
      </c>
      <c r="P414">
        <v>860111</v>
      </c>
      <c r="Q414" t="s">
        <v>359</v>
      </c>
      <c r="R414" t="s">
        <v>2669</v>
      </c>
      <c r="S414" t="s">
        <v>1178</v>
      </c>
      <c r="T414" t="s">
        <v>2603</v>
      </c>
      <c r="U414" t="s">
        <v>599</v>
      </c>
      <c r="V414" t="s">
        <v>2670</v>
      </c>
      <c r="W414" t="s">
        <v>2671</v>
      </c>
      <c r="X414" t="s">
        <v>599</v>
      </c>
      <c r="Y414" t="s">
        <v>1182</v>
      </c>
      <c r="Z414" t="s">
        <v>2672</v>
      </c>
      <c r="AA414">
        <v>1898</v>
      </c>
      <c r="AB414">
        <v>1898</v>
      </c>
      <c r="AC414" t="s">
        <v>2673</v>
      </c>
      <c r="AD414" t="s">
        <v>599</v>
      </c>
      <c r="AE414" t="s">
        <v>599</v>
      </c>
      <c r="AF414" t="s">
        <v>599</v>
      </c>
      <c r="AG414" t="s">
        <v>2674</v>
      </c>
      <c r="AH414" t="s">
        <v>599</v>
      </c>
      <c r="AI414" t="s">
        <v>599</v>
      </c>
      <c r="AJ414" t="s">
        <v>2675</v>
      </c>
      <c r="AK414" t="s">
        <v>1188</v>
      </c>
      <c r="AL414" t="s">
        <v>2676</v>
      </c>
      <c r="AM414" t="s">
        <v>1190</v>
      </c>
      <c r="AN414" t="s">
        <v>2677</v>
      </c>
      <c r="AO414" t="s">
        <v>599</v>
      </c>
      <c r="AP414" t="s">
        <v>599</v>
      </c>
      <c r="AQ414" t="s">
        <v>599</v>
      </c>
      <c r="AR414" t="s">
        <v>599</v>
      </c>
      <c r="AS414" t="s">
        <v>599</v>
      </c>
      <c r="AT414" t="s">
        <v>599</v>
      </c>
    </row>
    <row r="415" spans="1:46" s="13" customFormat="1" ht="30" x14ac:dyDescent="0.25">
      <c r="A415" s="9">
        <v>10891</v>
      </c>
      <c r="B415" s="10">
        <v>860111</v>
      </c>
      <c r="C415" s="10">
        <v>1</v>
      </c>
      <c r="D415" s="9">
        <v>105</v>
      </c>
      <c r="E415" s="11" t="s">
        <v>359</v>
      </c>
      <c r="F415" s="12" t="s">
        <v>360</v>
      </c>
      <c r="G415" s="9" t="s">
        <v>361</v>
      </c>
      <c r="H415" s="34"/>
      <c r="I415" s="55" t="str">
        <f t="shared" si="13"/>
        <v>https://permalinkbnd.bnportugal.gov.pt/viewer/277452/?offset=#page=105&amp;viewer=picture&amp;o=info&amp;n=0&amp;q=</v>
      </c>
      <c r="J415" s="45"/>
      <c r="K415" s="45"/>
      <c r="L415" s="45"/>
      <c r="M415" t="s">
        <v>359</v>
      </c>
      <c r="N415">
        <v>277452</v>
      </c>
      <c r="O415" t="str">
        <f t="shared" si="12"/>
        <v>https://permalinkbnd.bnportugal.gov.pt/viewer/277452/?offset=#page=105&amp;viewer=picture&amp;o=info&amp;n=0&amp;q=</v>
      </c>
      <c r="P415">
        <v>860111</v>
      </c>
      <c r="Q415" t="s">
        <v>359</v>
      </c>
      <c r="R415" t="s">
        <v>2669</v>
      </c>
      <c r="S415" t="s">
        <v>1178</v>
      </c>
      <c r="T415" t="s">
        <v>2603</v>
      </c>
      <c r="U415" t="s">
        <v>599</v>
      </c>
      <c r="V415" t="s">
        <v>2670</v>
      </c>
      <c r="W415" t="s">
        <v>2671</v>
      </c>
      <c r="X415" t="s">
        <v>599</v>
      </c>
      <c r="Y415" t="s">
        <v>1182</v>
      </c>
      <c r="Z415" t="s">
        <v>2672</v>
      </c>
      <c r="AA415">
        <v>1898</v>
      </c>
      <c r="AB415">
        <v>1898</v>
      </c>
      <c r="AC415" t="s">
        <v>2673</v>
      </c>
      <c r="AD415" t="s">
        <v>599</v>
      </c>
      <c r="AE415" t="s">
        <v>599</v>
      </c>
      <c r="AF415" t="s">
        <v>599</v>
      </c>
      <c r="AG415" t="s">
        <v>2674</v>
      </c>
      <c r="AH415" t="s">
        <v>599</v>
      </c>
      <c r="AI415" t="s">
        <v>599</v>
      </c>
      <c r="AJ415" t="s">
        <v>2675</v>
      </c>
      <c r="AK415" t="s">
        <v>1188</v>
      </c>
      <c r="AL415" t="s">
        <v>2676</v>
      </c>
      <c r="AM415" t="s">
        <v>1190</v>
      </c>
      <c r="AN415" t="s">
        <v>2677</v>
      </c>
      <c r="AO415" t="s">
        <v>599</v>
      </c>
      <c r="AP415" t="s">
        <v>599</v>
      </c>
      <c r="AQ415" t="s">
        <v>599</v>
      </c>
      <c r="AR415" t="s">
        <v>599</v>
      </c>
      <c r="AS415" t="s">
        <v>599</v>
      </c>
      <c r="AT415" t="s">
        <v>599</v>
      </c>
    </row>
    <row r="416" spans="1:46" s="13" customFormat="1" ht="30" x14ac:dyDescent="0.25">
      <c r="A416" s="9">
        <v>10892</v>
      </c>
      <c r="B416" s="10">
        <v>860111</v>
      </c>
      <c r="C416" s="10">
        <v>1</v>
      </c>
      <c r="D416" s="9">
        <v>131</v>
      </c>
      <c r="E416" s="11" t="s">
        <v>359</v>
      </c>
      <c r="F416" s="12" t="s">
        <v>360</v>
      </c>
      <c r="G416" s="9" t="s">
        <v>361</v>
      </c>
      <c r="H416" s="34"/>
      <c r="I416" s="55" t="str">
        <f t="shared" si="13"/>
        <v>https://permalinkbnd.bnportugal.gov.pt/viewer/277452/?offset=#page=131&amp;viewer=picture&amp;o=info&amp;n=0&amp;q=</v>
      </c>
      <c r="J416" s="45"/>
      <c r="K416" s="45"/>
      <c r="L416" s="45"/>
      <c r="M416" t="s">
        <v>359</v>
      </c>
      <c r="N416">
        <v>277452</v>
      </c>
      <c r="O416" t="str">
        <f t="shared" si="12"/>
        <v>https://permalinkbnd.bnportugal.gov.pt/viewer/277452/?offset=#page=131&amp;viewer=picture&amp;o=info&amp;n=0&amp;q=</v>
      </c>
      <c r="P416">
        <v>860111</v>
      </c>
      <c r="Q416" t="s">
        <v>359</v>
      </c>
      <c r="R416" t="s">
        <v>2669</v>
      </c>
      <c r="S416" t="s">
        <v>1178</v>
      </c>
      <c r="T416" t="s">
        <v>2603</v>
      </c>
      <c r="U416" t="s">
        <v>599</v>
      </c>
      <c r="V416" t="s">
        <v>2670</v>
      </c>
      <c r="W416" t="s">
        <v>2671</v>
      </c>
      <c r="X416" t="s">
        <v>599</v>
      </c>
      <c r="Y416" t="s">
        <v>1182</v>
      </c>
      <c r="Z416" t="s">
        <v>2672</v>
      </c>
      <c r="AA416">
        <v>1898</v>
      </c>
      <c r="AB416">
        <v>1898</v>
      </c>
      <c r="AC416" t="s">
        <v>2673</v>
      </c>
      <c r="AD416" t="s">
        <v>599</v>
      </c>
      <c r="AE416" t="s">
        <v>599</v>
      </c>
      <c r="AF416" t="s">
        <v>599</v>
      </c>
      <c r="AG416" t="s">
        <v>2674</v>
      </c>
      <c r="AH416" t="s">
        <v>599</v>
      </c>
      <c r="AI416" t="s">
        <v>599</v>
      </c>
      <c r="AJ416" t="s">
        <v>2675</v>
      </c>
      <c r="AK416" t="s">
        <v>1188</v>
      </c>
      <c r="AL416" t="s">
        <v>2676</v>
      </c>
      <c r="AM416" t="s">
        <v>1190</v>
      </c>
      <c r="AN416" t="s">
        <v>2677</v>
      </c>
      <c r="AO416" t="s">
        <v>599</v>
      </c>
      <c r="AP416" t="s">
        <v>599</v>
      </c>
      <c r="AQ416" t="s">
        <v>599</v>
      </c>
      <c r="AR416" t="s">
        <v>599</v>
      </c>
      <c r="AS416" t="s">
        <v>599</v>
      </c>
      <c r="AT416" t="s">
        <v>599</v>
      </c>
    </row>
    <row r="417" spans="1:46" s="13" customFormat="1" ht="30" x14ac:dyDescent="0.25">
      <c r="A417" s="9">
        <v>10893</v>
      </c>
      <c r="B417" s="10">
        <v>860111</v>
      </c>
      <c r="C417" s="10">
        <v>1</v>
      </c>
      <c r="D417" s="9">
        <v>227</v>
      </c>
      <c r="E417" s="11" t="s">
        <v>359</v>
      </c>
      <c r="F417" s="12" t="s">
        <v>360</v>
      </c>
      <c r="G417" s="9" t="s">
        <v>361</v>
      </c>
      <c r="H417" s="34"/>
      <c r="I417" s="55" t="str">
        <f t="shared" si="13"/>
        <v>https://permalinkbnd.bnportugal.gov.pt/viewer/277452/?offset=#page=227&amp;viewer=picture&amp;o=info&amp;n=0&amp;q=</v>
      </c>
      <c r="J417" s="45"/>
      <c r="K417" s="45"/>
      <c r="L417" s="45"/>
      <c r="M417" t="s">
        <v>359</v>
      </c>
      <c r="N417">
        <v>277452</v>
      </c>
      <c r="O417" t="str">
        <f t="shared" si="12"/>
        <v>https://permalinkbnd.bnportugal.gov.pt/viewer/277452/?offset=#page=227&amp;viewer=picture&amp;o=info&amp;n=0&amp;q=</v>
      </c>
      <c r="P417">
        <v>860111</v>
      </c>
      <c r="Q417" t="s">
        <v>359</v>
      </c>
      <c r="R417" t="s">
        <v>2669</v>
      </c>
      <c r="S417" t="s">
        <v>1178</v>
      </c>
      <c r="T417" t="s">
        <v>2603</v>
      </c>
      <c r="U417" t="s">
        <v>599</v>
      </c>
      <c r="V417" t="s">
        <v>2670</v>
      </c>
      <c r="W417" t="s">
        <v>2671</v>
      </c>
      <c r="X417" t="s">
        <v>599</v>
      </c>
      <c r="Y417" t="s">
        <v>1182</v>
      </c>
      <c r="Z417" t="s">
        <v>2672</v>
      </c>
      <c r="AA417">
        <v>1898</v>
      </c>
      <c r="AB417">
        <v>1898</v>
      </c>
      <c r="AC417" t="s">
        <v>2673</v>
      </c>
      <c r="AD417" t="s">
        <v>599</v>
      </c>
      <c r="AE417" t="s">
        <v>599</v>
      </c>
      <c r="AF417" t="s">
        <v>599</v>
      </c>
      <c r="AG417" t="s">
        <v>2674</v>
      </c>
      <c r="AH417" t="s">
        <v>599</v>
      </c>
      <c r="AI417" t="s">
        <v>599</v>
      </c>
      <c r="AJ417" t="s">
        <v>2675</v>
      </c>
      <c r="AK417" t="s">
        <v>1188</v>
      </c>
      <c r="AL417" t="s">
        <v>2676</v>
      </c>
      <c r="AM417" t="s">
        <v>1190</v>
      </c>
      <c r="AN417" t="s">
        <v>2677</v>
      </c>
      <c r="AO417" t="s">
        <v>599</v>
      </c>
      <c r="AP417" t="s">
        <v>599</v>
      </c>
      <c r="AQ417" t="s">
        <v>599</v>
      </c>
      <c r="AR417" t="s">
        <v>599</v>
      </c>
      <c r="AS417" t="s">
        <v>599</v>
      </c>
      <c r="AT417" t="s">
        <v>599</v>
      </c>
    </row>
    <row r="418" spans="1:46" s="13" customFormat="1" ht="30" x14ac:dyDescent="0.25">
      <c r="A418" s="9">
        <v>10894</v>
      </c>
      <c r="B418" s="10">
        <v>860111</v>
      </c>
      <c r="C418" s="10">
        <v>1</v>
      </c>
      <c r="D418" s="9">
        <v>473</v>
      </c>
      <c r="E418" s="11" t="s">
        <v>359</v>
      </c>
      <c r="F418" s="12" t="s">
        <v>360</v>
      </c>
      <c r="G418" s="9" t="s">
        <v>361</v>
      </c>
      <c r="H418" s="34"/>
      <c r="I418" s="55" t="str">
        <f t="shared" si="13"/>
        <v>https://permalinkbnd.bnportugal.gov.pt/viewer/277452/?offset=#page=473&amp;viewer=picture&amp;o=info&amp;n=0&amp;q=</v>
      </c>
      <c r="J418" s="45"/>
      <c r="K418" s="45"/>
      <c r="L418" s="45"/>
      <c r="M418" t="s">
        <v>359</v>
      </c>
      <c r="N418">
        <v>277452</v>
      </c>
      <c r="O418" t="str">
        <f t="shared" si="12"/>
        <v>https://permalinkbnd.bnportugal.gov.pt/viewer/277452/?offset=#page=473&amp;viewer=picture&amp;o=info&amp;n=0&amp;q=</v>
      </c>
      <c r="P418">
        <v>860111</v>
      </c>
      <c r="Q418" t="s">
        <v>359</v>
      </c>
      <c r="R418" t="s">
        <v>2669</v>
      </c>
      <c r="S418" t="s">
        <v>1178</v>
      </c>
      <c r="T418" t="s">
        <v>2603</v>
      </c>
      <c r="U418" t="s">
        <v>599</v>
      </c>
      <c r="V418" t="s">
        <v>2670</v>
      </c>
      <c r="W418" t="s">
        <v>2671</v>
      </c>
      <c r="X418" t="s">
        <v>599</v>
      </c>
      <c r="Y418" t="s">
        <v>1182</v>
      </c>
      <c r="Z418" t="s">
        <v>2672</v>
      </c>
      <c r="AA418">
        <v>1898</v>
      </c>
      <c r="AB418">
        <v>1898</v>
      </c>
      <c r="AC418" t="s">
        <v>2673</v>
      </c>
      <c r="AD418" t="s">
        <v>599</v>
      </c>
      <c r="AE418" t="s">
        <v>599</v>
      </c>
      <c r="AF418" t="s">
        <v>599</v>
      </c>
      <c r="AG418" t="s">
        <v>2674</v>
      </c>
      <c r="AH418" t="s">
        <v>599</v>
      </c>
      <c r="AI418" t="s">
        <v>599</v>
      </c>
      <c r="AJ418" t="s">
        <v>2675</v>
      </c>
      <c r="AK418" t="s">
        <v>1188</v>
      </c>
      <c r="AL418" t="s">
        <v>2676</v>
      </c>
      <c r="AM418" t="s">
        <v>1190</v>
      </c>
      <c r="AN418" t="s">
        <v>2677</v>
      </c>
      <c r="AO418" t="s">
        <v>599</v>
      </c>
      <c r="AP418" t="s">
        <v>599</v>
      </c>
      <c r="AQ418" t="s">
        <v>599</v>
      </c>
      <c r="AR418" t="s">
        <v>599</v>
      </c>
      <c r="AS418" t="s">
        <v>599</v>
      </c>
      <c r="AT418" t="s">
        <v>599</v>
      </c>
    </row>
    <row r="419" spans="1:46" s="13" customFormat="1" ht="30" x14ac:dyDescent="0.25">
      <c r="A419" s="9">
        <v>10895</v>
      </c>
      <c r="B419" s="10">
        <v>860111</v>
      </c>
      <c r="C419" s="10">
        <v>1</v>
      </c>
      <c r="D419" s="9">
        <v>493</v>
      </c>
      <c r="E419" s="11" t="s">
        <v>359</v>
      </c>
      <c r="F419" s="12" t="s">
        <v>360</v>
      </c>
      <c r="G419" s="9" t="s">
        <v>361</v>
      </c>
      <c r="H419" s="34"/>
      <c r="I419" s="55" t="str">
        <f t="shared" si="13"/>
        <v>https://permalinkbnd.bnportugal.gov.pt/viewer/277452/?offset=#page=493&amp;viewer=picture&amp;o=info&amp;n=0&amp;q=</v>
      </c>
      <c r="J419" s="45"/>
      <c r="K419" s="45"/>
      <c r="L419" s="45"/>
      <c r="M419" t="s">
        <v>359</v>
      </c>
      <c r="N419">
        <v>277452</v>
      </c>
      <c r="O419" t="str">
        <f t="shared" si="12"/>
        <v>https://permalinkbnd.bnportugal.gov.pt/viewer/277452/?offset=#page=493&amp;viewer=picture&amp;o=info&amp;n=0&amp;q=</v>
      </c>
      <c r="P419">
        <v>860111</v>
      </c>
      <c r="Q419" t="s">
        <v>359</v>
      </c>
      <c r="R419" t="s">
        <v>2669</v>
      </c>
      <c r="S419" t="s">
        <v>1178</v>
      </c>
      <c r="T419" t="s">
        <v>2603</v>
      </c>
      <c r="U419" t="s">
        <v>599</v>
      </c>
      <c r="V419" t="s">
        <v>2670</v>
      </c>
      <c r="W419" t="s">
        <v>2671</v>
      </c>
      <c r="X419" t="s">
        <v>599</v>
      </c>
      <c r="Y419" t="s">
        <v>1182</v>
      </c>
      <c r="Z419" t="s">
        <v>2672</v>
      </c>
      <c r="AA419">
        <v>1898</v>
      </c>
      <c r="AB419">
        <v>1898</v>
      </c>
      <c r="AC419" t="s">
        <v>2673</v>
      </c>
      <c r="AD419" t="s">
        <v>599</v>
      </c>
      <c r="AE419" t="s">
        <v>599</v>
      </c>
      <c r="AF419" t="s">
        <v>599</v>
      </c>
      <c r="AG419" t="s">
        <v>2674</v>
      </c>
      <c r="AH419" t="s">
        <v>599</v>
      </c>
      <c r="AI419" t="s">
        <v>599</v>
      </c>
      <c r="AJ419" t="s">
        <v>2675</v>
      </c>
      <c r="AK419" t="s">
        <v>1188</v>
      </c>
      <c r="AL419" t="s">
        <v>2676</v>
      </c>
      <c r="AM419" t="s">
        <v>1190</v>
      </c>
      <c r="AN419" t="s">
        <v>2677</v>
      </c>
      <c r="AO419" t="s">
        <v>599</v>
      </c>
      <c r="AP419" t="s">
        <v>599</v>
      </c>
      <c r="AQ419" t="s">
        <v>599</v>
      </c>
      <c r="AR419" t="s">
        <v>599</v>
      </c>
      <c r="AS419" t="s">
        <v>599</v>
      </c>
      <c r="AT419" t="s">
        <v>599</v>
      </c>
    </row>
    <row r="420" spans="1:46" s="13" customFormat="1" ht="30" x14ac:dyDescent="0.25">
      <c r="A420" s="9">
        <v>10901</v>
      </c>
      <c r="B420" s="10">
        <v>259979</v>
      </c>
      <c r="C420" s="10">
        <v>1</v>
      </c>
      <c r="D420" s="9">
        <v>10</v>
      </c>
      <c r="E420" s="11" t="s">
        <v>362</v>
      </c>
      <c r="F420" s="12">
        <v>10</v>
      </c>
      <c r="G420" s="9">
        <v>10</v>
      </c>
      <c r="H420" s="34"/>
      <c r="I420" s="55" t="str">
        <f t="shared" si="13"/>
        <v>https://permalinkbnd.bnportugal.gov.pt/viewer/277482/?offset=#page=10&amp;viewer=picture&amp;o=info&amp;n=0&amp;q=</v>
      </c>
      <c r="J420" s="45"/>
      <c r="K420" s="45"/>
      <c r="L420" s="45"/>
      <c r="M420" t="s">
        <v>362</v>
      </c>
      <c r="N420">
        <v>277482</v>
      </c>
      <c r="O420" t="str">
        <f t="shared" si="12"/>
        <v>https://permalinkbnd.bnportugal.gov.pt/viewer/277482/?offset=#page=10&amp;viewer=picture&amp;o=info&amp;n=0&amp;q=</v>
      </c>
      <c r="P420">
        <v>259979</v>
      </c>
      <c r="Q420" t="s">
        <v>362</v>
      </c>
      <c r="R420" t="s">
        <v>2678</v>
      </c>
      <c r="S420" t="s">
        <v>1178</v>
      </c>
      <c r="T420" t="s">
        <v>1502</v>
      </c>
      <c r="U420" t="s">
        <v>599</v>
      </c>
      <c r="V420" t="s">
        <v>2679</v>
      </c>
      <c r="W420" t="s">
        <v>599</v>
      </c>
      <c r="X420" t="s">
        <v>599</v>
      </c>
      <c r="Y420" t="s">
        <v>1182</v>
      </c>
      <c r="Z420" t="s">
        <v>2680</v>
      </c>
      <c r="AA420">
        <v>1810</v>
      </c>
      <c r="AB420">
        <v>1810</v>
      </c>
      <c r="AC420" t="s">
        <v>2681</v>
      </c>
      <c r="AD420" t="s">
        <v>1185</v>
      </c>
      <c r="AE420" t="s">
        <v>599</v>
      </c>
      <c r="AF420" t="s">
        <v>599</v>
      </c>
      <c r="AG420" t="s">
        <v>2682</v>
      </c>
      <c r="AH420" t="s">
        <v>599</v>
      </c>
      <c r="AI420" t="s">
        <v>599</v>
      </c>
      <c r="AJ420" t="s">
        <v>2683</v>
      </c>
      <c r="AK420" t="s">
        <v>1188</v>
      </c>
      <c r="AL420" t="s">
        <v>2684</v>
      </c>
      <c r="AM420" t="s">
        <v>1190</v>
      </c>
      <c r="AN420" t="s">
        <v>2685</v>
      </c>
      <c r="AO420" t="s">
        <v>599</v>
      </c>
      <c r="AP420" t="s">
        <v>599</v>
      </c>
      <c r="AQ420" t="s">
        <v>599</v>
      </c>
      <c r="AR420" t="s">
        <v>599</v>
      </c>
      <c r="AS420" t="s">
        <v>599</v>
      </c>
      <c r="AT420" t="s">
        <v>599</v>
      </c>
    </row>
    <row r="421" spans="1:46" s="13" customFormat="1" ht="30" x14ac:dyDescent="0.25">
      <c r="A421" s="9">
        <v>10909</v>
      </c>
      <c r="B421" s="10">
        <v>865247</v>
      </c>
      <c r="C421" s="10">
        <v>1</v>
      </c>
      <c r="D421" s="9">
        <v>12</v>
      </c>
      <c r="E421" s="11" t="s">
        <v>363</v>
      </c>
      <c r="F421" s="12">
        <v>12</v>
      </c>
      <c r="G421" s="9">
        <v>12</v>
      </c>
      <c r="H421" s="34"/>
      <c r="I421" s="55" t="str">
        <f t="shared" si="13"/>
        <v>https://permalinkbnd.bnportugal.gov.pt/viewer/277488/?offset=#page=12&amp;viewer=picture&amp;o=info&amp;n=0&amp;q=</v>
      </c>
      <c r="J421" s="45"/>
      <c r="K421" s="45"/>
      <c r="L421" s="45"/>
      <c r="M421" t="s">
        <v>363</v>
      </c>
      <c r="N421">
        <v>277488</v>
      </c>
      <c r="O421" t="str">
        <f t="shared" si="12"/>
        <v>https://permalinkbnd.bnportugal.gov.pt/viewer/277488/?offset=#page=12&amp;viewer=picture&amp;o=info&amp;n=0&amp;q=</v>
      </c>
      <c r="P421">
        <v>865247</v>
      </c>
      <c r="Q421" t="s">
        <v>363</v>
      </c>
      <c r="R421" t="s">
        <v>2686</v>
      </c>
      <c r="S421" t="s">
        <v>1178</v>
      </c>
      <c r="T421" t="s">
        <v>1179</v>
      </c>
      <c r="U421" t="s">
        <v>599</v>
      </c>
      <c r="V421" t="s">
        <v>2687</v>
      </c>
      <c r="W421" t="s">
        <v>2688</v>
      </c>
      <c r="X421" t="s">
        <v>599</v>
      </c>
      <c r="Y421" t="s">
        <v>1182</v>
      </c>
      <c r="Z421" t="s">
        <v>2689</v>
      </c>
      <c r="AA421">
        <v>1899</v>
      </c>
      <c r="AB421">
        <v>1899</v>
      </c>
      <c r="AC421" t="s">
        <v>2690</v>
      </c>
      <c r="AD421" t="s">
        <v>2691</v>
      </c>
      <c r="AE421" t="s">
        <v>599</v>
      </c>
      <c r="AF421" t="s">
        <v>599</v>
      </c>
      <c r="AG421" t="s">
        <v>599</v>
      </c>
      <c r="AH421" t="s">
        <v>599</v>
      </c>
      <c r="AI421" t="s">
        <v>599</v>
      </c>
      <c r="AJ421" t="s">
        <v>2692</v>
      </c>
      <c r="AK421" t="s">
        <v>1188</v>
      </c>
      <c r="AL421" t="s">
        <v>2693</v>
      </c>
      <c r="AM421" t="s">
        <v>1190</v>
      </c>
      <c r="AN421" t="s">
        <v>599</v>
      </c>
      <c r="AO421" t="s">
        <v>599</v>
      </c>
      <c r="AP421" t="s">
        <v>599</v>
      </c>
      <c r="AQ421" t="s">
        <v>599</v>
      </c>
      <c r="AR421" t="s">
        <v>599</v>
      </c>
      <c r="AS421" t="s">
        <v>599</v>
      </c>
      <c r="AT421" t="s">
        <v>599</v>
      </c>
    </row>
    <row r="422" spans="1:46" s="13" customFormat="1" ht="30" x14ac:dyDescent="0.25">
      <c r="A422" s="9">
        <v>10919</v>
      </c>
      <c r="B422" s="10">
        <v>397837</v>
      </c>
      <c r="C422" s="10">
        <v>1</v>
      </c>
      <c r="D422" s="9">
        <v>9</v>
      </c>
      <c r="E422" s="11" t="s">
        <v>364</v>
      </c>
      <c r="F422" s="12" t="s">
        <v>365</v>
      </c>
      <c r="G422" s="9"/>
      <c r="H422" s="34"/>
      <c r="I422" s="55" t="str">
        <f t="shared" si="13"/>
        <v>https://permalinkbnd.bnportugal.gov.pt/viewer/272638/?offset=#page=9&amp;viewer=picture&amp;o=info&amp;n=0&amp;q=</v>
      </c>
      <c r="J422" s="45"/>
      <c r="K422" s="45"/>
      <c r="L422" s="45"/>
      <c r="M422" t="s">
        <v>364</v>
      </c>
      <c r="N422">
        <v>272638</v>
      </c>
      <c r="O422" t="str">
        <f t="shared" si="12"/>
        <v>https://permalinkbnd.bnportugal.gov.pt/viewer/272638/?offset=#page=9&amp;viewer=picture&amp;o=info&amp;n=0&amp;q=</v>
      </c>
      <c r="P422">
        <v>397837</v>
      </c>
      <c r="Q422" t="s">
        <v>364</v>
      </c>
      <c r="R422" t="s">
        <v>2694</v>
      </c>
      <c r="S422" t="s">
        <v>1178</v>
      </c>
      <c r="T422" t="s">
        <v>1192</v>
      </c>
      <c r="U422" t="s">
        <v>599</v>
      </c>
      <c r="V422" t="s">
        <v>1551</v>
      </c>
      <c r="W422" t="s">
        <v>2695</v>
      </c>
      <c r="X422" t="s">
        <v>599</v>
      </c>
      <c r="Y422" t="s">
        <v>1182</v>
      </c>
      <c r="Z422" t="s">
        <v>2696</v>
      </c>
      <c r="AA422">
        <v>1923</v>
      </c>
      <c r="AB422">
        <v>1923</v>
      </c>
      <c r="AC422" t="s">
        <v>2697</v>
      </c>
      <c r="AD422" t="s">
        <v>1185</v>
      </c>
      <c r="AE422" t="s">
        <v>599</v>
      </c>
      <c r="AF422" t="s">
        <v>599</v>
      </c>
      <c r="AG422" t="s">
        <v>2698</v>
      </c>
      <c r="AH422" t="s">
        <v>599</v>
      </c>
      <c r="AI422" t="s">
        <v>599</v>
      </c>
      <c r="AJ422" t="s">
        <v>2699</v>
      </c>
      <c r="AK422" t="s">
        <v>1188</v>
      </c>
      <c r="AL422" t="s">
        <v>2700</v>
      </c>
      <c r="AM422" t="s">
        <v>1190</v>
      </c>
      <c r="AN422" t="s">
        <v>599</v>
      </c>
      <c r="AO422" t="s">
        <v>599</v>
      </c>
      <c r="AP422" t="s">
        <v>599</v>
      </c>
      <c r="AQ422" t="s">
        <v>599</v>
      </c>
      <c r="AR422" t="s">
        <v>599</v>
      </c>
      <c r="AS422" t="s">
        <v>599</v>
      </c>
      <c r="AT422" t="s">
        <v>599</v>
      </c>
    </row>
    <row r="423" spans="1:46" s="13" customFormat="1" ht="30" x14ac:dyDescent="0.25">
      <c r="A423" s="9"/>
      <c r="B423" s="10">
        <v>397837</v>
      </c>
      <c r="C423" s="10">
        <v>1</v>
      </c>
      <c r="D423" s="9">
        <v>27</v>
      </c>
      <c r="E423" s="11" t="s">
        <v>364</v>
      </c>
      <c r="F423" s="12" t="s">
        <v>365</v>
      </c>
      <c r="G423" s="9"/>
      <c r="H423" s="34"/>
      <c r="I423" s="55" t="str">
        <f t="shared" si="13"/>
        <v>https://permalinkbnd.bnportugal.gov.pt/viewer/272638/?offset=#page=27&amp;viewer=picture&amp;o=info&amp;n=0&amp;q=</v>
      </c>
      <c r="J423" s="45"/>
      <c r="K423" s="45"/>
      <c r="L423" s="45"/>
      <c r="M423" t="s">
        <v>364</v>
      </c>
      <c r="N423">
        <v>272638</v>
      </c>
      <c r="O423" t="str">
        <f t="shared" si="12"/>
        <v>https://permalinkbnd.bnportugal.gov.pt/viewer/272638/?offset=#page=27&amp;viewer=picture&amp;o=info&amp;n=0&amp;q=</v>
      </c>
      <c r="P423">
        <v>397837</v>
      </c>
      <c r="Q423" t="s">
        <v>364</v>
      </c>
      <c r="R423" t="s">
        <v>2694</v>
      </c>
      <c r="S423" t="s">
        <v>1178</v>
      </c>
      <c r="T423" t="s">
        <v>1192</v>
      </c>
      <c r="U423" t="s">
        <v>599</v>
      </c>
      <c r="V423" t="s">
        <v>1551</v>
      </c>
      <c r="W423" t="s">
        <v>2695</v>
      </c>
      <c r="X423" t="s">
        <v>599</v>
      </c>
      <c r="Y423" t="s">
        <v>1182</v>
      </c>
      <c r="Z423" t="s">
        <v>2696</v>
      </c>
      <c r="AA423">
        <v>1923</v>
      </c>
      <c r="AB423">
        <v>1923</v>
      </c>
      <c r="AC423" t="s">
        <v>2697</v>
      </c>
      <c r="AD423" t="s">
        <v>1185</v>
      </c>
      <c r="AE423" t="s">
        <v>599</v>
      </c>
      <c r="AF423" t="s">
        <v>599</v>
      </c>
      <c r="AG423" t="s">
        <v>2698</v>
      </c>
      <c r="AH423" t="s">
        <v>599</v>
      </c>
      <c r="AI423" t="s">
        <v>599</v>
      </c>
      <c r="AJ423" t="s">
        <v>2699</v>
      </c>
      <c r="AK423" t="s">
        <v>1188</v>
      </c>
      <c r="AL423" t="s">
        <v>2700</v>
      </c>
      <c r="AM423" t="s">
        <v>1190</v>
      </c>
      <c r="AN423" t="s">
        <v>599</v>
      </c>
      <c r="AO423" t="s">
        <v>599</v>
      </c>
      <c r="AP423" t="s">
        <v>599</v>
      </c>
      <c r="AQ423" t="s">
        <v>599</v>
      </c>
      <c r="AR423" t="s">
        <v>599</v>
      </c>
      <c r="AS423" t="s">
        <v>599</v>
      </c>
      <c r="AT423" t="s">
        <v>599</v>
      </c>
    </row>
    <row r="424" spans="1:46" s="13" customFormat="1" ht="30" x14ac:dyDescent="0.25">
      <c r="A424" s="9"/>
      <c r="B424" s="10">
        <v>397837</v>
      </c>
      <c r="C424" s="10">
        <v>1</v>
      </c>
      <c r="D424" s="9">
        <v>404</v>
      </c>
      <c r="E424" s="11" t="s">
        <v>364</v>
      </c>
      <c r="F424" s="12" t="s">
        <v>365</v>
      </c>
      <c r="G424" s="9"/>
      <c r="H424" s="34"/>
      <c r="I424" s="55" t="str">
        <f t="shared" si="13"/>
        <v>https://permalinkbnd.bnportugal.gov.pt/viewer/272638/?offset=#page=404&amp;viewer=picture&amp;o=info&amp;n=0&amp;q=</v>
      </c>
      <c r="J424" s="45"/>
      <c r="K424" s="45"/>
      <c r="L424" s="45"/>
      <c r="M424" t="s">
        <v>364</v>
      </c>
      <c r="N424">
        <v>272638</v>
      </c>
      <c r="O424" t="str">
        <f t="shared" si="12"/>
        <v>https://permalinkbnd.bnportugal.gov.pt/viewer/272638/?offset=#page=404&amp;viewer=picture&amp;o=info&amp;n=0&amp;q=</v>
      </c>
      <c r="P424">
        <v>397837</v>
      </c>
      <c r="Q424" t="s">
        <v>364</v>
      </c>
      <c r="R424" t="s">
        <v>2694</v>
      </c>
      <c r="S424" t="s">
        <v>1178</v>
      </c>
      <c r="T424" t="s">
        <v>1192</v>
      </c>
      <c r="U424" t="s">
        <v>599</v>
      </c>
      <c r="V424" t="s">
        <v>1551</v>
      </c>
      <c r="W424" t="s">
        <v>2695</v>
      </c>
      <c r="X424" t="s">
        <v>599</v>
      </c>
      <c r="Y424" t="s">
        <v>1182</v>
      </c>
      <c r="Z424" t="s">
        <v>2696</v>
      </c>
      <c r="AA424">
        <v>1923</v>
      </c>
      <c r="AB424">
        <v>1923</v>
      </c>
      <c r="AC424" t="s">
        <v>2697</v>
      </c>
      <c r="AD424" t="s">
        <v>1185</v>
      </c>
      <c r="AE424" t="s">
        <v>599</v>
      </c>
      <c r="AF424" t="s">
        <v>599</v>
      </c>
      <c r="AG424" t="s">
        <v>2698</v>
      </c>
      <c r="AH424" t="s">
        <v>599</v>
      </c>
      <c r="AI424" t="s">
        <v>599</v>
      </c>
      <c r="AJ424" t="s">
        <v>2699</v>
      </c>
      <c r="AK424" t="s">
        <v>1188</v>
      </c>
      <c r="AL424" t="s">
        <v>2700</v>
      </c>
      <c r="AM424" t="s">
        <v>1190</v>
      </c>
      <c r="AN424" t="s">
        <v>599</v>
      </c>
      <c r="AO424" t="s">
        <v>599</v>
      </c>
      <c r="AP424" t="s">
        <v>599</v>
      </c>
      <c r="AQ424" t="s">
        <v>599</v>
      </c>
      <c r="AR424" t="s">
        <v>599</v>
      </c>
      <c r="AS424" t="s">
        <v>599</v>
      </c>
      <c r="AT424" t="s">
        <v>599</v>
      </c>
    </row>
    <row r="425" spans="1:46" s="13" customFormat="1" ht="30" x14ac:dyDescent="0.25">
      <c r="A425" s="9">
        <v>10923</v>
      </c>
      <c r="B425" s="10">
        <v>277515</v>
      </c>
      <c r="C425" s="10">
        <v>1</v>
      </c>
      <c r="D425" s="9">
        <v>1</v>
      </c>
      <c r="E425" s="11" t="s">
        <v>366</v>
      </c>
      <c r="F425" s="12" t="s">
        <v>269</v>
      </c>
      <c r="G425" s="9"/>
      <c r="H425" s="34"/>
      <c r="I425" s="55" t="str">
        <f t="shared" si="13"/>
        <v>https://permalinkbnd.bnportugal.gov.pt/viewer/273872/?offset=#page=1&amp;viewer=picture&amp;o=info&amp;n=0&amp;q=</v>
      </c>
      <c r="J425" s="45"/>
      <c r="K425" s="45"/>
      <c r="L425" s="45"/>
      <c r="M425" t="s">
        <v>366</v>
      </c>
      <c r="N425">
        <v>273872</v>
      </c>
      <c r="O425" t="str">
        <f t="shared" si="12"/>
        <v>https://permalinkbnd.bnportugal.gov.pt/viewer/273872/?offset=#page=1&amp;viewer=picture&amp;o=info&amp;n=0&amp;q=</v>
      </c>
      <c r="P425">
        <v>277515</v>
      </c>
      <c r="Q425" t="s">
        <v>366</v>
      </c>
      <c r="R425" t="s">
        <v>2701</v>
      </c>
      <c r="S425" t="s">
        <v>1178</v>
      </c>
      <c r="T425" t="s">
        <v>1192</v>
      </c>
      <c r="U425" t="s">
        <v>599</v>
      </c>
      <c r="V425" t="s">
        <v>2702</v>
      </c>
      <c r="W425" t="s">
        <v>599</v>
      </c>
      <c r="X425" t="s">
        <v>599</v>
      </c>
      <c r="Y425" t="s">
        <v>2703</v>
      </c>
      <c r="Z425" t="s">
        <v>2704</v>
      </c>
      <c r="AA425">
        <v>1875</v>
      </c>
      <c r="AB425">
        <v>1875</v>
      </c>
      <c r="AC425" t="s">
        <v>2705</v>
      </c>
      <c r="AD425" t="s">
        <v>1185</v>
      </c>
      <c r="AE425" t="s">
        <v>599</v>
      </c>
      <c r="AF425" t="s">
        <v>599</v>
      </c>
      <c r="AG425" t="s">
        <v>2706</v>
      </c>
      <c r="AH425" t="s">
        <v>599</v>
      </c>
      <c r="AI425" t="s">
        <v>599</v>
      </c>
      <c r="AJ425" t="s">
        <v>2707</v>
      </c>
      <c r="AK425" t="s">
        <v>1188</v>
      </c>
      <c r="AL425" t="s">
        <v>2708</v>
      </c>
      <c r="AM425" t="s">
        <v>1190</v>
      </c>
      <c r="AN425" t="s">
        <v>2709</v>
      </c>
      <c r="AO425" t="s">
        <v>599</v>
      </c>
      <c r="AP425" t="s">
        <v>599</v>
      </c>
      <c r="AQ425" t="s">
        <v>599</v>
      </c>
      <c r="AR425" t="s">
        <v>599</v>
      </c>
      <c r="AS425" t="s">
        <v>599</v>
      </c>
      <c r="AT425" t="s">
        <v>599</v>
      </c>
    </row>
    <row r="426" spans="1:46" s="13" customFormat="1" ht="30" x14ac:dyDescent="0.25">
      <c r="A426" s="9">
        <v>10926</v>
      </c>
      <c r="B426" s="10">
        <v>865420</v>
      </c>
      <c r="C426" s="10">
        <v>1</v>
      </c>
      <c r="D426" s="9">
        <v>8</v>
      </c>
      <c r="E426" s="11" t="s">
        <v>367</v>
      </c>
      <c r="F426" s="12" t="s">
        <v>368</v>
      </c>
      <c r="G426" s="9">
        <v>8</v>
      </c>
      <c r="H426" s="34"/>
      <c r="I426" s="55" t="str">
        <f t="shared" si="13"/>
        <v>https://permalinkbnd.bnportugal.gov.pt/viewer/277739/?offset=#page=8&amp;viewer=picture&amp;o=info&amp;n=0&amp;q=</v>
      </c>
      <c r="J426" s="45"/>
      <c r="K426" s="45"/>
      <c r="L426" s="45"/>
      <c r="M426" t="s">
        <v>367</v>
      </c>
      <c r="N426">
        <v>277739</v>
      </c>
      <c r="O426" t="str">
        <f t="shared" si="12"/>
        <v>https://permalinkbnd.bnportugal.gov.pt/viewer/277739/?offset=#page=8&amp;viewer=picture&amp;o=info&amp;n=0&amp;q=</v>
      </c>
      <c r="P426">
        <v>865420</v>
      </c>
      <c r="Q426" t="s">
        <v>367</v>
      </c>
      <c r="R426" t="s">
        <v>2710</v>
      </c>
      <c r="S426" t="s">
        <v>1178</v>
      </c>
      <c r="T426" t="s">
        <v>1192</v>
      </c>
      <c r="U426" t="s">
        <v>599</v>
      </c>
      <c r="V426" t="s">
        <v>1551</v>
      </c>
      <c r="W426" t="s">
        <v>1778</v>
      </c>
      <c r="X426" t="s">
        <v>599</v>
      </c>
      <c r="Y426" t="s">
        <v>1182</v>
      </c>
      <c r="Z426" t="s">
        <v>1836</v>
      </c>
      <c r="AA426">
        <v>1846</v>
      </c>
      <c r="AB426">
        <v>1846</v>
      </c>
      <c r="AC426" t="s">
        <v>599</v>
      </c>
      <c r="AD426" t="s">
        <v>1185</v>
      </c>
      <c r="AE426" t="s">
        <v>599</v>
      </c>
      <c r="AF426" t="s">
        <v>599</v>
      </c>
      <c r="AG426" t="s">
        <v>2711</v>
      </c>
      <c r="AH426" t="s">
        <v>599</v>
      </c>
      <c r="AI426" t="s">
        <v>599</v>
      </c>
      <c r="AJ426" t="s">
        <v>2712</v>
      </c>
      <c r="AK426" t="s">
        <v>1188</v>
      </c>
      <c r="AL426" t="s">
        <v>2713</v>
      </c>
      <c r="AM426" t="s">
        <v>1190</v>
      </c>
      <c r="AN426" t="s">
        <v>599</v>
      </c>
      <c r="AO426" t="s">
        <v>599</v>
      </c>
      <c r="AP426" t="s">
        <v>599</v>
      </c>
      <c r="AQ426" t="s">
        <v>599</v>
      </c>
      <c r="AR426" t="s">
        <v>599</v>
      </c>
      <c r="AS426" t="s">
        <v>599</v>
      </c>
      <c r="AT426" t="s">
        <v>599</v>
      </c>
    </row>
    <row r="427" spans="1:46" s="13" customFormat="1" ht="30" x14ac:dyDescent="0.25">
      <c r="A427" s="9">
        <v>10930</v>
      </c>
      <c r="B427" s="10">
        <v>321756</v>
      </c>
      <c r="C427" s="10">
        <v>1</v>
      </c>
      <c r="D427" s="9">
        <v>12</v>
      </c>
      <c r="E427" s="11" t="s">
        <v>369</v>
      </c>
      <c r="F427" s="12">
        <v>12</v>
      </c>
      <c r="G427" s="9">
        <v>12</v>
      </c>
      <c r="H427" s="34"/>
      <c r="I427" s="55" t="str">
        <f t="shared" si="13"/>
        <v>https://permalinkbnd.bnportugal.gov.pt/viewer/273879/?offset=#page=12&amp;viewer=picture&amp;o=info&amp;n=0&amp;q=</v>
      </c>
      <c r="J427" s="45"/>
      <c r="K427" s="45"/>
      <c r="L427" s="45"/>
      <c r="M427" t="s">
        <v>369</v>
      </c>
      <c r="N427">
        <v>273879</v>
      </c>
      <c r="O427" t="str">
        <f t="shared" si="12"/>
        <v>https://permalinkbnd.bnportugal.gov.pt/viewer/273879/?offset=#page=12&amp;viewer=picture&amp;o=info&amp;n=0&amp;q=</v>
      </c>
      <c r="P427">
        <v>321756</v>
      </c>
      <c r="Q427" t="s">
        <v>369</v>
      </c>
      <c r="R427" t="s">
        <v>2714</v>
      </c>
      <c r="S427" t="s">
        <v>1178</v>
      </c>
      <c r="T427" t="s">
        <v>1192</v>
      </c>
      <c r="U427" t="s">
        <v>599</v>
      </c>
      <c r="V427" t="s">
        <v>2715</v>
      </c>
      <c r="W427" t="s">
        <v>2716</v>
      </c>
      <c r="X427" t="s">
        <v>599</v>
      </c>
      <c r="Y427" t="s">
        <v>1182</v>
      </c>
      <c r="Z427" t="s">
        <v>2717</v>
      </c>
      <c r="AA427">
        <v>1892</v>
      </c>
      <c r="AB427">
        <v>1892</v>
      </c>
      <c r="AC427" t="s">
        <v>2718</v>
      </c>
      <c r="AD427" t="s">
        <v>599</v>
      </c>
      <c r="AE427" t="s">
        <v>599</v>
      </c>
      <c r="AF427" t="s">
        <v>599</v>
      </c>
      <c r="AG427" t="s">
        <v>2719</v>
      </c>
      <c r="AH427" t="s">
        <v>599</v>
      </c>
      <c r="AI427" t="s">
        <v>599</v>
      </c>
      <c r="AJ427" t="s">
        <v>2720</v>
      </c>
      <c r="AK427" t="s">
        <v>1188</v>
      </c>
      <c r="AL427" t="s">
        <v>2721</v>
      </c>
      <c r="AM427" t="s">
        <v>1190</v>
      </c>
      <c r="AN427" t="s">
        <v>599</v>
      </c>
      <c r="AO427" t="s">
        <v>599</v>
      </c>
      <c r="AP427" t="s">
        <v>599</v>
      </c>
      <c r="AQ427" t="s">
        <v>599</v>
      </c>
      <c r="AR427" t="s">
        <v>599</v>
      </c>
      <c r="AS427" t="s">
        <v>599</v>
      </c>
      <c r="AT427" t="s">
        <v>599</v>
      </c>
    </row>
    <row r="428" spans="1:46" s="13" customFormat="1" ht="30" x14ac:dyDescent="0.25">
      <c r="A428" s="9">
        <v>10934</v>
      </c>
      <c r="B428" s="10">
        <v>321919</v>
      </c>
      <c r="C428" s="10">
        <v>1</v>
      </c>
      <c r="D428" s="9">
        <v>31</v>
      </c>
      <c r="E428" s="11" t="s">
        <v>370</v>
      </c>
      <c r="F428" s="12" t="s">
        <v>371</v>
      </c>
      <c r="G428" s="9"/>
      <c r="H428" s="34"/>
      <c r="I428" s="55" t="str">
        <f t="shared" si="13"/>
        <v>https://permalinkbnd.bnportugal.gov.pt/viewer/273869/?offset=#page=31&amp;viewer=picture&amp;o=info&amp;n=0&amp;q=</v>
      </c>
      <c r="J428" s="45"/>
      <c r="K428" s="45"/>
      <c r="L428" s="45"/>
      <c r="M428" t="s">
        <v>370</v>
      </c>
      <c r="N428">
        <v>273869</v>
      </c>
      <c r="O428" t="str">
        <f t="shared" si="12"/>
        <v>https://permalinkbnd.bnportugal.gov.pt/viewer/273869/?offset=#page=31&amp;viewer=picture&amp;o=info&amp;n=0&amp;q=</v>
      </c>
      <c r="P428">
        <v>321919</v>
      </c>
      <c r="Q428" t="s">
        <v>370</v>
      </c>
      <c r="R428" t="s">
        <v>2722</v>
      </c>
      <c r="S428" t="s">
        <v>1178</v>
      </c>
      <c r="T428" t="s">
        <v>1209</v>
      </c>
      <c r="U428" t="s">
        <v>599</v>
      </c>
      <c r="V428" t="s">
        <v>2723</v>
      </c>
      <c r="W428" t="s">
        <v>599</v>
      </c>
      <c r="X428" t="s">
        <v>599</v>
      </c>
      <c r="Y428" t="s">
        <v>1182</v>
      </c>
      <c r="Z428" t="s">
        <v>2724</v>
      </c>
      <c r="AA428">
        <v>1895</v>
      </c>
      <c r="AB428">
        <v>1895</v>
      </c>
      <c r="AC428" t="s">
        <v>2725</v>
      </c>
      <c r="AD428" t="s">
        <v>2726</v>
      </c>
      <c r="AE428" t="s">
        <v>599</v>
      </c>
      <c r="AF428" t="s">
        <v>599</v>
      </c>
      <c r="AG428" t="s">
        <v>2727</v>
      </c>
      <c r="AH428" t="s">
        <v>599</v>
      </c>
      <c r="AI428" t="s">
        <v>599</v>
      </c>
      <c r="AJ428" t="s">
        <v>2728</v>
      </c>
      <c r="AK428" t="s">
        <v>1188</v>
      </c>
      <c r="AL428" t="s">
        <v>2729</v>
      </c>
      <c r="AM428" t="s">
        <v>1190</v>
      </c>
      <c r="AN428" t="s">
        <v>2730</v>
      </c>
      <c r="AO428" t="s">
        <v>599</v>
      </c>
      <c r="AP428" t="s">
        <v>2731</v>
      </c>
      <c r="AQ428" t="s">
        <v>599</v>
      </c>
      <c r="AR428" t="s">
        <v>599</v>
      </c>
      <c r="AS428" t="s">
        <v>599</v>
      </c>
      <c r="AT428" t="s">
        <v>599</v>
      </c>
    </row>
    <row r="429" spans="1:46" s="13" customFormat="1" ht="30" x14ac:dyDescent="0.25">
      <c r="A429" s="9"/>
      <c r="B429" s="10">
        <v>321919</v>
      </c>
      <c r="C429" s="10">
        <v>1</v>
      </c>
      <c r="D429" s="9">
        <v>35</v>
      </c>
      <c r="E429" s="11" t="s">
        <v>370</v>
      </c>
      <c r="F429" s="12" t="s">
        <v>371</v>
      </c>
      <c r="G429" s="9"/>
      <c r="H429" s="34"/>
      <c r="I429" s="55" t="str">
        <f t="shared" si="13"/>
        <v>https://permalinkbnd.bnportugal.gov.pt/viewer/273869/?offset=#page=35&amp;viewer=picture&amp;o=info&amp;n=0&amp;q=</v>
      </c>
      <c r="J429" s="45"/>
      <c r="K429" s="45"/>
      <c r="L429" s="45"/>
      <c r="M429" t="s">
        <v>370</v>
      </c>
      <c r="N429">
        <v>273869</v>
      </c>
      <c r="O429" t="str">
        <f t="shared" si="12"/>
        <v>https://permalinkbnd.bnportugal.gov.pt/viewer/273869/?offset=#page=35&amp;viewer=picture&amp;o=info&amp;n=0&amp;q=</v>
      </c>
      <c r="P429">
        <v>321919</v>
      </c>
      <c r="Q429" t="s">
        <v>370</v>
      </c>
      <c r="R429" t="s">
        <v>2722</v>
      </c>
      <c r="S429" t="s">
        <v>1178</v>
      </c>
      <c r="T429" t="s">
        <v>1209</v>
      </c>
      <c r="U429" t="s">
        <v>599</v>
      </c>
      <c r="V429" t="s">
        <v>2723</v>
      </c>
      <c r="W429" t="s">
        <v>599</v>
      </c>
      <c r="X429" t="s">
        <v>599</v>
      </c>
      <c r="Y429" t="s">
        <v>1182</v>
      </c>
      <c r="Z429" t="s">
        <v>2724</v>
      </c>
      <c r="AA429">
        <v>1895</v>
      </c>
      <c r="AB429">
        <v>1895</v>
      </c>
      <c r="AC429" t="s">
        <v>2725</v>
      </c>
      <c r="AD429" t="s">
        <v>2726</v>
      </c>
      <c r="AE429" t="s">
        <v>599</v>
      </c>
      <c r="AF429" t="s">
        <v>599</v>
      </c>
      <c r="AG429" t="s">
        <v>2727</v>
      </c>
      <c r="AH429" t="s">
        <v>599</v>
      </c>
      <c r="AI429" t="s">
        <v>599</v>
      </c>
      <c r="AJ429" t="s">
        <v>2728</v>
      </c>
      <c r="AK429" t="s">
        <v>1188</v>
      </c>
      <c r="AL429" t="s">
        <v>2729</v>
      </c>
      <c r="AM429" t="s">
        <v>1190</v>
      </c>
      <c r="AN429" t="s">
        <v>2730</v>
      </c>
      <c r="AO429" t="s">
        <v>599</v>
      </c>
      <c r="AP429" t="s">
        <v>2731</v>
      </c>
      <c r="AQ429" t="s">
        <v>599</v>
      </c>
      <c r="AR429" t="s">
        <v>599</v>
      </c>
      <c r="AS429" t="s">
        <v>599</v>
      </c>
      <c r="AT429" t="s">
        <v>599</v>
      </c>
    </row>
    <row r="430" spans="1:46" s="13" customFormat="1" ht="30" x14ac:dyDescent="0.25">
      <c r="A430" s="9"/>
      <c r="B430" s="10">
        <v>321919</v>
      </c>
      <c r="C430" s="10">
        <v>1</v>
      </c>
      <c r="D430" s="9">
        <v>39</v>
      </c>
      <c r="E430" s="11" t="s">
        <v>370</v>
      </c>
      <c r="F430" s="12" t="s">
        <v>371</v>
      </c>
      <c r="G430" s="9"/>
      <c r="H430" s="34"/>
      <c r="I430" s="55" t="str">
        <f t="shared" si="13"/>
        <v>https://permalinkbnd.bnportugal.gov.pt/viewer/273869/?offset=#page=39&amp;viewer=picture&amp;o=info&amp;n=0&amp;q=</v>
      </c>
      <c r="J430" s="45"/>
      <c r="K430" s="45"/>
      <c r="L430" s="45"/>
      <c r="M430" t="s">
        <v>370</v>
      </c>
      <c r="N430">
        <v>273869</v>
      </c>
      <c r="O430" t="str">
        <f t="shared" si="12"/>
        <v>https://permalinkbnd.bnportugal.gov.pt/viewer/273869/?offset=#page=39&amp;viewer=picture&amp;o=info&amp;n=0&amp;q=</v>
      </c>
      <c r="P430">
        <v>321919</v>
      </c>
      <c r="Q430" t="s">
        <v>370</v>
      </c>
      <c r="R430" t="s">
        <v>2722</v>
      </c>
      <c r="S430" t="s">
        <v>1178</v>
      </c>
      <c r="T430" t="s">
        <v>1209</v>
      </c>
      <c r="U430" t="s">
        <v>599</v>
      </c>
      <c r="V430" t="s">
        <v>2723</v>
      </c>
      <c r="W430" t="s">
        <v>599</v>
      </c>
      <c r="X430" t="s">
        <v>599</v>
      </c>
      <c r="Y430" t="s">
        <v>1182</v>
      </c>
      <c r="Z430" t="s">
        <v>2724</v>
      </c>
      <c r="AA430">
        <v>1895</v>
      </c>
      <c r="AB430">
        <v>1895</v>
      </c>
      <c r="AC430" t="s">
        <v>2725</v>
      </c>
      <c r="AD430" t="s">
        <v>2726</v>
      </c>
      <c r="AE430" t="s">
        <v>599</v>
      </c>
      <c r="AF430" t="s">
        <v>599</v>
      </c>
      <c r="AG430" t="s">
        <v>2727</v>
      </c>
      <c r="AH430" t="s">
        <v>599</v>
      </c>
      <c r="AI430" t="s">
        <v>599</v>
      </c>
      <c r="AJ430" t="s">
        <v>2728</v>
      </c>
      <c r="AK430" t="s">
        <v>1188</v>
      </c>
      <c r="AL430" t="s">
        <v>2729</v>
      </c>
      <c r="AM430" t="s">
        <v>1190</v>
      </c>
      <c r="AN430" t="s">
        <v>2730</v>
      </c>
      <c r="AO430" t="s">
        <v>599</v>
      </c>
      <c r="AP430" t="s">
        <v>2731</v>
      </c>
      <c r="AQ430" t="s">
        <v>599</v>
      </c>
      <c r="AR430" t="s">
        <v>599</v>
      </c>
      <c r="AS430" t="s">
        <v>599</v>
      </c>
      <c r="AT430" t="s">
        <v>599</v>
      </c>
    </row>
    <row r="431" spans="1:46" s="13" customFormat="1" ht="30" x14ac:dyDescent="0.25">
      <c r="A431" s="9"/>
      <c r="B431" s="10">
        <v>321919</v>
      </c>
      <c r="C431" s="10">
        <v>1</v>
      </c>
      <c r="D431" s="9">
        <v>40</v>
      </c>
      <c r="E431" s="11" t="s">
        <v>370</v>
      </c>
      <c r="F431" s="12" t="s">
        <v>371</v>
      </c>
      <c r="G431" s="9"/>
      <c r="H431" s="34"/>
      <c r="I431" s="55" t="str">
        <f t="shared" si="13"/>
        <v>https://permalinkbnd.bnportugal.gov.pt/viewer/273869/?offset=#page=40&amp;viewer=picture&amp;o=info&amp;n=0&amp;q=</v>
      </c>
      <c r="J431" s="45"/>
      <c r="K431" s="45"/>
      <c r="L431" s="45"/>
      <c r="M431" t="s">
        <v>370</v>
      </c>
      <c r="N431">
        <v>273869</v>
      </c>
      <c r="O431" t="str">
        <f t="shared" si="12"/>
        <v>https://permalinkbnd.bnportugal.gov.pt/viewer/273869/?offset=#page=40&amp;viewer=picture&amp;o=info&amp;n=0&amp;q=</v>
      </c>
      <c r="P431">
        <v>321919</v>
      </c>
      <c r="Q431" t="s">
        <v>370</v>
      </c>
      <c r="R431" t="s">
        <v>2722</v>
      </c>
      <c r="S431" t="s">
        <v>1178</v>
      </c>
      <c r="T431" t="s">
        <v>1209</v>
      </c>
      <c r="U431" t="s">
        <v>599</v>
      </c>
      <c r="V431" t="s">
        <v>2723</v>
      </c>
      <c r="W431" t="s">
        <v>599</v>
      </c>
      <c r="X431" t="s">
        <v>599</v>
      </c>
      <c r="Y431" t="s">
        <v>1182</v>
      </c>
      <c r="Z431" t="s">
        <v>2724</v>
      </c>
      <c r="AA431">
        <v>1895</v>
      </c>
      <c r="AB431">
        <v>1895</v>
      </c>
      <c r="AC431" t="s">
        <v>2725</v>
      </c>
      <c r="AD431" t="s">
        <v>2726</v>
      </c>
      <c r="AE431" t="s">
        <v>599</v>
      </c>
      <c r="AF431" t="s">
        <v>599</v>
      </c>
      <c r="AG431" t="s">
        <v>2727</v>
      </c>
      <c r="AH431" t="s">
        <v>599</v>
      </c>
      <c r="AI431" t="s">
        <v>599</v>
      </c>
      <c r="AJ431" t="s">
        <v>2728</v>
      </c>
      <c r="AK431" t="s">
        <v>1188</v>
      </c>
      <c r="AL431" t="s">
        <v>2729</v>
      </c>
      <c r="AM431" t="s">
        <v>1190</v>
      </c>
      <c r="AN431" t="s">
        <v>2730</v>
      </c>
      <c r="AO431" t="s">
        <v>599</v>
      </c>
      <c r="AP431" t="s">
        <v>2731</v>
      </c>
      <c r="AQ431" t="s">
        <v>599</v>
      </c>
      <c r="AR431" t="s">
        <v>599</v>
      </c>
      <c r="AS431" t="s">
        <v>599</v>
      </c>
      <c r="AT431" t="s">
        <v>599</v>
      </c>
    </row>
    <row r="432" spans="1:46" s="13" customFormat="1" ht="30" x14ac:dyDescent="0.25">
      <c r="A432" s="9"/>
      <c r="B432" s="10">
        <v>321919</v>
      </c>
      <c r="C432" s="10">
        <v>1</v>
      </c>
      <c r="D432" s="9">
        <v>41</v>
      </c>
      <c r="E432" s="11" t="s">
        <v>370</v>
      </c>
      <c r="F432" s="12" t="s">
        <v>371</v>
      </c>
      <c r="G432" s="9"/>
      <c r="H432" s="34"/>
      <c r="I432" s="55" t="str">
        <f t="shared" si="13"/>
        <v>https://permalinkbnd.bnportugal.gov.pt/viewer/273869/?offset=#page=41&amp;viewer=picture&amp;o=info&amp;n=0&amp;q=</v>
      </c>
      <c r="J432" s="45"/>
      <c r="K432" s="45"/>
      <c r="L432" s="45"/>
      <c r="M432" t="s">
        <v>370</v>
      </c>
      <c r="N432">
        <v>273869</v>
      </c>
      <c r="O432" t="str">
        <f t="shared" si="12"/>
        <v>https://permalinkbnd.bnportugal.gov.pt/viewer/273869/?offset=#page=41&amp;viewer=picture&amp;o=info&amp;n=0&amp;q=</v>
      </c>
      <c r="P432">
        <v>321919</v>
      </c>
      <c r="Q432" t="s">
        <v>370</v>
      </c>
      <c r="R432" t="s">
        <v>2722</v>
      </c>
      <c r="S432" t="s">
        <v>1178</v>
      </c>
      <c r="T432" t="s">
        <v>1209</v>
      </c>
      <c r="U432" t="s">
        <v>599</v>
      </c>
      <c r="V432" t="s">
        <v>2723</v>
      </c>
      <c r="W432" t="s">
        <v>599</v>
      </c>
      <c r="X432" t="s">
        <v>599</v>
      </c>
      <c r="Y432" t="s">
        <v>1182</v>
      </c>
      <c r="Z432" t="s">
        <v>2724</v>
      </c>
      <c r="AA432">
        <v>1895</v>
      </c>
      <c r="AB432">
        <v>1895</v>
      </c>
      <c r="AC432" t="s">
        <v>2725</v>
      </c>
      <c r="AD432" t="s">
        <v>2726</v>
      </c>
      <c r="AE432" t="s">
        <v>599</v>
      </c>
      <c r="AF432" t="s">
        <v>599</v>
      </c>
      <c r="AG432" t="s">
        <v>2727</v>
      </c>
      <c r="AH432" t="s">
        <v>599</v>
      </c>
      <c r="AI432" t="s">
        <v>599</v>
      </c>
      <c r="AJ432" t="s">
        <v>2728</v>
      </c>
      <c r="AK432" t="s">
        <v>1188</v>
      </c>
      <c r="AL432" t="s">
        <v>2729</v>
      </c>
      <c r="AM432" t="s">
        <v>1190</v>
      </c>
      <c r="AN432" t="s">
        <v>2730</v>
      </c>
      <c r="AO432" t="s">
        <v>599</v>
      </c>
      <c r="AP432" t="s">
        <v>2731</v>
      </c>
      <c r="AQ432" t="s">
        <v>599</v>
      </c>
      <c r="AR432" t="s">
        <v>599</v>
      </c>
      <c r="AS432" t="s">
        <v>599</v>
      </c>
      <c r="AT432" t="s">
        <v>599</v>
      </c>
    </row>
    <row r="433" spans="1:46" s="13" customFormat="1" ht="30" x14ac:dyDescent="0.25">
      <c r="A433" s="9"/>
      <c r="B433" s="10">
        <v>321919</v>
      </c>
      <c r="C433" s="10">
        <v>1</v>
      </c>
      <c r="D433" s="9">
        <v>52</v>
      </c>
      <c r="E433" s="11" t="s">
        <v>370</v>
      </c>
      <c r="F433" s="12" t="s">
        <v>371</v>
      </c>
      <c r="G433" s="9"/>
      <c r="H433" s="34"/>
      <c r="I433" s="55" t="str">
        <f t="shared" si="13"/>
        <v>https://permalinkbnd.bnportugal.gov.pt/viewer/273869/?offset=#page=52&amp;viewer=picture&amp;o=info&amp;n=0&amp;q=</v>
      </c>
      <c r="J433" s="45"/>
      <c r="K433" s="45"/>
      <c r="L433" s="45"/>
      <c r="M433" t="s">
        <v>370</v>
      </c>
      <c r="N433">
        <v>273869</v>
      </c>
      <c r="O433" t="str">
        <f t="shared" si="12"/>
        <v>https://permalinkbnd.bnportugal.gov.pt/viewer/273869/?offset=#page=52&amp;viewer=picture&amp;o=info&amp;n=0&amp;q=</v>
      </c>
      <c r="P433">
        <v>321919</v>
      </c>
      <c r="Q433" t="s">
        <v>370</v>
      </c>
      <c r="R433" t="s">
        <v>2722</v>
      </c>
      <c r="S433" t="s">
        <v>1178</v>
      </c>
      <c r="T433" t="s">
        <v>1209</v>
      </c>
      <c r="U433" t="s">
        <v>599</v>
      </c>
      <c r="V433" t="s">
        <v>2723</v>
      </c>
      <c r="W433" t="s">
        <v>599</v>
      </c>
      <c r="X433" t="s">
        <v>599</v>
      </c>
      <c r="Y433" t="s">
        <v>1182</v>
      </c>
      <c r="Z433" t="s">
        <v>2724</v>
      </c>
      <c r="AA433">
        <v>1895</v>
      </c>
      <c r="AB433">
        <v>1895</v>
      </c>
      <c r="AC433" t="s">
        <v>2725</v>
      </c>
      <c r="AD433" t="s">
        <v>2726</v>
      </c>
      <c r="AE433" t="s">
        <v>599</v>
      </c>
      <c r="AF433" t="s">
        <v>599</v>
      </c>
      <c r="AG433" t="s">
        <v>2727</v>
      </c>
      <c r="AH433" t="s">
        <v>599</v>
      </c>
      <c r="AI433" t="s">
        <v>599</v>
      </c>
      <c r="AJ433" t="s">
        <v>2728</v>
      </c>
      <c r="AK433" t="s">
        <v>1188</v>
      </c>
      <c r="AL433" t="s">
        <v>2729</v>
      </c>
      <c r="AM433" t="s">
        <v>1190</v>
      </c>
      <c r="AN433" t="s">
        <v>2730</v>
      </c>
      <c r="AO433" t="s">
        <v>599</v>
      </c>
      <c r="AP433" t="s">
        <v>2731</v>
      </c>
      <c r="AQ433" t="s">
        <v>599</v>
      </c>
      <c r="AR433" t="s">
        <v>599</v>
      </c>
      <c r="AS433" t="s">
        <v>599</v>
      </c>
      <c r="AT433" t="s">
        <v>599</v>
      </c>
    </row>
    <row r="434" spans="1:46" s="13" customFormat="1" ht="30" x14ac:dyDescent="0.25">
      <c r="A434" s="9"/>
      <c r="B434" s="10">
        <v>321919</v>
      </c>
      <c r="C434" s="10">
        <v>1</v>
      </c>
      <c r="D434" s="9">
        <v>58</v>
      </c>
      <c r="E434" s="11" t="s">
        <v>370</v>
      </c>
      <c r="F434" s="12" t="s">
        <v>371</v>
      </c>
      <c r="G434" s="9"/>
      <c r="H434" s="34"/>
      <c r="I434" s="55" t="str">
        <f t="shared" si="13"/>
        <v>https://permalinkbnd.bnportugal.gov.pt/viewer/273869/?offset=#page=58&amp;viewer=picture&amp;o=info&amp;n=0&amp;q=</v>
      </c>
      <c r="J434" s="45"/>
      <c r="K434" s="45"/>
      <c r="L434" s="45"/>
      <c r="M434" t="s">
        <v>370</v>
      </c>
      <c r="N434">
        <v>273869</v>
      </c>
      <c r="O434" t="str">
        <f t="shared" si="12"/>
        <v>https://permalinkbnd.bnportugal.gov.pt/viewer/273869/?offset=#page=58&amp;viewer=picture&amp;o=info&amp;n=0&amp;q=</v>
      </c>
      <c r="P434">
        <v>321919</v>
      </c>
      <c r="Q434" t="s">
        <v>370</v>
      </c>
      <c r="R434" t="s">
        <v>2722</v>
      </c>
      <c r="S434" t="s">
        <v>1178</v>
      </c>
      <c r="T434" t="s">
        <v>1209</v>
      </c>
      <c r="U434" t="s">
        <v>599</v>
      </c>
      <c r="V434" t="s">
        <v>2723</v>
      </c>
      <c r="W434" t="s">
        <v>599</v>
      </c>
      <c r="X434" t="s">
        <v>599</v>
      </c>
      <c r="Y434" t="s">
        <v>1182</v>
      </c>
      <c r="Z434" t="s">
        <v>2724</v>
      </c>
      <c r="AA434">
        <v>1895</v>
      </c>
      <c r="AB434">
        <v>1895</v>
      </c>
      <c r="AC434" t="s">
        <v>2725</v>
      </c>
      <c r="AD434" t="s">
        <v>2726</v>
      </c>
      <c r="AE434" t="s">
        <v>599</v>
      </c>
      <c r="AF434" t="s">
        <v>599</v>
      </c>
      <c r="AG434" t="s">
        <v>2727</v>
      </c>
      <c r="AH434" t="s">
        <v>599</v>
      </c>
      <c r="AI434" t="s">
        <v>599</v>
      </c>
      <c r="AJ434" t="s">
        <v>2728</v>
      </c>
      <c r="AK434" t="s">
        <v>1188</v>
      </c>
      <c r="AL434" t="s">
        <v>2729</v>
      </c>
      <c r="AM434" t="s">
        <v>1190</v>
      </c>
      <c r="AN434" t="s">
        <v>2730</v>
      </c>
      <c r="AO434" t="s">
        <v>599</v>
      </c>
      <c r="AP434" t="s">
        <v>2731</v>
      </c>
      <c r="AQ434" t="s">
        <v>599</v>
      </c>
      <c r="AR434" t="s">
        <v>599</v>
      </c>
      <c r="AS434" t="s">
        <v>599</v>
      </c>
      <c r="AT434" t="s">
        <v>599</v>
      </c>
    </row>
    <row r="435" spans="1:46" s="13" customFormat="1" ht="30" x14ac:dyDescent="0.25">
      <c r="A435" s="9"/>
      <c r="B435" s="10">
        <v>321919</v>
      </c>
      <c r="C435" s="10">
        <v>1</v>
      </c>
      <c r="D435" s="9">
        <v>92</v>
      </c>
      <c r="E435" s="11" t="s">
        <v>370</v>
      </c>
      <c r="F435" s="12" t="s">
        <v>371</v>
      </c>
      <c r="G435" s="9"/>
      <c r="H435" s="34"/>
      <c r="I435" s="55" t="str">
        <f t="shared" si="13"/>
        <v>https://permalinkbnd.bnportugal.gov.pt/viewer/273869/?offset=#page=92&amp;viewer=picture&amp;o=info&amp;n=0&amp;q=</v>
      </c>
      <c r="J435" s="45"/>
      <c r="K435" s="45"/>
      <c r="L435" s="45"/>
      <c r="M435" t="s">
        <v>370</v>
      </c>
      <c r="N435">
        <v>273869</v>
      </c>
      <c r="O435" t="str">
        <f t="shared" si="12"/>
        <v>https://permalinkbnd.bnportugal.gov.pt/viewer/273869/?offset=#page=92&amp;viewer=picture&amp;o=info&amp;n=0&amp;q=</v>
      </c>
      <c r="P435">
        <v>321919</v>
      </c>
      <c r="Q435" t="s">
        <v>370</v>
      </c>
      <c r="R435" t="s">
        <v>2722</v>
      </c>
      <c r="S435" t="s">
        <v>1178</v>
      </c>
      <c r="T435" t="s">
        <v>1209</v>
      </c>
      <c r="U435" t="s">
        <v>599</v>
      </c>
      <c r="V435" t="s">
        <v>2723</v>
      </c>
      <c r="W435" t="s">
        <v>599</v>
      </c>
      <c r="X435" t="s">
        <v>599</v>
      </c>
      <c r="Y435" t="s">
        <v>1182</v>
      </c>
      <c r="Z435" t="s">
        <v>2724</v>
      </c>
      <c r="AA435">
        <v>1895</v>
      </c>
      <c r="AB435">
        <v>1895</v>
      </c>
      <c r="AC435" t="s">
        <v>2725</v>
      </c>
      <c r="AD435" t="s">
        <v>2726</v>
      </c>
      <c r="AE435" t="s">
        <v>599</v>
      </c>
      <c r="AF435" t="s">
        <v>599</v>
      </c>
      <c r="AG435" t="s">
        <v>2727</v>
      </c>
      <c r="AH435" t="s">
        <v>599</v>
      </c>
      <c r="AI435" t="s">
        <v>599</v>
      </c>
      <c r="AJ435" t="s">
        <v>2728</v>
      </c>
      <c r="AK435" t="s">
        <v>1188</v>
      </c>
      <c r="AL435" t="s">
        <v>2729</v>
      </c>
      <c r="AM435" t="s">
        <v>1190</v>
      </c>
      <c r="AN435" t="s">
        <v>2730</v>
      </c>
      <c r="AO435" t="s">
        <v>599</v>
      </c>
      <c r="AP435" t="s">
        <v>2731</v>
      </c>
      <c r="AQ435" t="s">
        <v>599</v>
      </c>
      <c r="AR435" t="s">
        <v>599</v>
      </c>
      <c r="AS435" t="s">
        <v>599</v>
      </c>
      <c r="AT435" t="s">
        <v>599</v>
      </c>
    </row>
    <row r="436" spans="1:46" s="13" customFormat="1" ht="30" x14ac:dyDescent="0.25">
      <c r="A436" s="9"/>
      <c r="B436" s="10">
        <v>321919</v>
      </c>
      <c r="C436" s="10">
        <v>1</v>
      </c>
      <c r="D436" s="9">
        <v>115</v>
      </c>
      <c r="E436" s="11" t="s">
        <v>370</v>
      </c>
      <c r="F436" s="12" t="s">
        <v>371</v>
      </c>
      <c r="G436" s="9"/>
      <c r="H436" s="34"/>
      <c r="I436" s="55" t="str">
        <f t="shared" si="13"/>
        <v>https://permalinkbnd.bnportugal.gov.pt/viewer/273869/?offset=#page=115&amp;viewer=picture&amp;o=info&amp;n=0&amp;q=</v>
      </c>
      <c r="J436" s="45"/>
      <c r="K436" s="45"/>
      <c r="L436" s="45"/>
      <c r="M436" t="s">
        <v>370</v>
      </c>
      <c r="N436">
        <v>273869</v>
      </c>
      <c r="O436" t="str">
        <f t="shared" si="12"/>
        <v>https://permalinkbnd.bnportugal.gov.pt/viewer/273869/?offset=#page=115&amp;viewer=picture&amp;o=info&amp;n=0&amp;q=</v>
      </c>
      <c r="P436">
        <v>321919</v>
      </c>
      <c r="Q436" t="s">
        <v>370</v>
      </c>
      <c r="R436" t="s">
        <v>2722</v>
      </c>
      <c r="S436" t="s">
        <v>1178</v>
      </c>
      <c r="T436" t="s">
        <v>1209</v>
      </c>
      <c r="U436" t="s">
        <v>599</v>
      </c>
      <c r="V436" t="s">
        <v>2723</v>
      </c>
      <c r="W436" t="s">
        <v>599</v>
      </c>
      <c r="X436" t="s">
        <v>599</v>
      </c>
      <c r="Y436" t="s">
        <v>1182</v>
      </c>
      <c r="Z436" t="s">
        <v>2724</v>
      </c>
      <c r="AA436">
        <v>1895</v>
      </c>
      <c r="AB436">
        <v>1895</v>
      </c>
      <c r="AC436" t="s">
        <v>2725</v>
      </c>
      <c r="AD436" t="s">
        <v>2726</v>
      </c>
      <c r="AE436" t="s">
        <v>599</v>
      </c>
      <c r="AF436" t="s">
        <v>599</v>
      </c>
      <c r="AG436" t="s">
        <v>2727</v>
      </c>
      <c r="AH436" t="s">
        <v>599</v>
      </c>
      <c r="AI436" t="s">
        <v>599</v>
      </c>
      <c r="AJ436" t="s">
        <v>2728</v>
      </c>
      <c r="AK436" t="s">
        <v>1188</v>
      </c>
      <c r="AL436" t="s">
        <v>2729</v>
      </c>
      <c r="AM436" t="s">
        <v>1190</v>
      </c>
      <c r="AN436" t="s">
        <v>2730</v>
      </c>
      <c r="AO436" t="s">
        <v>599</v>
      </c>
      <c r="AP436" t="s">
        <v>2731</v>
      </c>
      <c r="AQ436" t="s">
        <v>599</v>
      </c>
      <c r="AR436" t="s">
        <v>599</v>
      </c>
      <c r="AS436" t="s">
        <v>599</v>
      </c>
      <c r="AT436" t="s">
        <v>599</v>
      </c>
    </row>
    <row r="437" spans="1:46" s="13" customFormat="1" ht="30" x14ac:dyDescent="0.25">
      <c r="A437" s="9"/>
      <c r="B437" s="10">
        <v>321919</v>
      </c>
      <c r="C437" s="10">
        <v>1</v>
      </c>
      <c r="D437" s="9">
        <v>139</v>
      </c>
      <c r="E437" s="11" t="s">
        <v>370</v>
      </c>
      <c r="F437" s="12" t="s">
        <v>371</v>
      </c>
      <c r="G437" s="9"/>
      <c r="H437" s="34"/>
      <c r="I437" s="55" t="str">
        <f t="shared" si="13"/>
        <v>https://permalinkbnd.bnportugal.gov.pt/viewer/273869/?offset=#page=139&amp;viewer=picture&amp;o=info&amp;n=0&amp;q=</v>
      </c>
      <c r="J437" s="45"/>
      <c r="K437" s="45"/>
      <c r="L437" s="45"/>
      <c r="M437" t="s">
        <v>370</v>
      </c>
      <c r="N437">
        <v>273869</v>
      </c>
      <c r="O437" t="str">
        <f t="shared" si="12"/>
        <v>https://permalinkbnd.bnportugal.gov.pt/viewer/273869/?offset=#page=139&amp;viewer=picture&amp;o=info&amp;n=0&amp;q=</v>
      </c>
      <c r="P437">
        <v>321919</v>
      </c>
      <c r="Q437" t="s">
        <v>370</v>
      </c>
      <c r="R437" t="s">
        <v>2722</v>
      </c>
      <c r="S437" t="s">
        <v>1178</v>
      </c>
      <c r="T437" t="s">
        <v>1209</v>
      </c>
      <c r="U437" t="s">
        <v>599</v>
      </c>
      <c r="V437" t="s">
        <v>2723</v>
      </c>
      <c r="W437" t="s">
        <v>599</v>
      </c>
      <c r="X437" t="s">
        <v>599</v>
      </c>
      <c r="Y437" t="s">
        <v>1182</v>
      </c>
      <c r="Z437" t="s">
        <v>2724</v>
      </c>
      <c r="AA437">
        <v>1895</v>
      </c>
      <c r="AB437">
        <v>1895</v>
      </c>
      <c r="AC437" t="s">
        <v>2725</v>
      </c>
      <c r="AD437" t="s">
        <v>2726</v>
      </c>
      <c r="AE437" t="s">
        <v>599</v>
      </c>
      <c r="AF437" t="s">
        <v>599</v>
      </c>
      <c r="AG437" t="s">
        <v>2727</v>
      </c>
      <c r="AH437" t="s">
        <v>599</v>
      </c>
      <c r="AI437" t="s">
        <v>599</v>
      </c>
      <c r="AJ437" t="s">
        <v>2728</v>
      </c>
      <c r="AK437" t="s">
        <v>1188</v>
      </c>
      <c r="AL437" t="s">
        <v>2729</v>
      </c>
      <c r="AM437" t="s">
        <v>1190</v>
      </c>
      <c r="AN437" t="s">
        <v>2730</v>
      </c>
      <c r="AO437" t="s">
        <v>599</v>
      </c>
      <c r="AP437" t="s">
        <v>2731</v>
      </c>
      <c r="AQ437" t="s">
        <v>599</v>
      </c>
      <c r="AR437" t="s">
        <v>599</v>
      </c>
      <c r="AS437" t="s">
        <v>599</v>
      </c>
      <c r="AT437" t="s">
        <v>599</v>
      </c>
    </row>
    <row r="438" spans="1:46" s="13" customFormat="1" ht="30" x14ac:dyDescent="0.25">
      <c r="A438" s="9"/>
      <c r="B438" s="10">
        <v>321919</v>
      </c>
      <c r="C438" s="10">
        <v>1</v>
      </c>
      <c r="D438" s="9">
        <v>155</v>
      </c>
      <c r="E438" s="11" t="s">
        <v>370</v>
      </c>
      <c r="F438" s="12" t="s">
        <v>371</v>
      </c>
      <c r="G438" s="9"/>
      <c r="H438" s="34"/>
      <c r="I438" s="55" t="str">
        <f t="shared" si="13"/>
        <v>https://permalinkbnd.bnportugal.gov.pt/viewer/273869/?offset=#page=155&amp;viewer=picture&amp;o=info&amp;n=0&amp;q=</v>
      </c>
      <c r="J438" s="45"/>
      <c r="K438" s="45"/>
      <c r="L438" s="45"/>
      <c r="M438" t="s">
        <v>370</v>
      </c>
      <c r="N438">
        <v>273869</v>
      </c>
      <c r="O438" t="str">
        <f t="shared" si="12"/>
        <v>https://permalinkbnd.bnportugal.gov.pt/viewer/273869/?offset=#page=155&amp;viewer=picture&amp;o=info&amp;n=0&amp;q=</v>
      </c>
      <c r="P438">
        <v>321919</v>
      </c>
      <c r="Q438" t="s">
        <v>370</v>
      </c>
      <c r="R438" t="s">
        <v>2722</v>
      </c>
      <c r="S438" t="s">
        <v>1178</v>
      </c>
      <c r="T438" t="s">
        <v>1209</v>
      </c>
      <c r="U438" t="s">
        <v>599</v>
      </c>
      <c r="V438" t="s">
        <v>2723</v>
      </c>
      <c r="W438" t="s">
        <v>599</v>
      </c>
      <c r="X438" t="s">
        <v>599</v>
      </c>
      <c r="Y438" t="s">
        <v>1182</v>
      </c>
      <c r="Z438" t="s">
        <v>2724</v>
      </c>
      <c r="AA438">
        <v>1895</v>
      </c>
      <c r="AB438">
        <v>1895</v>
      </c>
      <c r="AC438" t="s">
        <v>2725</v>
      </c>
      <c r="AD438" t="s">
        <v>2726</v>
      </c>
      <c r="AE438" t="s">
        <v>599</v>
      </c>
      <c r="AF438" t="s">
        <v>599</v>
      </c>
      <c r="AG438" t="s">
        <v>2727</v>
      </c>
      <c r="AH438" t="s">
        <v>599</v>
      </c>
      <c r="AI438" t="s">
        <v>599</v>
      </c>
      <c r="AJ438" t="s">
        <v>2728</v>
      </c>
      <c r="AK438" t="s">
        <v>1188</v>
      </c>
      <c r="AL438" t="s">
        <v>2729</v>
      </c>
      <c r="AM438" t="s">
        <v>1190</v>
      </c>
      <c r="AN438" t="s">
        <v>2730</v>
      </c>
      <c r="AO438" t="s">
        <v>599</v>
      </c>
      <c r="AP438" t="s">
        <v>2731</v>
      </c>
      <c r="AQ438" t="s">
        <v>599</v>
      </c>
      <c r="AR438" t="s">
        <v>599</v>
      </c>
      <c r="AS438" t="s">
        <v>599</v>
      </c>
      <c r="AT438" t="s">
        <v>599</v>
      </c>
    </row>
    <row r="439" spans="1:46" s="13" customFormat="1" ht="30" x14ac:dyDescent="0.25">
      <c r="A439" s="9">
        <v>10937</v>
      </c>
      <c r="B439" s="10">
        <v>322212</v>
      </c>
      <c r="C439" s="10">
        <v>1</v>
      </c>
      <c r="D439" s="9">
        <v>7</v>
      </c>
      <c r="E439" s="11" t="s">
        <v>372</v>
      </c>
      <c r="F439" s="12" t="s">
        <v>373</v>
      </c>
      <c r="G439" s="9">
        <v>7</v>
      </c>
      <c r="H439" s="34"/>
      <c r="I439" s="55" t="str">
        <f t="shared" si="13"/>
        <v>https://permalinkbnd.bnportugal.gov.pt/viewer/277738/?offset=#page=7&amp;viewer=picture&amp;o=info&amp;n=0&amp;q=</v>
      </c>
      <c r="J439" s="45"/>
      <c r="K439" s="45"/>
      <c r="L439" s="45"/>
      <c r="M439" t="s">
        <v>372</v>
      </c>
      <c r="N439">
        <v>277738</v>
      </c>
      <c r="O439" t="str">
        <f t="shared" si="12"/>
        <v>https://permalinkbnd.bnportugal.gov.pt/viewer/277738/?offset=#page=7&amp;viewer=picture&amp;o=info&amp;n=0&amp;q=</v>
      </c>
      <c r="P439">
        <v>322212</v>
      </c>
      <c r="Q439" t="s">
        <v>372</v>
      </c>
      <c r="R439" t="s">
        <v>2732</v>
      </c>
      <c r="S439" t="s">
        <v>1178</v>
      </c>
      <c r="T439" t="s">
        <v>1502</v>
      </c>
      <c r="U439" t="s">
        <v>599</v>
      </c>
      <c r="V439" t="s">
        <v>2733</v>
      </c>
      <c r="W439" t="s">
        <v>599</v>
      </c>
      <c r="X439" t="s">
        <v>599</v>
      </c>
      <c r="Y439" t="s">
        <v>1182</v>
      </c>
      <c r="Z439" t="s">
        <v>2734</v>
      </c>
      <c r="AA439">
        <v>1896</v>
      </c>
      <c r="AB439">
        <v>1896</v>
      </c>
      <c r="AC439" t="s">
        <v>2735</v>
      </c>
      <c r="AD439" t="s">
        <v>599</v>
      </c>
      <c r="AE439" t="s">
        <v>599</v>
      </c>
      <c r="AF439" t="s">
        <v>599</v>
      </c>
      <c r="AG439" t="s">
        <v>2736</v>
      </c>
      <c r="AH439" t="s">
        <v>599</v>
      </c>
      <c r="AI439" t="s">
        <v>599</v>
      </c>
      <c r="AJ439" t="s">
        <v>2737</v>
      </c>
      <c r="AK439" t="s">
        <v>1188</v>
      </c>
      <c r="AL439" t="s">
        <v>2738</v>
      </c>
      <c r="AM439" t="s">
        <v>1190</v>
      </c>
      <c r="AN439" t="s">
        <v>599</v>
      </c>
      <c r="AO439" t="s">
        <v>599</v>
      </c>
      <c r="AP439" t="s">
        <v>599</v>
      </c>
      <c r="AQ439" t="s">
        <v>599</v>
      </c>
      <c r="AR439" t="s">
        <v>599</v>
      </c>
      <c r="AS439" t="s">
        <v>599</v>
      </c>
      <c r="AT439" t="s">
        <v>599</v>
      </c>
    </row>
    <row r="440" spans="1:46" s="13" customFormat="1" ht="30" x14ac:dyDescent="0.25">
      <c r="A440" s="9">
        <v>10938</v>
      </c>
      <c r="B440" s="10">
        <v>322214</v>
      </c>
      <c r="C440" s="10">
        <v>1</v>
      </c>
      <c r="D440" s="9">
        <v>10</v>
      </c>
      <c r="E440" s="11" t="s">
        <v>374</v>
      </c>
      <c r="F440" s="12" t="s">
        <v>375</v>
      </c>
      <c r="G440" s="9" t="s">
        <v>376</v>
      </c>
      <c r="H440" s="34"/>
      <c r="I440" s="55" t="str">
        <f t="shared" si="13"/>
        <v>https://permalinkbnd.bnportugal.gov.pt/viewer/273912/?offset=#page=10&amp;viewer=picture&amp;o=info&amp;n=0&amp;q=</v>
      </c>
      <c r="J440" s="45"/>
      <c r="K440" s="45"/>
      <c r="L440" s="45"/>
      <c r="M440" t="s">
        <v>374</v>
      </c>
      <c r="N440">
        <v>273912</v>
      </c>
      <c r="O440" t="str">
        <f t="shared" si="12"/>
        <v>https://permalinkbnd.bnportugal.gov.pt/viewer/273912/?offset=#page=10&amp;viewer=picture&amp;o=info&amp;n=0&amp;q=</v>
      </c>
      <c r="P440">
        <v>322214</v>
      </c>
      <c r="Q440" t="s">
        <v>374</v>
      </c>
      <c r="R440" t="s">
        <v>2739</v>
      </c>
      <c r="S440" t="s">
        <v>1178</v>
      </c>
      <c r="T440" t="s">
        <v>1403</v>
      </c>
      <c r="U440" t="s">
        <v>599</v>
      </c>
      <c r="V440" t="s">
        <v>2740</v>
      </c>
      <c r="W440" t="s">
        <v>599</v>
      </c>
      <c r="X440" t="s">
        <v>599</v>
      </c>
      <c r="Y440" t="s">
        <v>1182</v>
      </c>
      <c r="Z440" t="s">
        <v>2741</v>
      </c>
      <c r="AA440">
        <v>1780</v>
      </c>
      <c r="AB440">
        <v>1780</v>
      </c>
      <c r="AC440" t="s">
        <v>2742</v>
      </c>
      <c r="AD440" t="s">
        <v>599</v>
      </c>
      <c r="AE440" t="s">
        <v>599</v>
      </c>
      <c r="AF440" t="s">
        <v>599</v>
      </c>
      <c r="AG440" t="s">
        <v>2743</v>
      </c>
      <c r="AH440" t="s">
        <v>599</v>
      </c>
      <c r="AI440" t="s">
        <v>599</v>
      </c>
      <c r="AJ440" t="s">
        <v>2744</v>
      </c>
      <c r="AK440" t="s">
        <v>1188</v>
      </c>
      <c r="AL440" t="s">
        <v>2745</v>
      </c>
      <c r="AM440" t="s">
        <v>1190</v>
      </c>
      <c r="AN440" t="s">
        <v>2746</v>
      </c>
      <c r="AO440" t="s">
        <v>599</v>
      </c>
      <c r="AP440" t="s">
        <v>599</v>
      </c>
      <c r="AQ440" t="s">
        <v>599</v>
      </c>
      <c r="AR440" t="s">
        <v>599</v>
      </c>
      <c r="AS440" t="s">
        <v>599</v>
      </c>
      <c r="AT440" t="s">
        <v>599</v>
      </c>
    </row>
    <row r="441" spans="1:46" s="13" customFormat="1" ht="30" x14ac:dyDescent="0.25">
      <c r="A441" s="9">
        <v>10939</v>
      </c>
      <c r="B441" s="10">
        <v>322214</v>
      </c>
      <c r="C441" s="10">
        <v>1</v>
      </c>
      <c r="D441" s="9">
        <v>271</v>
      </c>
      <c r="E441" s="11" t="s">
        <v>374</v>
      </c>
      <c r="F441" s="12" t="s">
        <v>375</v>
      </c>
      <c r="G441" s="9" t="s">
        <v>376</v>
      </c>
      <c r="H441" s="34"/>
      <c r="I441" s="55" t="str">
        <f t="shared" si="13"/>
        <v>https://permalinkbnd.bnportugal.gov.pt/viewer/273912/?offset=#page=271&amp;viewer=picture&amp;o=info&amp;n=0&amp;q=</v>
      </c>
      <c r="J441" s="45"/>
      <c r="K441" s="45"/>
      <c r="L441" s="45"/>
      <c r="M441" t="s">
        <v>374</v>
      </c>
      <c r="N441">
        <v>273912</v>
      </c>
      <c r="O441" t="str">
        <f t="shared" si="12"/>
        <v>https://permalinkbnd.bnportugal.gov.pt/viewer/273912/?offset=#page=271&amp;viewer=picture&amp;o=info&amp;n=0&amp;q=</v>
      </c>
      <c r="P441">
        <v>322214</v>
      </c>
      <c r="Q441" t="s">
        <v>374</v>
      </c>
      <c r="R441" t="s">
        <v>2739</v>
      </c>
      <c r="S441" t="s">
        <v>1178</v>
      </c>
      <c r="T441" t="s">
        <v>1403</v>
      </c>
      <c r="U441" t="s">
        <v>599</v>
      </c>
      <c r="V441" t="s">
        <v>2740</v>
      </c>
      <c r="W441" t="s">
        <v>599</v>
      </c>
      <c r="X441" t="s">
        <v>599</v>
      </c>
      <c r="Y441" t="s">
        <v>1182</v>
      </c>
      <c r="Z441" t="s">
        <v>2741</v>
      </c>
      <c r="AA441">
        <v>1780</v>
      </c>
      <c r="AB441">
        <v>1780</v>
      </c>
      <c r="AC441" t="s">
        <v>2742</v>
      </c>
      <c r="AD441" t="s">
        <v>599</v>
      </c>
      <c r="AE441" t="s">
        <v>599</v>
      </c>
      <c r="AF441" t="s">
        <v>599</v>
      </c>
      <c r="AG441" t="s">
        <v>2743</v>
      </c>
      <c r="AH441" t="s">
        <v>599</v>
      </c>
      <c r="AI441" t="s">
        <v>599</v>
      </c>
      <c r="AJ441" t="s">
        <v>2744</v>
      </c>
      <c r="AK441" t="s">
        <v>1188</v>
      </c>
      <c r="AL441" t="s">
        <v>2745</v>
      </c>
      <c r="AM441" t="s">
        <v>1190</v>
      </c>
      <c r="AN441" t="s">
        <v>2746</v>
      </c>
      <c r="AO441" t="s">
        <v>599</v>
      </c>
      <c r="AP441" t="s">
        <v>599</v>
      </c>
      <c r="AQ441" t="s">
        <v>599</v>
      </c>
      <c r="AR441" t="s">
        <v>599</v>
      </c>
      <c r="AS441" t="s">
        <v>599</v>
      </c>
      <c r="AT441" t="s">
        <v>599</v>
      </c>
    </row>
    <row r="442" spans="1:46" s="13" customFormat="1" ht="45" x14ac:dyDescent="0.25">
      <c r="A442" s="9">
        <v>10946</v>
      </c>
      <c r="B442" s="10">
        <v>866522</v>
      </c>
      <c r="C442" s="10">
        <v>1</v>
      </c>
      <c r="D442" s="9">
        <v>12</v>
      </c>
      <c r="E442" s="11" t="s">
        <v>377</v>
      </c>
      <c r="F442" s="12" t="s">
        <v>378</v>
      </c>
      <c r="G442" s="9" t="s">
        <v>379</v>
      </c>
      <c r="H442" s="34"/>
      <c r="I442" s="55" t="str">
        <f t="shared" si="13"/>
        <v>https://permalinkbnd.bnportugal.gov.pt/viewer/272639/?offset=#page=12&amp;viewer=picture&amp;o=info&amp;n=0&amp;q=</v>
      </c>
      <c r="J442" s="45"/>
      <c r="K442" s="45"/>
      <c r="L442" s="45"/>
      <c r="M442" t="s">
        <v>377</v>
      </c>
      <c r="N442">
        <v>272639</v>
      </c>
      <c r="O442" t="str">
        <f t="shared" si="12"/>
        <v>https://permalinkbnd.bnportugal.gov.pt/viewer/272639/?offset=#page=12&amp;viewer=picture&amp;o=info&amp;n=0&amp;q=</v>
      </c>
      <c r="P442">
        <v>866522</v>
      </c>
      <c r="Q442" t="s">
        <v>377</v>
      </c>
      <c r="R442" t="s">
        <v>2747</v>
      </c>
      <c r="S442" t="s">
        <v>1178</v>
      </c>
      <c r="T442" t="s">
        <v>1192</v>
      </c>
      <c r="U442" t="s">
        <v>599</v>
      </c>
      <c r="V442" t="s">
        <v>2748</v>
      </c>
      <c r="W442" t="s">
        <v>599</v>
      </c>
      <c r="X442" t="s">
        <v>599</v>
      </c>
      <c r="Y442" t="s">
        <v>1182</v>
      </c>
      <c r="Z442" t="s">
        <v>2696</v>
      </c>
      <c r="AA442">
        <v>1932</v>
      </c>
      <c r="AB442">
        <v>1932</v>
      </c>
      <c r="AC442" t="s">
        <v>2749</v>
      </c>
      <c r="AD442" t="s">
        <v>1185</v>
      </c>
      <c r="AE442" t="s">
        <v>599</v>
      </c>
      <c r="AF442" t="s">
        <v>599</v>
      </c>
      <c r="AG442" t="s">
        <v>2750</v>
      </c>
      <c r="AH442" t="s">
        <v>599</v>
      </c>
      <c r="AI442" t="s">
        <v>599</v>
      </c>
      <c r="AJ442" t="s">
        <v>2751</v>
      </c>
      <c r="AK442" t="s">
        <v>1188</v>
      </c>
      <c r="AL442" t="s">
        <v>2752</v>
      </c>
      <c r="AM442" t="s">
        <v>1190</v>
      </c>
      <c r="AN442" t="s">
        <v>599</v>
      </c>
      <c r="AO442" t="s">
        <v>599</v>
      </c>
      <c r="AP442" t="s">
        <v>599</v>
      </c>
      <c r="AQ442" t="s">
        <v>599</v>
      </c>
      <c r="AR442" t="s">
        <v>599</v>
      </c>
      <c r="AS442" t="s">
        <v>599</v>
      </c>
      <c r="AT442" t="s">
        <v>599</v>
      </c>
    </row>
    <row r="443" spans="1:46" s="13" customFormat="1" ht="45" x14ac:dyDescent="0.25">
      <c r="A443" s="9">
        <v>10947</v>
      </c>
      <c r="B443" s="10">
        <v>866522</v>
      </c>
      <c r="C443" s="10">
        <v>1</v>
      </c>
      <c r="D443" s="9">
        <v>173</v>
      </c>
      <c r="E443" s="11" t="s">
        <v>377</v>
      </c>
      <c r="F443" s="12" t="s">
        <v>378</v>
      </c>
      <c r="G443" s="9" t="s">
        <v>379</v>
      </c>
      <c r="H443" s="34"/>
      <c r="I443" s="55" t="str">
        <f t="shared" si="13"/>
        <v>https://permalinkbnd.bnportugal.gov.pt/viewer/272639/?offset=#page=173&amp;viewer=picture&amp;o=info&amp;n=0&amp;q=</v>
      </c>
      <c r="J443" s="45"/>
      <c r="K443" s="45"/>
      <c r="L443" s="45"/>
      <c r="M443" t="s">
        <v>377</v>
      </c>
      <c r="N443">
        <v>272639</v>
      </c>
      <c r="O443" t="str">
        <f t="shared" si="12"/>
        <v>https://permalinkbnd.bnportugal.gov.pt/viewer/272639/?offset=#page=173&amp;viewer=picture&amp;o=info&amp;n=0&amp;q=</v>
      </c>
      <c r="P443">
        <v>866522</v>
      </c>
      <c r="Q443" t="s">
        <v>377</v>
      </c>
      <c r="R443" t="s">
        <v>2747</v>
      </c>
      <c r="S443" t="s">
        <v>1178</v>
      </c>
      <c r="T443" t="s">
        <v>1192</v>
      </c>
      <c r="U443" t="s">
        <v>599</v>
      </c>
      <c r="V443" t="s">
        <v>2748</v>
      </c>
      <c r="W443" t="s">
        <v>599</v>
      </c>
      <c r="X443" t="s">
        <v>599</v>
      </c>
      <c r="Y443" t="s">
        <v>1182</v>
      </c>
      <c r="Z443" t="s">
        <v>2696</v>
      </c>
      <c r="AA443">
        <v>1932</v>
      </c>
      <c r="AB443">
        <v>1932</v>
      </c>
      <c r="AC443" t="s">
        <v>2749</v>
      </c>
      <c r="AD443" t="s">
        <v>1185</v>
      </c>
      <c r="AE443" t="s">
        <v>599</v>
      </c>
      <c r="AF443" t="s">
        <v>599</v>
      </c>
      <c r="AG443" t="s">
        <v>2750</v>
      </c>
      <c r="AH443" t="s">
        <v>599</v>
      </c>
      <c r="AI443" t="s">
        <v>599</v>
      </c>
      <c r="AJ443" t="s">
        <v>2751</v>
      </c>
      <c r="AK443" t="s">
        <v>1188</v>
      </c>
      <c r="AL443" t="s">
        <v>2752</v>
      </c>
      <c r="AM443" t="s">
        <v>1190</v>
      </c>
      <c r="AN443" t="s">
        <v>599</v>
      </c>
      <c r="AO443" t="s">
        <v>599</v>
      </c>
      <c r="AP443" t="s">
        <v>599</v>
      </c>
      <c r="AQ443" t="s">
        <v>599</v>
      </c>
      <c r="AR443" t="s">
        <v>599</v>
      </c>
      <c r="AS443" t="s">
        <v>599</v>
      </c>
      <c r="AT443" t="s">
        <v>599</v>
      </c>
    </row>
    <row r="444" spans="1:46" s="13" customFormat="1" ht="45" x14ac:dyDescent="0.25">
      <c r="A444" s="9">
        <v>10948</v>
      </c>
      <c r="B444" s="10">
        <v>866522</v>
      </c>
      <c r="C444" s="10">
        <v>1</v>
      </c>
      <c r="D444" s="9">
        <v>363</v>
      </c>
      <c r="E444" s="11" t="s">
        <v>377</v>
      </c>
      <c r="F444" s="12" t="s">
        <v>378</v>
      </c>
      <c r="G444" s="9" t="s">
        <v>379</v>
      </c>
      <c r="H444" s="34"/>
      <c r="I444" s="55" t="str">
        <f t="shared" si="13"/>
        <v>https://permalinkbnd.bnportugal.gov.pt/viewer/272639/?offset=#page=363&amp;viewer=picture&amp;o=info&amp;n=0&amp;q=</v>
      </c>
      <c r="J444" s="45"/>
      <c r="K444" s="45"/>
      <c r="L444" s="45"/>
      <c r="M444" t="s">
        <v>377</v>
      </c>
      <c r="N444">
        <v>272639</v>
      </c>
      <c r="O444" t="str">
        <f t="shared" si="12"/>
        <v>https://permalinkbnd.bnportugal.gov.pt/viewer/272639/?offset=#page=363&amp;viewer=picture&amp;o=info&amp;n=0&amp;q=</v>
      </c>
      <c r="P444">
        <v>866522</v>
      </c>
      <c r="Q444" t="s">
        <v>377</v>
      </c>
      <c r="R444" t="s">
        <v>2747</v>
      </c>
      <c r="S444" t="s">
        <v>1178</v>
      </c>
      <c r="T444" t="s">
        <v>1192</v>
      </c>
      <c r="U444" t="s">
        <v>599</v>
      </c>
      <c r="V444" t="s">
        <v>2748</v>
      </c>
      <c r="W444" t="s">
        <v>599</v>
      </c>
      <c r="X444" t="s">
        <v>599</v>
      </c>
      <c r="Y444" t="s">
        <v>1182</v>
      </c>
      <c r="Z444" t="s">
        <v>2696</v>
      </c>
      <c r="AA444">
        <v>1932</v>
      </c>
      <c r="AB444">
        <v>1932</v>
      </c>
      <c r="AC444" t="s">
        <v>2749</v>
      </c>
      <c r="AD444" t="s">
        <v>1185</v>
      </c>
      <c r="AE444" t="s">
        <v>599</v>
      </c>
      <c r="AF444" t="s">
        <v>599</v>
      </c>
      <c r="AG444" t="s">
        <v>2750</v>
      </c>
      <c r="AH444" t="s">
        <v>599</v>
      </c>
      <c r="AI444" t="s">
        <v>599</v>
      </c>
      <c r="AJ444" t="s">
        <v>2751</v>
      </c>
      <c r="AK444" t="s">
        <v>1188</v>
      </c>
      <c r="AL444" t="s">
        <v>2752</v>
      </c>
      <c r="AM444" t="s">
        <v>1190</v>
      </c>
      <c r="AN444" t="s">
        <v>599</v>
      </c>
      <c r="AO444" t="s">
        <v>599</v>
      </c>
      <c r="AP444" t="s">
        <v>599</v>
      </c>
      <c r="AQ444" t="s">
        <v>599</v>
      </c>
      <c r="AR444" t="s">
        <v>599</v>
      </c>
      <c r="AS444" t="s">
        <v>599</v>
      </c>
      <c r="AT444" t="s">
        <v>599</v>
      </c>
    </row>
    <row r="445" spans="1:46" s="13" customFormat="1" ht="45" x14ac:dyDescent="0.25">
      <c r="A445" s="9">
        <v>10949</v>
      </c>
      <c r="B445" s="10">
        <v>866522</v>
      </c>
      <c r="C445" s="10">
        <v>1</v>
      </c>
      <c r="D445" s="9">
        <v>391</v>
      </c>
      <c r="E445" s="11" t="s">
        <v>377</v>
      </c>
      <c r="F445" s="12" t="s">
        <v>378</v>
      </c>
      <c r="G445" s="9" t="s">
        <v>379</v>
      </c>
      <c r="H445" s="34"/>
      <c r="I445" s="55" t="str">
        <f t="shared" si="13"/>
        <v>https://permalinkbnd.bnportugal.gov.pt/viewer/272639/?offset=#page=391&amp;viewer=picture&amp;o=info&amp;n=0&amp;q=</v>
      </c>
      <c r="J445" s="45"/>
      <c r="K445" s="45"/>
      <c r="L445" s="45"/>
      <c r="M445" t="s">
        <v>377</v>
      </c>
      <c r="N445">
        <v>272639</v>
      </c>
      <c r="O445" t="str">
        <f t="shared" si="12"/>
        <v>https://permalinkbnd.bnportugal.gov.pt/viewer/272639/?offset=#page=391&amp;viewer=picture&amp;o=info&amp;n=0&amp;q=</v>
      </c>
      <c r="P445">
        <v>866522</v>
      </c>
      <c r="Q445" t="s">
        <v>377</v>
      </c>
      <c r="R445" t="s">
        <v>2747</v>
      </c>
      <c r="S445" t="s">
        <v>1178</v>
      </c>
      <c r="T445" t="s">
        <v>1192</v>
      </c>
      <c r="U445" t="s">
        <v>599</v>
      </c>
      <c r="V445" t="s">
        <v>2748</v>
      </c>
      <c r="W445" t="s">
        <v>599</v>
      </c>
      <c r="X445" t="s">
        <v>599</v>
      </c>
      <c r="Y445" t="s">
        <v>1182</v>
      </c>
      <c r="Z445" t="s">
        <v>2696</v>
      </c>
      <c r="AA445">
        <v>1932</v>
      </c>
      <c r="AB445">
        <v>1932</v>
      </c>
      <c r="AC445" t="s">
        <v>2749</v>
      </c>
      <c r="AD445" t="s">
        <v>1185</v>
      </c>
      <c r="AE445" t="s">
        <v>599</v>
      </c>
      <c r="AF445" t="s">
        <v>599</v>
      </c>
      <c r="AG445" t="s">
        <v>2750</v>
      </c>
      <c r="AH445" t="s">
        <v>599</v>
      </c>
      <c r="AI445" t="s">
        <v>599</v>
      </c>
      <c r="AJ445" t="s">
        <v>2751</v>
      </c>
      <c r="AK445" t="s">
        <v>1188</v>
      </c>
      <c r="AL445" t="s">
        <v>2752</v>
      </c>
      <c r="AM445" t="s">
        <v>1190</v>
      </c>
      <c r="AN445" t="s">
        <v>599</v>
      </c>
      <c r="AO445" t="s">
        <v>599</v>
      </c>
      <c r="AP445" t="s">
        <v>599</v>
      </c>
      <c r="AQ445" t="s">
        <v>599</v>
      </c>
      <c r="AR445" t="s">
        <v>599</v>
      </c>
      <c r="AS445" t="s">
        <v>599</v>
      </c>
      <c r="AT445" t="s">
        <v>599</v>
      </c>
    </row>
    <row r="446" spans="1:46" s="13" customFormat="1" ht="30" x14ac:dyDescent="0.25">
      <c r="A446" s="9">
        <v>10965</v>
      </c>
      <c r="B446" s="10">
        <v>328432</v>
      </c>
      <c r="C446" s="10">
        <v>1</v>
      </c>
      <c r="D446" s="9">
        <v>1</v>
      </c>
      <c r="E446" s="11" t="s">
        <v>380</v>
      </c>
      <c r="F446" s="12">
        <v>1</v>
      </c>
      <c r="G446" s="9">
        <v>1</v>
      </c>
      <c r="H446" s="34"/>
      <c r="I446" s="55" t="str">
        <f t="shared" si="13"/>
        <v>https://permalinkbnd.bnportugal.gov.pt/viewer/277836/?offset=#page=1&amp;viewer=picture&amp;o=info&amp;n=0&amp;q=</v>
      </c>
      <c r="J446" s="45"/>
      <c r="K446" s="45"/>
      <c r="L446" s="45"/>
      <c r="M446" t="s">
        <v>380</v>
      </c>
      <c r="N446">
        <v>277836</v>
      </c>
      <c r="O446" t="str">
        <f t="shared" si="12"/>
        <v>https://permalinkbnd.bnportugal.gov.pt/viewer/277836/?offset=#page=1&amp;viewer=picture&amp;o=info&amp;n=0&amp;q=</v>
      </c>
      <c r="P446">
        <v>328432</v>
      </c>
      <c r="Q446" t="s">
        <v>380</v>
      </c>
      <c r="R446" t="s">
        <v>2753</v>
      </c>
      <c r="S446" t="s">
        <v>1178</v>
      </c>
      <c r="T446" t="s">
        <v>1192</v>
      </c>
      <c r="U446" t="s">
        <v>599</v>
      </c>
      <c r="V446" t="s">
        <v>2754</v>
      </c>
      <c r="W446" t="s">
        <v>2755</v>
      </c>
      <c r="X446" t="s">
        <v>599</v>
      </c>
      <c r="Y446" t="s">
        <v>1182</v>
      </c>
      <c r="Z446" t="s">
        <v>2756</v>
      </c>
      <c r="AA446">
        <v>1880</v>
      </c>
      <c r="AB446">
        <v>1880</v>
      </c>
      <c r="AC446" t="s">
        <v>1463</v>
      </c>
      <c r="AD446" t="s">
        <v>599</v>
      </c>
      <c r="AE446" t="s">
        <v>599</v>
      </c>
      <c r="AF446" t="s">
        <v>599</v>
      </c>
      <c r="AG446" t="s">
        <v>2757</v>
      </c>
      <c r="AH446" t="s">
        <v>599</v>
      </c>
      <c r="AI446" t="s">
        <v>599</v>
      </c>
      <c r="AJ446" t="s">
        <v>2758</v>
      </c>
      <c r="AK446" t="s">
        <v>1188</v>
      </c>
      <c r="AL446" t="s">
        <v>2759</v>
      </c>
      <c r="AM446" t="s">
        <v>1190</v>
      </c>
      <c r="AN446" t="s">
        <v>2760</v>
      </c>
      <c r="AO446" t="s">
        <v>599</v>
      </c>
      <c r="AP446" t="s">
        <v>599</v>
      </c>
      <c r="AQ446" t="s">
        <v>599</v>
      </c>
      <c r="AR446" t="s">
        <v>599</v>
      </c>
      <c r="AS446" t="s">
        <v>599</v>
      </c>
      <c r="AT446" t="s">
        <v>599</v>
      </c>
    </row>
    <row r="447" spans="1:46" s="13" customFormat="1" ht="30" x14ac:dyDescent="0.25">
      <c r="A447" s="9">
        <v>10970</v>
      </c>
      <c r="B447" s="10">
        <v>328922</v>
      </c>
      <c r="C447" s="10">
        <v>1</v>
      </c>
      <c r="D447" s="9">
        <v>10</v>
      </c>
      <c r="E447" s="11" t="s">
        <v>381</v>
      </c>
      <c r="F447" s="12">
        <v>10</v>
      </c>
      <c r="G447" s="9">
        <v>10</v>
      </c>
      <c r="H447" s="34"/>
      <c r="I447" s="55" t="str">
        <f t="shared" si="13"/>
        <v>https://permalinkbnd.bnportugal.gov.pt/viewer/277820/?offset=#page=10&amp;viewer=picture&amp;o=info&amp;n=0&amp;q=</v>
      </c>
      <c r="J447" s="45"/>
      <c r="K447" s="45"/>
      <c r="L447" s="45"/>
      <c r="M447" t="s">
        <v>381</v>
      </c>
      <c r="N447">
        <v>277820</v>
      </c>
      <c r="O447" t="str">
        <f t="shared" si="12"/>
        <v>https://permalinkbnd.bnportugal.gov.pt/viewer/277820/?offset=#page=10&amp;viewer=picture&amp;o=info&amp;n=0&amp;q=</v>
      </c>
      <c r="P447">
        <v>328922</v>
      </c>
      <c r="Q447" t="s">
        <v>381</v>
      </c>
      <c r="R447" t="s">
        <v>2761</v>
      </c>
      <c r="S447" t="s">
        <v>1178</v>
      </c>
      <c r="T447" t="s">
        <v>1192</v>
      </c>
      <c r="U447" t="s">
        <v>599</v>
      </c>
      <c r="V447" t="s">
        <v>2762</v>
      </c>
      <c r="W447" t="s">
        <v>2763</v>
      </c>
      <c r="X447" t="s">
        <v>599</v>
      </c>
      <c r="Y447" t="s">
        <v>1182</v>
      </c>
      <c r="Z447" t="s">
        <v>2764</v>
      </c>
      <c r="AA447">
        <v>1889</v>
      </c>
      <c r="AB447">
        <v>1889</v>
      </c>
      <c r="AC447" t="s">
        <v>2765</v>
      </c>
      <c r="AD447" t="s">
        <v>2766</v>
      </c>
      <c r="AE447" t="s">
        <v>599</v>
      </c>
      <c r="AF447" t="s">
        <v>599</v>
      </c>
      <c r="AG447" t="s">
        <v>599</v>
      </c>
      <c r="AH447" t="s">
        <v>599</v>
      </c>
      <c r="AI447" t="s">
        <v>599</v>
      </c>
      <c r="AJ447" t="s">
        <v>2767</v>
      </c>
      <c r="AK447" t="s">
        <v>1188</v>
      </c>
      <c r="AL447" t="s">
        <v>2768</v>
      </c>
      <c r="AM447" t="s">
        <v>1190</v>
      </c>
      <c r="AN447" t="s">
        <v>599</v>
      </c>
      <c r="AO447" t="s">
        <v>599</v>
      </c>
      <c r="AP447" t="s">
        <v>599</v>
      </c>
      <c r="AQ447" t="s">
        <v>599</v>
      </c>
      <c r="AR447" t="s">
        <v>599</v>
      </c>
      <c r="AS447" t="s">
        <v>599</v>
      </c>
      <c r="AT447" t="s">
        <v>599</v>
      </c>
    </row>
    <row r="448" spans="1:46" s="13" customFormat="1" ht="30" x14ac:dyDescent="0.25">
      <c r="A448" s="9">
        <v>10980</v>
      </c>
      <c r="B448" s="10">
        <v>329068</v>
      </c>
      <c r="C448" s="10">
        <v>1</v>
      </c>
      <c r="D448" s="9">
        <v>8</v>
      </c>
      <c r="E448" s="11" t="s">
        <v>382</v>
      </c>
      <c r="F448" s="12" t="s">
        <v>383</v>
      </c>
      <c r="G448" s="9" t="s">
        <v>384</v>
      </c>
      <c r="H448" s="34"/>
      <c r="I448" s="55" t="str">
        <f t="shared" si="13"/>
        <v>https://permalinkbnd.bnportugal.gov.pt/viewer/277966/?offset=#page=8&amp;viewer=picture&amp;o=info&amp;n=0&amp;q=</v>
      </c>
      <c r="J448" s="45"/>
      <c r="K448" s="45"/>
      <c r="L448" s="45"/>
      <c r="M448" t="s">
        <v>382</v>
      </c>
      <c r="N448">
        <v>277966</v>
      </c>
      <c r="O448" t="str">
        <f t="shared" si="12"/>
        <v>https://permalinkbnd.bnportugal.gov.pt/viewer/277966/?offset=#page=8&amp;viewer=picture&amp;o=info&amp;n=0&amp;q=</v>
      </c>
      <c r="P448">
        <v>329068</v>
      </c>
      <c r="Q448" t="s">
        <v>382</v>
      </c>
      <c r="R448" t="s">
        <v>2769</v>
      </c>
      <c r="S448" t="s">
        <v>1178</v>
      </c>
      <c r="T448" t="s">
        <v>1192</v>
      </c>
      <c r="U448" t="s">
        <v>599</v>
      </c>
      <c r="V448" t="s">
        <v>2770</v>
      </c>
      <c r="W448" t="s">
        <v>599</v>
      </c>
      <c r="X448" t="s">
        <v>599</v>
      </c>
      <c r="Y448" t="s">
        <v>2771</v>
      </c>
      <c r="Z448" t="s">
        <v>2704</v>
      </c>
      <c r="AA448">
        <v>1870</v>
      </c>
      <c r="AB448">
        <v>1870</v>
      </c>
      <c r="AC448" t="s">
        <v>2772</v>
      </c>
      <c r="AD448" t="s">
        <v>599</v>
      </c>
      <c r="AE448" t="s">
        <v>599</v>
      </c>
      <c r="AF448" t="s">
        <v>599</v>
      </c>
      <c r="AG448" t="s">
        <v>2773</v>
      </c>
      <c r="AH448" t="s">
        <v>599</v>
      </c>
      <c r="AI448" t="s">
        <v>599</v>
      </c>
      <c r="AJ448" t="s">
        <v>2774</v>
      </c>
      <c r="AK448" t="s">
        <v>1188</v>
      </c>
      <c r="AL448" t="s">
        <v>2775</v>
      </c>
      <c r="AM448" t="s">
        <v>1190</v>
      </c>
      <c r="AN448" t="s">
        <v>2776</v>
      </c>
      <c r="AO448" t="s">
        <v>599</v>
      </c>
      <c r="AP448" t="s">
        <v>599</v>
      </c>
      <c r="AQ448" t="s">
        <v>599</v>
      </c>
      <c r="AR448" t="s">
        <v>599</v>
      </c>
      <c r="AS448" t="s">
        <v>599</v>
      </c>
      <c r="AT448" t="s">
        <v>599</v>
      </c>
    </row>
    <row r="449" spans="1:46" s="13" customFormat="1" ht="30" x14ac:dyDescent="0.25">
      <c r="A449" s="9">
        <v>10981</v>
      </c>
      <c r="B449" s="10">
        <v>329068</v>
      </c>
      <c r="C449" s="10">
        <v>1</v>
      </c>
      <c r="D449" s="9">
        <v>118</v>
      </c>
      <c r="E449" s="11" t="s">
        <v>382</v>
      </c>
      <c r="F449" s="12" t="s">
        <v>383</v>
      </c>
      <c r="G449" s="9" t="s">
        <v>384</v>
      </c>
      <c r="H449" s="34"/>
      <c r="I449" s="55" t="str">
        <f t="shared" si="13"/>
        <v>https://permalinkbnd.bnportugal.gov.pt/viewer/277966/?offset=#page=118&amp;viewer=picture&amp;o=info&amp;n=0&amp;q=</v>
      </c>
      <c r="J449" s="45"/>
      <c r="K449" s="45"/>
      <c r="L449" s="45"/>
      <c r="M449" t="s">
        <v>382</v>
      </c>
      <c r="N449">
        <v>277966</v>
      </c>
      <c r="O449" t="str">
        <f t="shared" si="12"/>
        <v>https://permalinkbnd.bnportugal.gov.pt/viewer/277966/?offset=#page=118&amp;viewer=picture&amp;o=info&amp;n=0&amp;q=</v>
      </c>
      <c r="P449">
        <v>329068</v>
      </c>
      <c r="Q449" t="s">
        <v>382</v>
      </c>
      <c r="R449" t="s">
        <v>2769</v>
      </c>
      <c r="S449" t="s">
        <v>1178</v>
      </c>
      <c r="T449" t="s">
        <v>1192</v>
      </c>
      <c r="U449" t="s">
        <v>599</v>
      </c>
      <c r="V449" t="s">
        <v>2770</v>
      </c>
      <c r="W449" t="s">
        <v>599</v>
      </c>
      <c r="X449" t="s">
        <v>599</v>
      </c>
      <c r="Y449" t="s">
        <v>2771</v>
      </c>
      <c r="Z449" t="s">
        <v>2704</v>
      </c>
      <c r="AA449">
        <v>1870</v>
      </c>
      <c r="AB449">
        <v>1870</v>
      </c>
      <c r="AC449" t="s">
        <v>2772</v>
      </c>
      <c r="AD449" t="s">
        <v>599</v>
      </c>
      <c r="AE449" t="s">
        <v>599</v>
      </c>
      <c r="AF449" t="s">
        <v>599</v>
      </c>
      <c r="AG449" t="s">
        <v>2773</v>
      </c>
      <c r="AH449" t="s">
        <v>599</v>
      </c>
      <c r="AI449" t="s">
        <v>599</v>
      </c>
      <c r="AJ449" t="s">
        <v>2774</v>
      </c>
      <c r="AK449" t="s">
        <v>1188</v>
      </c>
      <c r="AL449" t="s">
        <v>2775</v>
      </c>
      <c r="AM449" t="s">
        <v>1190</v>
      </c>
      <c r="AN449" t="s">
        <v>2776</v>
      </c>
      <c r="AO449" t="s">
        <v>599</v>
      </c>
      <c r="AP449" t="s">
        <v>599</v>
      </c>
      <c r="AQ449" t="s">
        <v>599</v>
      </c>
      <c r="AR449" t="s">
        <v>599</v>
      </c>
      <c r="AS449" t="s">
        <v>599</v>
      </c>
      <c r="AT449" t="s">
        <v>599</v>
      </c>
    </row>
    <row r="450" spans="1:46" s="13" customFormat="1" ht="30" x14ac:dyDescent="0.25">
      <c r="A450" s="9">
        <v>11017</v>
      </c>
      <c r="B450" s="10">
        <v>330080</v>
      </c>
      <c r="C450" s="10">
        <v>1</v>
      </c>
      <c r="D450" s="9">
        <v>24</v>
      </c>
      <c r="E450" s="11" t="s">
        <v>385</v>
      </c>
      <c r="F450" s="12" t="s">
        <v>386</v>
      </c>
      <c r="G450" s="9">
        <v>24</v>
      </c>
      <c r="H450" s="34"/>
      <c r="I450" s="55" t="str">
        <f t="shared" si="13"/>
        <v>https://permalinkbnd.bnportugal.gov.pt/viewer/278039/?offset=#page=24&amp;viewer=picture&amp;o=info&amp;n=0&amp;q=</v>
      </c>
      <c r="J450" s="45"/>
      <c r="K450" s="45"/>
      <c r="L450" s="45"/>
      <c r="M450" t="s">
        <v>385</v>
      </c>
      <c r="N450">
        <v>278039</v>
      </c>
      <c r="O450" t="str">
        <f t="shared" ref="O450:O513" si="14">CONCATENATE("https://permalinkbnd.bnportugal.gov.pt/viewer/",N450,"/?offset=#page=",D450,"&amp;viewer=picture&amp;o=info&amp;n=0&amp;q=")</f>
        <v>https://permalinkbnd.bnportugal.gov.pt/viewer/278039/?offset=#page=24&amp;viewer=picture&amp;o=info&amp;n=0&amp;q=</v>
      </c>
      <c r="P450">
        <v>330080</v>
      </c>
      <c r="Q450" t="s">
        <v>385</v>
      </c>
      <c r="R450" t="s">
        <v>2777</v>
      </c>
      <c r="S450" t="s">
        <v>1178</v>
      </c>
      <c r="T450" t="s">
        <v>1192</v>
      </c>
      <c r="U450" t="s">
        <v>599</v>
      </c>
      <c r="V450" t="s">
        <v>2778</v>
      </c>
      <c r="W450" t="s">
        <v>599</v>
      </c>
      <c r="X450" t="s">
        <v>599</v>
      </c>
      <c r="Y450" t="s">
        <v>1182</v>
      </c>
      <c r="Z450" t="s">
        <v>2779</v>
      </c>
      <c r="AA450">
        <v>1880</v>
      </c>
      <c r="AB450">
        <v>1880</v>
      </c>
      <c r="AC450" t="s">
        <v>2780</v>
      </c>
      <c r="AD450" t="s">
        <v>2781</v>
      </c>
      <c r="AE450" t="s">
        <v>599</v>
      </c>
      <c r="AF450" t="s">
        <v>599</v>
      </c>
      <c r="AG450" t="s">
        <v>599</v>
      </c>
      <c r="AH450" t="s">
        <v>599</v>
      </c>
      <c r="AI450" t="s">
        <v>599</v>
      </c>
      <c r="AJ450" t="s">
        <v>2782</v>
      </c>
      <c r="AK450" t="s">
        <v>1188</v>
      </c>
      <c r="AL450" t="s">
        <v>2783</v>
      </c>
      <c r="AM450" t="s">
        <v>1190</v>
      </c>
      <c r="AN450" t="s">
        <v>2784</v>
      </c>
      <c r="AO450" t="s">
        <v>599</v>
      </c>
      <c r="AP450" t="s">
        <v>599</v>
      </c>
      <c r="AQ450" t="s">
        <v>599</v>
      </c>
      <c r="AR450" t="s">
        <v>599</v>
      </c>
      <c r="AS450" t="s">
        <v>599</v>
      </c>
      <c r="AT450" t="s">
        <v>599</v>
      </c>
    </row>
    <row r="451" spans="1:46" s="13" customFormat="1" ht="30" x14ac:dyDescent="0.25">
      <c r="A451" s="9">
        <v>11023</v>
      </c>
      <c r="B451" s="10">
        <v>330133</v>
      </c>
      <c r="C451" s="10">
        <v>1</v>
      </c>
      <c r="D451" s="9">
        <v>8</v>
      </c>
      <c r="E451" s="11" t="s">
        <v>387</v>
      </c>
      <c r="F451" s="12" t="s">
        <v>388</v>
      </c>
      <c r="G451" s="9" t="s">
        <v>389</v>
      </c>
      <c r="H451" s="34"/>
      <c r="I451" s="55" t="str">
        <f t="shared" ref="I451:I514" si="15">HYPERLINK(O451)</f>
        <v>https://permalinkbnd.bnportugal.gov.pt/viewer/278038/?offset=#page=8&amp;viewer=picture&amp;o=info&amp;n=0&amp;q=</v>
      </c>
      <c r="J451" s="45"/>
      <c r="K451" s="45"/>
      <c r="L451" s="45"/>
      <c r="M451" t="s">
        <v>387</v>
      </c>
      <c r="N451">
        <v>278038</v>
      </c>
      <c r="O451" t="str">
        <f t="shared" si="14"/>
        <v>https://permalinkbnd.bnportugal.gov.pt/viewer/278038/?offset=#page=8&amp;viewer=picture&amp;o=info&amp;n=0&amp;q=</v>
      </c>
      <c r="P451">
        <v>330133</v>
      </c>
      <c r="Q451" t="s">
        <v>387</v>
      </c>
      <c r="R451" t="s">
        <v>2785</v>
      </c>
      <c r="S451" t="s">
        <v>1178</v>
      </c>
      <c r="T451" t="s">
        <v>1192</v>
      </c>
      <c r="U451" t="s">
        <v>599</v>
      </c>
      <c r="V451" t="s">
        <v>1105</v>
      </c>
      <c r="W451" t="s">
        <v>2786</v>
      </c>
      <c r="X451" t="s">
        <v>599</v>
      </c>
      <c r="Y451" t="s">
        <v>1182</v>
      </c>
      <c r="Z451" t="s">
        <v>2787</v>
      </c>
      <c r="AA451">
        <v>1849</v>
      </c>
      <c r="AB451">
        <v>1849</v>
      </c>
      <c r="AC451" t="s">
        <v>2788</v>
      </c>
      <c r="AD451" t="s">
        <v>2789</v>
      </c>
      <c r="AE451" t="s">
        <v>599</v>
      </c>
      <c r="AF451" t="s">
        <v>599</v>
      </c>
      <c r="AG451" t="s">
        <v>599</v>
      </c>
      <c r="AH451" t="s">
        <v>599</v>
      </c>
      <c r="AI451" t="s">
        <v>599</v>
      </c>
      <c r="AJ451" t="s">
        <v>2790</v>
      </c>
      <c r="AK451" t="s">
        <v>1188</v>
      </c>
      <c r="AL451" t="s">
        <v>2791</v>
      </c>
      <c r="AM451" t="s">
        <v>1190</v>
      </c>
      <c r="AN451" t="s">
        <v>2792</v>
      </c>
      <c r="AO451" t="s">
        <v>599</v>
      </c>
      <c r="AP451" t="s">
        <v>599</v>
      </c>
      <c r="AQ451" t="s">
        <v>599</v>
      </c>
      <c r="AR451" t="s">
        <v>599</v>
      </c>
      <c r="AS451" t="s">
        <v>599</v>
      </c>
      <c r="AT451" t="s">
        <v>599</v>
      </c>
    </row>
    <row r="452" spans="1:46" s="13" customFormat="1" ht="30" x14ac:dyDescent="0.25">
      <c r="A452" s="9">
        <v>11024</v>
      </c>
      <c r="B452" s="10">
        <v>330133</v>
      </c>
      <c r="C452" s="10">
        <v>1</v>
      </c>
      <c r="D452" s="9">
        <v>303</v>
      </c>
      <c r="E452" s="11" t="s">
        <v>387</v>
      </c>
      <c r="F452" s="12" t="s">
        <v>388</v>
      </c>
      <c r="G452" s="9" t="s">
        <v>389</v>
      </c>
      <c r="H452" s="34"/>
      <c r="I452" s="55" t="str">
        <f t="shared" si="15"/>
        <v>https://permalinkbnd.bnportugal.gov.pt/viewer/278038/?offset=#page=303&amp;viewer=picture&amp;o=info&amp;n=0&amp;q=</v>
      </c>
      <c r="J452" s="45"/>
      <c r="K452" s="45"/>
      <c r="L452" s="45"/>
      <c r="M452" t="s">
        <v>387</v>
      </c>
      <c r="N452">
        <v>278038</v>
      </c>
      <c r="O452" t="str">
        <f t="shared" si="14"/>
        <v>https://permalinkbnd.bnportugal.gov.pt/viewer/278038/?offset=#page=303&amp;viewer=picture&amp;o=info&amp;n=0&amp;q=</v>
      </c>
      <c r="P452">
        <v>330133</v>
      </c>
      <c r="Q452" t="s">
        <v>387</v>
      </c>
      <c r="R452" t="s">
        <v>2785</v>
      </c>
      <c r="S452" t="s">
        <v>1178</v>
      </c>
      <c r="T452" t="s">
        <v>1192</v>
      </c>
      <c r="U452" t="s">
        <v>599</v>
      </c>
      <c r="V452" t="s">
        <v>1105</v>
      </c>
      <c r="W452" t="s">
        <v>2786</v>
      </c>
      <c r="X452" t="s">
        <v>599</v>
      </c>
      <c r="Y452" t="s">
        <v>1182</v>
      </c>
      <c r="Z452" t="s">
        <v>2787</v>
      </c>
      <c r="AA452">
        <v>1849</v>
      </c>
      <c r="AB452">
        <v>1849</v>
      </c>
      <c r="AC452" t="s">
        <v>2788</v>
      </c>
      <c r="AD452" t="s">
        <v>2789</v>
      </c>
      <c r="AE452" t="s">
        <v>599</v>
      </c>
      <c r="AF452" t="s">
        <v>599</v>
      </c>
      <c r="AG452" t="s">
        <v>599</v>
      </c>
      <c r="AH452" t="s">
        <v>599</v>
      </c>
      <c r="AI452" t="s">
        <v>599</v>
      </c>
      <c r="AJ452" t="s">
        <v>2790</v>
      </c>
      <c r="AK452" t="s">
        <v>1188</v>
      </c>
      <c r="AL452" t="s">
        <v>2791</v>
      </c>
      <c r="AM452" t="s">
        <v>1190</v>
      </c>
      <c r="AN452" t="s">
        <v>2792</v>
      </c>
      <c r="AO452" t="s">
        <v>599</v>
      </c>
      <c r="AP452" t="s">
        <v>599</v>
      </c>
      <c r="AQ452" t="s">
        <v>599</v>
      </c>
      <c r="AR452" t="s">
        <v>599</v>
      </c>
      <c r="AS452" t="s">
        <v>599</v>
      </c>
      <c r="AT452" t="s">
        <v>599</v>
      </c>
    </row>
    <row r="453" spans="1:46" s="13" customFormat="1" ht="30" x14ac:dyDescent="0.25">
      <c r="A453" s="9">
        <v>11026</v>
      </c>
      <c r="B453" s="10">
        <v>473486</v>
      </c>
      <c r="C453" s="10">
        <v>1</v>
      </c>
      <c r="D453" s="9">
        <v>68</v>
      </c>
      <c r="E453" s="11" t="s">
        <v>390</v>
      </c>
      <c r="F453" s="12" t="s">
        <v>391</v>
      </c>
      <c r="G453" s="9"/>
      <c r="H453" s="34"/>
      <c r="I453" s="55" t="str">
        <f t="shared" si="15"/>
        <v>https://permalinkbnd.bnportugal.gov.pt/viewer/278031/?offset=#page=68&amp;viewer=picture&amp;o=info&amp;n=0&amp;q=</v>
      </c>
      <c r="J453" s="45"/>
      <c r="K453" s="45"/>
      <c r="L453" s="45"/>
      <c r="M453" t="s">
        <v>390</v>
      </c>
      <c r="N453">
        <v>278031</v>
      </c>
      <c r="O453" t="str">
        <f t="shared" si="14"/>
        <v>https://permalinkbnd.bnportugal.gov.pt/viewer/278031/?offset=#page=68&amp;viewer=picture&amp;o=info&amp;n=0&amp;q=</v>
      </c>
      <c r="P453">
        <v>473486</v>
      </c>
      <c r="Q453" t="s">
        <v>390</v>
      </c>
      <c r="R453" t="s">
        <v>2793</v>
      </c>
      <c r="S453" t="s">
        <v>1517</v>
      </c>
      <c r="T453" t="s">
        <v>1192</v>
      </c>
      <c r="U453" t="s">
        <v>599</v>
      </c>
      <c r="V453" t="s">
        <v>2794</v>
      </c>
      <c r="W453" t="s">
        <v>599</v>
      </c>
      <c r="X453" t="s">
        <v>599</v>
      </c>
      <c r="Y453" t="s">
        <v>1182</v>
      </c>
      <c r="Z453" t="s">
        <v>599</v>
      </c>
      <c r="AA453">
        <v>1847</v>
      </c>
      <c r="AB453">
        <v>1847</v>
      </c>
      <c r="AC453" t="s">
        <v>2795</v>
      </c>
      <c r="AD453" t="s">
        <v>2796</v>
      </c>
      <c r="AE453" t="s">
        <v>599</v>
      </c>
      <c r="AF453" t="s">
        <v>599</v>
      </c>
      <c r="AG453" t="s">
        <v>2306</v>
      </c>
      <c r="AH453" t="s">
        <v>599</v>
      </c>
      <c r="AI453" t="s">
        <v>599</v>
      </c>
      <c r="AJ453" t="s">
        <v>2797</v>
      </c>
      <c r="AK453" t="s">
        <v>1188</v>
      </c>
      <c r="AL453" t="s">
        <v>2798</v>
      </c>
      <c r="AM453" t="s">
        <v>1190</v>
      </c>
      <c r="AN453" t="s">
        <v>2799</v>
      </c>
      <c r="AO453" t="s">
        <v>599</v>
      </c>
      <c r="AP453" t="s">
        <v>599</v>
      </c>
      <c r="AQ453" t="s">
        <v>599</v>
      </c>
      <c r="AR453" t="s">
        <v>599</v>
      </c>
      <c r="AS453" t="s">
        <v>599</v>
      </c>
      <c r="AT453" t="s">
        <v>599</v>
      </c>
    </row>
    <row r="454" spans="1:46" s="13" customFormat="1" ht="30" x14ac:dyDescent="0.25">
      <c r="A454" s="9">
        <v>11027</v>
      </c>
      <c r="B454" s="10">
        <v>473496</v>
      </c>
      <c r="C454" s="10">
        <v>1</v>
      </c>
      <c r="D454" s="9">
        <v>1</v>
      </c>
      <c r="E454" s="11" t="s">
        <v>392</v>
      </c>
      <c r="F454" s="12" t="s">
        <v>393</v>
      </c>
      <c r="G454" s="9">
        <v>1</v>
      </c>
      <c r="H454" s="34"/>
      <c r="I454" s="55" t="str">
        <f t="shared" si="15"/>
        <v>https://permalinkbnd.bnportugal.gov.pt/viewer/278032/?offset=#page=1&amp;viewer=picture&amp;o=info&amp;n=0&amp;q=</v>
      </c>
      <c r="J454" s="45"/>
      <c r="K454" s="45"/>
      <c r="L454" s="45"/>
      <c r="M454" t="s">
        <v>392</v>
      </c>
      <c r="N454">
        <v>278032</v>
      </c>
      <c r="O454" t="str">
        <f t="shared" si="14"/>
        <v>https://permalinkbnd.bnportugal.gov.pt/viewer/278032/?offset=#page=1&amp;viewer=picture&amp;o=info&amp;n=0&amp;q=</v>
      </c>
      <c r="P454">
        <v>473496</v>
      </c>
      <c r="Q454" t="s">
        <v>392</v>
      </c>
      <c r="R454" t="s">
        <v>2800</v>
      </c>
      <c r="S454" t="s">
        <v>1178</v>
      </c>
      <c r="T454" t="s">
        <v>1192</v>
      </c>
      <c r="U454" t="s">
        <v>599</v>
      </c>
      <c r="V454" t="s">
        <v>2801</v>
      </c>
      <c r="W454" t="s">
        <v>599</v>
      </c>
      <c r="X454" t="s">
        <v>599</v>
      </c>
      <c r="Y454" t="s">
        <v>1182</v>
      </c>
      <c r="Z454" t="s">
        <v>2802</v>
      </c>
      <c r="AA454">
        <v>1845</v>
      </c>
      <c r="AB454">
        <v>1845</v>
      </c>
      <c r="AC454" t="s">
        <v>2803</v>
      </c>
      <c r="AD454" t="s">
        <v>2804</v>
      </c>
      <c r="AE454" t="s">
        <v>599</v>
      </c>
      <c r="AF454" t="s">
        <v>599</v>
      </c>
      <c r="AG454" t="s">
        <v>599</v>
      </c>
      <c r="AH454" t="s">
        <v>599</v>
      </c>
      <c r="AI454" t="s">
        <v>599</v>
      </c>
      <c r="AJ454" t="s">
        <v>2805</v>
      </c>
      <c r="AK454" t="s">
        <v>1188</v>
      </c>
      <c r="AL454" t="s">
        <v>2806</v>
      </c>
      <c r="AM454" t="s">
        <v>1190</v>
      </c>
      <c r="AN454" t="s">
        <v>1524</v>
      </c>
      <c r="AO454" t="s">
        <v>599</v>
      </c>
      <c r="AP454" t="s">
        <v>599</v>
      </c>
      <c r="AQ454" t="s">
        <v>599</v>
      </c>
      <c r="AR454" t="s">
        <v>599</v>
      </c>
      <c r="AS454" t="s">
        <v>599</v>
      </c>
      <c r="AT454" t="s">
        <v>599</v>
      </c>
    </row>
    <row r="455" spans="1:46" s="13" customFormat="1" ht="45" x14ac:dyDescent="0.25">
      <c r="A455" s="9">
        <v>11046</v>
      </c>
      <c r="B455" s="10">
        <v>330264</v>
      </c>
      <c r="C455" s="10">
        <v>1</v>
      </c>
      <c r="D455" s="9">
        <v>136</v>
      </c>
      <c r="E455" s="11" t="s">
        <v>394</v>
      </c>
      <c r="F455" s="12" t="s">
        <v>395</v>
      </c>
      <c r="G455" s="9" t="s">
        <v>396</v>
      </c>
      <c r="H455" s="34"/>
      <c r="I455" s="55" t="str">
        <f t="shared" si="15"/>
        <v>https://permalinkbnd.bnportugal.gov.pt/viewer/278097/?offset=#page=136&amp;viewer=picture&amp;o=info&amp;n=0&amp;q=</v>
      </c>
      <c r="J455" s="45"/>
      <c r="K455" s="45"/>
      <c r="L455" s="45"/>
      <c r="M455" t="s">
        <v>394</v>
      </c>
      <c r="N455">
        <v>278097</v>
      </c>
      <c r="O455" t="str">
        <f t="shared" si="14"/>
        <v>https://permalinkbnd.bnportugal.gov.pt/viewer/278097/?offset=#page=136&amp;viewer=picture&amp;o=info&amp;n=0&amp;q=</v>
      </c>
      <c r="P455">
        <v>330264</v>
      </c>
      <c r="Q455" t="s">
        <v>394</v>
      </c>
      <c r="R455" t="s">
        <v>2807</v>
      </c>
      <c r="S455" t="s">
        <v>1178</v>
      </c>
      <c r="T455" t="s">
        <v>1192</v>
      </c>
      <c r="U455" t="s">
        <v>599</v>
      </c>
      <c r="V455" t="s">
        <v>2808</v>
      </c>
      <c r="W455" t="s">
        <v>599</v>
      </c>
      <c r="X455" t="s">
        <v>599</v>
      </c>
      <c r="Y455" t="s">
        <v>1182</v>
      </c>
      <c r="Z455" t="s">
        <v>2809</v>
      </c>
      <c r="AA455">
        <v>1893</v>
      </c>
      <c r="AB455">
        <v>1893</v>
      </c>
      <c r="AC455" t="s">
        <v>2810</v>
      </c>
      <c r="AD455" t="s">
        <v>2811</v>
      </c>
      <c r="AE455" t="s">
        <v>599</v>
      </c>
      <c r="AF455" t="s">
        <v>599</v>
      </c>
      <c r="AG455" t="s">
        <v>599</v>
      </c>
      <c r="AH455" t="s">
        <v>599</v>
      </c>
      <c r="AI455" t="s">
        <v>599</v>
      </c>
      <c r="AJ455" t="s">
        <v>2812</v>
      </c>
      <c r="AK455" t="s">
        <v>1188</v>
      </c>
      <c r="AL455" t="s">
        <v>2813</v>
      </c>
      <c r="AM455" t="s">
        <v>1190</v>
      </c>
      <c r="AN455" t="s">
        <v>599</v>
      </c>
      <c r="AO455" t="s">
        <v>599</v>
      </c>
      <c r="AP455" t="s">
        <v>599</v>
      </c>
      <c r="AQ455" t="s">
        <v>599</v>
      </c>
      <c r="AR455" t="s">
        <v>599</v>
      </c>
      <c r="AS455" t="s">
        <v>599</v>
      </c>
      <c r="AT455" t="s">
        <v>599</v>
      </c>
    </row>
    <row r="456" spans="1:46" s="13" customFormat="1" ht="45" x14ac:dyDescent="0.25">
      <c r="A456" s="9">
        <v>11047</v>
      </c>
      <c r="B456" s="10">
        <v>330264</v>
      </c>
      <c r="C456" s="10">
        <v>1</v>
      </c>
      <c r="D456" s="9">
        <v>138</v>
      </c>
      <c r="E456" s="11" t="s">
        <v>394</v>
      </c>
      <c r="F456" s="12" t="s">
        <v>395</v>
      </c>
      <c r="G456" s="9" t="s">
        <v>396</v>
      </c>
      <c r="H456" s="34"/>
      <c r="I456" s="55" t="str">
        <f t="shared" si="15"/>
        <v>https://permalinkbnd.bnportugal.gov.pt/viewer/278097/?offset=#page=138&amp;viewer=picture&amp;o=info&amp;n=0&amp;q=</v>
      </c>
      <c r="J456" s="45"/>
      <c r="K456" s="45"/>
      <c r="L456" s="45"/>
      <c r="M456" t="s">
        <v>394</v>
      </c>
      <c r="N456">
        <v>278097</v>
      </c>
      <c r="O456" t="str">
        <f t="shared" si="14"/>
        <v>https://permalinkbnd.bnportugal.gov.pt/viewer/278097/?offset=#page=138&amp;viewer=picture&amp;o=info&amp;n=0&amp;q=</v>
      </c>
      <c r="P456">
        <v>330264</v>
      </c>
      <c r="Q456" t="s">
        <v>394</v>
      </c>
      <c r="R456" t="s">
        <v>2807</v>
      </c>
      <c r="S456" t="s">
        <v>1178</v>
      </c>
      <c r="T456" t="s">
        <v>1192</v>
      </c>
      <c r="U456" t="s">
        <v>599</v>
      </c>
      <c r="V456" t="s">
        <v>2808</v>
      </c>
      <c r="W456" t="s">
        <v>599</v>
      </c>
      <c r="X456" t="s">
        <v>599</v>
      </c>
      <c r="Y456" t="s">
        <v>1182</v>
      </c>
      <c r="Z456" t="s">
        <v>2809</v>
      </c>
      <c r="AA456">
        <v>1893</v>
      </c>
      <c r="AB456">
        <v>1893</v>
      </c>
      <c r="AC456" t="s">
        <v>2810</v>
      </c>
      <c r="AD456" t="s">
        <v>2811</v>
      </c>
      <c r="AE456" t="s">
        <v>599</v>
      </c>
      <c r="AF456" t="s">
        <v>599</v>
      </c>
      <c r="AG456" t="s">
        <v>599</v>
      </c>
      <c r="AH456" t="s">
        <v>599</v>
      </c>
      <c r="AI456" t="s">
        <v>599</v>
      </c>
      <c r="AJ456" t="s">
        <v>2812</v>
      </c>
      <c r="AK456" t="s">
        <v>1188</v>
      </c>
      <c r="AL456" t="s">
        <v>2813</v>
      </c>
      <c r="AM456" t="s">
        <v>1190</v>
      </c>
      <c r="AN456" t="s">
        <v>599</v>
      </c>
      <c r="AO456" t="s">
        <v>599</v>
      </c>
      <c r="AP456" t="s">
        <v>599</v>
      </c>
      <c r="AQ456" t="s">
        <v>599</v>
      </c>
      <c r="AR456" t="s">
        <v>599</v>
      </c>
      <c r="AS456" t="s">
        <v>599</v>
      </c>
      <c r="AT456" t="s">
        <v>599</v>
      </c>
    </row>
    <row r="457" spans="1:46" s="13" customFormat="1" ht="45" x14ac:dyDescent="0.25">
      <c r="A457" s="9">
        <v>11048</v>
      </c>
      <c r="B457" s="10">
        <v>330264</v>
      </c>
      <c r="C457" s="10">
        <v>1</v>
      </c>
      <c r="D457" s="9">
        <v>140</v>
      </c>
      <c r="E457" s="11" t="s">
        <v>394</v>
      </c>
      <c r="F457" s="12" t="s">
        <v>395</v>
      </c>
      <c r="G457" s="9" t="s">
        <v>396</v>
      </c>
      <c r="H457" s="34"/>
      <c r="I457" s="55" t="str">
        <f t="shared" si="15"/>
        <v>https://permalinkbnd.bnportugal.gov.pt/viewer/278097/?offset=#page=140&amp;viewer=picture&amp;o=info&amp;n=0&amp;q=</v>
      </c>
      <c r="J457" s="45"/>
      <c r="K457" s="45"/>
      <c r="L457" s="45"/>
      <c r="M457" t="s">
        <v>394</v>
      </c>
      <c r="N457">
        <v>278097</v>
      </c>
      <c r="O457" t="str">
        <f t="shared" si="14"/>
        <v>https://permalinkbnd.bnportugal.gov.pt/viewer/278097/?offset=#page=140&amp;viewer=picture&amp;o=info&amp;n=0&amp;q=</v>
      </c>
      <c r="P457">
        <v>330264</v>
      </c>
      <c r="Q457" t="s">
        <v>394</v>
      </c>
      <c r="R457" t="s">
        <v>2807</v>
      </c>
      <c r="S457" t="s">
        <v>1178</v>
      </c>
      <c r="T457" t="s">
        <v>1192</v>
      </c>
      <c r="U457" t="s">
        <v>599</v>
      </c>
      <c r="V457" t="s">
        <v>2808</v>
      </c>
      <c r="W457" t="s">
        <v>599</v>
      </c>
      <c r="X457" t="s">
        <v>599</v>
      </c>
      <c r="Y457" t="s">
        <v>1182</v>
      </c>
      <c r="Z457" t="s">
        <v>2809</v>
      </c>
      <c r="AA457">
        <v>1893</v>
      </c>
      <c r="AB457">
        <v>1893</v>
      </c>
      <c r="AC457" t="s">
        <v>2810</v>
      </c>
      <c r="AD457" t="s">
        <v>2811</v>
      </c>
      <c r="AE457" t="s">
        <v>599</v>
      </c>
      <c r="AF457" t="s">
        <v>599</v>
      </c>
      <c r="AG457" t="s">
        <v>599</v>
      </c>
      <c r="AH457" t="s">
        <v>599</v>
      </c>
      <c r="AI457" t="s">
        <v>599</v>
      </c>
      <c r="AJ457" t="s">
        <v>2812</v>
      </c>
      <c r="AK457" t="s">
        <v>1188</v>
      </c>
      <c r="AL457" t="s">
        <v>2813</v>
      </c>
      <c r="AM457" t="s">
        <v>1190</v>
      </c>
      <c r="AN457" t="s">
        <v>599</v>
      </c>
      <c r="AO457" t="s">
        <v>599</v>
      </c>
      <c r="AP457" t="s">
        <v>599</v>
      </c>
      <c r="AQ457" t="s">
        <v>599</v>
      </c>
      <c r="AR457" t="s">
        <v>599</v>
      </c>
      <c r="AS457" t="s">
        <v>599</v>
      </c>
      <c r="AT457" t="s">
        <v>599</v>
      </c>
    </row>
    <row r="458" spans="1:46" s="13" customFormat="1" ht="45" x14ac:dyDescent="0.25">
      <c r="A458" s="9">
        <v>11049</v>
      </c>
      <c r="B458" s="10">
        <v>330264</v>
      </c>
      <c r="C458" s="10">
        <v>1</v>
      </c>
      <c r="D458" s="9">
        <v>142</v>
      </c>
      <c r="E458" s="11" t="s">
        <v>394</v>
      </c>
      <c r="F458" s="12" t="s">
        <v>395</v>
      </c>
      <c r="G458" s="9" t="s">
        <v>396</v>
      </c>
      <c r="H458" s="34"/>
      <c r="I458" s="55" t="str">
        <f t="shared" si="15"/>
        <v>https://permalinkbnd.bnportugal.gov.pt/viewer/278097/?offset=#page=142&amp;viewer=picture&amp;o=info&amp;n=0&amp;q=</v>
      </c>
      <c r="J458" s="45"/>
      <c r="K458" s="45"/>
      <c r="L458" s="45"/>
      <c r="M458" t="s">
        <v>394</v>
      </c>
      <c r="N458">
        <v>278097</v>
      </c>
      <c r="O458" t="str">
        <f t="shared" si="14"/>
        <v>https://permalinkbnd.bnportugal.gov.pt/viewer/278097/?offset=#page=142&amp;viewer=picture&amp;o=info&amp;n=0&amp;q=</v>
      </c>
      <c r="P458">
        <v>330264</v>
      </c>
      <c r="Q458" t="s">
        <v>394</v>
      </c>
      <c r="R458" t="s">
        <v>2807</v>
      </c>
      <c r="S458" t="s">
        <v>1178</v>
      </c>
      <c r="T458" t="s">
        <v>1192</v>
      </c>
      <c r="U458" t="s">
        <v>599</v>
      </c>
      <c r="V458" t="s">
        <v>2808</v>
      </c>
      <c r="W458" t="s">
        <v>599</v>
      </c>
      <c r="X458" t="s">
        <v>599</v>
      </c>
      <c r="Y458" t="s">
        <v>1182</v>
      </c>
      <c r="Z458" t="s">
        <v>2809</v>
      </c>
      <c r="AA458">
        <v>1893</v>
      </c>
      <c r="AB458">
        <v>1893</v>
      </c>
      <c r="AC458" t="s">
        <v>2810</v>
      </c>
      <c r="AD458" t="s">
        <v>2811</v>
      </c>
      <c r="AE458" t="s">
        <v>599</v>
      </c>
      <c r="AF458" t="s">
        <v>599</v>
      </c>
      <c r="AG458" t="s">
        <v>599</v>
      </c>
      <c r="AH458" t="s">
        <v>599</v>
      </c>
      <c r="AI458" t="s">
        <v>599</v>
      </c>
      <c r="AJ458" t="s">
        <v>2812</v>
      </c>
      <c r="AK458" t="s">
        <v>1188</v>
      </c>
      <c r="AL458" t="s">
        <v>2813</v>
      </c>
      <c r="AM458" t="s">
        <v>1190</v>
      </c>
      <c r="AN458" t="s">
        <v>599</v>
      </c>
      <c r="AO458" t="s">
        <v>599</v>
      </c>
      <c r="AP458" t="s">
        <v>599</v>
      </c>
      <c r="AQ458" t="s">
        <v>599</v>
      </c>
      <c r="AR458" t="s">
        <v>599</v>
      </c>
      <c r="AS458" t="s">
        <v>599</v>
      </c>
      <c r="AT458" t="s">
        <v>599</v>
      </c>
    </row>
    <row r="459" spans="1:46" s="13" customFormat="1" ht="45" x14ac:dyDescent="0.25">
      <c r="A459" s="9">
        <v>11050</v>
      </c>
      <c r="B459" s="10">
        <v>330264</v>
      </c>
      <c r="C459" s="10">
        <v>1</v>
      </c>
      <c r="D459" s="9">
        <v>144</v>
      </c>
      <c r="E459" s="11" t="s">
        <v>394</v>
      </c>
      <c r="F459" s="12" t="s">
        <v>395</v>
      </c>
      <c r="G459" s="9" t="s">
        <v>396</v>
      </c>
      <c r="H459" s="34"/>
      <c r="I459" s="55" t="str">
        <f t="shared" si="15"/>
        <v>https://permalinkbnd.bnportugal.gov.pt/viewer/278097/?offset=#page=144&amp;viewer=picture&amp;o=info&amp;n=0&amp;q=</v>
      </c>
      <c r="J459" s="45"/>
      <c r="K459" s="45"/>
      <c r="L459" s="45"/>
      <c r="M459" t="s">
        <v>394</v>
      </c>
      <c r="N459">
        <v>278097</v>
      </c>
      <c r="O459" t="str">
        <f t="shared" si="14"/>
        <v>https://permalinkbnd.bnportugal.gov.pt/viewer/278097/?offset=#page=144&amp;viewer=picture&amp;o=info&amp;n=0&amp;q=</v>
      </c>
      <c r="P459">
        <v>330264</v>
      </c>
      <c r="Q459" t="s">
        <v>394</v>
      </c>
      <c r="R459" t="s">
        <v>2807</v>
      </c>
      <c r="S459" t="s">
        <v>1178</v>
      </c>
      <c r="T459" t="s">
        <v>1192</v>
      </c>
      <c r="U459" t="s">
        <v>599</v>
      </c>
      <c r="V459" t="s">
        <v>2808</v>
      </c>
      <c r="W459" t="s">
        <v>599</v>
      </c>
      <c r="X459" t="s">
        <v>599</v>
      </c>
      <c r="Y459" t="s">
        <v>1182</v>
      </c>
      <c r="Z459" t="s">
        <v>2809</v>
      </c>
      <c r="AA459">
        <v>1893</v>
      </c>
      <c r="AB459">
        <v>1893</v>
      </c>
      <c r="AC459" t="s">
        <v>2810</v>
      </c>
      <c r="AD459" t="s">
        <v>2811</v>
      </c>
      <c r="AE459" t="s">
        <v>599</v>
      </c>
      <c r="AF459" t="s">
        <v>599</v>
      </c>
      <c r="AG459" t="s">
        <v>599</v>
      </c>
      <c r="AH459" t="s">
        <v>599</v>
      </c>
      <c r="AI459" t="s">
        <v>599</v>
      </c>
      <c r="AJ459" t="s">
        <v>2812</v>
      </c>
      <c r="AK459" t="s">
        <v>1188</v>
      </c>
      <c r="AL459" t="s">
        <v>2813</v>
      </c>
      <c r="AM459" t="s">
        <v>1190</v>
      </c>
      <c r="AN459" t="s">
        <v>599</v>
      </c>
      <c r="AO459" t="s">
        <v>599</v>
      </c>
      <c r="AP459" t="s">
        <v>599</v>
      </c>
      <c r="AQ459" t="s">
        <v>599</v>
      </c>
      <c r="AR459" t="s">
        <v>599</v>
      </c>
      <c r="AS459" t="s">
        <v>599</v>
      </c>
      <c r="AT459" t="s">
        <v>599</v>
      </c>
    </row>
    <row r="460" spans="1:46" s="13" customFormat="1" ht="30" x14ac:dyDescent="0.25">
      <c r="A460" s="9">
        <v>11051</v>
      </c>
      <c r="B460" s="10">
        <v>455278</v>
      </c>
      <c r="C460" s="10">
        <v>1</v>
      </c>
      <c r="D460" s="9">
        <v>8</v>
      </c>
      <c r="E460" s="11" t="s">
        <v>397</v>
      </c>
      <c r="F460" s="12" t="s">
        <v>398</v>
      </c>
      <c r="G460" s="9">
        <v>8</v>
      </c>
      <c r="H460" s="34"/>
      <c r="I460" s="55" t="str">
        <f t="shared" si="15"/>
        <v>https://permalinkbnd.bnportugal.gov.pt/viewer/278099/?offset=#page=8&amp;viewer=picture&amp;o=info&amp;n=0&amp;q=</v>
      </c>
      <c r="J460" s="45"/>
      <c r="K460" s="45"/>
      <c r="L460" s="45"/>
      <c r="M460" t="s">
        <v>397</v>
      </c>
      <c r="N460">
        <v>278099</v>
      </c>
      <c r="O460" t="str">
        <f t="shared" si="14"/>
        <v>https://permalinkbnd.bnportugal.gov.pt/viewer/278099/?offset=#page=8&amp;viewer=picture&amp;o=info&amp;n=0&amp;q=</v>
      </c>
      <c r="P460">
        <v>455278</v>
      </c>
      <c r="Q460" t="s">
        <v>397</v>
      </c>
      <c r="R460" t="s">
        <v>2814</v>
      </c>
      <c r="S460" t="s">
        <v>1178</v>
      </c>
      <c r="T460" t="s">
        <v>1362</v>
      </c>
      <c r="U460" t="s">
        <v>1192</v>
      </c>
      <c r="V460" t="s">
        <v>2815</v>
      </c>
      <c r="W460" t="s">
        <v>2816</v>
      </c>
      <c r="X460" t="s">
        <v>599</v>
      </c>
      <c r="Y460" t="s">
        <v>1182</v>
      </c>
      <c r="Z460" t="s">
        <v>2817</v>
      </c>
      <c r="AA460">
        <v>1800</v>
      </c>
      <c r="AB460">
        <v>1800</v>
      </c>
      <c r="AC460" t="s">
        <v>2818</v>
      </c>
      <c r="AD460" t="s">
        <v>1185</v>
      </c>
      <c r="AE460" t="s">
        <v>599</v>
      </c>
      <c r="AF460" t="s">
        <v>599</v>
      </c>
      <c r="AG460" t="s">
        <v>599</v>
      </c>
      <c r="AH460" t="s">
        <v>599</v>
      </c>
      <c r="AI460" t="s">
        <v>599</v>
      </c>
      <c r="AJ460" t="s">
        <v>2819</v>
      </c>
      <c r="AK460" t="s">
        <v>1188</v>
      </c>
      <c r="AL460" t="s">
        <v>2820</v>
      </c>
      <c r="AM460" t="s">
        <v>1190</v>
      </c>
      <c r="AN460" t="s">
        <v>599</v>
      </c>
      <c r="AO460" t="s">
        <v>599</v>
      </c>
      <c r="AP460" t="s">
        <v>599</v>
      </c>
      <c r="AQ460" t="s">
        <v>599</v>
      </c>
      <c r="AR460" t="s">
        <v>599</v>
      </c>
      <c r="AS460" t="s">
        <v>599</v>
      </c>
      <c r="AT460" t="s">
        <v>599</v>
      </c>
    </row>
    <row r="461" spans="1:46" s="13" customFormat="1" ht="30" x14ac:dyDescent="0.25">
      <c r="A461" s="9">
        <v>11068</v>
      </c>
      <c r="B461" s="10">
        <v>367321</v>
      </c>
      <c r="C461" s="10">
        <v>1</v>
      </c>
      <c r="D461" s="9">
        <v>5</v>
      </c>
      <c r="E461" s="11" t="s">
        <v>399</v>
      </c>
      <c r="F461" s="12" t="s">
        <v>400</v>
      </c>
      <c r="G461" s="9" t="s">
        <v>401</v>
      </c>
      <c r="H461" s="34"/>
      <c r="I461" s="55" t="str">
        <f t="shared" si="15"/>
        <v>https://permalinkbnd.bnportugal.gov.pt/viewer/1897/?offset=#page=5&amp;viewer=picture&amp;o=info&amp;n=0&amp;q=</v>
      </c>
      <c r="J461" s="45"/>
      <c r="K461" s="45"/>
      <c r="L461" s="45"/>
      <c r="M461" t="s">
        <v>399</v>
      </c>
      <c r="N461">
        <v>1897</v>
      </c>
      <c r="O461" t="str">
        <f t="shared" si="14"/>
        <v>https://permalinkbnd.bnportugal.gov.pt/viewer/1897/?offset=#page=5&amp;viewer=picture&amp;o=info&amp;n=0&amp;q=</v>
      </c>
      <c r="P461">
        <v>367321</v>
      </c>
      <c r="Q461" t="s">
        <v>399</v>
      </c>
      <c r="R461" t="s">
        <v>2821</v>
      </c>
      <c r="S461" t="s">
        <v>1226</v>
      </c>
      <c r="T461" t="s">
        <v>1192</v>
      </c>
      <c r="U461" t="s">
        <v>599</v>
      </c>
      <c r="V461" t="s">
        <v>2822</v>
      </c>
      <c r="W461" t="s">
        <v>599</v>
      </c>
      <c r="X461" t="s">
        <v>599</v>
      </c>
      <c r="Y461" t="s">
        <v>1182</v>
      </c>
      <c r="Z461" t="s">
        <v>2823</v>
      </c>
      <c r="AA461">
        <v>1896</v>
      </c>
      <c r="AB461">
        <v>1896</v>
      </c>
      <c r="AC461" t="s">
        <v>2824</v>
      </c>
      <c r="AD461" t="s">
        <v>599</v>
      </c>
      <c r="AE461" t="s">
        <v>599</v>
      </c>
      <c r="AF461" t="s">
        <v>599</v>
      </c>
      <c r="AG461" t="s">
        <v>2825</v>
      </c>
      <c r="AH461" t="s">
        <v>599</v>
      </c>
      <c r="AI461" t="s">
        <v>599</v>
      </c>
      <c r="AJ461" t="s">
        <v>2826</v>
      </c>
      <c r="AK461" t="s">
        <v>1188</v>
      </c>
      <c r="AL461" t="s">
        <v>2827</v>
      </c>
      <c r="AM461" t="s">
        <v>1190</v>
      </c>
      <c r="AN461" t="s">
        <v>599</v>
      </c>
      <c r="AO461" t="s">
        <v>599</v>
      </c>
      <c r="AP461" t="s">
        <v>599</v>
      </c>
      <c r="AQ461" t="s">
        <v>599</v>
      </c>
      <c r="AR461" t="s">
        <v>599</v>
      </c>
      <c r="AS461" t="s">
        <v>599</v>
      </c>
      <c r="AT461" t="s">
        <v>599</v>
      </c>
    </row>
    <row r="462" spans="1:46" s="13" customFormat="1" ht="30" x14ac:dyDescent="0.25">
      <c r="A462" s="9">
        <v>11069</v>
      </c>
      <c r="B462" s="10">
        <v>367321</v>
      </c>
      <c r="C462" s="10">
        <v>1</v>
      </c>
      <c r="D462" s="9">
        <v>39</v>
      </c>
      <c r="E462" s="11" t="s">
        <v>399</v>
      </c>
      <c r="F462" s="12" t="s">
        <v>400</v>
      </c>
      <c r="G462" s="9" t="s">
        <v>401</v>
      </c>
      <c r="H462" s="34"/>
      <c r="I462" s="55" t="str">
        <f t="shared" si="15"/>
        <v>https://permalinkbnd.bnportugal.gov.pt/viewer/1897/?offset=#page=39&amp;viewer=picture&amp;o=info&amp;n=0&amp;q=</v>
      </c>
      <c r="J462" s="45"/>
      <c r="K462" s="45"/>
      <c r="L462" s="45"/>
      <c r="M462" t="s">
        <v>399</v>
      </c>
      <c r="N462">
        <v>1897</v>
      </c>
      <c r="O462" t="str">
        <f t="shared" si="14"/>
        <v>https://permalinkbnd.bnportugal.gov.pt/viewer/1897/?offset=#page=39&amp;viewer=picture&amp;o=info&amp;n=0&amp;q=</v>
      </c>
      <c r="P462">
        <v>367321</v>
      </c>
      <c r="Q462" t="s">
        <v>399</v>
      </c>
      <c r="R462" t="s">
        <v>2821</v>
      </c>
      <c r="S462" t="s">
        <v>1226</v>
      </c>
      <c r="T462" t="s">
        <v>1192</v>
      </c>
      <c r="U462" t="s">
        <v>599</v>
      </c>
      <c r="V462" t="s">
        <v>2822</v>
      </c>
      <c r="W462" t="s">
        <v>599</v>
      </c>
      <c r="X462" t="s">
        <v>599</v>
      </c>
      <c r="Y462" t="s">
        <v>1182</v>
      </c>
      <c r="Z462" t="s">
        <v>2823</v>
      </c>
      <c r="AA462">
        <v>1896</v>
      </c>
      <c r="AB462">
        <v>1896</v>
      </c>
      <c r="AC462" t="s">
        <v>2824</v>
      </c>
      <c r="AD462" t="s">
        <v>599</v>
      </c>
      <c r="AE462" t="s">
        <v>599</v>
      </c>
      <c r="AF462" t="s">
        <v>599</v>
      </c>
      <c r="AG462" t="s">
        <v>2825</v>
      </c>
      <c r="AH462" t="s">
        <v>599</v>
      </c>
      <c r="AI462" t="s">
        <v>599</v>
      </c>
      <c r="AJ462" t="s">
        <v>2826</v>
      </c>
      <c r="AK462" t="s">
        <v>1188</v>
      </c>
      <c r="AL462" t="s">
        <v>2827</v>
      </c>
      <c r="AM462" t="s">
        <v>1190</v>
      </c>
      <c r="AN462" t="s">
        <v>599</v>
      </c>
      <c r="AO462" t="s">
        <v>599</v>
      </c>
      <c r="AP462" t="s">
        <v>599</v>
      </c>
      <c r="AQ462" t="s">
        <v>599</v>
      </c>
      <c r="AR462" t="s">
        <v>599</v>
      </c>
      <c r="AS462" t="s">
        <v>599</v>
      </c>
      <c r="AT462" t="s">
        <v>599</v>
      </c>
    </row>
    <row r="463" spans="1:46" s="13" customFormat="1" ht="30" x14ac:dyDescent="0.25">
      <c r="A463" s="9">
        <v>11070</v>
      </c>
      <c r="B463" s="10">
        <v>367321</v>
      </c>
      <c r="C463" s="10">
        <v>1</v>
      </c>
      <c r="D463" s="9">
        <v>71</v>
      </c>
      <c r="E463" s="11" t="s">
        <v>399</v>
      </c>
      <c r="F463" s="12" t="s">
        <v>400</v>
      </c>
      <c r="G463" s="9" t="s">
        <v>401</v>
      </c>
      <c r="H463" s="34"/>
      <c r="I463" s="55" t="str">
        <f t="shared" si="15"/>
        <v>https://permalinkbnd.bnportugal.gov.pt/viewer/1897/?offset=#page=71&amp;viewer=picture&amp;o=info&amp;n=0&amp;q=</v>
      </c>
      <c r="J463" s="45"/>
      <c r="K463" s="45"/>
      <c r="L463" s="45"/>
      <c r="M463" t="s">
        <v>399</v>
      </c>
      <c r="N463">
        <v>1897</v>
      </c>
      <c r="O463" t="str">
        <f t="shared" si="14"/>
        <v>https://permalinkbnd.bnportugal.gov.pt/viewer/1897/?offset=#page=71&amp;viewer=picture&amp;o=info&amp;n=0&amp;q=</v>
      </c>
      <c r="P463">
        <v>367321</v>
      </c>
      <c r="Q463" t="s">
        <v>399</v>
      </c>
      <c r="R463" t="s">
        <v>2821</v>
      </c>
      <c r="S463" t="s">
        <v>1226</v>
      </c>
      <c r="T463" t="s">
        <v>1192</v>
      </c>
      <c r="U463" t="s">
        <v>599</v>
      </c>
      <c r="V463" t="s">
        <v>2822</v>
      </c>
      <c r="W463" t="s">
        <v>599</v>
      </c>
      <c r="X463" t="s">
        <v>599</v>
      </c>
      <c r="Y463" t="s">
        <v>1182</v>
      </c>
      <c r="Z463" t="s">
        <v>2823</v>
      </c>
      <c r="AA463">
        <v>1896</v>
      </c>
      <c r="AB463">
        <v>1896</v>
      </c>
      <c r="AC463" t="s">
        <v>2824</v>
      </c>
      <c r="AD463" t="s">
        <v>599</v>
      </c>
      <c r="AE463" t="s">
        <v>599</v>
      </c>
      <c r="AF463" t="s">
        <v>599</v>
      </c>
      <c r="AG463" t="s">
        <v>2825</v>
      </c>
      <c r="AH463" t="s">
        <v>599</v>
      </c>
      <c r="AI463" t="s">
        <v>599</v>
      </c>
      <c r="AJ463" t="s">
        <v>2826</v>
      </c>
      <c r="AK463" t="s">
        <v>1188</v>
      </c>
      <c r="AL463" t="s">
        <v>2827</v>
      </c>
      <c r="AM463" t="s">
        <v>1190</v>
      </c>
      <c r="AN463" t="s">
        <v>599</v>
      </c>
      <c r="AO463" t="s">
        <v>599</v>
      </c>
      <c r="AP463" t="s">
        <v>599</v>
      </c>
      <c r="AQ463" t="s">
        <v>599</v>
      </c>
      <c r="AR463" t="s">
        <v>599</v>
      </c>
      <c r="AS463" t="s">
        <v>599</v>
      </c>
      <c r="AT463" t="s">
        <v>599</v>
      </c>
    </row>
    <row r="464" spans="1:46" s="13" customFormat="1" ht="30" x14ac:dyDescent="0.25">
      <c r="A464" s="9">
        <v>11071</v>
      </c>
      <c r="B464" s="10">
        <v>367321</v>
      </c>
      <c r="C464" s="10">
        <v>1</v>
      </c>
      <c r="D464" s="9">
        <v>151</v>
      </c>
      <c r="E464" s="11" t="s">
        <v>399</v>
      </c>
      <c r="F464" s="12" t="s">
        <v>400</v>
      </c>
      <c r="G464" s="9" t="s">
        <v>401</v>
      </c>
      <c r="H464" s="34"/>
      <c r="I464" s="55" t="str">
        <f t="shared" si="15"/>
        <v>https://permalinkbnd.bnportugal.gov.pt/viewer/1897/?offset=#page=151&amp;viewer=picture&amp;o=info&amp;n=0&amp;q=</v>
      </c>
      <c r="J464" s="45"/>
      <c r="K464" s="45"/>
      <c r="L464" s="45"/>
      <c r="M464" t="s">
        <v>399</v>
      </c>
      <c r="N464">
        <v>1897</v>
      </c>
      <c r="O464" t="str">
        <f t="shared" si="14"/>
        <v>https://permalinkbnd.bnportugal.gov.pt/viewer/1897/?offset=#page=151&amp;viewer=picture&amp;o=info&amp;n=0&amp;q=</v>
      </c>
      <c r="P464">
        <v>367321</v>
      </c>
      <c r="Q464" t="s">
        <v>399</v>
      </c>
      <c r="R464" t="s">
        <v>2821</v>
      </c>
      <c r="S464" t="s">
        <v>1226</v>
      </c>
      <c r="T464" t="s">
        <v>1192</v>
      </c>
      <c r="U464" t="s">
        <v>599</v>
      </c>
      <c r="V464" t="s">
        <v>2822</v>
      </c>
      <c r="W464" t="s">
        <v>599</v>
      </c>
      <c r="X464" t="s">
        <v>599</v>
      </c>
      <c r="Y464" t="s">
        <v>1182</v>
      </c>
      <c r="Z464" t="s">
        <v>2823</v>
      </c>
      <c r="AA464">
        <v>1896</v>
      </c>
      <c r="AB464">
        <v>1896</v>
      </c>
      <c r="AC464" t="s">
        <v>2824</v>
      </c>
      <c r="AD464" t="s">
        <v>599</v>
      </c>
      <c r="AE464" t="s">
        <v>599</v>
      </c>
      <c r="AF464" t="s">
        <v>599</v>
      </c>
      <c r="AG464" t="s">
        <v>2825</v>
      </c>
      <c r="AH464" t="s">
        <v>599</v>
      </c>
      <c r="AI464" t="s">
        <v>599</v>
      </c>
      <c r="AJ464" t="s">
        <v>2826</v>
      </c>
      <c r="AK464" t="s">
        <v>1188</v>
      </c>
      <c r="AL464" t="s">
        <v>2827</v>
      </c>
      <c r="AM464" t="s">
        <v>1190</v>
      </c>
      <c r="AN464" t="s">
        <v>599</v>
      </c>
      <c r="AO464" t="s">
        <v>599</v>
      </c>
      <c r="AP464" t="s">
        <v>599</v>
      </c>
      <c r="AQ464" t="s">
        <v>599</v>
      </c>
      <c r="AR464" t="s">
        <v>599</v>
      </c>
      <c r="AS464" t="s">
        <v>599</v>
      </c>
      <c r="AT464" t="s">
        <v>599</v>
      </c>
    </row>
    <row r="465" spans="1:46" s="13" customFormat="1" ht="90" x14ac:dyDescent="0.25">
      <c r="A465" s="9">
        <v>11072</v>
      </c>
      <c r="B465" s="10">
        <v>367315</v>
      </c>
      <c r="C465" s="10">
        <v>1</v>
      </c>
      <c r="D465" s="9">
        <v>9</v>
      </c>
      <c r="E465" s="11" t="s">
        <v>402</v>
      </c>
      <c r="F465" s="12" t="s">
        <v>403</v>
      </c>
      <c r="G465" s="9" t="s">
        <v>404</v>
      </c>
      <c r="H465" s="34"/>
      <c r="I465" s="55" t="str">
        <f t="shared" si="15"/>
        <v>https://permalinkbnd.bnportugal.gov.pt/viewer/278157/?offset=#page=9&amp;viewer=picture&amp;o=info&amp;n=0&amp;q=</v>
      </c>
      <c r="J465" s="45"/>
      <c r="K465" s="45"/>
      <c r="L465" s="45"/>
      <c r="M465" t="s">
        <v>402</v>
      </c>
      <c r="N465">
        <v>278157</v>
      </c>
      <c r="O465" t="str">
        <f t="shared" si="14"/>
        <v>https://permalinkbnd.bnportugal.gov.pt/viewer/278157/?offset=#page=9&amp;viewer=picture&amp;o=info&amp;n=0&amp;q=</v>
      </c>
      <c r="P465">
        <v>367315</v>
      </c>
      <c r="Q465" t="s">
        <v>402</v>
      </c>
      <c r="R465" t="s">
        <v>2828</v>
      </c>
      <c r="S465" t="s">
        <v>1178</v>
      </c>
      <c r="T465" t="s">
        <v>1192</v>
      </c>
      <c r="U465" t="s">
        <v>599</v>
      </c>
      <c r="V465" t="s">
        <v>2829</v>
      </c>
      <c r="W465" t="s">
        <v>2830</v>
      </c>
      <c r="X465" t="s">
        <v>599</v>
      </c>
      <c r="Y465" t="s">
        <v>1182</v>
      </c>
      <c r="Z465" t="s">
        <v>2831</v>
      </c>
      <c r="AA465">
        <v>1897</v>
      </c>
      <c r="AB465">
        <v>1897</v>
      </c>
      <c r="AC465" t="s">
        <v>2832</v>
      </c>
      <c r="AD465" t="s">
        <v>2833</v>
      </c>
      <c r="AE465" t="s">
        <v>599</v>
      </c>
      <c r="AF465" t="s">
        <v>599</v>
      </c>
      <c r="AG465" t="s">
        <v>599</v>
      </c>
      <c r="AH465" t="s">
        <v>599</v>
      </c>
      <c r="AI465" t="s">
        <v>599</v>
      </c>
      <c r="AJ465" t="s">
        <v>2834</v>
      </c>
      <c r="AK465" t="s">
        <v>1188</v>
      </c>
      <c r="AL465" t="s">
        <v>2835</v>
      </c>
      <c r="AM465" t="s">
        <v>1190</v>
      </c>
      <c r="AN465" t="s">
        <v>599</v>
      </c>
      <c r="AO465" t="s">
        <v>599</v>
      </c>
      <c r="AP465" t="s">
        <v>599</v>
      </c>
      <c r="AQ465" t="s">
        <v>599</v>
      </c>
      <c r="AR465" t="s">
        <v>599</v>
      </c>
      <c r="AS465" t="s">
        <v>599</v>
      </c>
      <c r="AT465" t="s">
        <v>599</v>
      </c>
    </row>
    <row r="466" spans="1:46" s="13" customFormat="1" ht="90" x14ac:dyDescent="0.25">
      <c r="A466" s="9">
        <v>11073</v>
      </c>
      <c r="B466" s="10">
        <v>367315</v>
      </c>
      <c r="C466" s="10">
        <v>1</v>
      </c>
      <c r="D466" s="9">
        <v>11</v>
      </c>
      <c r="E466" s="11" t="s">
        <v>402</v>
      </c>
      <c r="F466" s="12" t="s">
        <v>403</v>
      </c>
      <c r="G466" s="9" t="s">
        <v>404</v>
      </c>
      <c r="H466" s="34"/>
      <c r="I466" s="55" t="str">
        <f t="shared" si="15"/>
        <v>https://permalinkbnd.bnportugal.gov.pt/viewer/278157/?offset=#page=11&amp;viewer=picture&amp;o=info&amp;n=0&amp;q=</v>
      </c>
      <c r="J466" s="45"/>
      <c r="K466" s="45"/>
      <c r="L466" s="45"/>
      <c r="M466" t="s">
        <v>402</v>
      </c>
      <c r="N466">
        <v>278157</v>
      </c>
      <c r="O466" t="str">
        <f t="shared" si="14"/>
        <v>https://permalinkbnd.bnportugal.gov.pt/viewer/278157/?offset=#page=11&amp;viewer=picture&amp;o=info&amp;n=0&amp;q=</v>
      </c>
      <c r="P466">
        <v>367315</v>
      </c>
      <c r="Q466" t="s">
        <v>402</v>
      </c>
      <c r="R466" t="s">
        <v>2828</v>
      </c>
      <c r="S466" t="s">
        <v>1178</v>
      </c>
      <c r="T466" t="s">
        <v>1192</v>
      </c>
      <c r="U466" t="s">
        <v>599</v>
      </c>
      <c r="V466" t="s">
        <v>2829</v>
      </c>
      <c r="W466" t="s">
        <v>2830</v>
      </c>
      <c r="X466" t="s">
        <v>599</v>
      </c>
      <c r="Y466" t="s">
        <v>1182</v>
      </c>
      <c r="Z466" t="s">
        <v>2831</v>
      </c>
      <c r="AA466">
        <v>1897</v>
      </c>
      <c r="AB466">
        <v>1897</v>
      </c>
      <c r="AC466" t="s">
        <v>2832</v>
      </c>
      <c r="AD466" t="s">
        <v>2833</v>
      </c>
      <c r="AE466" t="s">
        <v>599</v>
      </c>
      <c r="AF466" t="s">
        <v>599</v>
      </c>
      <c r="AG466" t="s">
        <v>599</v>
      </c>
      <c r="AH466" t="s">
        <v>599</v>
      </c>
      <c r="AI466" t="s">
        <v>599</v>
      </c>
      <c r="AJ466" t="s">
        <v>2834</v>
      </c>
      <c r="AK466" t="s">
        <v>1188</v>
      </c>
      <c r="AL466" t="s">
        <v>2835</v>
      </c>
      <c r="AM466" t="s">
        <v>1190</v>
      </c>
      <c r="AN466" t="s">
        <v>599</v>
      </c>
      <c r="AO466" t="s">
        <v>599</v>
      </c>
      <c r="AP466" t="s">
        <v>599</v>
      </c>
      <c r="AQ466" t="s">
        <v>599</v>
      </c>
      <c r="AR466" t="s">
        <v>599</v>
      </c>
      <c r="AS466" t="s">
        <v>599</v>
      </c>
      <c r="AT466" t="s">
        <v>599</v>
      </c>
    </row>
    <row r="467" spans="1:46" s="13" customFormat="1" ht="30" x14ac:dyDescent="0.25">
      <c r="A467" s="9">
        <v>11074</v>
      </c>
      <c r="B467" s="10">
        <v>367315</v>
      </c>
      <c r="C467" s="10">
        <v>1</v>
      </c>
      <c r="D467" s="9">
        <v>37</v>
      </c>
      <c r="E467" s="11" t="s">
        <v>402</v>
      </c>
      <c r="F467" s="16"/>
      <c r="G467" s="9" t="s">
        <v>404</v>
      </c>
      <c r="H467" s="34"/>
      <c r="I467" s="55" t="str">
        <f t="shared" si="15"/>
        <v>https://permalinkbnd.bnportugal.gov.pt/viewer/278157/?offset=#page=37&amp;viewer=picture&amp;o=info&amp;n=0&amp;q=</v>
      </c>
      <c r="J467" s="45"/>
      <c r="K467" s="45"/>
      <c r="L467" s="45"/>
      <c r="M467" t="s">
        <v>402</v>
      </c>
      <c r="N467">
        <v>278157</v>
      </c>
      <c r="O467" t="str">
        <f t="shared" si="14"/>
        <v>https://permalinkbnd.bnportugal.gov.pt/viewer/278157/?offset=#page=37&amp;viewer=picture&amp;o=info&amp;n=0&amp;q=</v>
      </c>
      <c r="P467">
        <v>367315</v>
      </c>
      <c r="Q467" t="s">
        <v>402</v>
      </c>
      <c r="R467" t="s">
        <v>2828</v>
      </c>
      <c r="S467" t="s">
        <v>1178</v>
      </c>
      <c r="T467" t="s">
        <v>1192</v>
      </c>
      <c r="U467" t="s">
        <v>599</v>
      </c>
      <c r="V467" t="s">
        <v>2829</v>
      </c>
      <c r="W467" t="s">
        <v>2830</v>
      </c>
      <c r="X467" t="s">
        <v>599</v>
      </c>
      <c r="Y467" t="s">
        <v>1182</v>
      </c>
      <c r="Z467" t="s">
        <v>2831</v>
      </c>
      <c r="AA467">
        <v>1897</v>
      </c>
      <c r="AB467">
        <v>1897</v>
      </c>
      <c r="AC467" t="s">
        <v>2832</v>
      </c>
      <c r="AD467" t="s">
        <v>2833</v>
      </c>
      <c r="AE467" t="s">
        <v>599</v>
      </c>
      <c r="AF467" t="s">
        <v>599</v>
      </c>
      <c r="AG467" t="s">
        <v>599</v>
      </c>
      <c r="AH467" t="s">
        <v>599</v>
      </c>
      <c r="AI467" t="s">
        <v>599</v>
      </c>
      <c r="AJ467" t="s">
        <v>2834</v>
      </c>
      <c r="AK467" t="s">
        <v>1188</v>
      </c>
      <c r="AL467" t="s">
        <v>2835</v>
      </c>
      <c r="AM467" t="s">
        <v>1190</v>
      </c>
      <c r="AN467" t="s">
        <v>599</v>
      </c>
      <c r="AO467" t="s">
        <v>599</v>
      </c>
      <c r="AP467" t="s">
        <v>599</v>
      </c>
      <c r="AQ467" t="s">
        <v>599</v>
      </c>
      <c r="AR467" t="s">
        <v>599</v>
      </c>
      <c r="AS467" t="s">
        <v>599</v>
      </c>
      <c r="AT467" t="s">
        <v>599</v>
      </c>
    </row>
    <row r="468" spans="1:46" s="13" customFormat="1" ht="30" x14ac:dyDescent="0.25">
      <c r="A468" s="9">
        <v>11076</v>
      </c>
      <c r="B468" s="10">
        <v>473530</v>
      </c>
      <c r="C468" s="10">
        <v>1</v>
      </c>
      <c r="D468" s="9">
        <v>13</v>
      </c>
      <c r="E468" s="11" t="s">
        <v>405</v>
      </c>
      <c r="F468" s="12" t="s">
        <v>406</v>
      </c>
      <c r="G468" s="9"/>
      <c r="H468" s="34"/>
      <c r="I468" s="55" t="str">
        <f t="shared" si="15"/>
        <v>https://permalinkbnd.bnportugal.gov.pt/viewer/278166/?offset=#page=13&amp;viewer=picture&amp;o=info&amp;n=0&amp;q=</v>
      </c>
      <c r="J468" s="45"/>
      <c r="K468" s="45"/>
      <c r="L468" s="45"/>
      <c r="M468" t="s">
        <v>405</v>
      </c>
      <c r="N468">
        <v>278166</v>
      </c>
      <c r="O468" t="str">
        <f t="shared" si="14"/>
        <v>https://permalinkbnd.bnportugal.gov.pt/viewer/278166/?offset=#page=13&amp;viewer=picture&amp;o=info&amp;n=0&amp;q=</v>
      </c>
      <c r="P468">
        <v>473530</v>
      </c>
      <c r="Q468" t="s">
        <v>405</v>
      </c>
      <c r="R468" t="s">
        <v>2836</v>
      </c>
      <c r="S468" t="s">
        <v>1178</v>
      </c>
      <c r="T468" t="s">
        <v>1192</v>
      </c>
      <c r="U468" t="s">
        <v>599</v>
      </c>
      <c r="V468" t="s">
        <v>2837</v>
      </c>
      <c r="W468" t="s">
        <v>2838</v>
      </c>
      <c r="X468" t="s">
        <v>599</v>
      </c>
      <c r="Y468" t="s">
        <v>1182</v>
      </c>
      <c r="Z468" t="s">
        <v>2839</v>
      </c>
      <c r="AA468">
        <v>1898</v>
      </c>
      <c r="AB468">
        <v>1898</v>
      </c>
      <c r="AC468" t="s">
        <v>2840</v>
      </c>
      <c r="AD468" t="s">
        <v>1918</v>
      </c>
      <c r="AE468" t="s">
        <v>599</v>
      </c>
      <c r="AF468" t="s">
        <v>599</v>
      </c>
      <c r="AG468" t="s">
        <v>599</v>
      </c>
      <c r="AH468" t="s">
        <v>599</v>
      </c>
      <c r="AI468" t="s">
        <v>599</v>
      </c>
      <c r="AJ468" t="s">
        <v>2841</v>
      </c>
      <c r="AK468" t="s">
        <v>1188</v>
      </c>
      <c r="AL468" t="s">
        <v>2842</v>
      </c>
      <c r="AM468" t="s">
        <v>1190</v>
      </c>
      <c r="AN468" t="s">
        <v>599</v>
      </c>
      <c r="AO468" t="s">
        <v>2843</v>
      </c>
      <c r="AP468" t="s">
        <v>599</v>
      </c>
      <c r="AQ468" t="s">
        <v>599</v>
      </c>
      <c r="AR468" t="s">
        <v>2844</v>
      </c>
      <c r="AS468" t="s">
        <v>599</v>
      </c>
      <c r="AT468" t="s">
        <v>599</v>
      </c>
    </row>
    <row r="469" spans="1:46" s="13" customFormat="1" ht="30" x14ac:dyDescent="0.25">
      <c r="A469" s="9"/>
      <c r="B469" s="10">
        <v>473530</v>
      </c>
      <c r="C469" s="10">
        <v>1</v>
      </c>
      <c r="D469" s="9">
        <v>15</v>
      </c>
      <c r="E469" s="11" t="s">
        <v>405</v>
      </c>
      <c r="F469" s="12" t="s">
        <v>406</v>
      </c>
      <c r="G469" s="9"/>
      <c r="H469" s="34"/>
      <c r="I469" s="55" t="str">
        <f t="shared" si="15"/>
        <v>https://permalinkbnd.bnportugal.gov.pt/viewer/278166/?offset=#page=15&amp;viewer=picture&amp;o=info&amp;n=0&amp;q=</v>
      </c>
      <c r="J469" s="45"/>
      <c r="K469" s="45"/>
      <c r="L469" s="45"/>
      <c r="M469" t="s">
        <v>405</v>
      </c>
      <c r="N469">
        <v>278166</v>
      </c>
      <c r="O469" t="str">
        <f t="shared" si="14"/>
        <v>https://permalinkbnd.bnportugal.gov.pt/viewer/278166/?offset=#page=15&amp;viewer=picture&amp;o=info&amp;n=0&amp;q=</v>
      </c>
      <c r="P469">
        <v>473530</v>
      </c>
      <c r="Q469" t="s">
        <v>405</v>
      </c>
      <c r="R469" t="s">
        <v>2836</v>
      </c>
      <c r="S469" t="s">
        <v>1178</v>
      </c>
      <c r="T469" t="s">
        <v>1192</v>
      </c>
      <c r="U469" t="s">
        <v>599</v>
      </c>
      <c r="V469" t="s">
        <v>2837</v>
      </c>
      <c r="W469" t="s">
        <v>2838</v>
      </c>
      <c r="X469" t="s">
        <v>599</v>
      </c>
      <c r="Y469" t="s">
        <v>1182</v>
      </c>
      <c r="Z469" t="s">
        <v>2839</v>
      </c>
      <c r="AA469">
        <v>1898</v>
      </c>
      <c r="AB469">
        <v>1898</v>
      </c>
      <c r="AC469" t="s">
        <v>2840</v>
      </c>
      <c r="AD469" t="s">
        <v>1918</v>
      </c>
      <c r="AE469" t="s">
        <v>599</v>
      </c>
      <c r="AF469" t="s">
        <v>599</v>
      </c>
      <c r="AG469" t="s">
        <v>599</v>
      </c>
      <c r="AH469" t="s">
        <v>599</v>
      </c>
      <c r="AI469" t="s">
        <v>599</v>
      </c>
      <c r="AJ469" t="s">
        <v>2841</v>
      </c>
      <c r="AK469" t="s">
        <v>1188</v>
      </c>
      <c r="AL469" t="s">
        <v>2842</v>
      </c>
      <c r="AM469" t="s">
        <v>1190</v>
      </c>
      <c r="AN469" t="s">
        <v>599</v>
      </c>
      <c r="AO469" t="s">
        <v>2843</v>
      </c>
      <c r="AP469" t="s">
        <v>599</v>
      </c>
      <c r="AQ469" t="s">
        <v>599</v>
      </c>
      <c r="AR469" t="s">
        <v>2844</v>
      </c>
      <c r="AS469" t="s">
        <v>599</v>
      </c>
      <c r="AT469" t="s">
        <v>599</v>
      </c>
    </row>
    <row r="470" spans="1:46" s="13" customFormat="1" ht="30" x14ac:dyDescent="0.25">
      <c r="A470" s="9">
        <v>11080</v>
      </c>
      <c r="B470" s="10">
        <v>369142</v>
      </c>
      <c r="C470" s="10">
        <v>1</v>
      </c>
      <c r="D470" s="9">
        <v>6</v>
      </c>
      <c r="E470" s="11" t="s">
        <v>407</v>
      </c>
      <c r="F470" s="12" t="s">
        <v>408</v>
      </c>
      <c r="G470" s="9">
        <v>6</v>
      </c>
      <c r="H470" s="34"/>
      <c r="I470" s="55" t="str">
        <f t="shared" si="15"/>
        <v>https://permalinkbnd.bnportugal.gov.pt/viewer/278323/?offset=#page=6&amp;viewer=picture&amp;o=info&amp;n=0&amp;q=</v>
      </c>
      <c r="J470" s="45"/>
      <c r="K470" s="45"/>
      <c r="L470" s="45"/>
      <c r="M470" t="s">
        <v>407</v>
      </c>
      <c r="N470">
        <v>278323</v>
      </c>
      <c r="O470" t="str">
        <f t="shared" si="14"/>
        <v>https://permalinkbnd.bnportugal.gov.pt/viewer/278323/?offset=#page=6&amp;viewer=picture&amp;o=info&amp;n=0&amp;q=</v>
      </c>
      <c r="P470">
        <v>369142</v>
      </c>
      <c r="Q470" t="s">
        <v>407</v>
      </c>
      <c r="R470" t="s">
        <v>2845</v>
      </c>
      <c r="S470" t="s">
        <v>1178</v>
      </c>
      <c r="T470" t="s">
        <v>1192</v>
      </c>
      <c r="U470" t="s">
        <v>599</v>
      </c>
      <c r="V470" t="s">
        <v>1551</v>
      </c>
      <c r="W470" t="s">
        <v>2846</v>
      </c>
      <c r="X470" t="s">
        <v>599</v>
      </c>
      <c r="Y470" t="s">
        <v>2847</v>
      </c>
      <c r="Z470" t="s">
        <v>2848</v>
      </c>
      <c r="AA470">
        <v>1868</v>
      </c>
      <c r="AB470">
        <v>1868</v>
      </c>
      <c r="AC470" t="s">
        <v>2849</v>
      </c>
      <c r="AD470" t="s">
        <v>1185</v>
      </c>
      <c r="AE470" t="s">
        <v>599</v>
      </c>
      <c r="AF470" t="s">
        <v>599</v>
      </c>
      <c r="AG470" t="s">
        <v>599</v>
      </c>
      <c r="AH470" t="s">
        <v>599</v>
      </c>
      <c r="AI470" t="s">
        <v>599</v>
      </c>
      <c r="AJ470" t="s">
        <v>2850</v>
      </c>
      <c r="AK470" t="s">
        <v>1188</v>
      </c>
      <c r="AL470" t="s">
        <v>2851</v>
      </c>
      <c r="AM470" t="s">
        <v>1190</v>
      </c>
      <c r="AN470" t="s">
        <v>599</v>
      </c>
      <c r="AO470" t="s">
        <v>599</v>
      </c>
      <c r="AP470" t="s">
        <v>599</v>
      </c>
      <c r="AQ470" t="s">
        <v>599</v>
      </c>
      <c r="AR470" t="s">
        <v>599</v>
      </c>
      <c r="AS470" t="s">
        <v>599</v>
      </c>
      <c r="AT470" t="s">
        <v>599</v>
      </c>
    </row>
    <row r="471" spans="1:46" s="13" customFormat="1" ht="30" x14ac:dyDescent="0.25">
      <c r="A471" s="9">
        <v>11082</v>
      </c>
      <c r="B471" s="10">
        <v>369151</v>
      </c>
      <c r="C471" s="10">
        <v>1</v>
      </c>
      <c r="D471" s="9">
        <v>7</v>
      </c>
      <c r="E471" s="11" t="s">
        <v>409</v>
      </c>
      <c r="F471" s="12" t="s">
        <v>410</v>
      </c>
      <c r="G471" s="9">
        <v>7</v>
      </c>
      <c r="H471" s="34"/>
      <c r="I471" s="55" t="str">
        <f t="shared" si="15"/>
        <v>https://permalinkbnd.bnportugal.gov.pt/viewer/278325/?offset=#page=7&amp;viewer=picture&amp;o=info&amp;n=0&amp;q=</v>
      </c>
      <c r="J471" s="45"/>
      <c r="K471" s="45"/>
      <c r="L471" s="45"/>
      <c r="M471" t="s">
        <v>409</v>
      </c>
      <c r="N471">
        <v>278325</v>
      </c>
      <c r="O471" t="str">
        <f t="shared" si="14"/>
        <v>https://permalinkbnd.bnportugal.gov.pt/viewer/278325/?offset=#page=7&amp;viewer=picture&amp;o=info&amp;n=0&amp;q=</v>
      </c>
      <c r="P471">
        <v>369151</v>
      </c>
      <c r="Q471" t="s">
        <v>409</v>
      </c>
      <c r="R471" t="s">
        <v>2852</v>
      </c>
      <c r="S471" t="s">
        <v>1178</v>
      </c>
      <c r="T471" t="s">
        <v>1192</v>
      </c>
      <c r="U471" t="s">
        <v>599</v>
      </c>
      <c r="V471" t="s">
        <v>1551</v>
      </c>
      <c r="W471" t="s">
        <v>1778</v>
      </c>
      <c r="X471" t="s">
        <v>599</v>
      </c>
      <c r="Y471" t="s">
        <v>2853</v>
      </c>
      <c r="Z471" t="s">
        <v>2854</v>
      </c>
      <c r="AA471">
        <v>1884</v>
      </c>
      <c r="AB471">
        <v>1884</v>
      </c>
      <c r="AC471" t="s">
        <v>2855</v>
      </c>
      <c r="AD471" t="s">
        <v>1185</v>
      </c>
      <c r="AE471" t="s">
        <v>599</v>
      </c>
      <c r="AF471" t="s">
        <v>599</v>
      </c>
      <c r="AG471" t="s">
        <v>599</v>
      </c>
      <c r="AH471" t="s">
        <v>599</v>
      </c>
      <c r="AI471" t="s">
        <v>599</v>
      </c>
      <c r="AJ471" t="s">
        <v>2856</v>
      </c>
      <c r="AK471" t="s">
        <v>1188</v>
      </c>
      <c r="AL471" t="s">
        <v>2857</v>
      </c>
      <c r="AM471" t="s">
        <v>1190</v>
      </c>
      <c r="AN471" t="s">
        <v>599</v>
      </c>
      <c r="AO471" t="s">
        <v>599</v>
      </c>
      <c r="AP471" t="s">
        <v>599</v>
      </c>
      <c r="AQ471" t="s">
        <v>599</v>
      </c>
      <c r="AR471" t="s">
        <v>599</v>
      </c>
      <c r="AS471" t="s">
        <v>599</v>
      </c>
      <c r="AT471" t="s">
        <v>599</v>
      </c>
    </row>
    <row r="472" spans="1:46" s="13" customFormat="1" ht="30" x14ac:dyDescent="0.25">
      <c r="A472" s="9">
        <v>11083</v>
      </c>
      <c r="B472" s="10">
        <v>322260</v>
      </c>
      <c r="C472" s="10">
        <v>1</v>
      </c>
      <c r="D472" s="9">
        <v>12</v>
      </c>
      <c r="E472" s="11" t="s">
        <v>411</v>
      </c>
      <c r="F472" s="12">
        <v>12</v>
      </c>
      <c r="G472" s="9">
        <v>12</v>
      </c>
      <c r="H472" s="34"/>
      <c r="I472" s="55" t="str">
        <f t="shared" si="15"/>
        <v>https://permalinkbnd.bnportugal.gov.pt/viewer/278334/?offset=#page=12&amp;viewer=picture&amp;o=info&amp;n=0&amp;q=</v>
      </c>
      <c r="J472" s="45"/>
      <c r="K472" s="45"/>
      <c r="L472" s="45"/>
      <c r="M472" t="s">
        <v>411</v>
      </c>
      <c r="N472">
        <v>278334</v>
      </c>
      <c r="O472" t="str">
        <f t="shared" si="14"/>
        <v>https://permalinkbnd.bnportugal.gov.pt/viewer/278334/?offset=#page=12&amp;viewer=picture&amp;o=info&amp;n=0&amp;q=</v>
      </c>
      <c r="P472">
        <v>322260</v>
      </c>
      <c r="Q472" t="s">
        <v>411</v>
      </c>
      <c r="R472" t="s">
        <v>2858</v>
      </c>
      <c r="S472" t="s">
        <v>1178</v>
      </c>
      <c r="T472" t="s">
        <v>1192</v>
      </c>
      <c r="U472" t="s">
        <v>599</v>
      </c>
      <c r="V472" t="s">
        <v>1105</v>
      </c>
      <c r="W472" t="s">
        <v>599</v>
      </c>
      <c r="X472" t="s">
        <v>599</v>
      </c>
      <c r="Y472" t="s">
        <v>1182</v>
      </c>
      <c r="Z472" t="s">
        <v>2859</v>
      </c>
      <c r="AA472">
        <v>1880</v>
      </c>
      <c r="AB472">
        <v>1880</v>
      </c>
      <c r="AC472" t="s">
        <v>2860</v>
      </c>
      <c r="AD472" t="s">
        <v>2861</v>
      </c>
      <c r="AE472" t="s">
        <v>599</v>
      </c>
      <c r="AF472" t="s">
        <v>599</v>
      </c>
      <c r="AG472" t="s">
        <v>599</v>
      </c>
      <c r="AH472" t="s">
        <v>599</v>
      </c>
      <c r="AI472" t="s">
        <v>599</v>
      </c>
      <c r="AJ472" t="s">
        <v>2862</v>
      </c>
      <c r="AK472" t="s">
        <v>1188</v>
      </c>
      <c r="AL472" t="s">
        <v>2863</v>
      </c>
      <c r="AM472" t="s">
        <v>1190</v>
      </c>
      <c r="AN472" t="s">
        <v>2864</v>
      </c>
      <c r="AO472" t="s">
        <v>599</v>
      </c>
      <c r="AP472" t="s">
        <v>599</v>
      </c>
      <c r="AQ472" t="s">
        <v>599</v>
      </c>
      <c r="AR472" t="s">
        <v>599</v>
      </c>
      <c r="AS472" t="s">
        <v>599</v>
      </c>
      <c r="AT472" t="s">
        <v>599</v>
      </c>
    </row>
    <row r="473" spans="1:46" s="13" customFormat="1" ht="30" x14ac:dyDescent="0.25">
      <c r="A473" s="9">
        <v>11097</v>
      </c>
      <c r="B473" s="10">
        <v>189268</v>
      </c>
      <c r="C473" s="10">
        <v>1</v>
      </c>
      <c r="D473" s="9">
        <v>12</v>
      </c>
      <c r="E473" s="11" t="s">
        <v>606</v>
      </c>
      <c r="F473" s="12">
        <v>12</v>
      </c>
      <c r="G473" s="9">
        <v>12</v>
      </c>
      <c r="H473" s="34"/>
      <c r="I473" s="55" t="str">
        <f t="shared" si="15"/>
        <v>https://permalinkbnd.bnportugal.gov.pt/viewer/273607/?offset=#page=12&amp;viewer=picture&amp;o=info&amp;n=0&amp;q=</v>
      </c>
      <c r="J473" s="45"/>
      <c r="K473" s="45"/>
      <c r="L473" s="45"/>
      <c r="M473" t="s">
        <v>606</v>
      </c>
      <c r="N473">
        <v>273607</v>
      </c>
      <c r="O473" t="str">
        <f t="shared" si="14"/>
        <v>https://permalinkbnd.bnportugal.gov.pt/viewer/273607/?offset=#page=12&amp;viewer=picture&amp;o=info&amp;n=0&amp;q=</v>
      </c>
      <c r="P473">
        <v>189268</v>
      </c>
      <c r="Q473" t="s">
        <v>606</v>
      </c>
      <c r="R473" t="s">
        <v>2865</v>
      </c>
      <c r="S473" t="s">
        <v>1178</v>
      </c>
      <c r="T473" t="s">
        <v>1321</v>
      </c>
      <c r="U473" t="s">
        <v>599</v>
      </c>
      <c r="V473" t="s">
        <v>2866</v>
      </c>
      <c r="W473" t="s">
        <v>2867</v>
      </c>
      <c r="X473" t="s">
        <v>599</v>
      </c>
      <c r="Y473" t="s">
        <v>1182</v>
      </c>
      <c r="Z473" t="s">
        <v>1909</v>
      </c>
      <c r="AA473">
        <v>1865</v>
      </c>
      <c r="AB473">
        <v>1865</v>
      </c>
      <c r="AC473" t="s">
        <v>2868</v>
      </c>
      <c r="AD473" t="s">
        <v>1185</v>
      </c>
      <c r="AE473" t="s">
        <v>599</v>
      </c>
      <c r="AF473" t="s">
        <v>599</v>
      </c>
      <c r="AG473" t="s">
        <v>2869</v>
      </c>
      <c r="AH473" t="s">
        <v>599</v>
      </c>
      <c r="AI473" t="s">
        <v>599</v>
      </c>
      <c r="AJ473" t="s">
        <v>2870</v>
      </c>
      <c r="AK473" t="s">
        <v>1188</v>
      </c>
      <c r="AL473" t="s">
        <v>2871</v>
      </c>
      <c r="AM473" t="s">
        <v>1190</v>
      </c>
      <c r="AN473" t="s">
        <v>2872</v>
      </c>
      <c r="AO473" t="s">
        <v>599</v>
      </c>
      <c r="AP473" t="s">
        <v>599</v>
      </c>
      <c r="AQ473" t="s">
        <v>599</v>
      </c>
      <c r="AR473" t="s">
        <v>2534</v>
      </c>
      <c r="AS473" t="s">
        <v>599</v>
      </c>
      <c r="AT473" t="s">
        <v>599</v>
      </c>
    </row>
    <row r="474" spans="1:46" s="13" customFormat="1" ht="30" x14ac:dyDescent="0.25">
      <c r="A474" s="9">
        <v>11098</v>
      </c>
      <c r="B474" s="10">
        <v>808486</v>
      </c>
      <c r="C474" s="10">
        <v>1</v>
      </c>
      <c r="D474" s="9">
        <v>7</v>
      </c>
      <c r="E474" s="11" t="s">
        <v>607</v>
      </c>
      <c r="F474" s="12" t="s">
        <v>412</v>
      </c>
      <c r="G474" s="9"/>
      <c r="H474" s="34"/>
      <c r="I474" s="55" t="str">
        <f t="shared" si="15"/>
        <v>https://permalinkbnd.bnportugal.gov.pt/viewer/273178/?offset=#page=7&amp;viewer=picture&amp;o=info&amp;n=0&amp;q=</v>
      </c>
      <c r="J474" s="45"/>
      <c r="K474" s="45"/>
      <c r="L474" s="45"/>
      <c r="M474" t="s">
        <v>607</v>
      </c>
      <c r="N474">
        <v>273178</v>
      </c>
      <c r="O474" t="str">
        <f t="shared" si="14"/>
        <v>https://permalinkbnd.bnportugal.gov.pt/viewer/273178/?offset=#page=7&amp;viewer=picture&amp;o=info&amp;n=0&amp;q=</v>
      </c>
      <c r="P474">
        <v>808486</v>
      </c>
      <c r="Q474" t="s">
        <v>607</v>
      </c>
      <c r="R474" t="s">
        <v>2873</v>
      </c>
      <c r="S474" t="s">
        <v>1178</v>
      </c>
      <c r="T474" t="s">
        <v>1192</v>
      </c>
      <c r="U474" t="s">
        <v>1179</v>
      </c>
      <c r="V474" t="s">
        <v>2874</v>
      </c>
      <c r="W474" t="s">
        <v>599</v>
      </c>
      <c r="X474" t="s">
        <v>599</v>
      </c>
      <c r="Y474" t="s">
        <v>1182</v>
      </c>
      <c r="Z474" t="s">
        <v>2875</v>
      </c>
      <c r="AA474">
        <v>1885</v>
      </c>
      <c r="AB474">
        <v>1885</v>
      </c>
      <c r="AC474" t="s">
        <v>2876</v>
      </c>
      <c r="AD474" t="s">
        <v>1185</v>
      </c>
      <c r="AE474" t="s">
        <v>599</v>
      </c>
      <c r="AF474" t="s">
        <v>599</v>
      </c>
      <c r="AG474" t="s">
        <v>1873</v>
      </c>
      <c r="AH474" t="s">
        <v>599</v>
      </c>
      <c r="AI474" t="s">
        <v>599</v>
      </c>
      <c r="AJ474" t="s">
        <v>2877</v>
      </c>
      <c r="AK474" t="s">
        <v>1188</v>
      </c>
      <c r="AL474" t="s">
        <v>2878</v>
      </c>
      <c r="AM474" t="s">
        <v>1190</v>
      </c>
      <c r="AN474" t="s">
        <v>599</v>
      </c>
      <c r="AO474" t="s">
        <v>599</v>
      </c>
      <c r="AP474" t="s">
        <v>599</v>
      </c>
      <c r="AQ474" t="s">
        <v>599</v>
      </c>
      <c r="AR474" t="s">
        <v>599</v>
      </c>
      <c r="AS474" t="s">
        <v>599</v>
      </c>
      <c r="AT474" t="s">
        <v>599</v>
      </c>
    </row>
    <row r="475" spans="1:46" s="13" customFormat="1" ht="30" x14ac:dyDescent="0.25">
      <c r="A475" s="9"/>
      <c r="B475" s="10">
        <v>808486</v>
      </c>
      <c r="C475" s="10">
        <v>1</v>
      </c>
      <c r="D475" s="9">
        <v>20</v>
      </c>
      <c r="E475" s="11" t="s">
        <v>607</v>
      </c>
      <c r="F475" s="12" t="s">
        <v>601</v>
      </c>
      <c r="G475" s="9"/>
      <c r="H475" s="34"/>
      <c r="I475" s="55" t="str">
        <f t="shared" si="15"/>
        <v>https://permalinkbnd.bnportugal.gov.pt/viewer/273178/?offset=#page=20&amp;viewer=picture&amp;o=info&amp;n=0&amp;q=</v>
      </c>
      <c r="J475" s="45"/>
      <c r="K475" s="45"/>
      <c r="L475" s="45"/>
      <c r="M475" t="s">
        <v>607</v>
      </c>
      <c r="N475">
        <v>273178</v>
      </c>
      <c r="O475" t="str">
        <f t="shared" si="14"/>
        <v>https://permalinkbnd.bnportugal.gov.pt/viewer/273178/?offset=#page=20&amp;viewer=picture&amp;o=info&amp;n=0&amp;q=</v>
      </c>
      <c r="P475">
        <v>808486</v>
      </c>
      <c r="Q475" t="s">
        <v>607</v>
      </c>
      <c r="R475" t="s">
        <v>2873</v>
      </c>
      <c r="S475" t="s">
        <v>1178</v>
      </c>
      <c r="T475" t="s">
        <v>1192</v>
      </c>
      <c r="U475" t="s">
        <v>1179</v>
      </c>
      <c r="V475" t="s">
        <v>2874</v>
      </c>
      <c r="W475" t="s">
        <v>599</v>
      </c>
      <c r="X475" t="s">
        <v>599</v>
      </c>
      <c r="Y475" t="s">
        <v>1182</v>
      </c>
      <c r="Z475" t="s">
        <v>2875</v>
      </c>
      <c r="AA475">
        <v>1885</v>
      </c>
      <c r="AB475">
        <v>1885</v>
      </c>
      <c r="AC475" t="s">
        <v>2876</v>
      </c>
      <c r="AD475" t="s">
        <v>1185</v>
      </c>
      <c r="AE475" t="s">
        <v>599</v>
      </c>
      <c r="AF475" t="s">
        <v>599</v>
      </c>
      <c r="AG475" t="s">
        <v>1873</v>
      </c>
      <c r="AH475" t="s">
        <v>599</v>
      </c>
      <c r="AI475" t="s">
        <v>599</v>
      </c>
      <c r="AJ475" t="s">
        <v>2877</v>
      </c>
      <c r="AK475" t="s">
        <v>1188</v>
      </c>
      <c r="AL475" t="s">
        <v>2878</v>
      </c>
      <c r="AM475" t="s">
        <v>1190</v>
      </c>
      <c r="AN475" t="s">
        <v>599</v>
      </c>
      <c r="AO475" t="s">
        <v>599</v>
      </c>
      <c r="AP475" t="s">
        <v>599</v>
      </c>
      <c r="AQ475" t="s">
        <v>599</v>
      </c>
      <c r="AR475" t="s">
        <v>599</v>
      </c>
      <c r="AS475" t="s">
        <v>599</v>
      </c>
      <c r="AT475" t="s">
        <v>599</v>
      </c>
    </row>
    <row r="476" spans="1:46" s="13" customFormat="1" ht="30" x14ac:dyDescent="0.25">
      <c r="A476" s="9"/>
      <c r="B476" s="10">
        <v>808486</v>
      </c>
      <c r="C476" s="10">
        <v>1</v>
      </c>
      <c r="D476" s="9">
        <v>34</v>
      </c>
      <c r="E476" s="11" t="s">
        <v>607</v>
      </c>
      <c r="F476" s="12" t="s">
        <v>602</v>
      </c>
      <c r="G476" s="9"/>
      <c r="H476" s="34"/>
      <c r="I476" s="55" t="str">
        <f t="shared" si="15"/>
        <v>https://permalinkbnd.bnportugal.gov.pt/viewer/273178/?offset=#page=34&amp;viewer=picture&amp;o=info&amp;n=0&amp;q=</v>
      </c>
      <c r="J476" s="45"/>
      <c r="K476" s="45"/>
      <c r="L476" s="45"/>
      <c r="M476" t="s">
        <v>607</v>
      </c>
      <c r="N476">
        <v>273178</v>
      </c>
      <c r="O476" t="str">
        <f t="shared" si="14"/>
        <v>https://permalinkbnd.bnportugal.gov.pt/viewer/273178/?offset=#page=34&amp;viewer=picture&amp;o=info&amp;n=0&amp;q=</v>
      </c>
      <c r="P476">
        <v>808486</v>
      </c>
      <c r="Q476" t="s">
        <v>607</v>
      </c>
      <c r="R476" t="s">
        <v>2873</v>
      </c>
      <c r="S476" t="s">
        <v>1178</v>
      </c>
      <c r="T476" t="s">
        <v>1192</v>
      </c>
      <c r="U476" t="s">
        <v>1179</v>
      </c>
      <c r="V476" t="s">
        <v>2874</v>
      </c>
      <c r="W476" t="s">
        <v>599</v>
      </c>
      <c r="X476" t="s">
        <v>599</v>
      </c>
      <c r="Y476" t="s">
        <v>1182</v>
      </c>
      <c r="Z476" t="s">
        <v>2875</v>
      </c>
      <c r="AA476">
        <v>1885</v>
      </c>
      <c r="AB476">
        <v>1885</v>
      </c>
      <c r="AC476" t="s">
        <v>2876</v>
      </c>
      <c r="AD476" t="s">
        <v>1185</v>
      </c>
      <c r="AE476" t="s">
        <v>599</v>
      </c>
      <c r="AF476" t="s">
        <v>599</v>
      </c>
      <c r="AG476" t="s">
        <v>1873</v>
      </c>
      <c r="AH476" t="s">
        <v>599</v>
      </c>
      <c r="AI476" t="s">
        <v>599</v>
      </c>
      <c r="AJ476" t="s">
        <v>2877</v>
      </c>
      <c r="AK476" t="s">
        <v>1188</v>
      </c>
      <c r="AL476" t="s">
        <v>2878</v>
      </c>
      <c r="AM476" t="s">
        <v>1190</v>
      </c>
      <c r="AN476" t="s">
        <v>599</v>
      </c>
      <c r="AO476" t="s">
        <v>599</v>
      </c>
      <c r="AP476" t="s">
        <v>599</v>
      </c>
      <c r="AQ476" t="s">
        <v>599</v>
      </c>
      <c r="AR476" t="s">
        <v>599</v>
      </c>
      <c r="AS476" t="s">
        <v>599</v>
      </c>
      <c r="AT476" t="s">
        <v>599</v>
      </c>
    </row>
    <row r="477" spans="1:46" s="13" customFormat="1" ht="30" x14ac:dyDescent="0.25">
      <c r="A477" s="9"/>
      <c r="B477" s="10">
        <v>808486</v>
      </c>
      <c r="C477" s="10">
        <v>1</v>
      </c>
      <c r="D477" s="9">
        <v>48</v>
      </c>
      <c r="E477" s="11" t="s">
        <v>607</v>
      </c>
      <c r="F477" s="12" t="s">
        <v>603</v>
      </c>
      <c r="G477" s="9"/>
      <c r="H477" s="34"/>
      <c r="I477" s="55" t="str">
        <f t="shared" si="15"/>
        <v>https://permalinkbnd.bnportugal.gov.pt/viewer/273178/?offset=#page=48&amp;viewer=picture&amp;o=info&amp;n=0&amp;q=</v>
      </c>
      <c r="J477" s="45"/>
      <c r="K477" s="45"/>
      <c r="L477" s="45"/>
      <c r="M477" t="s">
        <v>607</v>
      </c>
      <c r="N477">
        <v>273178</v>
      </c>
      <c r="O477" t="str">
        <f t="shared" si="14"/>
        <v>https://permalinkbnd.bnportugal.gov.pt/viewer/273178/?offset=#page=48&amp;viewer=picture&amp;o=info&amp;n=0&amp;q=</v>
      </c>
      <c r="P477">
        <v>808486</v>
      </c>
      <c r="Q477" t="s">
        <v>607</v>
      </c>
      <c r="R477" t="s">
        <v>2873</v>
      </c>
      <c r="S477" t="s">
        <v>1178</v>
      </c>
      <c r="T477" t="s">
        <v>1192</v>
      </c>
      <c r="U477" t="s">
        <v>1179</v>
      </c>
      <c r="V477" t="s">
        <v>2874</v>
      </c>
      <c r="W477" t="s">
        <v>599</v>
      </c>
      <c r="X477" t="s">
        <v>599</v>
      </c>
      <c r="Y477" t="s">
        <v>1182</v>
      </c>
      <c r="Z477" t="s">
        <v>2875</v>
      </c>
      <c r="AA477">
        <v>1885</v>
      </c>
      <c r="AB477">
        <v>1885</v>
      </c>
      <c r="AC477" t="s">
        <v>2876</v>
      </c>
      <c r="AD477" t="s">
        <v>1185</v>
      </c>
      <c r="AE477" t="s">
        <v>599</v>
      </c>
      <c r="AF477" t="s">
        <v>599</v>
      </c>
      <c r="AG477" t="s">
        <v>1873</v>
      </c>
      <c r="AH477" t="s">
        <v>599</v>
      </c>
      <c r="AI477" t="s">
        <v>599</v>
      </c>
      <c r="AJ477" t="s">
        <v>2877</v>
      </c>
      <c r="AK477" t="s">
        <v>1188</v>
      </c>
      <c r="AL477" t="s">
        <v>2878</v>
      </c>
      <c r="AM477" t="s">
        <v>1190</v>
      </c>
      <c r="AN477" t="s">
        <v>599</v>
      </c>
      <c r="AO477" t="s">
        <v>599</v>
      </c>
      <c r="AP477" t="s">
        <v>599</v>
      </c>
      <c r="AQ477" t="s">
        <v>599</v>
      </c>
      <c r="AR477" t="s">
        <v>599</v>
      </c>
      <c r="AS477" t="s">
        <v>599</v>
      </c>
      <c r="AT477" t="s">
        <v>599</v>
      </c>
    </row>
    <row r="478" spans="1:46" s="13" customFormat="1" ht="30" x14ac:dyDescent="0.25">
      <c r="A478" s="9"/>
      <c r="B478" s="10">
        <v>808486</v>
      </c>
      <c r="C478" s="10">
        <v>1</v>
      </c>
      <c r="D478" s="9">
        <v>85</v>
      </c>
      <c r="E478" s="11" t="s">
        <v>607</v>
      </c>
      <c r="F478" s="12" t="s">
        <v>604</v>
      </c>
      <c r="G478" s="9"/>
      <c r="H478" s="34"/>
      <c r="I478" s="55" t="str">
        <f t="shared" si="15"/>
        <v>https://permalinkbnd.bnportugal.gov.pt/viewer/273178/?offset=#page=85&amp;viewer=picture&amp;o=info&amp;n=0&amp;q=</v>
      </c>
      <c r="J478" s="45"/>
      <c r="K478" s="45"/>
      <c r="L478" s="45"/>
      <c r="M478" t="s">
        <v>607</v>
      </c>
      <c r="N478">
        <v>273178</v>
      </c>
      <c r="O478" t="str">
        <f t="shared" si="14"/>
        <v>https://permalinkbnd.bnportugal.gov.pt/viewer/273178/?offset=#page=85&amp;viewer=picture&amp;o=info&amp;n=0&amp;q=</v>
      </c>
      <c r="P478">
        <v>808486</v>
      </c>
      <c r="Q478" t="s">
        <v>607</v>
      </c>
      <c r="R478" t="s">
        <v>2873</v>
      </c>
      <c r="S478" t="s">
        <v>1178</v>
      </c>
      <c r="T478" t="s">
        <v>1192</v>
      </c>
      <c r="U478" t="s">
        <v>1179</v>
      </c>
      <c r="V478" t="s">
        <v>2874</v>
      </c>
      <c r="W478" t="s">
        <v>599</v>
      </c>
      <c r="X478" t="s">
        <v>599</v>
      </c>
      <c r="Y478" t="s">
        <v>1182</v>
      </c>
      <c r="Z478" t="s">
        <v>2875</v>
      </c>
      <c r="AA478">
        <v>1885</v>
      </c>
      <c r="AB478">
        <v>1885</v>
      </c>
      <c r="AC478" t="s">
        <v>2876</v>
      </c>
      <c r="AD478" t="s">
        <v>1185</v>
      </c>
      <c r="AE478" t="s">
        <v>599</v>
      </c>
      <c r="AF478" t="s">
        <v>599</v>
      </c>
      <c r="AG478" t="s">
        <v>1873</v>
      </c>
      <c r="AH478" t="s">
        <v>599</v>
      </c>
      <c r="AI478" t="s">
        <v>599</v>
      </c>
      <c r="AJ478" t="s">
        <v>2877</v>
      </c>
      <c r="AK478" t="s">
        <v>1188</v>
      </c>
      <c r="AL478" t="s">
        <v>2878</v>
      </c>
      <c r="AM478" t="s">
        <v>1190</v>
      </c>
      <c r="AN478" t="s">
        <v>599</v>
      </c>
      <c r="AO478" t="s">
        <v>599</v>
      </c>
      <c r="AP478" t="s">
        <v>599</v>
      </c>
      <c r="AQ478" t="s">
        <v>599</v>
      </c>
      <c r="AR478" t="s">
        <v>599</v>
      </c>
      <c r="AS478" t="s">
        <v>599</v>
      </c>
      <c r="AT478" t="s">
        <v>599</v>
      </c>
    </row>
    <row r="479" spans="1:46" s="13" customFormat="1" ht="30" x14ac:dyDescent="0.25">
      <c r="A479" s="9"/>
      <c r="B479" s="10">
        <v>808486</v>
      </c>
      <c r="C479" s="10">
        <v>1</v>
      </c>
      <c r="D479" s="9">
        <v>90</v>
      </c>
      <c r="E479" s="11" t="s">
        <v>607</v>
      </c>
      <c r="F479" s="12" t="s">
        <v>605</v>
      </c>
      <c r="G479" s="9"/>
      <c r="H479" s="34"/>
      <c r="I479" s="55" t="str">
        <f t="shared" si="15"/>
        <v>https://permalinkbnd.bnportugal.gov.pt/viewer/273178/?offset=#page=90&amp;viewer=picture&amp;o=info&amp;n=0&amp;q=</v>
      </c>
      <c r="J479" s="45"/>
      <c r="K479" s="45"/>
      <c r="L479" s="45"/>
      <c r="M479" t="s">
        <v>607</v>
      </c>
      <c r="N479">
        <v>273178</v>
      </c>
      <c r="O479" t="str">
        <f t="shared" si="14"/>
        <v>https://permalinkbnd.bnportugal.gov.pt/viewer/273178/?offset=#page=90&amp;viewer=picture&amp;o=info&amp;n=0&amp;q=</v>
      </c>
      <c r="P479">
        <v>808486</v>
      </c>
      <c r="Q479" t="s">
        <v>607</v>
      </c>
      <c r="R479" t="s">
        <v>2873</v>
      </c>
      <c r="S479" t="s">
        <v>1178</v>
      </c>
      <c r="T479" t="s">
        <v>1192</v>
      </c>
      <c r="U479" t="s">
        <v>1179</v>
      </c>
      <c r="V479" t="s">
        <v>2874</v>
      </c>
      <c r="W479" t="s">
        <v>599</v>
      </c>
      <c r="X479" t="s">
        <v>599</v>
      </c>
      <c r="Y479" t="s">
        <v>1182</v>
      </c>
      <c r="Z479" t="s">
        <v>2875</v>
      </c>
      <c r="AA479">
        <v>1885</v>
      </c>
      <c r="AB479">
        <v>1885</v>
      </c>
      <c r="AC479" t="s">
        <v>2876</v>
      </c>
      <c r="AD479" t="s">
        <v>1185</v>
      </c>
      <c r="AE479" t="s">
        <v>599</v>
      </c>
      <c r="AF479" t="s">
        <v>599</v>
      </c>
      <c r="AG479" t="s">
        <v>1873</v>
      </c>
      <c r="AH479" t="s">
        <v>599</v>
      </c>
      <c r="AI479" t="s">
        <v>599</v>
      </c>
      <c r="AJ479" t="s">
        <v>2877</v>
      </c>
      <c r="AK479" t="s">
        <v>1188</v>
      </c>
      <c r="AL479" t="s">
        <v>2878</v>
      </c>
      <c r="AM479" t="s">
        <v>1190</v>
      </c>
      <c r="AN479" t="s">
        <v>599</v>
      </c>
      <c r="AO479" t="s">
        <v>599</v>
      </c>
      <c r="AP479" t="s">
        <v>599</v>
      </c>
      <c r="AQ479" t="s">
        <v>599</v>
      </c>
      <c r="AR479" t="s">
        <v>599</v>
      </c>
      <c r="AS479" t="s">
        <v>599</v>
      </c>
      <c r="AT479" t="s">
        <v>599</v>
      </c>
    </row>
    <row r="480" spans="1:46" s="13" customFormat="1" ht="30" x14ac:dyDescent="0.25">
      <c r="A480" s="9">
        <v>11100</v>
      </c>
      <c r="B480" s="10">
        <v>810044</v>
      </c>
      <c r="C480" s="10">
        <v>1</v>
      </c>
      <c r="D480" s="9">
        <v>1</v>
      </c>
      <c r="E480" s="11" t="s">
        <v>608</v>
      </c>
      <c r="F480" s="12">
        <v>1</v>
      </c>
      <c r="G480" s="9"/>
      <c r="H480" s="34"/>
      <c r="I480" s="55" t="str">
        <f t="shared" si="15"/>
        <v>https://permalinkbnd.bnportugal.gov.pt/viewer/273317/?offset=#page=1&amp;viewer=picture&amp;o=info&amp;n=0&amp;q=</v>
      </c>
      <c r="J480" s="45"/>
      <c r="K480" s="45"/>
      <c r="L480" s="45"/>
      <c r="M480" t="s">
        <v>608</v>
      </c>
      <c r="N480">
        <v>273317</v>
      </c>
      <c r="O480" t="str">
        <f t="shared" si="14"/>
        <v>https://permalinkbnd.bnportugal.gov.pt/viewer/273317/?offset=#page=1&amp;viewer=picture&amp;o=info&amp;n=0&amp;q=</v>
      </c>
      <c r="P480">
        <v>810044</v>
      </c>
      <c r="Q480" t="s">
        <v>608</v>
      </c>
      <c r="R480" t="s">
        <v>2879</v>
      </c>
      <c r="S480" t="s">
        <v>1178</v>
      </c>
      <c r="T480" t="s">
        <v>2880</v>
      </c>
      <c r="U480" t="s">
        <v>1192</v>
      </c>
      <c r="V480" t="s">
        <v>2881</v>
      </c>
      <c r="W480" t="s">
        <v>599</v>
      </c>
      <c r="X480" t="s">
        <v>599</v>
      </c>
      <c r="Y480" t="s">
        <v>1182</v>
      </c>
      <c r="Z480" t="s">
        <v>1446</v>
      </c>
      <c r="AA480">
        <v>1898</v>
      </c>
      <c r="AB480">
        <v>1898</v>
      </c>
      <c r="AC480" t="s">
        <v>2882</v>
      </c>
      <c r="AD480" t="s">
        <v>1185</v>
      </c>
      <c r="AE480" t="s">
        <v>599</v>
      </c>
      <c r="AF480" t="s">
        <v>599</v>
      </c>
      <c r="AG480" t="s">
        <v>2883</v>
      </c>
      <c r="AH480" t="s">
        <v>599</v>
      </c>
      <c r="AI480" t="s">
        <v>599</v>
      </c>
      <c r="AJ480" t="s">
        <v>2884</v>
      </c>
      <c r="AK480" t="s">
        <v>1188</v>
      </c>
      <c r="AL480" t="s">
        <v>2885</v>
      </c>
      <c r="AM480" t="s">
        <v>1190</v>
      </c>
      <c r="AN480" t="s">
        <v>599</v>
      </c>
      <c r="AO480" t="s">
        <v>599</v>
      </c>
      <c r="AP480" t="s">
        <v>599</v>
      </c>
      <c r="AQ480" t="s">
        <v>599</v>
      </c>
      <c r="AR480" t="s">
        <v>2886</v>
      </c>
      <c r="AS480" t="s">
        <v>599</v>
      </c>
      <c r="AT480" t="s">
        <v>599</v>
      </c>
    </row>
    <row r="481" spans="1:46" s="32" customFormat="1" ht="105" x14ac:dyDescent="0.25">
      <c r="A481" s="28">
        <v>11102</v>
      </c>
      <c r="B481" s="29">
        <v>412780</v>
      </c>
      <c r="C481" s="29">
        <v>1</v>
      </c>
      <c r="D481" s="28">
        <v>35</v>
      </c>
      <c r="E481" s="30" t="s">
        <v>599</v>
      </c>
      <c r="F481" s="31" t="s">
        <v>413</v>
      </c>
      <c r="G481" s="28">
        <v>35</v>
      </c>
      <c r="H481" s="35" t="s">
        <v>631</v>
      </c>
      <c r="I481" s="55" t="str">
        <f t="shared" si="15"/>
        <v>https://permalinkbnd.bnportugal.gov.pt/viewer/1/?offset=#page=35&amp;viewer=picture&amp;o=info&amp;n=0&amp;q=</v>
      </c>
      <c r="J481" s="45"/>
      <c r="K481" s="45"/>
      <c r="L481" s="45"/>
      <c r="M481" t="s">
        <v>1142</v>
      </c>
      <c r="N481">
        <v>1</v>
      </c>
      <c r="O481" t="str">
        <f t="shared" si="14"/>
        <v>https://permalinkbnd.bnportugal.gov.pt/viewer/1/?offset=#page=35&amp;viewer=picture&amp;o=info&amp;n=0&amp;q=</v>
      </c>
      <c r="P481">
        <v>412780</v>
      </c>
      <c r="Q481" t="s">
        <v>1142</v>
      </c>
      <c r="R481" t="s">
        <v>2887</v>
      </c>
      <c r="S481" t="s">
        <v>1226</v>
      </c>
      <c r="T481" t="s">
        <v>2888</v>
      </c>
      <c r="U481" t="s">
        <v>599</v>
      </c>
      <c r="V481" t="s">
        <v>2889</v>
      </c>
      <c r="W481" t="s">
        <v>2890</v>
      </c>
      <c r="X481" t="s">
        <v>599</v>
      </c>
      <c r="Y481" t="s">
        <v>1182</v>
      </c>
      <c r="Z481" t="s">
        <v>2891</v>
      </c>
      <c r="AA481">
        <v>1898</v>
      </c>
      <c r="AB481">
        <v>1898</v>
      </c>
      <c r="AC481" t="s">
        <v>2892</v>
      </c>
      <c r="AD481" t="s">
        <v>599</v>
      </c>
      <c r="AE481" t="s">
        <v>599</v>
      </c>
      <c r="AF481" t="s">
        <v>599</v>
      </c>
      <c r="AG481" t="s">
        <v>599</v>
      </c>
      <c r="AH481" t="s">
        <v>599</v>
      </c>
      <c r="AI481" t="s">
        <v>599</v>
      </c>
      <c r="AJ481" t="s">
        <v>2893</v>
      </c>
      <c r="AK481" t="s">
        <v>1188</v>
      </c>
      <c r="AL481" t="s">
        <v>2894</v>
      </c>
      <c r="AM481" t="s">
        <v>1190</v>
      </c>
      <c r="AN481" t="s">
        <v>599</v>
      </c>
      <c r="AO481" t="s">
        <v>599</v>
      </c>
      <c r="AP481" t="s">
        <v>599</v>
      </c>
      <c r="AQ481" t="s">
        <v>599</v>
      </c>
      <c r="AR481" t="s">
        <v>599</v>
      </c>
      <c r="AS481" t="s">
        <v>599</v>
      </c>
      <c r="AT481" t="s">
        <v>599</v>
      </c>
    </row>
    <row r="482" spans="1:46" s="13" customFormat="1" ht="75" x14ac:dyDescent="0.25">
      <c r="A482" s="9">
        <v>11175</v>
      </c>
      <c r="B482" s="10">
        <v>98840</v>
      </c>
      <c r="C482" s="10">
        <v>1</v>
      </c>
      <c r="D482" s="9">
        <v>10</v>
      </c>
      <c r="E482" s="11" t="s">
        <v>414</v>
      </c>
      <c r="F482" s="12" t="s">
        <v>415</v>
      </c>
      <c r="G482" s="9" t="s">
        <v>416</v>
      </c>
      <c r="H482" s="34"/>
      <c r="I482" s="55" t="str">
        <f t="shared" si="15"/>
        <v>https://permalinkbnd.bnportugal.gov.pt/viewer/273944/?offset=#page=10&amp;viewer=picture&amp;o=info&amp;n=0&amp;q=</v>
      </c>
      <c r="J482" s="45"/>
      <c r="K482" s="45"/>
      <c r="L482" s="45"/>
      <c r="M482" t="s">
        <v>414</v>
      </c>
      <c r="N482">
        <v>273944</v>
      </c>
      <c r="O482" t="str">
        <f t="shared" si="14"/>
        <v>https://permalinkbnd.bnportugal.gov.pt/viewer/273944/?offset=#page=10&amp;viewer=picture&amp;o=info&amp;n=0&amp;q=</v>
      </c>
      <c r="P482">
        <v>98840</v>
      </c>
      <c r="Q482" t="s">
        <v>414</v>
      </c>
      <c r="R482" t="s">
        <v>2895</v>
      </c>
      <c r="S482" t="s">
        <v>1178</v>
      </c>
      <c r="T482" t="s">
        <v>1192</v>
      </c>
      <c r="U482" t="s">
        <v>599</v>
      </c>
      <c r="V482" t="s">
        <v>1551</v>
      </c>
      <c r="W482" t="s">
        <v>599</v>
      </c>
      <c r="X482" t="s">
        <v>599</v>
      </c>
      <c r="Y482" t="s">
        <v>2896</v>
      </c>
      <c r="Z482" t="s">
        <v>2897</v>
      </c>
      <c r="AA482">
        <v>1880</v>
      </c>
      <c r="AB482">
        <v>1880</v>
      </c>
      <c r="AC482" t="s">
        <v>2898</v>
      </c>
      <c r="AD482" t="s">
        <v>1185</v>
      </c>
      <c r="AE482" t="s">
        <v>599</v>
      </c>
      <c r="AF482" t="s">
        <v>599</v>
      </c>
      <c r="AG482" t="s">
        <v>2899</v>
      </c>
      <c r="AH482" t="s">
        <v>599</v>
      </c>
      <c r="AI482" t="s">
        <v>2900</v>
      </c>
      <c r="AJ482" t="s">
        <v>2901</v>
      </c>
      <c r="AK482" t="s">
        <v>1188</v>
      </c>
      <c r="AL482" t="s">
        <v>2902</v>
      </c>
      <c r="AM482" t="s">
        <v>1190</v>
      </c>
      <c r="AN482" t="s">
        <v>599</v>
      </c>
      <c r="AO482" t="s">
        <v>599</v>
      </c>
      <c r="AP482" t="s">
        <v>599</v>
      </c>
      <c r="AQ482" t="s">
        <v>599</v>
      </c>
      <c r="AR482" t="s">
        <v>599</v>
      </c>
      <c r="AS482" t="s">
        <v>599</v>
      </c>
      <c r="AT482" t="s">
        <v>599</v>
      </c>
    </row>
    <row r="483" spans="1:46" s="13" customFormat="1" ht="75" x14ac:dyDescent="0.25">
      <c r="A483" s="9">
        <v>11176</v>
      </c>
      <c r="B483" s="10">
        <v>98840</v>
      </c>
      <c r="C483" s="10">
        <v>1</v>
      </c>
      <c r="D483" s="9">
        <v>103</v>
      </c>
      <c r="E483" s="11" t="s">
        <v>414</v>
      </c>
      <c r="F483" s="12" t="s">
        <v>415</v>
      </c>
      <c r="G483" s="9" t="s">
        <v>416</v>
      </c>
      <c r="H483" s="34"/>
      <c r="I483" s="55" t="str">
        <f t="shared" si="15"/>
        <v>https://permalinkbnd.bnportugal.gov.pt/viewer/273944/?offset=#page=103&amp;viewer=picture&amp;o=info&amp;n=0&amp;q=</v>
      </c>
      <c r="J483" s="45"/>
      <c r="K483" s="45"/>
      <c r="L483" s="45"/>
      <c r="M483" t="s">
        <v>414</v>
      </c>
      <c r="N483">
        <v>273944</v>
      </c>
      <c r="O483" t="str">
        <f t="shared" si="14"/>
        <v>https://permalinkbnd.bnportugal.gov.pt/viewer/273944/?offset=#page=103&amp;viewer=picture&amp;o=info&amp;n=0&amp;q=</v>
      </c>
      <c r="P483">
        <v>98840</v>
      </c>
      <c r="Q483" t="s">
        <v>414</v>
      </c>
      <c r="R483" t="s">
        <v>2895</v>
      </c>
      <c r="S483" t="s">
        <v>1178</v>
      </c>
      <c r="T483" t="s">
        <v>1192</v>
      </c>
      <c r="U483" t="s">
        <v>599</v>
      </c>
      <c r="V483" t="s">
        <v>1551</v>
      </c>
      <c r="W483" t="s">
        <v>599</v>
      </c>
      <c r="X483" t="s">
        <v>599</v>
      </c>
      <c r="Y483" t="s">
        <v>2896</v>
      </c>
      <c r="Z483" t="s">
        <v>2897</v>
      </c>
      <c r="AA483">
        <v>1880</v>
      </c>
      <c r="AB483">
        <v>1880</v>
      </c>
      <c r="AC483" t="s">
        <v>2898</v>
      </c>
      <c r="AD483" t="s">
        <v>1185</v>
      </c>
      <c r="AE483" t="s">
        <v>599</v>
      </c>
      <c r="AF483" t="s">
        <v>599</v>
      </c>
      <c r="AG483" t="s">
        <v>2899</v>
      </c>
      <c r="AH483" t="s">
        <v>599</v>
      </c>
      <c r="AI483" t="s">
        <v>2900</v>
      </c>
      <c r="AJ483" t="s">
        <v>2901</v>
      </c>
      <c r="AK483" t="s">
        <v>1188</v>
      </c>
      <c r="AL483" t="s">
        <v>2902</v>
      </c>
      <c r="AM483" t="s">
        <v>1190</v>
      </c>
      <c r="AN483" t="s">
        <v>599</v>
      </c>
      <c r="AO483" t="s">
        <v>599</v>
      </c>
      <c r="AP483" t="s">
        <v>599</v>
      </c>
      <c r="AQ483" t="s">
        <v>599</v>
      </c>
      <c r="AR483" t="s">
        <v>599</v>
      </c>
      <c r="AS483" t="s">
        <v>599</v>
      </c>
      <c r="AT483" t="s">
        <v>599</v>
      </c>
    </row>
    <row r="484" spans="1:46" s="13" customFormat="1" ht="75" x14ac:dyDescent="0.25">
      <c r="A484" s="9">
        <v>11177</v>
      </c>
      <c r="B484" s="10">
        <v>98840</v>
      </c>
      <c r="C484" s="10">
        <v>1</v>
      </c>
      <c r="D484" s="9">
        <v>107</v>
      </c>
      <c r="E484" s="11" t="s">
        <v>414</v>
      </c>
      <c r="F484" s="12" t="s">
        <v>415</v>
      </c>
      <c r="G484" s="9" t="s">
        <v>416</v>
      </c>
      <c r="H484" s="34"/>
      <c r="I484" s="55" t="str">
        <f t="shared" si="15"/>
        <v>https://permalinkbnd.bnportugal.gov.pt/viewer/273944/?offset=#page=107&amp;viewer=picture&amp;o=info&amp;n=0&amp;q=</v>
      </c>
      <c r="J484" s="45"/>
      <c r="K484" s="45"/>
      <c r="L484" s="45"/>
      <c r="M484" t="s">
        <v>414</v>
      </c>
      <c r="N484">
        <v>273944</v>
      </c>
      <c r="O484" t="str">
        <f t="shared" si="14"/>
        <v>https://permalinkbnd.bnportugal.gov.pt/viewer/273944/?offset=#page=107&amp;viewer=picture&amp;o=info&amp;n=0&amp;q=</v>
      </c>
      <c r="P484">
        <v>98840</v>
      </c>
      <c r="Q484" t="s">
        <v>414</v>
      </c>
      <c r="R484" t="s">
        <v>2895</v>
      </c>
      <c r="S484" t="s">
        <v>1178</v>
      </c>
      <c r="T484" t="s">
        <v>1192</v>
      </c>
      <c r="U484" t="s">
        <v>599</v>
      </c>
      <c r="V484" t="s">
        <v>1551</v>
      </c>
      <c r="W484" t="s">
        <v>599</v>
      </c>
      <c r="X484" t="s">
        <v>599</v>
      </c>
      <c r="Y484" t="s">
        <v>2896</v>
      </c>
      <c r="Z484" t="s">
        <v>2897</v>
      </c>
      <c r="AA484">
        <v>1880</v>
      </c>
      <c r="AB484">
        <v>1880</v>
      </c>
      <c r="AC484" t="s">
        <v>2898</v>
      </c>
      <c r="AD484" t="s">
        <v>1185</v>
      </c>
      <c r="AE484" t="s">
        <v>599</v>
      </c>
      <c r="AF484" t="s">
        <v>599</v>
      </c>
      <c r="AG484" t="s">
        <v>2899</v>
      </c>
      <c r="AH484" t="s">
        <v>599</v>
      </c>
      <c r="AI484" t="s">
        <v>2900</v>
      </c>
      <c r="AJ484" t="s">
        <v>2901</v>
      </c>
      <c r="AK484" t="s">
        <v>1188</v>
      </c>
      <c r="AL484" t="s">
        <v>2902</v>
      </c>
      <c r="AM484" t="s">
        <v>1190</v>
      </c>
      <c r="AN484" t="s">
        <v>599</v>
      </c>
      <c r="AO484" t="s">
        <v>599</v>
      </c>
      <c r="AP484" t="s">
        <v>599</v>
      </c>
      <c r="AQ484" t="s">
        <v>599</v>
      </c>
      <c r="AR484" t="s">
        <v>599</v>
      </c>
      <c r="AS484" t="s">
        <v>599</v>
      </c>
      <c r="AT484" t="s">
        <v>599</v>
      </c>
    </row>
    <row r="485" spans="1:46" s="13" customFormat="1" ht="75" x14ac:dyDescent="0.25">
      <c r="A485" s="9">
        <v>11178</v>
      </c>
      <c r="B485" s="10">
        <v>98840</v>
      </c>
      <c r="C485" s="10">
        <v>1</v>
      </c>
      <c r="D485" s="9">
        <v>145</v>
      </c>
      <c r="E485" s="11" t="s">
        <v>414</v>
      </c>
      <c r="F485" s="12" t="s">
        <v>415</v>
      </c>
      <c r="G485" s="9" t="s">
        <v>416</v>
      </c>
      <c r="H485" s="34"/>
      <c r="I485" s="55" t="str">
        <f t="shared" si="15"/>
        <v>https://permalinkbnd.bnportugal.gov.pt/viewer/273944/?offset=#page=145&amp;viewer=picture&amp;o=info&amp;n=0&amp;q=</v>
      </c>
      <c r="J485" s="45"/>
      <c r="K485" s="45"/>
      <c r="L485" s="45"/>
      <c r="M485" t="s">
        <v>414</v>
      </c>
      <c r="N485">
        <v>273944</v>
      </c>
      <c r="O485" t="str">
        <f t="shared" si="14"/>
        <v>https://permalinkbnd.bnportugal.gov.pt/viewer/273944/?offset=#page=145&amp;viewer=picture&amp;o=info&amp;n=0&amp;q=</v>
      </c>
      <c r="P485">
        <v>98840</v>
      </c>
      <c r="Q485" t="s">
        <v>414</v>
      </c>
      <c r="R485" t="s">
        <v>2895</v>
      </c>
      <c r="S485" t="s">
        <v>1178</v>
      </c>
      <c r="T485" t="s">
        <v>1192</v>
      </c>
      <c r="U485" t="s">
        <v>599</v>
      </c>
      <c r="V485" t="s">
        <v>1551</v>
      </c>
      <c r="W485" t="s">
        <v>599</v>
      </c>
      <c r="X485" t="s">
        <v>599</v>
      </c>
      <c r="Y485" t="s">
        <v>2896</v>
      </c>
      <c r="Z485" t="s">
        <v>2897</v>
      </c>
      <c r="AA485">
        <v>1880</v>
      </c>
      <c r="AB485">
        <v>1880</v>
      </c>
      <c r="AC485" t="s">
        <v>2898</v>
      </c>
      <c r="AD485" t="s">
        <v>1185</v>
      </c>
      <c r="AE485" t="s">
        <v>599</v>
      </c>
      <c r="AF485" t="s">
        <v>599</v>
      </c>
      <c r="AG485" t="s">
        <v>2899</v>
      </c>
      <c r="AH485" t="s">
        <v>599</v>
      </c>
      <c r="AI485" t="s">
        <v>2900</v>
      </c>
      <c r="AJ485" t="s">
        <v>2901</v>
      </c>
      <c r="AK485" t="s">
        <v>1188</v>
      </c>
      <c r="AL485" t="s">
        <v>2902</v>
      </c>
      <c r="AM485" t="s">
        <v>1190</v>
      </c>
      <c r="AN485" t="s">
        <v>599</v>
      </c>
      <c r="AO485" t="s">
        <v>599</v>
      </c>
      <c r="AP485" t="s">
        <v>599</v>
      </c>
      <c r="AQ485" t="s">
        <v>599</v>
      </c>
      <c r="AR485" t="s">
        <v>599</v>
      </c>
      <c r="AS485" t="s">
        <v>599</v>
      </c>
      <c r="AT485" t="s">
        <v>599</v>
      </c>
    </row>
    <row r="486" spans="1:46" s="13" customFormat="1" ht="75" x14ac:dyDescent="0.25">
      <c r="A486" s="9">
        <v>11179</v>
      </c>
      <c r="B486" s="10">
        <v>98840</v>
      </c>
      <c r="C486" s="10">
        <v>1</v>
      </c>
      <c r="D486" s="9">
        <v>185</v>
      </c>
      <c r="E486" s="11" t="s">
        <v>414</v>
      </c>
      <c r="F486" s="12" t="s">
        <v>415</v>
      </c>
      <c r="G486" s="9" t="s">
        <v>416</v>
      </c>
      <c r="H486" s="34"/>
      <c r="I486" s="55" t="str">
        <f t="shared" si="15"/>
        <v>https://permalinkbnd.bnportugal.gov.pt/viewer/273944/?offset=#page=185&amp;viewer=picture&amp;o=info&amp;n=0&amp;q=</v>
      </c>
      <c r="J486" s="45"/>
      <c r="K486" s="45"/>
      <c r="L486" s="45"/>
      <c r="M486" t="s">
        <v>414</v>
      </c>
      <c r="N486">
        <v>273944</v>
      </c>
      <c r="O486" t="str">
        <f t="shared" si="14"/>
        <v>https://permalinkbnd.bnportugal.gov.pt/viewer/273944/?offset=#page=185&amp;viewer=picture&amp;o=info&amp;n=0&amp;q=</v>
      </c>
      <c r="P486">
        <v>98840</v>
      </c>
      <c r="Q486" t="s">
        <v>414</v>
      </c>
      <c r="R486" t="s">
        <v>2895</v>
      </c>
      <c r="S486" t="s">
        <v>1178</v>
      </c>
      <c r="T486" t="s">
        <v>1192</v>
      </c>
      <c r="U486" t="s">
        <v>599</v>
      </c>
      <c r="V486" t="s">
        <v>1551</v>
      </c>
      <c r="W486" t="s">
        <v>599</v>
      </c>
      <c r="X486" t="s">
        <v>599</v>
      </c>
      <c r="Y486" t="s">
        <v>2896</v>
      </c>
      <c r="Z486" t="s">
        <v>2897</v>
      </c>
      <c r="AA486">
        <v>1880</v>
      </c>
      <c r="AB486">
        <v>1880</v>
      </c>
      <c r="AC486" t="s">
        <v>2898</v>
      </c>
      <c r="AD486" t="s">
        <v>1185</v>
      </c>
      <c r="AE486" t="s">
        <v>599</v>
      </c>
      <c r="AF486" t="s">
        <v>599</v>
      </c>
      <c r="AG486" t="s">
        <v>2899</v>
      </c>
      <c r="AH486" t="s">
        <v>599</v>
      </c>
      <c r="AI486" t="s">
        <v>2900</v>
      </c>
      <c r="AJ486" t="s">
        <v>2901</v>
      </c>
      <c r="AK486" t="s">
        <v>1188</v>
      </c>
      <c r="AL486" t="s">
        <v>2902</v>
      </c>
      <c r="AM486" t="s">
        <v>1190</v>
      </c>
      <c r="AN486" t="s">
        <v>599</v>
      </c>
      <c r="AO486" t="s">
        <v>599</v>
      </c>
      <c r="AP486" t="s">
        <v>599</v>
      </c>
      <c r="AQ486" t="s">
        <v>599</v>
      </c>
      <c r="AR486" t="s">
        <v>599</v>
      </c>
      <c r="AS486" t="s">
        <v>599</v>
      </c>
      <c r="AT486" t="s">
        <v>599</v>
      </c>
    </row>
    <row r="487" spans="1:46" s="13" customFormat="1" ht="75" x14ac:dyDescent="0.25">
      <c r="A487" s="9">
        <v>11180</v>
      </c>
      <c r="B487" s="10">
        <v>98840</v>
      </c>
      <c r="C487" s="10">
        <v>1</v>
      </c>
      <c r="D487" s="9">
        <v>235</v>
      </c>
      <c r="E487" s="11" t="s">
        <v>414</v>
      </c>
      <c r="F487" s="12" t="s">
        <v>415</v>
      </c>
      <c r="G487" s="9" t="s">
        <v>416</v>
      </c>
      <c r="H487" s="34"/>
      <c r="I487" s="55" t="str">
        <f t="shared" si="15"/>
        <v>https://permalinkbnd.bnportugal.gov.pt/viewer/273944/?offset=#page=235&amp;viewer=picture&amp;o=info&amp;n=0&amp;q=</v>
      </c>
      <c r="J487" s="45"/>
      <c r="K487" s="45"/>
      <c r="L487" s="45"/>
      <c r="M487" t="s">
        <v>414</v>
      </c>
      <c r="N487">
        <v>273944</v>
      </c>
      <c r="O487" t="str">
        <f t="shared" si="14"/>
        <v>https://permalinkbnd.bnportugal.gov.pt/viewer/273944/?offset=#page=235&amp;viewer=picture&amp;o=info&amp;n=0&amp;q=</v>
      </c>
      <c r="P487">
        <v>98840</v>
      </c>
      <c r="Q487" t="s">
        <v>414</v>
      </c>
      <c r="R487" t="s">
        <v>2895</v>
      </c>
      <c r="S487" t="s">
        <v>1178</v>
      </c>
      <c r="T487" t="s">
        <v>1192</v>
      </c>
      <c r="U487" t="s">
        <v>599</v>
      </c>
      <c r="V487" t="s">
        <v>1551</v>
      </c>
      <c r="W487" t="s">
        <v>599</v>
      </c>
      <c r="X487" t="s">
        <v>599</v>
      </c>
      <c r="Y487" t="s">
        <v>2896</v>
      </c>
      <c r="Z487" t="s">
        <v>2897</v>
      </c>
      <c r="AA487">
        <v>1880</v>
      </c>
      <c r="AB487">
        <v>1880</v>
      </c>
      <c r="AC487" t="s">
        <v>2898</v>
      </c>
      <c r="AD487" t="s">
        <v>1185</v>
      </c>
      <c r="AE487" t="s">
        <v>599</v>
      </c>
      <c r="AF487" t="s">
        <v>599</v>
      </c>
      <c r="AG487" t="s">
        <v>2899</v>
      </c>
      <c r="AH487" t="s">
        <v>599</v>
      </c>
      <c r="AI487" t="s">
        <v>2900</v>
      </c>
      <c r="AJ487" t="s">
        <v>2901</v>
      </c>
      <c r="AK487" t="s">
        <v>1188</v>
      </c>
      <c r="AL487" t="s">
        <v>2902</v>
      </c>
      <c r="AM487" t="s">
        <v>1190</v>
      </c>
      <c r="AN487" t="s">
        <v>599</v>
      </c>
      <c r="AO487" t="s">
        <v>599</v>
      </c>
      <c r="AP487" t="s">
        <v>599</v>
      </c>
      <c r="AQ487" t="s">
        <v>599</v>
      </c>
      <c r="AR487" t="s">
        <v>599</v>
      </c>
      <c r="AS487" t="s">
        <v>599</v>
      </c>
      <c r="AT487" t="s">
        <v>599</v>
      </c>
    </row>
    <row r="488" spans="1:46" s="13" customFormat="1" ht="75" x14ac:dyDescent="0.25">
      <c r="A488" s="9">
        <v>11181</v>
      </c>
      <c r="B488" s="10">
        <v>98840</v>
      </c>
      <c r="C488" s="10">
        <v>1</v>
      </c>
      <c r="D488" s="9">
        <v>270</v>
      </c>
      <c r="E488" s="11" t="s">
        <v>414</v>
      </c>
      <c r="F488" s="12" t="s">
        <v>415</v>
      </c>
      <c r="G488" s="9" t="s">
        <v>416</v>
      </c>
      <c r="H488" s="34"/>
      <c r="I488" s="55" t="str">
        <f t="shared" si="15"/>
        <v>https://permalinkbnd.bnportugal.gov.pt/viewer/273944/?offset=#page=270&amp;viewer=picture&amp;o=info&amp;n=0&amp;q=</v>
      </c>
      <c r="J488" s="45"/>
      <c r="K488" s="45"/>
      <c r="L488" s="45"/>
      <c r="M488" t="s">
        <v>414</v>
      </c>
      <c r="N488">
        <v>273944</v>
      </c>
      <c r="O488" t="str">
        <f t="shared" si="14"/>
        <v>https://permalinkbnd.bnportugal.gov.pt/viewer/273944/?offset=#page=270&amp;viewer=picture&amp;o=info&amp;n=0&amp;q=</v>
      </c>
      <c r="P488">
        <v>98840</v>
      </c>
      <c r="Q488" t="s">
        <v>414</v>
      </c>
      <c r="R488" t="s">
        <v>2895</v>
      </c>
      <c r="S488" t="s">
        <v>1178</v>
      </c>
      <c r="T488" t="s">
        <v>1192</v>
      </c>
      <c r="U488" t="s">
        <v>599</v>
      </c>
      <c r="V488" t="s">
        <v>1551</v>
      </c>
      <c r="W488" t="s">
        <v>599</v>
      </c>
      <c r="X488" t="s">
        <v>599</v>
      </c>
      <c r="Y488" t="s">
        <v>2896</v>
      </c>
      <c r="Z488" t="s">
        <v>2897</v>
      </c>
      <c r="AA488">
        <v>1880</v>
      </c>
      <c r="AB488">
        <v>1880</v>
      </c>
      <c r="AC488" t="s">
        <v>2898</v>
      </c>
      <c r="AD488" t="s">
        <v>1185</v>
      </c>
      <c r="AE488" t="s">
        <v>599</v>
      </c>
      <c r="AF488" t="s">
        <v>599</v>
      </c>
      <c r="AG488" t="s">
        <v>2899</v>
      </c>
      <c r="AH488" t="s">
        <v>599</v>
      </c>
      <c r="AI488" t="s">
        <v>2900</v>
      </c>
      <c r="AJ488" t="s">
        <v>2901</v>
      </c>
      <c r="AK488" t="s">
        <v>1188</v>
      </c>
      <c r="AL488" t="s">
        <v>2902</v>
      </c>
      <c r="AM488" t="s">
        <v>1190</v>
      </c>
      <c r="AN488" t="s">
        <v>599</v>
      </c>
      <c r="AO488" t="s">
        <v>599</v>
      </c>
      <c r="AP488" t="s">
        <v>599</v>
      </c>
      <c r="AQ488" t="s">
        <v>599</v>
      </c>
      <c r="AR488" t="s">
        <v>599</v>
      </c>
      <c r="AS488" t="s">
        <v>599</v>
      </c>
      <c r="AT488" t="s">
        <v>599</v>
      </c>
    </row>
    <row r="489" spans="1:46" s="13" customFormat="1" ht="75" x14ac:dyDescent="0.25">
      <c r="A489" s="9">
        <v>11182</v>
      </c>
      <c r="B489" s="10">
        <v>98840</v>
      </c>
      <c r="C489" s="10">
        <v>1</v>
      </c>
      <c r="D489" s="9">
        <v>273</v>
      </c>
      <c r="E489" s="11" t="s">
        <v>414</v>
      </c>
      <c r="F489" s="12" t="s">
        <v>415</v>
      </c>
      <c r="G489" s="9" t="s">
        <v>416</v>
      </c>
      <c r="H489" s="34"/>
      <c r="I489" s="55" t="str">
        <f t="shared" si="15"/>
        <v>https://permalinkbnd.bnportugal.gov.pt/viewer/273944/?offset=#page=273&amp;viewer=picture&amp;o=info&amp;n=0&amp;q=</v>
      </c>
      <c r="J489" s="45"/>
      <c r="K489" s="45"/>
      <c r="L489" s="45"/>
      <c r="M489" t="s">
        <v>414</v>
      </c>
      <c r="N489">
        <v>273944</v>
      </c>
      <c r="O489" t="str">
        <f t="shared" si="14"/>
        <v>https://permalinkbnd.bnportugal.gov.pt/viewer/273944/?offset=#page=273&amp;viewer=picture&amp;o=info&amp;n=0&amp;q=</v>
      </c>
      <c r="P489">
        <v>98840</v>
      </c>
      <c r="Q489" t="s">
        <v>414</v>
      </c>
      <c r="R489" t="s">
        <v>2895</v>
      </c>
      <c r="S489" t="s">
        <v>1178</v>
      </c>
      <c r="T489" t="s">
        <v>1192</v>
      </c>
      <c r="U489" t="s">
        <v>599</v>
      </c>
      <c r="V489" t="s">
        <v>1551</v>
      </c>
      <c r="W489" t="s">
        <v>599</v>
      </c>
      <c r="X489" t="s">
        <v>599</v>
      </c>
      <c r="Y489" t="s">
        <v>2896</v>
      </c>
      <c r="Z489" t="s">
        <v>2897</v>
      </c>
      <c r="AA489">
        <v>1880</v>
      </c>
      <c r="AB489">
        <v>1880</v>
      </c>
      <c r="AC489" t="s">
        <v>2898</v>
      </c>
      <c r="AD489" t="s">
        <v>1185</v>
      </c>
      <c r="AE489" t="s">
        <v>599</v>
      </c>
      <c r="AF489" t="s">
        <v>599</v>
      </c>
      <c r="AG489" t="s">
        <v>2899</v>
      </c>
      <c r="AH489" t="s">
        <v>599</v>
      </c>
      <c r="AI489" t="s">
        <v>2900</v>
      </c>
      <c r="AJ489" t="s">
        <v>2901</v>
      </c>
      <c r="AK489" t="s">
        <v>1188</v>
      </c>
      <c r="AL489" t="s">
        <v>2902</v>
      </c>
      <c r="AM489" t="s">
        <v>1190</v>
      </c>
      <c r="AN489" t="s">
        <v>599</v>
      </c>
      <c r="AO489" t="s">
        <v>599</v>
      </c>
      <c r="AP489" t="s">
        <v>599</v>
      </c>
      <c r="AQ489" t="s">
        <v>599</v>
      </c>
      <c r="AR489" t="s">
        <v>599</v>
      </c>
      <c r="AS489" t="s">
        <v>599</v>
      </c>
      <c r="AT489" t="s">
        <v>599</v>
      </c>
    </row>
    <row r="490" spans="1:46" s="13" customFormat="1" ht="75" x14ac:dyDescent="0.25">
      <c r="A490" s="9">
        <v>11183</v>
      </c>
      <c r="B490" s="10">
        <v>98840</v>
      </c>
      <c r="C490" s="10">
        <v>1</v>
      </c>
      <c r="D490" s="9">
        <v>306</v>
      </c>
      <c r="E490" s="11" t="s">
        <v>414</v>
      </c>
      <c r="F490" s="12" t="s">
        <v>415</v>
      </c>
      <c r="G490" s="9" t="s">
        <v>416</v>
      </c>
      <c r="H490" s="34"/>
      <c r="I490" s="55" t="str">
        <f t="shared" si="15"/>
        <v>https://permalinkbnd.bnportugal.gov.pt/viewer/273944/?offset=#page=306&amp;viewer=picture&amp;o=info&amp;n=0&amp;q=</v>
      </c>
      <c r="J490" s="45"/>
      <c r="K490" s="45"/>
      <c r="L490" s="45"/>
      <c r="M490" t="s">
        <v>414</v>
      </c>
      <c r="N490">
        <v>273944</v>
      </c>
      <c r="O490" t="str">
        <f t="shared" si="14"/>
        <v>https://permalinkbnd.bnportugal.gov.pt/viewer/273944/?offset=#page=306&amp;viewer=picture&amp;o=info&amp;n=0&amp;q=</v>
      </c>
      <c r="P490">
        <v>98840</v>
      </c>
      <c r="Q490" t="s">
        <v>414</v>
      </c>
      <c r="R490" t="s">
        <v>2895</v>
      </c>
      <c r="S490" t="s">
        <v>1178</v>
      </c>
      <c r="T490" t="s">
        <v>1192</v>
      </c>
      <c r="U490" t="s">
        <v>599</v>
      </c>
      <c r="V490" t="s">
        <v>1551</v>
      </c>
      <c r="W490" t="s">
        <v>599</v>
      </c>
      <c r="X490" t="s">
        <v>599</v>
      </c>
      <c r="Y490" t="s">
        <v>2896</v>
      </c>
      <c r="Z490" t="s">
        <v>2897</v>
      </c>
      <c r="AA490">
        <v>1880</v>
      </c>
      <c r="AB490">
        <v>1880</v>
      </c>
      <c r="AC490" t="s">
        <v>2898</v>
      </c>
      <c r="AD490" t="s">
        <v>1185</v>
      </c>
      <c r="AE490" t="s">
        <v>599</v>
      </c>
      <c r="AF490" t="s">
        <v>599</v>
      </c>
      <c r="AG490" t="s">
        <v>2899</v>
      </c>
      <c r="AH490" t="s">
        <v>599</v>
      </c>
      <c r="AI490" t="s">
        <v>2900</v>
      </c>
      <c r="AJ490" t="s">
        <v>2901</v>
      </c>
      <c r="AK490" t="s">
        <v>1188</v>
      </c>
      <c r="AL490" t="s">
        <v>2902</v>
      </c>
      <c r="AM490" t="s">
        <v>1190</v>
      </c>
      <c r="AN490" t="s">
        <v>599</v>
      </c>
      <c r="AO490" t="s">
        <v>599</v>
      </c>
      <c r="AP490" t="s">
        <v>599</v>
      </c>
      <c r="AQ490" t="s">
        <v>599</v>
      </c>
      <c r="AR490" t="s">
        <v>599</v>
      </c>
      <c r="AS490" t="s">
        <v>599</v>
      </c>
      <c r="AT490" t="s">
        <v>599</v>
      </c>
    </row>
    <row r="491" spans="1:46" s="13" customFormat="1" ht="75" x14ac:dyDescent="0.25">
      <c r="A491" s="9">
        <v>11184</v>
      </c>
      <c r="B491" s="10">
        <v>98840</v>
      </c>
      <c r="C491" s="10">
        <v>1</v>
      </c>
      <c r="D491" s="9">
        <v>309</v>
      </c>
      <c r="E491" s="11" t="s">
        <v>414</v>
      </c>
      <c r="F491" s="12" t="s">
        <v>415</v>
      </c>
      <c r="G491" s="9" t="s">
        <v>416</v>
      </c>
      <c r="H491" s="34"/>
      <c r="I491" s="55" t="str">
        <f t="shared" si="15"/>
        <v>https://permalinkbnd.bnportugal.gov.pt/viewer/273944/?offset=#page=309&amp;viewer=picture&amp;o=info&amp;n=0&amp;q=</v>
      </c>
      <c r="J491" s="45"/>
      <c r="K491" s="45"/>
      <c r="L491" s="45"/>
      <c r="M491" t="s">
        <v>414</v>
      </c>
      <c r="N491">
        <v>273944</v>
      </c>
      <c r="O491" t="str">
        <f t="shared" si="14"/>
        <v>https://permalinkbnd.bnportugal.gov.pt/viewer/273944/?offset=#page=309&amp;viewer=picture&amp;o=info&amp;n=0&amp;q=</v>
      </c>
      <c r="P491">
        <v>98840</v>
      </c>
      <c r="Q491" t="s">
        <v>414</v>
      </c>
      <c r="R491" t="s">
        <v>2895</v>
      </c>
      <c r="S491" t="s">
        <v>1178</v>
      </c>
      <c r="T491" t="s">
        <v>1192</v>
      </c>
      <c r="U491" t="s">
        <v>599</v>
      </c>
      <c r="V491" t="s">
        <v>1551</v>
      </c>
      <c r="W491" t="s">
        <v>599</v>
      </c>
      <c r="X491" t="s">
        <v>599</v>
      </c>
      <c r="Y491" t="s">
        <v>2896</v>
      </c>
      <c r="Z491" t="s">
        <v>2897</v>
      </c>
      <c r="AA491">
        <v>1880</v>
      </c>
      <c r="AB491">
        <v>1880</v>
      </c>
      <c r="AC491" t="s">
        <v>2898</v>
      </c>
      <c r="AD491" t="s">
        <v>1185</v>
      </c>
      <c r="AE491" t="s">
        <v>599</v>
      </c>
      <c r="AF491" t="s">
        <v>599</v>
      </c>
      <c r="AG491" t="s">
        <v>2899</v>
      </c>
      <c r="AH491" t="s">
        <v>599</v>
      </c>
      <c r="AI491" t="s">
        <v>2900</v>
      </c>
      <c r="AJ491" t="s">
        <v>2901</v>
      </c>
      <c r="AK491" t="s">
        <v>1188</v>
      </c>
      <c r="AL491" t="s">
        <v>2902</v>
      </c>
      <c r="AM491" t="s">
        <v>1190</v>
      </c>
      <c r="AN491" t="s">
        <v>599</v>
      </c>
      <c r="AO491" t="s">
        <v>599</v>
      </c>
      <c r="AP491" t="s">
        <v>599</v>
      </c>
      <c r="AQ491" t="s">
        <v>599</v>
      </c>
      <c r="AR491" t="s">
        <v>599</v>
      </c>
      <c r="AS491" t="s">
        <v>599</v>
      </c>
      <c r="AT491" t="s">
        <v>599</v>
      </c>
    </row>
    <row r="492" spans="1:46" s="13" customFormat="1" ht="75" x14ac:dyDescent="0.25">
      <c r="A492" s="9">
        <v>11185</v>
      </c>
      <c r="B492" s="10">
        <v>98840</v>
      </c>
      <c r="C492" s="10">
        <v>1</v>
      </c>
      <c r="D492" s="9">
        <v>342</v>
      </c>
      <c r="E492" s="11" t="s">
        <v>414</v>
      </c>
      <c r="F492" s="12" t="s">
        <v>415</v>
      </c>
      <c r="G492" s="9" t="s">
        <v>416</v>
      </c>
      <c r="H492" s="34"/>
      <c r="I492" s="55" t="str">
        <f t="shared" si="15"/>
        <v>https://permalinkbnd.bnportugal.gov.pt/viewer/273944/?offset=#page=342&amp;viewer=picture&amp;o=info&amp;n=0&amp;q=</v>
      </c>
      <c r="J492" s="45"/>
      <c r="K492" s="45"/>
      <c r="L492" s="45"/>
      <c r="M492" t="s">
        <v>414</v>
      </c>
      <c r="N492">
        <v>273944</v>
      </c>
      <c r="O492" t="str">
        <f t="shared" si="14"/>
        <v>https://permalinkbnd.bnportugal.gov.pt/viewer/273944/?offset=#page=342&amp;viewer=picture&amp;o=info&amp;n=0&amp;q=</v>
      </c>
      <c r="P492">
        <v>98840</v>
      </c>
      <c r="Q492" t="s">
        <v>414</v>
      </c>
      <c r="R492" t="s">
        <v>2895</v>
      </c>
      <c r="S492" t="s">
        <v>1178</v>
      </c>
      <c r="T492" t="s">
        <v>1192</v>
      </c>
      <c r="U492" t="s">
        <v>599</v>
      </c>
      <c r="V492" t="s">
        <v>1551</v>
      </c>
      <c r="W492" t="s">
        <v>599</v>
      </c>
      <c r="X492" t="s">
        <v>599</v>
      </c>
      <c r="Y492" t="s">
        <v>2896</v>
      </c>
      <c r="Z492" t="s">
        <v>2897</v>
      </c>
      <c r="AA492">
        <v>1880</v>
      </c>
      <c r="AB492">
        <v>1880</v>
      </c>
      <c r="AC492" t="s">
        <v>2898</v>
      </c>
      <c r="AD492" t="s">
        <v>1185</v>
      </c>
      <c r="AE492" t="s">
        <v>599</v>
      </c>
      <c r="AF492" t="s">
        <v>599</v>
      </c>
      <c r="AG492" t="s">
        <v>2899</v>
      </c>
      <c r="AH492" t="s">
        <v>599</v>
      </c>
      <c r="AI492" t="s">
        <v>2900</v>
      </c>
      <c r="AJ492" t="s">
        <v>2901</v>
      </c>
      <c r="AK492" t="s">
        <v>1188</v>
      </c>
      <c r="AL492" t="s">
        <v>2902</v>
      </c>
      <c r="AM492" t="s">
        <v>1190</v>
      </c>
      <c r="AN492" t="s">
        <v>599</v>
      </c>
      <c r="AO492" t="s">
        <v>599</v>
      </c>
      <c r="AP492" t="s">
        <v>599</v>
      </c>
      <c r="AQ492" t="s">
        <v>599</v>
      </c>
      <c r="AR492" t="s">
        <v>599</v>
      </c>
      <c r="AS492" t="s">
        <v>599</v>
      </c>
      <c r="AT492" t="s">
        <v>599</v>
      </c>
    </row>
    <row r="493" spans="1:46" s="13" customFormat="1" ht="75" x14ac:dyDescent="0.25">
      <c r="A493" s="9">
        <v>11186</v>
      </c>
      <c r="B493" s="10">
        <v>98840</v>
      </c>
      <c r="C493" s="10">
        <v>1</v>
      </c>
      <c r="D493" s="9">
        <v>345</v>
      </c>
      <c r="E493" s="11" t="s">
        <v>414</v>
      </c>
      <c r="F493" s="12" t="s">
        <v>415</v>
      </c>
      <c r="G493" s="9" t="s">
        <v>416</v>
      </c>
      <c r="H493" s="34"/>
      <c r="I493" s="55" t="str">
        <f t="shared" si="15"/>
        <v>https://permalinkbnd.bnportugal.gov.pt/viewer/273944/?offset=#page=345&amp;viewer=picture&amp;o=info&amp;n=0&amp;q=</v>
      </c>
      <c r="J493" s="45"/>
      <c r="K493" s="45"/>
      <c r="L493" s="45"/>
      <c r="M493" t="s">
        <v>414</v>
      </c>
      <c r="N493">
        <v>273944</v>
      </c>
      <c r="O493" t="str">
        <f t="shared" si="14"/>
        <v>https://permalinkbnd.bnportugal.gov.pt/viewer/273944/?offset=#page=345&amp;viewer=picture&amp;o=info&amp;n=0&amp;q=</v>
      </c>
      <c r="P493">
        <v>98840</v>
      </c>
      <c r="Q493" t="s">
        <v>414</v>
      </c>
      <c r="R493" t="s">
        <v>2895</v>
      </c>
      <c r="S493" t="s">
        <v>1178</v>
      </c>
      <c r="T493" t="s">
        <v>1192</v>
      </c>
      <c r="U493" t="s">
        <v>599</v>
      </c>
      <c r="V493" t="s">
        <v>1551</v>
      </c>
      <c r="W493" t="s">
        <v>599</v>
      </c>
      <c r="X493" t="s">
        <v>599</v>
      </c>
      <c r="Y493" t="s">
        <v>2896</v>
      </c>
      <c r="Z493" t="s">
        <v>2897</v>
      </c>
      <c r="AA493">
        <v>1880</v>
      </c>
      <c r="AB493">
        <v>1880</v>
      </c>
      <c r="AC493" t="s">
        <v>2898</v>
      </c>
      <c r="AD493" t="s">
        <v>1185</v>
      </c>
      <c r="AE493" t="s">
        <v>599</v>
      </c>
      <c r="AF493" t="s">
        <v>599</v>
      </c>
      <c r="AG493" t="s">
        <v>2899</v>
      </c>
      <c r="AH493" t="s">
        <v>599</v>
      </c>
      <c r="AI493" t="s">
        <v>2900</v>
      </c>
      <c r="AJ493" t="s">
        <v>2901</v>
      </c>
      <c r="AK493" t="s">
        <v>1188</v>
      </c>
      <c r="AL493" t="s">
        <v>2902</v>
      </c>
      <c r="AM493" t="s">
        <v>1190</v>
      </c>
      <c r="AN493" t="s">
        <v>599</v>
      </c>
      <c r="AO493" t="s">
        <v>599</v>
      </c>
      <c r="AP493" t="s">
        <v>599</v>
      </c>
      <c r="AQ493" t="s">
        <v>599</v>
      </c>
      <c r="AR493" t="s">
        <v>599</v>
      </c>
      <c r="AS493" t="s">
        <v>599</v>
      </c>
      <c r="AT493" t="s">
        <v>599</v>
      </c>
    </row>
    <row r="494" spans="1:46" s="13" customFormat="1" ht="75" x14ac:dyDescent="0.25">
      <c r="A494" s="9">
        <v>11187</v>
      </c>
      <c r="B494" s="10">
        <v>98840</v>
      </c>
      <c r="C494" s="10">
        <v>1</v>
      </c>
      <c r="D494" s="9">
        <v>374</v>
      </c>
      <c r="E494" s="11" t="s">
        <v>414</v>
      </c>
      <c r="F494" s="12" t="s">
        <v>415</v>
      </c>
      <c r="G494" s="9" t="s">
        <v>416</v>
      </c>
      <c r="H494" s="34"/>
      <c r="I494" s="55" t="str">
        <f t="shared" si="15"/>
        <v>https://permalinkbnd.bnportugal.gov.pt/viewer/273944/?offset=#page=374&amp;viewer=picture&amp;o=info&amp;n=0&amp;q=</v>
      </c>
      <c r="J494" s="45"/>
      <c r="K494" s="45"/>
      <c r="L494" s="45"/>
      <c r="M494" t="s">
        <v>414</v>
      </c>
      <c r="N494">
        <v>273944</v>
      </c>
      <c r="O494" t="str">
        <f t="shared" si="14"/>
        <v>https://permalinkbnd.bnportugal.gov.pt/viewer/273944/?offset=#page=374&amp;viewer=picture&amp;o=info&amp;n=0&amp;q=</v>
      </c>
      <c r="P494">
        <v>98840</v>
      </c>
      <c r="Q494" t="s">
        <v>414</v>
      </c>
      <c r="R494" t="s">
        <v>2895</v>
      </c>
      <c r="S494" t="s">
        <v>1178</v>
      </c>
      <c r="T494" t="s">
        <v>1192</v>
      </c>
      <c r="U494" t="s">
        <v>599</v>
      </c>
      <c r="V494" t="s">
        <v>1551</v>
      </c>
      <c r="W494" t="s">
        <v>599</v>
      </c>
      <c r="X494" t="s">
        <v>599</v>
      </c>
      <c r="Y494" t="s">
        <v>2896</v>
      </c>
      <c r="Z494" t="s">
        <v>2897</v>
      </c>
      <c r="AA494">
        <v>1880</v>
      </c>
      <c r="AB494">
        <v>1880</v>
      </c>
      <c r="AC494" t="s">
        <v>2898</v>
      </c>
      <c r="AD494" t="s">
        <v>1185</v>
      </c>
      <c r="AE494" t="s">
        <v>599</v>
      </c>
      <c r="AF494" t="s">
        <v>599</v>
      </c>
      <c r="AG494" t="s">
        <v>2899</v>
      </c>
      <c r="AH494" t="s">
        <v>599</v>
      </c>
      <c r="AI494" t="s">
        <v>2900</v>
      </c>
      <c r="AJ494" t="s">
        <v>2901</v>
      </c>
      <c r="AK494" t="s">
        <v>1188</v>
      </c>
      <c r="AL494" t="s">
        <v>2902</v>
      </c>
      <c r="AM494" t="s">
        <v>1190</v>
      </c>
      <c r="AN494" t="s">
        <v>599</v>
      </c>
      <c r="AO494" t="s">
        <v>599</v>
      </c>
      <c r="AP494" t="s">
        <v>599</v>
      </c>
      <c r="AQ494" t="s">
        <v>599</v>
      </c>
      <c r="AR494" t="s">
        <v>599</v>
      </c>
      <c r="AS494" t="s">
        <v>599</v>
      </c>
      <c r="AT494" t="s">
        <v>599</v>
      </c>
    </row>
    <row r="495" spans="1:46" s="13" customFormat="1" ht="75" x14ac:dyDescent="0.25">
      <c r="A495" s="9">
        <v>11188</v>
      </c>
      <c r="B495" s="10">
        <v>98840</v>
      </c>
      <c r="C495" s="10">
        <v>1</v>
      </c>
      <c r="D495" s="9">
        <v>377</v>
      </c>
      <c r="E495" s="11" t="s">
        <v>414</v>
      </c>
      <c r="F495" s="12" t="s">
        <v>415</v>
      </c>
      <c r="G495" s="9" t="s">
        <v>416</v>
      </c>
      <c r="H495" s="34"/>
      <c r="I495" s="55" t="str">
        <f t="shared" si="15"/>
        <v>https://permalinkbnd.bnportugal.gov.pt/viewer/273944/?offset=#page=377&amp;viewer=picture&amp;o=info&amp;n=0&amp;q=</v>
      </c>
      <c r="J495" s="45"/>
      <c r="K495" s="45"/>
      <c r="L495" s="45"/>
      <c r="M495" t="s">
        <v>414</v>
      </c>
      <c r="N495">
        <v>273944</v>
      </c>
      <c r="O495" t="str">
        <f t="shared" si="14"/>
        <v>https://permalinkbnd.bnportugal.gov.pt/viewer/273944/?offset=#page=377&amp;viewer=picture&amp;o=info&amp;n=0&amp;q=</v>
      </c>
      <c r="P495">
        <v>98840</v>
      </c>
      <c r="Q495" t="s">
        <v>414</v>
      </c>
      <c r="R495" t="s">
        <v>2895</v>
      </c>
      <c r="S495" t="s">
        <v>1178</v>
      </c>
      <c r="T495" t="s">
        <v>1192</v>
      </c>
      <c r="U495" t="s">
        <v>599</v>
      </c>
      <c r="V495" t="s">
        <v>1551</v>
      </c>
      <c r="W495" t="s">
        <v>599</v>
      </c>
      <c r="X495" t="s">
        <v>599</v>
      </c>
      <c r="Y495" t="s">
        <v>2896</v>
      </c>
      <c r="Z495" t="s">
        <v>2897</v>
      </c>
      <c r="AA495">
        <v>1880</v>
      </c>
      <c r="AB495">
        <v>1880</v>
      </c>
      <c r="AC495" t="s">
        <v>2898</v>
      </c>
      <c r="AD495" t="s">
        <v>1185</v>
      </c>
      <c r="AE495" t="s">
        <v>599</v>
      </c>
      <c r="AF495" t="s">
        <v>599</v>
      </c>
      <c r="AG495" t="s">
        <v>2899</v>
      </c>
      <c r="AH495" t="s">
        <v>599</v>
      </c>
      <c r="AI495" t="s">
        <v>2900</v>
      </c>
      <c r="AJ495" t="s">
        <v>2901</v>
      </c>
      <c r="AK495" t="s">
        <v>1188</v>
      </c>
      <c r="AL495" t="s">
        <v>2902</v>
      </c>
      <c r="AM495" t="s">
        <v>1190</v>
      </c>
      <c r="AN495" t="s">
        <v>599</v>
      </c>
      <c r="AO495" t="s">
        <v>599</v>
      </c>
      <c r="AP495" t="s">
        <v>599</v>
      </c>
      <c r="AQ495" t="s">
        <v>599</v>
      </c>
      <c r="AR495" t="s">
        <v>599</v>
      </c>
      <c r="AS495" t="s">
        <v>599</v>
      </c>
      <c r="AT495" t="s">
        <v>599</v>
      </c>
    </row>
    <row r="496" spans="1:46" s="13" customFormat="1" ht="75" x14ac:dyDescent="0.25">
      <c r="A496" s="9">
        <v>11189</v>
      </c>
      <c r="B496" s="10">
        <v>98840</v>
      </c>
      <c r="C496" s="10">
        <v>1</v>
      </c>
      <c r="D496" s="9">
        <v>410</v>
      </c>
      <c r="E496" s="11" t="s">
        <v>414</v>
      </c>
      <c r="F496" s="12" t="s">
        <v>415</v>
      </c>
      <c r="G496" s="9" t="s">
        <v>416</v>
      </c>
      <c r="H496" s="34"/>
      <c r="I496" s="55" t="str">
        <f t="shared" si="15"/>
        <v>https://permalinkbnd.bnportugal.gov.pt/viewer/273944/?offset=#page=410&amp;viewer=picture&amp;o=info&amp;n=0&amp;q=</v>
      </c>
      <c r="J496" s="45"/>
      <c r="K496" s="45"/>
      <c r="L496" s="45"/>
      <c r="M496" t="s">
        <v>414</v>
      </c>
      <c r="N496">
        <v>273944</v>
      </c>
      <c r="O496" t="str">
        <f t="shared" si="14"/>
        <v>https://permalinkbnd.bnportugal.gov.pt/viewer/273944/?offset=#page=410&amp;viewer=picture&amp;o=info&amp;n=0&amp;q=</v>
      </c>
      <c r="P496">
        <v>98840</v>
      </c>
      <c r="Q496" t="s">
        <v>414</v>
      </c>
      <c r="R496" t="s">
        <v>2895</v>
      </c>
      <c r="S496" t="s">
        <v>1178</v>
      </c>
      <c r="T496" t="s">
        <v>1192</v>
      </c>
      <c r="U496" t="s">
        <v>599</v>
      </c>
      <c r="V496" t="s">
        <v>1551</v>
      </c>
      <c r="W496" t="s">
        <v>599</v>
      </c>
      <c r="X496" t="s">
        <v>599</v>
      </c>
      <c r="Y496" t="s">
        <v>2896</v>
      </c>
      <c r="Z496" t="s">
        <v>2897</v>
      </c>
      <c r="AA496">
        <v>1880</v>
      </c>
      <c r="AB496">
        <v>1880</v>
      </c>
      <c r="AC496" t="s">
        <v>2898</v>
      </c>
      <c r="AD496" t="s">
        <v>1185</v>
      </c>
      <c r="AE496" t="s">
        <v>599</v>
      </c>
      <c r="AF496" t="s">
        <v>599</v>
      </c>
      <c r="AG496" t="s">
        <v>2899</v>
      </c>
      <c r="AH496" t="s">
        <v>599</v>
      </c>
      <c r="AI496" t="s">
        <v>2900</v>
      </c>
      <c r="AJ496" t="s">
        <v>2901</v>
      </c>
      <c r="AK496" t="s">
        <v>1188</v>
      </c>
      <c r="AL496" t="s">
        <v>2902</v>
      </c>
      <c r="AM496" t="s">
        <v>1190</v>
      </c>
      <c r="AN496" t="s">
        <v>599</v>
      </c>
      <c r="AO496" t="s">
        <v>599</v>
      </c>
      <c r="AP496" t="s">
        <v>599</v>
      </c>
      <c r="AQ496" t="s">
        <v>599</v>
      </c>
      <c r="AR496" t="s">
        <v>599</v>
      </c>
      <c r="AS496" t="s">
        <v>599</v>
      </c>
      <c r="AT496" t="s">
        <v>599</v>
      </c>
    </row>
    <row r="497" spans="1:46" s="13" customFormat="1" ht="75" x14ac:dyDescent="0.25">
      <c r="A497" s="9">
        <v>11190</v>
      </c>
      <c r="B497" s="10">
        <v>98840</v>
      </c>
      <c r="C497" s="10">
        <v>1</v>
      </c>
      <c r="D497" s="9">
        <v>413</v>
      </c>
      <c r="E497" s="11" t="s">
        <v>414</v>
      </c>
      <c r="F497" s="12" t="s">
        <v>415</v>
      </c>
      <c r="G497" s="9" t="s">
        <v>416</v>
      </c>
      <c r="H497" s="34"/>
      <c r="I497" s="55" t="str">
        <f t="shared" si="15"/>
        <v>https://permalinkbnd.bnportugal.gov.pt/viewer/273944/?offset=#page=413&amp;viewer=picture&amp;o=info&amp;n=0&amp;q=</v>
      </c>
      <c r="J497" s="45"/>
      <c r="K497" s="45"/>
      <c r="L497" s="45"/>
      <c r="M497" t="s">
        <v>414</v>
      </c>
      <c r="N497">
        <v>273944</v>
      </c>
      <c r="O497" t="str">
        <f t="shared" si="14"/>
        <v>https://permalinkbnd.bnportugal.gov.pt/viewer/273944/?offset=#page=413&amp;viewer=picture&amp;o=info&amp;n=0&amp;q=</v>
      </c>
      <c r="P497">
        <v>98840</v>
      </c>
      <c r="Q497" t="s">
        <v>414</v>
      </c>
      <c r="R497" t="s">
        <v>2895</v>
      </c>
      <c r="S497" t="s">
        <v>1178</v>
      </c>
      <c r="T497" t="s">
        <v>1192</v>
      </c>
      <c r="U497" t="s">
        <v>599</v>
      </c>
      <c r="V497" t="s">
        <v>1551</v>
      </c>
      <c r="W497" t="s">
        <v>599</v>
      </c>
      <c r="X497" t="s">
        <v>599</v>
      </c>
      <c r="Y497" t="s">
        <v>2896</v>
      </c>
      <c r="Z497" t="s">
        <v>2897</v>
      </c>
      <c r="AA497">
        <v>1880</v>
      </c>
      <c r="AB497">
        <v>1880</v>
      </c>
      <c r="AC497" t="s">
        <v>2898</v>
      </c>
      <c r="AD497" t="s">
        <v>1185</v>
      </c>
      <c r="AE497" t="s">
        <v>599</v>
      </c>
      <c r="AF497" t="s">
        <v>599</v>
      </c>
      <c r="AG497" t="s">
        <v>2899</v>
      </c>
      <c r="AH497" t="s">
        <v>599</v>
      </c>
      <c r="AI497" t="s">
        <v>2900</v>
      </c>
      <c r="AJ497" t="s">
        <v>2901</v>
      </c>
      <c r="AK497" t="s">
        <v>1188</v>
      </c>
      <c r="AL497" t="s">
        <v>2902</v>
      </c>
      <c r="AM497" t="s">
        <v>1190</v>
      </c>
      <c r="AN497" t="s">
        <v>599</v>
      </c>
      <c r="AO497" t="s">
        <v>599</v>
      </c>
      <c r="AP497" t="s">
        <v>599</v>
      </c>
      <c r="AQ497" t="s">
        <v>599</v>
      </c>
      <c r="AR497" t="s">
        <v>599</v>
      </c>
      <c r="AS497" t="s">
        <v>599</v>
      </c>
      <c r="AT497" t="s">
        <v>599</v>
      </c>
    </row>
    <row r="498" spans="1:46" s="13" customFormat="1" ht="75" x14ac:dyDescent="0.25">
      <c r="A498" s="9">
        <v>11191</v>
      </c>
      <c r="B498" s="10">
        <v>98840</v>
      </c>
      <c r="C498" s="10">
        <v>1</v>
      </c>
      <c r="D498" s="9">
        <v>447</v>
      </c>
      <c r="E498" s="11" t="s">
        <v>414</v>
      </c>
      <c r="F498" s="12" t="s">
        <v>415</v>
      </c>
      <c r="G498" s="9" t="s">
        <v>416</v>
      </c>
      <c r="H498" s="34"/>
      <c r="I498" s="55" t="str">
        <f t="shared" si="15"/>
        <v>https://permalinkbnd.bnportugal.gov.pt/viewer/273944/?offset=#page=447&amp;viewer=picture&amp;o=info&amp;n=0&amp;q=</v>
      </c>
      <c r="J498" s="45"/>
      <c r="K498" s="45"/>
      <c r="L498" s="45"/>
      <c r="M498" t="s">
        <v>414</v>
      </c>
      <c r="N498">
        <v>273944</v>
      </c>
      <c r="O498" t="str">
        <f t="shared" si="14"/>
        <v>https://permalinkbnd.bnportugal.gov.pt/viewer/273944/?offset=#page=447&amp;viewer=picture&amp;o=info&amp;n=0&amp;q=</v>
      </c>
      <c r="P498">
        <v>98840</v>
      </c>
      <c r="Q498" t="s">
        <v>414</v>
      </c>
      <c r="R498" t="s">
        <v>2895</v>
      </c>
      <c r="S498" t="s">
        <v>1178</v>
      </c>
      <c r="T498" t="s">
        <v>1192</v>
      </c>
      <c r="U498" t="s">
        <v>599</v>
      </c>
      <c r="V498" t="s">
        <v>1551</v>
      </c>
      <c r="W498" t="s">
        <v>599</v>
      </c>
      <c r="X498" t="s">
        <v>599</v>
      </c>
      <c r="Y498" t="s">
        <v>2896</v>
      </c>
      <c r="Z498" t="s">
        <v>2897</v>
      </c>
      <c r="AA498">
        <v>1880</v>
      </c>
      <c r="AB498">
        <v>1880</v>
      </c>
      <c r="AC498" t="s">
        <v>2898</v>
      </c>
      <c r="AD498" t="s">
        <v>1185</v>
      </c>
      <c r="AE498" t="s">
        <v>599</v>
      </c>
      <c r="AF498" t="s">
        <v>599</v>
      </c>
      <c r="AG498" t="s">
        <v>2899</v>
      </c>
      <c r="AH498" t="s">
        <v>599</v>
      </c>
      <c r="AI498" t="s">
        <v>2900</v>
      </c>
      <c r="AJ498" t="s">
        <v>2901</v>
      </c>
      <c r="AK498" t="s">
        <v>1188</v>
      </c>
      <c r="AL498" t="s">
        <v>2902</v>
      </c>
      <c r="AM498" t="s">
        <v>1190</v>
      </c>
      <c r="AN498" t="s">
        <v>599</v>
      </c>
      <c r="AO498" t="s">
        <v>599</v>
      </c>
      <c r="AP498" t="s">
        <v>599</v>
      </c>
      <c r="AQ498" t="s">
        <v>599</v>
      </c>
      <c r="AR498" t="s">
        <v>599</v>
      </c>
      <c r="AS498" t="s">
        <v>599</v>
      </c>
      <c r="AT498" t="s">
        <v>599</v>
      </c>
    </row>
    <row r="499" spans="1:46" s="13" customFormat="1" ht="75" x14ac:dyDescent="0.25">
      <c r="A499" s="9">
        <v>11192</v>
      </c>
      <c r="B499" s="10">
        <v>98840</v>
      </c>
      <c r="C499" s="10">
        <v>1</v>
      </c>
      <c r="D499" s="9">
        <v>499</v>
      </c>
      <c r="E499" s="11" t="s">
        <v>414</v>
      </c>
      <c r="F499" s="12" t="s">
        <v>415</v>
      </c>
      <c r="G499" s="9" t="s">
        <v>416</v>
      </c>
      <c r="H499" s="34"/>
      <c r="I499" s="55" t="str">
        <f t="shared" si="15"/>
        <v>https://permalinkbnd.bnportugal.gov.pt/viewer/273944/?offset=#page=499&amp;viewer=picture&amp;o=info&amp;n=0&amp;q=</v>
      </c>
      <c r="J499" s="45"/>
      <c r="K499" s="45"/>
      <c r="L499" s="45"/>
      <c r="M499" t="s">
        <v>414</v>
      </c>
      <c r="N499">
        <v>273944</v>
      </c>
      <c r="O499" t="str">
        <f t="shared" si="14"/>
        <v>https://permalinkbnd.bnportugal.gov.pt/viewer/273944/?offset=#page=499&amp;viewer=picture&amp;o=info&amp;n=0&amp;q=</v>
      </c>
      <c r="P499">
        <v>98840</v>
      </c>
      <c r="Q499" t="s">
        <v>414</v>
      </c>
      <c r="R499" t="s">
        <v>2895</v>
      </c>
      <c r="S499" t="s">
        <v>1178</v>
      </c>
      <c r="T499" t="s">
        <v>1192</v>
      </c>
      <c r="U499" t="s">
        <v>599</v>
      </c>
      <c r="V499" t="s">
        <v>1551</v>
      </c>
      <c r="W499" t="s">
        <v>599</v>
      </c>
      <c r="X499" t="s">
        <v>599</v>
      </c>
      <c r="Y499" t="s">
        <v>2896</v>
      </c>
      <c r="Z499" t="s">
        <v>2897</v>
      </c>
      <c r="AA499">
        <v>1880</v>
      </c>
      <c r="AB499">
        <v>1880</v>
      </c>
      <c r="AC499" t="s">
        <v>2898</v>
      </c>
      <c r="AD499" t="s">
        <v>1185</v>
      </c>
      <c r="AE499" t="s">
        <v>599</v>
      </c>
      <c r="AF499" t="s">
        <v>599</v>
      </c>
      <c r="AG499" t="s">
        <v>2899</v>
      </c>
      <c r="AH499" t="s">
        <v>599</v>
      </c>
      <c r="AI499" t="s">
        <v>2900</v>
      </c>
      <c r="AJ499" t="s">
        <v>2901</v>
      </c>
      <c r="AK499" t="s">
        <v>1188</v>
      </c>
      <c r="AL499" t="s">
        <v>2902</v>
      </c>
      <c r="AM499" t="s">
        <v>1190</v>
      </c>
      <c r="AN499" t="s">
        <v>599</v>
      </c>
      <c r="AO499" t="s">
        <v>599</v>
      </c>
      <c r="AP499" t="s">
        <v>599</v>
      </c>
      <c r="AQ499" t="s">
        <v>599</v>
      </c>
      <c r="AR499" t="s">
        <v>599</v>
      </c>
      <c r="AS499" t="s">
        <v>599</v>
      </c>
      <c r="AT499" t="s">
        <v>599</v>
      </c>
    </row>
    <row r="500" spans="1:46" s="13" customFormat="1" ht="30" x14ac:dyDescent="0.25">
      <c r="A500" s="9">
        <v>11240</v>
      </c>
      <c r="B500" s="10">
        <v>224027</v>
      </c>
      <c r="C500" s="10">
        <v>1</v>
      </c>
      <c r="D500" s="9">
        <v>7</v>
      </c>
      <c r="E500" s="11" t="s">
        <v>417</v>
      </c>
      <c r="F500" s="12" t="s">
        <v>172</v>
      </c>
      <c r="G500" s="9"/>
      <c r="H500" s="34"/>
      <c r="I500" s="55" t="str">
        <f t="shared" si="15"/>
        <v>https://permalinkbnd.bnportugal.gov.pt/viewer/14663/?offset=#page=7&amp;viewer=picture&amp;o=info&amp;n=0&amp;q=</v>
      </c>
      <c r="J500" s="45"/>
      <c r="K500" s="45"/>
      <c r="L500" s="45"/>
      <c r="M500" t="s">
        <v>417</v>
      </c>
      <c r="N500">
        <v>14663</v>
      </c>
      <c r="O500" t="str">
        <f t="shared" si="14"/>
        <v>https://permalinkbnd.bnportugal.gov.pt/viewer/14663/?offset=#page=7&amp;viewer=picture&amp;o=info&amp;n=0&amp;q=</v>
      </c>
      <c r="P500">
        <v>224027</v>
      </c>
      <c r="Q500" t="s">
        <v>417</v>
      </c>
      <c r="R500" t="s">
        <v>2903</v>
      </c>
      <c r="S500" t="s">
        <v>1178</v>
      </c>
      <c r="T500" t="s">
        <v>1209</v>
      </c>
      <c r="U500" t="s">
        <v>1192</v>
      </c>
      <c r="V500" t="s">
        <v>2904</v>
      </c>
      <c r="W500" t="s">
        <v>599</v>
      </c>
      <c r="X500" t="s">
        <v>599</v>
      </c>
      <c r="Y500" t="s">
        <v>1182</v>
      </c>
      <c r="Z500" t="s">
        <v>2905</v>
      </c>
      <c r="AA500">
        <v>1580</v>
      </c>
      <c r="AB500">
        <v>1580</v>
      </c>
      <c r="AC500" t="s">
        <v>2906</v>
      </c>
      <c r="AD500" t="s">
        <v>1185</v>
      </c>
      <c r="AE500" t="s">
        <v>599</v>
      </c>
      <c r="AF500" t="s">
        <v>599</v>
      </c>
      <c r="AG500" t="s">
        <v>2907</v>
      </c>
      <c r="AH500" t="s">
        <v>599</v>
      </c>
      <c r="AI500" t="s">
        <v>599</v>
      </c>
      <c r="AJ500" t="s">
        <v>2908</v>
      </c>
      <c r="AK500" t="s">
        <v>599</v>
      </c>
      <c r="AL500" t="s">
        <v>2909</v>
      </c>
      <c r="AM500" t="s">
        <v>1190</v>
      </c>
      <c r="AN500" t="s">
        <v>599</v>
      </c>
      <c r="AO500" t="s">
        <v>599</v>
      </c>
      <c r="AP500" t="s">
        <v>599</v>
      </c>
      <c r="AQ500" t="s">
        <v>599</v>
      </c>
      <c r="AR500" t="s">
        <v>599</v>
      </c>
      <c r="AS500" t="s">
        <v>599</v>
      </c>
      <c r="AT500" t="s">
        <v>599</v>
      </c>
    </row>
    <row r="501" spans="1:46" s="13" customFormat="1" ht="30" x14ac:dyDescent="0.25">
      <c r="A501" s="9">
        <v>11249</v>
      </c>
      <c r="B501" s="10">
        <v>251973</v>
      </c>
      <c r="C501" s="10">
        <v>1</v>
      </c>
      <c r="D501" s="9">
        <v>5</v>
      </c>
      <c r="E501" s="11" t="s">
        <v>418</v>
      </c>
      <c r="F501" s="12" t="s">
        <v>419</v>
      </c>
      <c r="G501" s="9" t="s">
        <v>420</v>
      </c>
      <c r="H501" s="34"/>
      <c r="I501" s="55" t="str">
        <f t="shared" si="15"/>
        <v>https://permalinkbnd.bnportugal.gov.pt/viewer/255848/?offset=#page=5&amp;viewer=picture&amp;o=info&amp;n=0&amp;q=</v>
      </c>
      <c r="J501" s="45"/>
      <c r="K501" s="45"/>
      <c r="L501" s="45"/>
      <c r="M501" t="s">
        <v>418</v>
      </c>
      <c r="N501">
        <v>255848</v>
      </c>
      <c r="O501" t="str">
        <f t="shared" si="14"/>
        <v>https://permalinkbnd.bnportugal.gov.pt/viewer/255848/?offset=#page=5&amp;viewer=picture&amp;o=info&amp;n=0&amp;q=</v>
      </c>
      <c r="P501">
        <v>251973</v>
      </c>
      <c r="Q501" t="s">
        <v>418</v>
      </c>
      <c r="R501" t="s">
        <v>2910</v>
      </c>
      <c r="S501" t="s">
        <v>1178</v>
      </c>
      <c r="T501" t="s">
        <v>1192</v>
      </c>
      <c r="U501" t="s">
        <v>599</v>
      </c>
      <c r="V501" t="s">
        <v>2911</v>
      </c>
      <c r="W501" t="s">
        <v>599</v>
      </c>
      <c r="X501" t="s">
        <v>599</v>
      </c>
      <c r="Y501" t="s">
        <v>1182</v>
      </c>
      <c r="Z501" t="s">
        <v>2912</v>
      </c>
      <c r="AA501">
        <v>1981</v>
      </c>
      <c r="AB501">
        <v>1981</v>
      </c>
      <c r="AC501" t="s">
        <v>2913</v>
      </c>
      <c r="AD501" t="s">
        <v>2914</v>
      </c>
      <c r="AE501" t="s">
        <v>599</v>
      </c>
      <c r="AF501" t="s">
        <v>599</v>
      </c>
      <c r="AG501" t="s">
        <v>2915</v>
      </c>
      <c r="AH501" t="s">
        <v>599</v>
      </c>
      <c r="AI501" t="s">
        <v>599</v>
      </c>
      <c r="AJ501" t="s">
        <v>2916</v>
      </c>
      <c r="AK501" t="s">
        <v>599</v>
      </c>
      <c r="AL501" t="s">
        <v>2917</v>
      </c>
      <c r="AM501" t="s">
        <v>1319</v>
      </c>
      <c r="AN501" t="s">
        <v>599</v>
      </c>
      <c r="AO501" t="s">
        <v>599</v>
      </c>
      <c r="AP501" t="s">
        <v>599</v>
      </c>
      <c r="AQ501" t="s">
        <v>599</v>
      </c>
      <c r="AR501" t="s">
        <v>599</v>
      </c>
      <c r="AS501" t="s">
        <v>599</v>
      </c>
      <c r="AT501" t="s">
        <v>599</v>
      </c>
    </row>
    <row r="502" spans="1:46" s="13" customFormat="1" ht="30" x14ac:dyDescent="0.25">
      <c r="A502" s="9">
        <v>11250</v>
      </c>
      <c r="B502" s="10">
        <v>251973</v>
      </c>
      <c r="C502" s="10">
        <v>1</v>
      </c>
      <c r="D502" s="9">
        <v>11</v>
      </c>
      <c r="E502" s="11" t="s">
        <v>418</v>
      </c>
      <c r="F502" s="12" t="s">
        <v>419</v>
      </c>
      <c r="G502" s="9" t="s">
        <v>420</v>
      </c>
      <c r="H502" s="34"/>
      <c r="I502" s="55" t="str">
        <f t="shared" si="15"/>
        <v>https://permalinkbnd.bnportugal.gov.pt/viewer/255848/?offset=#page=11&amp;viewer=picture&amp;o=info&amp;n=0&amp;q=</v>
      </c>
      <c r="J502" s="45"/>
      <c r="K502" s="45"/>
      <c r="L502" s="45"/>
      <c r="M502" t="s">
        <v>418</v>
      </c>
      <c r="N502">
        <v>255848</v>
      </c>
      <c r="O502" t="str">
        <f t="shared" si="14"/>
        <v>https://permalinkbnd.bnportugal.gov.pt/viewer/255848/?offset=#page=11&amp;viewer=picture&amp;o=info&amp;n=0&amp;q=</v>
      </c>
      <c r="P502">
        <v>251973</v>
      </c>
      <c r="Q502" t="s">
        <v>418</v>
      </c>
      <c r="R502" t="s">
        <v>2910</v>
      </c>
      <c r="S502" t="s">
        <v>1178</v>
      </c>
      <c r="T502" t="s">
        <v>1192</v>
      </c>
      <c r="U502" t="s">
        <v>599</v>
      </c>
      <c r="V502" t="s">
        <v>2911</v>
      </c>
      <c r="W502" t="s">
        <v>599</v>
      </c>
      <c r="X502" t="s">
        <v>599</v>
      </c>
      <c r="Y502" t="s">
        <v>1182</v>
      </c>
      <c r="Z502" t="s">
        <v>2912</v>
      </c>
      <c r="AA502">
        <v>1981</v>
      </c>
      <c r="AB502">
        <v>1981</v>
      </c>
      <c r="AC502" t="s">
        <v>2913</v>
      </c>
      <c r="AD502" t="s">
        <v>2914</v>
      </c>
      <c r="AE502" t="s">
        <v>599</v>
      </c>
      <c r="AF502" t="s">
        <v>599</v>
      </c>
      <c r="AG502" t="s">
        <v>2915</v>
      </c>
      <c r="AH502" t="s">
        <v>599</v>
      </c>
      <c r="AI502" t="s">
        <v>599</v>
      </c>
      <c r="AJ502" t="s">
        <v>2916</v>
      </c>
      <c r="AK502" t="s">
        <v>599</v>
      </c>
      <c r="AL502" t="s">
        <v>2917</v>
      </c>
      <c r="AM502" t="s">
        <v>1319</v>
      </c>
      <c r="AN502" t="s">
        <v>599</v>
      </c>
      <c r="AO502" t="s">
        <v>599</v>
      </c>
      <c r="AP502" t="s">
        <v>599</v>
      </c>
      <c r="AQ502" t="s">
        <v>599</v>
      </c>
      <c r="AR502" t="s">
        <v>599</v>
      </c>
      <c r="AS502" t="s">
        <v>599</v>
      </c>
      <c r="AT502" t="s">
        <v>599</v>
      </c>
    </row>
    <row r="503" spans="1:46" s="13" customFormat="1" ht="30" x14ac:dyDescent="0.25">
      <c r="A503" s="9">
        <v>11251</v>
      </c>
      <c r="B503" s="10">
        <v>251973</v>
      </c>
      <c r="C503" s="10">
        <v>1</v>
      </c>
      <c r="D503" s="9">
        <v>13</v>
      </c>
      <c r="E503" s="11" t="s">
        <v>418</v>
      </c>
      <c r="F503" s="12" t="s">
        <v>419</v>
      </c>
      <c r="G503" s="9" t="s">
        <v>420</v>
      </c>
      <c r="H503" s="34"/>
      <c r="I503" s="55" t="str">
        <f t="shared" si="15"/>
        <v>https://permalinkbnd.bnportugal.gov.pt/viewer/255848/?offset=#page=13&amp;viewer=picture&amp;o=info&amp;n=0&amp;q=</v>
      </c>
      <c r="J503" s="45"/>
      <c r="K503" s="45"/>
      <c r="L503" s="45"/>
      <c r="M503" t="s">
        <v>418</v>
      </c>
      <c r="N503">
        <v>255848</v>
      </c>
      <c r="O503" t="str">
        <f t="shared" si="14"/>
        <v>https://permalinkbnd.bnportugal.gov.pt/viewer/255848/?offset=#page=13&amp;viewer=picture&amp;o=info&amp;n=0&amp;q=</v>
      </c>
      <c r="P503">
        <v>251973</v>
      </c>
      <c r="Q503" t="s">
        <v>418</v>
      </c>
      <c r="R503" t="s">
        <v>2910</v>
      </c>
      <c r="S503" t="s">
        <v>1178</v>
      </c>
      <c r="T503" t="s">
        <v>1192</v>
      </c>
      <c r="U503" t="s">
        <v>599</v>
      </c>
      <c r="V503" t="s">
        <v>2911</v>
      </c>
      <c r="W503" t="s">
        <v>599</v>
      </c>
      <c r="X503" t="s">
        <v>599</v>
      </c>
      <c r="Y503" t="s">
        <v>1182</v>
      </c>
      <c r="Z503" t="s">
        <v>2912</v>
      </c>
      <c r="AA503">
        <v>1981</v>
      </c>
      <c r="AB503">
        <v>1981</v>
      </c>
      <c r="AC503" t="s">
        <v>2913</v>
      </c>
      <c r="AD503" t="s">
        <v>2914</v>
      </c>
      <c r="AE503" t="s">
        <v>599</v>
      </c>
      <c r="AF503" t="s">
        <v>599</v>
      </c>
      <c r="AG503" t="s">
        <v>2915</v>
      </c>
      <c r="AH503" t="s">
        <v>599</v>
      </c>
      <c r="AI503" t="s">
        <v>599</v>
      </c>
      <c r="AJ503" t="s">
        <v>2916</v>
      </c>
      <c r="AK503" t="s">
        <v>599</v>
      </c>
      <c r="AL503" t="s">
        <v>2917</v>
      </c>
      <c r="AM503" t="s">
        <v>1319</v>
      </c>
      <c r="AN503" t="s">
        <v>599</v>
      </c>
      <c r="AO503" t="s">
        <v>599</v>
      </c>
      <c r="AP503" t="s">
        <v>599</v>
      </c>
      <c r="AQ503" t="s">
        <v>599</v>
      </c>
      <c r="AR503" t="s">
        <v>599</v>
      </c>
      <c r="AS503" t="s">
        <v>599</v>
      </c>
      <c r="AT503" t="s">
        <v>599</v>
      </c>
    </row>
    <row r="504" spans="1:46" s="13" customFormat="1" ht="30" x14ac:dyDescent="0.25">
      <c r="A504" s="9">
        <v>11252</v>
      </c>
      <c r="B504" s="10">
        <v>251973</v>
      </c>
      <c r="C504" s="10">
        <v>1</v>
      </c>
      <c r="D504" s="9">
        <v>15</v>
      </c>
      <c r="E504" s="11" t="s">
        <v>418</v>
      </c>
      <c r="F504" s="12" t="s">
        <v>419</v>
      </c>
      <c r="G504" s="9" t="s">
        <v>420</v>
      </c>
      <c r="H504" s="34"/>
      <c r="I504" s="55" t="str">
        <f t="shared" si="15"/>
        <v>https://permalinkbnd.bnportugal.gov.pt/viewer/255848/?offset=#page=15&amp;viewer=picture&amp;o=info&amp;n=0&amp;q=</v>
      </c>
      <c r="J504" s="45"/>
      <c r="K504" s="45"/>
      <c r="L504" s="45"/>
      <c r="M504" t="s">
        <v>418</v>
      </c>
      <c r="N504">
        <v>255848</v>
      </c>
      <c r="O504" t="str">
        <f t="shared" si="14"/>
        <v>https://permalinkbnd.bnportugal.gov.pt/viewer/255848/?offset=#page=15&amp;viewer=picture&amp;o=info&amp;n=0&amp;q=</v>
      </c>
      <c r="P504">
        <v>251973</v>
      </c>
      <c r="Q504" t="s">
        <v>418</v>
      </c>
      <c r="R504" t="s">
        <v>2910</v>
      </c>
      <c r="S504" t="s">
        <v>1178</v>
      </c>
      <c r="T504" t="s">
        <v>1192</v>
      </c>
      <c r="U504" t="s">
        <v>599</v>
      </c>
      <c r="V504" t="s">
        <v>2911</v>
      </c>
      <c r="W504" t="s">
        <v>599</v>
      </c>
      <c r="X504" t="s">
        <v>599</v>
      </c>
      <c r="Y504" t="s">
        <v>1182</v>
      </c>
      <c r="Z504" t="s">
        <v>2912</v>
      </c>
      <c r="AA504">
        <v>1981</v>
      </c>
      <c r="AB504">
        <v>1981</v>
      </c>
      <c r="AC504" t="s">
        <v>2913</v>
      </c>
      <c r="AD504" t="s">
        <v>2914</v>
      </c>
      <c r="AE504" t="s">
        <v>599</v>
      </c>
      <c r="AF504" t="s">
        <v>599</v>
      </c>
      <c r="AG504" t="s">
        <v>2915</v>
      </c>
      <c r="AH504" t="s">
        <v>599</v>
      </c>
      <c r="AI504" t="s">
        <v>599</v>
      </c>
      <c r="AJ504" t="s">
        <v>2916</v>
      </c>
      <c r="AK504" t="s">
        <v>599</v>
      </c>
      <c r="AL504" t="s">
        <v>2917</v>
      </c>
      <c r="AM504" t="s">
        <v>1319</v>
      </c>
      <c r="AN504" t="s">
        <v>599</v>
      </c>
      <c r="AO504" t="s">
        <v>599</v>
      </c>
      <c r="AP504" t="s">
        <v>599</v>
      </c>
      <c r="AQ504" t="s">
        <v>599</v>
      </c>
      <c r="AR504" t="s">
        <v>599</v>
      </c>
      <c r="AS504" t="s">
        <v>599</v>
      </c>
      <c r="AT504" t="s">
        <v>599</v>
      </c>
    </row>
    <row r="505" spans="1:46" s="13" customFormat="1" ht="30" x14ac:dyDescent="0.25">
      <c r="A505" s="9">
        <v>11253</v>
      </c>
      <c r="B505" s="10">
        <v>251973</v>
      </c>
      <c r="C505" s="10">
        <v>1</v>
      </c>
      <c r="D505" s="9">
        <v>17</v>
      </c>
      <c r="E505" s="11" t="s">
        <v>418</v>
      </c>
      <c r="F505" s="12" t="s">
        <v>419</v>
      </c>
      <c r="G505" s="9" t="s">
        <v>420</v>
      </c>
      <c r="H505" s="34"/>
      <c r="I505" s="55" t="str">
        <f t="shared" si="15"/>
        <v>https://permalinkbnd.bnportugal.gov.pt/viewer/255848/?offset=#page=17&amp;viewer=picture&amp;o=info&amp;n=0&amp;q=</v>
      </c>
      <c r="J505" s="45"/>
      <c r="K505" s="45"/>
      <c r="L505" s="45"/>
      <c r="M505" t="s">
        <v>418</v>
      </c>
      <c r="N505">
        <v>255848</v>
      </c>
      <c r="O505" t="str">
        <f t="shared" si="14"/>
        <v>https://permalinkbnd.bnportugal.gov.pt/viewer/255848/?offset=#page=17&amp;viewer=picture&amp;o=info&amp;n=0&amp;q=</v>
      </c>
      <c r="P505">
        <v>251973</v>
      </c>
      <c r="Q505" t="s">
        <v>418</v>
      </c>
      <c r="R505" t="s">
        <v>2910</v>
      </c>
      <c r="S505" t="s">
        <v>1178</v>
      </c>
      <c r="T505" t="s">
        <v>1192</v>
      </c>
      <c r="U505" t="s">
        <v>599</v>
      </c>
      <c r="V505" t="s">
        <v>2911</v>
      </c>
      <c r="W505" t="s">
        <v>599</v>
      </c>
      <c r="X505" t="s">
        <v>599</v>
      </c>
      <c r="Y505" t="s">
        <v>1182</v>
      </c>
      <c r="Z505" t="s">
        <v>2912</v>
      </c>
      <c r="AA505">
        <v>1981</v>
      </c>
      <c r="AB505">
        <v>1981</v>
      </c>
      <c r="AC505" t="s">
        <v>2913</v>
      </c>
      <c r="AD505" t="s">
        <v>2914</v>
      </c>
      <c r="AE505" t="s">
        <v>599</v>
      </c>
      <c r="AF505" t="s">
        <v>599</v>
      </c>
      <c r="AG505" t="s">
        <v>2915</v>
      </c>
      <c r="AH505" t="s">
        <v>599</v>
      </c>
      <c r="AI505" t="s">
        <v>599</v>
      </c>
      <c r="AJ505" t="s">
        <v>2916</v>
      </c>
      <c r="AK505" t="s">
        <v>599</v>
      </c>
      <c r="AL505" t="s">
        <v>2917</v>
      </c>
      <c r="AM505" t="s">
        <v>1319</v>
      </c>
      <c r="AN505" t="s">
        <v>599</v>
      </c>
      <c r="AO505" t="s">
        <v>599</v>
      </c>
      <c r="AP505" t="s">
        <v>599</v>
      </c>
      <c r="AQ505" t="s">
        <v>599</v>
      </c>
      <c r="AR505" t="s">
        <v>599</v>
      </c>
      <c r="AS505" t="s">
        <v>599</v>
      </c>
      <c r="AT505" t="s">
        <v>599</v>
      </c>
    </row>
    <row r="506" spans="1:46" s="13" customFormat="1" ht="30" x14ac:dyDescent="0.25">
      <c r="A506" s="9">
        <v>11254</v>
      </c>
      <c r="B506" s="10">
        <v>251973</v>
      </c>
      <c r="C506" s="10">
        <v>1</v>
      </c>
      <c r="D506" s="9">
        <v>19</v>
      </c>
      <c r="E506" s="11" t="s">
        <v>418</v>
      </c>
      <c r="F506" s="12" t="s">
        <v>419</v>
      </c>
      <c r="G506" s="9" t="s">
        <v>420</v>
      </c>
      <c r="H506" s="34"/>
      <c r="I506" s="55" t="str">
        <f t="shared" si="15"/>
        <v>https://permalinkbnd.bnportugal.gov.pt/viewer/255848/?offset=#page=19&amp;viewer=picture&amp;o=info&amp;n=0&amp;q=</v>
      </c>
      <c r="J506" s="45"/>
      <c r="K506" s="45"/>
      <c r="L506" s="45"/>
      <c r="M506" t="s">
        <v>418</v>
      </c>
      <c r="N506">
        <v>255848</v>
      </c>
      <c r="O506" t="str">
        <f t="shared" si="14"/>
        <v>https://permalinkbnd.bnportugal.gov.pt/viewer/255848/?offset=#page=19&amp;viewer=picture&amp;o=info&amp;n=0&amp;q=</v>
      </c>
      <c r="P506">
        <v>251973</v>
      </c>
      <c r="Q506" t="s">
        <v>418</v>
      </c>
      <c r="R506" t="s">
        <v>2910</v>
      </c>
      <c r="S506" t="s">
        <v>1178</v>
      </c>
      <c r="T506" t="s">
        <v>1192</v>
      </c>
      <c r="U506" t="s">
        <v>599</v>
      </c>
      <c r="V506" t="s">
        <v>2911</v>
      </c>
      <c r="W506" t="s">
        <v>599</v>
      </c>
      <c r="X506" t="s">
        <v>599</v>
      </c>
      <c r="Y506" t="s">
        <v>1182</v>
      </c>
      <c r="Z506" t="s">
        <v>2912</v>
      </c>
      <c r="AA506">
        <v>1981</v>
      </c>
      <c r="AB506">
        <v>1981</v>
      </c>
      <c r="AC506" t="s">
        <v>2913</v>
      </c>
      <c r="AD506" t="s">
        <v>2914</v>
      </c>
      <c r="AE506" t="s">
        <v>599</v>
      </c>
      <c r="AF506" t="s">
        <v>599</v>
      </c>
      <c r="AG506" t="s">
        <v>2915</v>
      </c>
      <c r="AH506" t="s">
        <v>599</v>
      </c>
      <c r="AI506" t="s">
        <v>599</v>
      </c>
      <c r="AJ506" t="s">
        <v>2916</v>
      </c>
      <c r="AK506" t="s">
        <v>599</v>
      </c>
      <c r="AL506" t="s">
        <v>2917</v>
      </c>
      <c r="AM506" t="s">
        <v>1319</v>
      </c>
      <c r="AN506" t="s">
        <v>599</v>
      </c>
      <c r="AO506" t="s">
        <v>599</v>
      </c>
      <c r="AP506" t="s">
        <v>599</v>
      </c>
      <c r="AQ506" t="s">
        <v>599</v>
      </c>
      <c r="AR506" t="s">
        <v>599</v>
      </c>
      <c r="AS506" t="s">
        <v>599</v>
      </c>
      <c r="AT506" t="s">
        <v>599</v>
      </c>
    </row>
    <row r="507" spans="1:46" s="13" customFormat="1" ht="30" x14ac:dyDescent="0.25">
      <c r="A507" s="9">
        <v>11255</v>
      </c>
      <c r="B507" s="10">
        <v>251973</v>
      </c>
      <c r="C507" s="10">
        <v>1</v>
      </c>
      <c r="D507" s="9">
        <v>21</v>
      </c>
      <c r="E507" s="11" t="s">
        <v>418</v>
      </c>
      <c r="F507" s="12" t="s">
        <v>419</v>
      </c>
      <c r="G507" s="9" t="s">
        <v>420</v>
      </c>
      <c r="H507" s="34"/>
      <c r="I507" s="55" t="str">
        <f t="shared" si="15"/>
        <v>https://permalinkbnd.bnportugal.gov.pt/viewer/255848/?offset=#page=21&amp;viewer=picture&amp;o=info&amp;n=0&amp;q=</v>
      </c>
      <c r="J507" s="45"/>
      <c r="K507" s="45"/>
      <c r="L507" s="45"/>
      <c r="M507" t="s">
        <v>418</v>
      </c>
      <c r="N507">
        <v>255848</v>
      </c>
      <c r="O507" t="str">
        <f t="shared" si="14"/>
        <v>https://permalinkbnd.bnportugal.gov.pt/viewer/255848/?offset=#page=21&amp;viewer=picture&amp;o=info&amp;n=0&amp;q=</v>
      </c>
      <c r="P507">
        <v>251973</v>
      </c>
      <c r="Q507" t="s">
        <v>418</v>
      </c>
      <c r="R507" t="s">
        <v>2910</v>
      </c>
      <c r="S507" t="s">
        <v>1178</v>
      </c>
      <c r="T507" t="s">
        <v>1192</v>
      </c>
      <c r="U507" t="s">
        <v>599</v>
      </c>
      <c r="V507" t="s">
        <v>2911</v>
      </c>
      <c r="W507" t="s">
        <v>599</v>
      </c>
      <c r="X507" t="s">
        <v>599</v>
      </c>
      <c r="Y507" t="s">
        <v>1182</v>
      </c>
      <c r="Z507" t="s">
        <v>2912</v>
      </c>
      <c r="AA507">
        <v>1981</v>
      </c>
      <c r="AB507">
        <v>1981</v>
      </c>
      <c r="AC507" t="s">
        <v>2913</v>
      </c>
      <c r="AD507" t="s">
        <v>2914</v>
      </c>
      <c r="AE507" t="s">
        <v>599</v>
      </c>
      <c r="AF507" t="s">
        <v>599</v>
      </c>
      <c r="AG507" t="s">
        <v>2915</v>
      </c>
      <c r="AH507" t="s">
        <v>599</v>
      </c>
      <c r="AI507" t="s">
        <v>599</v>
      </c>
      <c r="AJ507" t="s">
        <v>2916</v>
      </c>
      <c r="AK507" t="s">
        <v>599</v>
      </c>
      <c r="AL507" t="s">
        <v>2917</v>
      </c>
      <c r="AM507" t="s">
        <v>1319</v>
      </c>
      <c r="AN507" t="s">
        <v>599</v>
      </c>
      <c r="AO507" t="s">
        <v>599</v>
      </c>
      <c r="AP507" t="s">
        <v>599</v>
      </c>
      <c r="AQ507" t="s">
        <v>599</v>
      </c>
      <c r="AR507" t="s">
        <v>599</v>
      </c>
      <c r="AS507" t="s">
        <v>599</v>
      </c>
      <c r="AT507" t="s">
        <v>599</v>
      </c>
    </row>
    <row r="508" spans="1:46" s="13" customFormat="1" ht="30" x14ac:dyDescent="0.25">
      <c r="A508" s="9">
        <v>11256</v>
      </c>
      <c r="B508" s="10">
        <v>251973</v>
      </c>
      <c r="C508" s="10">
        <v>1</v>
      </c>
      <c r="D508" s="9">
        <v>23</v>
      </c>
      <c r="E508" s="11" t="s">
        <v>418</v>
      </c>
      <c r="F508" s="12" t="s">
        <v>419</v>
      </c>
      <c r="G508" s="9" t="s">
        <v>420</v>
      </c>
      <c r="H508" s="34"/>
      <c r="I508" s="55" t="str">
        <f t="shared" si="15"/>
        <v>https://permalinkbnd.bnportugal.gov.pt/viewer/255848/?offset=#page=23&amp;viewer=picture&amp;o=info&amp;n=0&amp;q=</v>
      </c>
      <c r="J508" s="45"/>
      <c r="K508" s="45"/>
      <c r="L508" s="45"/>
      <c r="M508" t="s">
        <v>418</v>
      </c>
      <c r="N508">
        <v>255848</v>
      </c>
      <c r="O508" t="str">
        <f t="shared" si="14"/>
        <v>https://permalinkbnd.bnportugal.gov.pt/viewer/255848/?offset=#page=23&amp;viewer=picture&amp;o=info&amp;n=0&amp;q=</v>
      </c>
      <c r="P508">
        <v>251973</v>
      </c>
      <c r="Q508" t="s">
        <v>418</v>
      </c>
      <c r="R508" t="s">
        <v>2910</v>
      </c>
      <c r="S508" t="s">
        <v>1178</v>
      </c>
      <c r="T508" t="s">
        <v>1192</v>
      </c>
      <c r="U508" t="s">
        <v>599</v>
      </c>
      <c r="V508" t="s">
        <v>2911</v>
      </c>
      <c r="W508" t="s">
        <v>599</v>
      </c>
      <c r="X508" t="s">
        <v>599</v>
      </c>
      <c r="Y508" t="s">
        <v>1182</v>
      </c>
      <c r="Z508" t="s">
        <v>2912</v>
      </c>
      <c r="AA508">
        <v>1981</v>
      </c>
      <c r="AB508">
        <v>1981</v>
      </c>
      <c r="AC508" t="s">
        <v>2913</v>
      </c>
      <c r="AD508" t="s">
        <v>2914</v>
      </c>
      <c r="AE508" t="s">
        <v>599</v>
      </c>
      <c r="AF508" t="s">
        <v>599</v>
      </c>
      <c r="AG508" t="s">
        <v>2915</v>
      </c>
      <c r="AH508" t="s">
        <v>599</v>
      </c>
      <c r="AI508" t="s">
        <v>599</v>
      </c>
      <c r="AJ508" t="s">
        <v>2916</v>
      </c>
      <c r="AK508" t="s">
        <v>599</v>
      </c>
      <c r="AL508" t="s">
        <v>2917</v>
      </c>
      <c r="AM508" t="s">
        <v>1319</v>
      </c>
      <c r="AN508" t="s">
        <v>599</v>
      </c>
      <c r="AO508" t="s">
        <v>599</v>
      </c>
      <c r="AP508" t="s">
        <v>599</v>
      </c>
      <c r="AQ508" t="s">
        <v>599</v>
      </c>
      <c r="AR508" t="s">
        <v>599</v>
      </c>
      <c r="AS508" t="s">
        <v>599</v>
      </c>
      <c r="AT508" t="s">
        <v>599</v>
      </c>
    </row>
    <row r="509" spans="1:46" s="13" customFormat="1" ht="30" x14ac:dyDescent="0.25">
      <c r="A509" s="9">
        <v>11257</v>
      </c>
      <c r="B509" s="10">
        <v>251973</v>
      </c>
      <c r="C509" s="10">
        <v>1</v>
      </c>
      <c r="D509" s="9">
        <v>25</v>
      </c>
      <c r="E509" s="11" t="s">
        <v>418</v>
      </c>
      <c r="F509" s="12" t="s">
        <v>419</v>
      </c>
      <c r="G509" s="9" t="s">
        <v>420</v>
      </c>
      <c r="H509" s="34"/>
      <c r="I509" s="55" t="str">
        <f t="shared" si="15"/>
        <v>https://permalinkbnd.bnportugal.gov.pt/viewer/255848/?offset=#page=25&amp;viewer=picture&amp;o=info&amp;n=0&amp;q=</v>
      </c>
      <c r="J509" s="45"/>
      <c r="K509" s="45"/>
      <c r="L509" s="45"/>
      <c r="M509" t="s">
        <v>418</v>
      </c>
      <c r="N509">
        <v>255848</v>
      </c>
      <c r="O509" t="str">
        <f t="shared" si="14"/>
        <v>https://permalinkbnd.bnportugal.gov.pt/viewer/255848/?offset=#page=25&amp;viewer=picture&amp;o=info&amp;n=0&amp;q=</v>
      </c>
      <c r="P509">
        <v>251973</v>
      </c>
      <c r="Q509" t="s">
        <v>418</v>
      </c>
      <c r="R509" t="s">
        <v>2910</v>
      </c>
      <c r="S509" t="s">
        <v>1178</v>
      </c>
      <c r="T509" t="s">
        <v>1192</v>
      </c>
      <c r="U509" t="s">
        <v>599</v>
      </c>
      <c r="V509" t="s">
        <v>2911</v>
      </c>
      <c r="W509" t="s">
        <v>599</v>
      </c>
      <c r="X509" t="s">
        <v>599</v>
      </c>
      <c r="Y509" t="s">
        <v>1182</v>
      </c>
      <c r="Z509" t="s">
        <v>2912</v>
      </c>
      <c r="AA509">
        <v>1981</v>
      </c>
      <c r="AB509">
        <v>1981</v>
      </c>
      <c r="AC509" t="s">
        <v>2913</v>
      </c>
      <c r="AD509" t="s">
        <v>2914</v>
      </c>
      <c r="AE509" t="s">
        <v>599</v>
      </c>
      <c r="AF509" t="s">
        <v>599</v>
      </c>
      <c r="AG509" t="s">
        <v>2915</v>
      </c>
      <c r="AH509" t="s">
        <v>599</v>
      </c>
      <c r="AI509" t="s">
        <v>599</v>
      </c>
      <c r="AJ509" t="s">
        <v>2916</v>
      </c>
      <c r="AK509" t="s">
        <v>599</v>
      </c>
      <c r="AL509" t="s">
        <v>2917</v>
      </c>
      <c r="AM509" t="s">
        <v>1319</v>
      </c>
      <c r="AN509" t="s">
        <v>599</v>
      </c>
      <c r="AO509" t="s">
        <v>599</v>
      </c>
      <c r="AP509" t="s">
        <v>599</v>
      </c>
      <c r="AQ509" t="s">
        <v>599</v>
      </c>
      <c r="AR509" t="s">
        <v>599</v>
      </c>
      <c r="AS509" t="s">
        <v>599</v>
      </c>
      <c r="AT509" t="s">
        <v>599</v>
      </c>
    </row>
    <row r="510" spans="1:46" s="13" customFormat="1" ht="30" x14ac:dyDescent="0.25">
      <c r="A510" s="9">
        <v>11258</v>
      </c>
      <c r="B510" s="10">
        <v>251973</v>
      </c>
      <c r="C510" s="10">
        <v>1</v>
      </c>
      <c r="D510" s="9">
        <v>27</v>
      </c>
      <c r="E510" s="11" t="s">
        <v>418</v>
      </c>
      <c r="F510" s="12" t="s">
        <v>419</v>
      </c>
      <c r="G510" s="9" t="s">
        <v>420</v>
      </c>
      <c r="H510" s="34"/>
      <c r="I510" s="55" t="str">
        <f t="shared" si="15"/>
        <v>https://permalinkbnd.bnportugal.gov.pt/viewer/255848/?offset=#page=27&amp;viewer=picture&amp;o=info&amp;n=0&amp;q=</v>
      </c>
      <c r="J510" s="45"/>
      <c r="K510" s="45"/>
      <c r="L510" s="45"/>
      <c r="M510" t="s">
        <v>418</v>
      </c>
      <c r="N510">
        <v>255848</v>
      </c>
      <c r="O510" t="str">
        <f t="shared" si="14"/>
        <v>https://permalinkbnd.bnportugal.gov.pt/viewer/255848/?offset=#page=27&amp;viewer=picture&amp;o=info&amp;n=0&amp;q=</v>
      </c>
      <c r="P510">
        <v>251973</v>
      </c>
      <c r="Q510" t="s">
        <v>418</v>
      </c>
      <c r="R510" t="s">
        <v>2910</v>
      </c>
      <c r="S510" t="s">
        <v>1178</v>
      </c>
      <c r="T510" t="s">
        <v>1192</v>
      </c>
      <c r="U510" t="s">
        <v>599</v>
      </c>
      <c r="V510" t="s">
        <v>2911</v>
      </c>
      <c r="W510" t="s">
        <v>599</v>
      </c>
      <c r="X510" t="s">
        <v>599</v>
      </c>
      <c r="Y510" t="s">
        <v>1182</v>
      </c>
      <c r="Z510" t="s">
        <v>2912</v>
      </c>
      <c r="AA510">
        <v>1981</v>
      </c>
      <c r="AB510">
        <v>1981</v>
      </c>
      <c r="AC510" t="s">
        <v>2913</v>
      </c>
      <c r="AD510" t="s">
        <v>2914</v>
      </c>
      <c r="AE510" t="s">
        <v>599</v>
      </c>
      <c r="AF510" t="s">
        <v>599</v>
      </c>
      <c r="AG510" t="s">
        <v>2915</v>
      </c>
      <c r="AH510" t="s">
        <v>599</v>
      </c>
      <c r="AI510" t="s">
        <v>599</v>
      </c>
      <c r="AJ510" t="s">
        <v>2916</v>
      </c>
      <c r="AK510" t="s">
        <v>599</v>
      </c>
      <c r="AL510" t="s">
        <v>2917</v>
      </c>
      <c r="AM510" t="s">
        <v>1319</v>
      </c>
      <c r="AN510" t="s">
        <v>599</v>
      </c>
      <c r="AO510" t="s">
        <v>599</v>
      </c>
      <c r="AP510" t="s">
        <v>599</v>
      </c>
      <c r="AQ510" t="s">
        <v>599</v>
      </c>
      <c r="AR510" t="s">
        <v>599</v>
      </c>
      <c r="AS510" t="s">
        <v>599</v>
      </c>
      <c r="AT510" t="s">
        <v>599</v>
      </c>
    </row>
    <row r="511" spans="1:46" s="13" customFormat="1" ht="30" x14ac:dyDescent="0.25">
      <c r="A511" s="9">
        <v>11259</v>
      </c>
      <c r="B511" s="10">
        <v>251973</v>
      </c>
      <c r="C511" s="10">
        <v>1</v>
      </c>
      <c r="D511" s="9">
        <v>29</v>
      </c>
      <c r="E511" s="11" t="s">
        <v>418</v>
      </c>
      <c r="F511" s="12" t="s">
        <v>419</v>
      </c>
      <c r="G511" s="9" t="s">
        <v>420</v>
      </c>
      <c r="H511" s="34"/>
      <c r="I511" s="55" t="str">
        <f t="shared" si="15"/>
        <v>https://permalinkbnd.bnportugal.gov.pt/viewer/255848/?offset=#page=29&amp;viewer=picture&amp;o=info&amp;n=0&amp;q=</v>
      </c>
      <c r="J511" s="45"/>
      <c r="K511" s="45"/>
      <c r="L511" s="45"/>
      <c r="M511" t="s">
        <v>418</v>
      </c>
      <c r="N511">
        <v>255848</v>
      </c>
      <c r="O511" t="str">
        <f t="shared" si="14"/>
        <v>https://permalinkbnd.bnportugal.gov.pt/viewer/255848/?offset=#page=29&amp;viewer=picture&amp;o=info&amp;n=0&amp;q=</v>
      </c>
      <c r="P511">
        <v>251973</v>
      </c>
      <c r="Q511" t="s">
        <v>418</v>
      </c>
      <c r="R511" t="s">
        <v>2910</v>
      </c>
      <c r="S511" t="s">
        <v>1178</v>
      </c>
      <c r="T511" t="s">
        <v>1192</v>
      </c>
      <c r="U511" t="s">
        <v>599</v>
      </c>
      <c r="V511" t="s">
        <v>2911</v>
      </c>
      <c r="W511" t="s">
        <v>599</v>
      </c>
      <c r="X511" t="s">
        <v>599</v>
      </c>
      <c r="Y511" t="s">
        <v>1182</v>
      </c>
      <c r="Z511" t="s">
        <v>2912</v>
      </c>
      <c r="AA511">
        <v>1981</v>
      </c>
      <c r="AB511">
        <v>1981</v>
      </c>
      <c r="AC511" t="s">
        <v>2913</v>
      </c>
      <c r="AD511" t="s">
        <v>2914</v>
      </c>
      <c r="AE511" t="s">
        <v>599</v>
      </c>
      <c r="AF511" t="s">
        <v>599</v>
      </c>
      <c r="AG511" t="s">
        <v>2915</v>
      </c>
      <c r="AH511" t="s">
        <v>599</v>
      </c>
      <c r="AI511" t="s">
        <v>599</v>
      </c>
      <c r="AJ511" t="s">
        <v>2916</v>
      </c>
      <c r="AK511" t="s">
        <v>599</v>
      </c>
      <c r="AL511" t="s">
        <v>2917</v>
      </c>
      <c r="AM511" t="s">
        <v>1319</v>
      </c>
      <c r="AN511" t="s">
        <v>599</v>
      </c>
      <c r="AO511" t="s">
        <v>599</v>
      </c>
      <c r="AP511" t="s">
        <v>599</v>
      </c>
      <c r="AQ511" t="s">
        <v>599</v>
      </c>
      <c r="AR511" t="s">
        <v>599</v>
      </c>
      <c r="AS511" t="s">
        <v>599</v>
      </c>
      <c r="AT511" t="s">
        <v>599</v>
      </c>
    </row>
    <row r="512" spans="1:46" s="13" customFormat="1" ht="30" x14ac:dyDescent="0.25">
      <c r="A512" s="9">
        <v>11260</v>
      </c>
      <c r="B512" s="10">
        <v>251973</v>
      </c>
      <c r="C512" s="10">
        <v>1</v>
      </c>
      <c r="D512" s="9">
        <v>31</v>
      </c>
      <c r="E512" s="11" t="s">
        <v>418</v>
      </c>
      <c r="F512" s="12" t="s">
        <v>419</v>
      </c>
      <c r="G512" s="9" t="s">
        <v>420</v>
      </c>
      <c r="H512" s="34"/>
      <c r="I512" s="55" t="str">
        <f t="shared" si="15"/>
        <v>https://permalinkbnd.bnportugal.gov.pt/viewer/255848/?offset=#page=31&amp;viewer=picture&amp;o=info&amp;n=0&amp;q=</v>
      </c>
      <c r="J512" s="45"/>
      <c r="K512" s="45"/>
      <c r="L512" s="45"/>
      <c r="M512" t="s">
        <v>418</v>
      </c>
      <c r="N512">
        <v>255848</v>
      </c>
      <c r="O512" t="str">
        <f t="shared" si="14"/>
        <v>https://permalinkbnd.bnportugal.gov.pt/viewer/255848/?offset=#page=31&amp;viewer=picture&amp;o=info&amp;n=0&amp;q=</v>
      </c>
      <c r="P512">
        <v>251973</v>
      </c>
      <c r="Q512" t="s">
        <v>418</v>
      </c>
      <c r="R512" t="s">
        <v>2910</v>
      </c>
      <c r="S512" t="s">
        <v>1178</v>
      </c>
      <c r="T512" t="s">
        <v>1192</v>
      </c>
      <c r="U512" t="s">
        <v>599</v>
      </c>
      <c r="V512" t="s">
        <v>2911</v>
      </c>
      <c r="W512" t="s">
        <v>599</v>
      </c>
      <c r="X512" t="s">
        <v>599</v>
      </c>
      <c r="Y512" t="s">
        <v>1182</v>
      </c>
      <c r="Z512" t="s">
        <v>2912</v>
      </c>
      <c r="AA512">
        <v>1981</v>
      </c>
      <c r="AB512">
        <v>1981</v>
      </c>
      <c r="AC512" t="s">
        <v>2913</v>
      </c>
      <c r="AD512" t="s">
        <v>2914</v>
      </c>
      <c r="AE512" t="s">
        <v>599</v>
      </c>
      <c r="AF512" t="s">
        <v>599</v>
      </c>
      <c r="AG512" t="s">
        <v>2915</v>
      </c>
      <c r="AH512" t="s">
        <v>599</v>
      </c>
      <c r="AI512" t="s">
        <v>599</v>
      </c>
      <c r="AJ512" t="s">
        <v>2916</v>
      </c>
      <c r="AK512" t="s">
        <v>599</v>
      </c>
      <c r="AL512" t="s">
        <v>2917</v>
      </c>
      <c r="AM512" t="s">
        <v>1319</v>
      </c>
      <c r="AN512" t="s">
        <v>599</v>
      </c>
      <c r="AO512" t="s">
        <v>599</v>
      </c>
      <c r="AP512" t="s">
        <v>599</v>
      </c>
      <c r="AQ512" t="s">
        <v>599</v>
      </c>
      <c r="AR512" t="s">
        <v>599</v>
      </c>
      <c r="AS512" t="s">
        <v>599</v>
      </c>
      <c r="AT512" t="s">
        <v>599</v>
      </c>
    </row>
    <row r="513" spans="1:46" s="13" customFormat="1" ht="30" x14ac:dyDescent="0.25">
      <c r="A513" s="9">
        <v>11261</v>
      </c>
      <c r="B513" s="10">
        <v>251973</v>
      </c>
      <c r="C513" s="10">
        <v>1</v>
      </c>
      <c r="D513" s="9">
        <v>33</v>
      </c>
      <c r="E513" s="11" t="s">
        <v>418</v>
      </c>
      <c r="F513" s="12" t="s">
        <v>419</v>
      </c>
      <c r="G513" s="9" t="s">
        <v>420</v>
      </c>
      <c r="H513" s="34"/>
      <c r="I513" s="55" t="str">
        <f t="shared" si="15"/>
        <v>https://permalinkbnd.bnportugal.gov.pt/viewer/255848/?offset=#page=33&amp;viewer=picture&amp;o=info&amp;n=0&amp;q=</v>
      </c>
      <c r="J513" s="45"/>
      <c r="K513" s="45"/>
      <c r="L513" s="45"/>
      <c r="M513" t="s">
        <v>418</v>
      </c>
      <c r="N513">
        <v>255848</v>
      </c>
      <c r="O513" t="str">
        <f t="shared" si="14"/>
        <v>https://permalinkbnd.bnportugal.gov.pt/viewer/255848/?offset=#page=33&amp;viewer=picture&amp;o=info&amp;n=0&amp;q=</v>
      </c>
      <c r="P513">
        <v>251973</v>
      </c>
      <c r="Q513" t="s">
        <v>418</v>
      </c>
      <c r="R513" t="s">
        <v>2910</v>
      </c>
      <c r="S513" t="s">
        <v>1178</v>
      </c>
      <c r="T513" t="s">
        <v>1192</v>
      </c>
      <c r="U513" t="s">
        <v>599</v>
      </c>
      <c r="V513" t="s">
        <v>2911</v>
      </c>
      <c r="W513" t="s">
        <v>599</v>
      </c>
      <c r="X513" t="s">
        <v>599</v>
      </c>
      <c r="Y513" t="s">
        <v>1182</v>
      </c>
      <c r="Z513" t="s">
        <v>2912</v>
      </c>
      <c r="AA513">
        <v>1981</v>
      </c>
      <c r="AB513">
        <v>1981</v>
      </c>
      <c r="AC513" t="s">
        <v>2913</v>
      </c>
      <c r="AD513" t="s">
        <v>2914</v>
      </c>
      <c r="AE513" t="s">
        <v>599</v>
      </c>
      <c r="AF513" t="s">
        <v>599</v>
      </c>
      <c r="AG513" t="s">
        <v>2915</v>
      </c>
      <c r="AH513" t="s">
        <v>599</v>
      </c>
      <c r="AI513" t="s">
        <v>599</v>
      </c>
      <c r="AJ513" t="s">
        <v>2916</v>
      </c>
      <c r="AK513" t="s">
        <v>599</v>
      </c>
      <c r="AL513" t="s">
        <v>2917</v>
      </c>
      <c r="AM513" t="s">
        <v>1319</v>
      </c>
      <c r="AN513" t="s">
        <v>599</v>
      </c>
      <c r="AO513" t="s">
        <v>599</v>
      </c>
      <c r="AP513" t="s">
        <v>599</v>
      </c>
      <c r="AQ513" t="s">
        <v>599</v>
      </c>
      <c r="AR513" t="s">
        <v>599</v>
      </c>
      <c r="AS513" t="s">
        <v>599</v>
      </c>
      <c r="AT513" t="s">
        <v>599</v>
      </c>
    </row>
    <row r="514" spans="1:46" s="13" customFormat="1" ht="30" x14ac:dyDescent="0.25">
      <c r="A514" s="9">
        <v>11262</v>
      </c>
      <c r="B514" s="10">
        <v>251973</v>
      </c>
      <c r="C514" s="10">
        <v>1</v>
      </c>
      <c r="D514" s="9">
        <v>35</v>
      </c>
      <c r="E514" s="11" t="s">
        <v>418</v>
      </c>
      <c r="F514" s="12" t="s">
        <v>419</v>
      </c>
      <c r="G514" s="9" t="s">
        <v>420</v>
      </c>
      <c r="H514" s="34"/>
      <c r="I514" s="55" t="str">
        <f t="shared" si="15"/>
        <v>https://permalinkbnd.bnportugal.gov.pt/viewer/255848/?offset=#page=35&amp;viewer=picture&amp;o=info&amp;n=0&amp;q=</v>
      </c>
      <c r="J514" s="45"/>
      <c r="K514" s="45"/>
      <c r="L514" s="45"/>
      <c r="M514" t="s">
        <v>418</v>
      </c>
      <c r="N514">
        <v>255848</v>
      </c>
      <c r="O514" t="str">
        <f t="shared" ref="O514:O577" si="16">CONCATENATE("https://permalinkbnd.bnportugal.gov.pt/viewer/",N514,"/?offset=#page=",D514,"&amp;viewer=picture&amp;o=info&amp;n=0&amp;q=")</f>
        <v>https://permalinkbnd.bnportugal.gov.pt/viewer/255848/?offset=#page=35&amp;viewer=picture&amp;o=info&amp;n=0&amp;q=</v>
      </c>
      <c r="P514">
        <v>251973</v>
      </c>
      <c r="Q514" t="s">
        <v>418</v>
      </c>
      <c r="R514" t="s">
        <v>2910</v>
      </c>
      <c r="S514" t="s">
        <v>1178</v>
      </c>
      <c r="T514" t="s">
        <v>1192</v>
      </c>
      <c r="U514" t="s">
        <v>599</v>
      </c>
      <c r="V514" t="s">
        <v>2911</v>
      </c>
      <c r="W514" t="s">
        <v>599</v>
      </c>
      <c r="X514" t="s">
        <v>599</v>
      </c>
      <c r="Y514" t="s">
        <v>1182</v>
      </c>
      <c r="Z514" t="s">
        <v>2912</v>
      </c>
      <c r="AA514">
        <v>1981</v>
      </c>
      <c r="AB514">
        <v>1981</v>
      </c>
      <c r="AC514" t="s">
        <v>2913</v>
      </c>
      <c r="AD514" t="s">
        <v>2914</v>
      </c>
      <c r="AE514" t="s">
        <v>599</v>
      </c>
      <c r="AF514" t="s">
        <v>599</v>
      </c>
      <c r="AG514" t="s">
        <v>2915</v>
      </c>
      <c r="AH514" t="s">
        <v>599</v>
      </c>
      <c r="AI514" t="s">
        <v>599</v>
      </c>
      <c r="AJ514" t="s">
        <v>2916</v>
      </c>
      <c r="AK514" t="s">
        <v>599</v>
      </c>
      <c r="AL514" t="s">
        <v>2917</v>
      </c>
      <c r="AM514" t="s">
        <v>1319</v>
      </c>
      <c r="AN514" t="s">
        <v>599</v>
      </c>
      <c r="AO514" t="s">
        <v>599</v>
      </c>
      <c r="AP514" t="s">
        <v>599</v>
      </c>
      <c r="AQ514" t="s">
        <v>599</v>
      </c>
      <c r="AR514" t="s">
        <v>599</v>
      </c>
      <c r="AS514" t="s">
        <v>599</v>
      </c>
      <c r="AT514" t="s">
        <v>599</v>
      </c>
    </row>
    <row r="515" spans="1:46" s="13" customFormat="1" ht="30" x14ac:dyDescent="0.25">
      <c r="A515" s="9">
        <v>11263</v>
      </c>
      <c r="B515" s="10">
        <v>251973</v>
      </c>
      <c r="C515" s="10">
        <v>1</v>
      </c>
      <c r="D515" s="9">
        <v>37</v>
      </c>
      <c r="E515" s="11" t="s">
        <v>418</v>
      </c>
      <c r="F515" s="12" t="s">
        <v>419</v>
      </c>
      <c r="G515" s="9" t="s">
        <v>420</v>
      </c>
      <c r="H515" s="34"/>
      <c r="I515" s="55" t="str">
        <f t="shared" ref="I515:I578" si="17">HYPERLINK(O515)</f>
        <v>https://permalinkbnd.bnportugal.gov.pt/viewer/255848/?offset=#page=37&amp;viewer=picture&amp;o=info&amp;n=0&amp;q=</v>
      </c>
      <c r="J515" s="45"/>
      <c r="K515" s="45"/>
      <c r="L515" s="45"/>
      <c r="M515" t="s">
        <v>418</v>
      </c>
      <c r="N515">
        <v>255848</v>
      </c>
      <c r="O515" t="str">
        <f t="shared" si="16"/>
        <v>https://permalinkbnd.bnportugal.gov.pt/viewer/255848/?offset=#page=37&amp;viewer=picture&amp;o=info&amp;n=0&amp;q=</v>
      </c>
      <c r="P515">
        <v>251973</v>
      </c>
      <c r="Q515" t="s">
        <v>418</v>
      </c>
      <c r="R515" t="s">
        <v>2910</v>
      </c>
      <c r="S515" t="s">
        <v>1178</v>
      </c>
      <c r="T515" t="s">
        <v>1192</v>
      </c>
      <c r="U515" t="s">
        <v>599</v>
      </c>
      <c r="V515" t="s">
        <v>2911</v>
      </c>
      <c r="W515" t="s">
        <v>599</v>
      </c>
      <c r="X515" t="s">
        <v>599</v>
      </c>
      <c r="Y515" t="s">
        <v>1182</v>
      </c>
      <c r="Z515" t="s">
        <v>2912</v>
      </c>
      <c r="AA515">
        <v>1981</v>
      </c>
      <c r="AB515">
        <v>1981</v>
      </c>
      <c r="AC515" t="s">
        <v>2913</v>
      </c>
      <c r="AD515" t="s">
        <v>2914</v>
      </c>
      <c r="AE515" t="s">
        <v>599</v>
      </c>
      <c r="AF515" t="s">
        <v>599</v>
      </c>
      <c r="AG515" t="s">
        <v>2915</v>
      </c>
      <c r="AH515" t="s">
        <v>599</v>
      </c>
      <c r="AI515" t="s">
        <v>599</v>
      </c>
      <c r="AJ515" t="s">
        <v>2916</v>
      </c>
      <c r="AK515" t="s">
        <v>599</v>
      </c>
      <c r="AL515" t="s">
        <v>2917</v>
      </c>
      <c r="AM515" t="s">
        <v>1319</v>
      </c>
      <c r="AN515" t="s">
        <v>599</v>
      </c>
      <c r="AO515" t="s">
        <v>599</v>
      </c>
      <c r="AP515" t="s">
        <v>599</v>
      </c>
      <c r="AQ515" t="s">
        <v>599</v>
      </c>
      <c r="AR515" t="s">
        <v>599</v>
      </c>
      <c r="AS515" t="s">
        <v>599</v>
      </c>
      <c r="AT515" t="s">
        <v>599</v>
      </c>
    </row>
    <row r="516" spans="1:46" s="13" customFormat="1" ht="30" x14ac:dyDescent="0.25">
      <c r="A516" s="9">
        <v>11264</v>
      </c>
      <c r="B516" s="10">
        <v>251973</v>
      </c>
      <c r="C516" s="10">
        <v>1</v>
      </c>
      <c r="D516" s="9">
        <v>39</v>
      </c>
      <c r="E516" s="11" t="s">
        <v>418</v>
      </c>
      <c r="F516" s="12" t="s">
        <v>419</v>
      </c>
      <c r="G516" s="9" t="s">
        <v>420</v>
      </c>
      <c r="H516" s="34"/>
      <c r="I516" s="55" t="str">
        <f t="shared" si="17"/>
        <v>https://permalinkbnd.bnportugal.gov.pt/viewer/255848/?offset=#page=39&amp;viewer=picture&amp;o=info&amp;n=0&amp;q=</v>
      </c>
      <c r="J516" s="45"/>
      <c r="K516" s="45"/>
      <c r="L516" s="45"/>
      <c r="M516" t="s">
        <v>418</v>
      </c>
      <c r="N516">
        <v>255848</v>
      </c>
      <c r="O516" t="str">
        <f t="shared" si="16"/>
        <v>https://permalinkbnd.bnportugal.gov.pt/viewer/255848/?offset=#page=39&amp;viewer=picture&amp;o=info&amp;n=0&amp;q=</v>
      </c>
      <c r="P516">
        <v>251973</v>
      </c>
      <c r="Q516" t="s">
        <v>418</v>
      </c>
      <c r="R516" t="s">
        <v>2910</v>
      </c>
      <c r="S516" t="s">
        <v>1178</v>
      </c>
      <c r="T516" t="s">
        <v>1192</v>
      </c>
      <c r="U516" t="s">
        <v>599</v>
      </c>
      <c r="V516" t="s">
        <v>2911</v>
      </c>
      <c r="W516" t="s">
        <v>599</v>
      </c>
      <c r="X516" t="s">
        <v>599</v>
      </c>
      <c r="Y516" t="s">
        <v>1182</v>
      </c>
      <c r="Z516" t="s">
        <v>2912</v>
      </c>
      <c r="AA516">
        <v>1981</v>
      </c>
      <c r="AB516">
        <v>1981</v>
      </c>
      <c r="AC516" t="s">
        <v>2913</v>
      </c>
      <c r="AD516" t="s">
        <v>2914</v>
      </c>
      <c r="AE516" t="s">
        <v>599</v>
      </c>
      <c r="AF516" t="s">
        <v>599</v>
      </c>
      <c r="AG516" t="s">
        <v>2915</v>
      </c>
      <c r="AH516" t="s">
        <v>599</v>
      </c>
      <c r="AI516" t="s">
        <v>599</v>
      </c>
      <c r="AJ516" t="s">
        <v>2916</v>
      </c>
      <c r="AK516" t="s">
        <v>599</v>
      </c>
      <c r="AL516" t="s">
        <v>2917</v>
      </c>
      <c r="AM516" t="s">
        <v>1319</v>
      </c>
      <c r="AN516" t="s">
        <v>599</v>
      </c>
      <c r="AO516" t="s">
        <v>599</v>
      </c>
      <c r="AP516" t="s">
        <v>599</v>
      </c>
      <c r="AQ516" t="s">
        <v>599</v>
      </c>
      <c r="AR516" t="s">
        <v>599</v>
      </c>
      <c r="AS516" t="s">
        <v>599</v>
      </c>
      <c r="AT516" t="s">
        <v>599</v>
      </c>
    </row>
    <row r="517" spans="1:46" s="13" customFormat="1" ht="30" x14ac:dyDescent="0.25">
      <c r="A517" s="9">
        <v>11265</v>
      </c>
      <c r="B517" s="10">
        <v>251973</v>
      </c>
      <c r="C517" s="10">
        <v>1</v>
      </c>
      <c r="D517" s="9">
        <v>41</v>
      </c>
      <c r="E517" s="11" t="s">
        <v>418</v>
      </c>
      <c r="F517" s="12" t="s">
        <v>419</v>
      </c>
      <c r="G517" s="9" t="s">
        <v>420</v>
      </c>
      <c r="H517" s="34"/>
      <c r="I517" s="55" t="str">
        <f t="shared" si="17"/>
        <v>https://permalinkbnd.bnportugal.gov.pt/viewer/255848/?offset=#page=41&amp;viewer=picture&amp;o=info&amp;n=0&amp;q=</v>
      </c>
      <c r="J517" s="45"/>
      <c r="K517" s="45"/>
      <c r="L517" s="45"/>
      <c r="M517" t="s">
        <v>418</v>
      </c>
      <c r="N517">
        <v>255848</v>
      </c>
      <c r="O517" t="str">
        <f t="shared" si="16"/>
        <v>https://permalinkbnd.bnportugal.gov.pt/viewer/255848/?offset=#page=41&amp;viewer=picture&amp;o=info&amp;n=0&amp;q=</v>
      </c>
      <c r="P517">
        <v>251973</v>
      </c>
      <c r="Q517" t="s">
        <v>418</v>
      </c>
      <c r="R517" t="s">
        <v>2910</v>
      </c>
      <c r="S517" t="s">
        <v>1178</v>
      </c>
      <c r="T517" t="s">
        <v>1192</v>
      </c>
      <c r="U517" t="s">
        <v>599</v>
      </c>
      <c r="V517" t="s">
        <v>2911</v>
      </c>
      <c r="W517" t="s">
        <v>599</v>
      </c>
      <c r="X517" t="s">
        <v>599</v>
      </c>
      <c r="Y517" t="s">
        <v>1182</v>
      </c>
      <c r="Z517" t="s">
        <v>2912</v>
      </c>
      <c r="AA517">
        <v>1981</v>
      </c>
      <c r="AB517">
        <v>1981</v>
      </c>
      <c r="AC517" t="s">
        <v>2913</v>
      </c>
      <c r="AD517" t="s">
        <v>2914</v>
      </c>
      <c r="AE517" t="s">
        <v>599</v>
      </c>
      <c r="AF517" t="s">
        <v>599</v>
      </c>
      <c r="AG517" t="s">
        <v>2915</v>
      </c>
      <c r="AH517" t="s">
        <v>599</v>
      </c>
      <c r="AI517" t="s">
        <v>599</v>
      </c>
      <c r="AJ517" t="s">
        <v>2916</v>
      </c>
      <c r="AK517" t="s">
        <v>599</v>
      </c>
      <c r="AL517" t="s">
        <v>2917</v>
      </c>
      <c r="AM517" t="s">
        <v>1319</v>
      </c>
      <c r="AN517" t="s">
        <v>599</v>
      </c>
      <c r="AO517" t="s">
        <v>599</v>
      </c>
      <c r="AP517" t="s">
        <v>599</v>
      </c>
      <c r="AQ517" t="s">
        <v>599</v>
      </c>
      <c r="AR517" t="s">
        <v>599</v>
      </c>
      <c r="AS517" t="s">
        <v>599</v>
      </c>
      <c r="AT517" t="s">
        <v>599</v>
      </c>
    </row>
    <row r="518" spans="1:46" s="13" customFormat="1" ht="30" x14ac:dyDescent="0.25">
      <c r="A518" s="9">
        <v>11266</v>
      </c>
      <c r="B518" s="10">
        <v>251973</v>
      </c>
      <c r="C518" s="10">
        <v>1</v>
      </c>
      <c r="D518" s="9">
        <v>43</v>
      </c>
      <c r="E518" s="11" t="s">
        <v>418</v>
      </c>
      <c r="F518" s="12" t="s">
        <v>419</v>
      </c>
      <c r="G518" s="9" t="s">
        <v>420</v>
      </c>
      <c r="H518" s="34"/>
      <c r="I518" s="55" t="str">
        <f t="shared" si="17"/>
        <v>https://permalinkbnd.bnportugal.gov.pt/viewer/255848/?offset=#page=43&amp;viewer=picture&amp;o=info&amp;n=0&amp;q=</v>
      </c>
      <c r="J518" s="45"/>
      <c r="K518" s="45"/>
      <c r="L518" s="45"/>
      <c r="M518" t="s">
        <v>418</v>
      </c>
      <c r="N518">
        <v>255848</v>
      </c>
      <c r="O518" t="str">
        <f t="shared" si="16"/>
        <v>https://permalinkbnd.bnportugal.gov.pt/viewer/255848/?offset=#page=43&amp;viewer=picture&amp;o=info&amp;n=0&amp;q=</v>
      </c>
      <c r="P518">
        <v>251973</v>
      </c>
      <c r="Q518" t="s">
        <v>418</v>
      </c>
      <c r="R518" t="s">
        <v>2910</v>
      </c>
      <c r="S518" t="s">
        <v>1178</v>
      </c>
      <c r="T518" t="s">
        <v>1192</v>
      </c>
      <c r="U518" t="s">
        <v>599</v>
      </c>
      <c r="V518" t="s">
        <v>2911</v>
      </c>
      <c r="W518" t="s">
        <v>599</v>
      </c>
      <c r="X518" t="s">
        <v>599</v>
      </c>
      <c r="Y518" t="s">
        <v>1182</v>
      </c>
      <c r="Z518" t="s">
        <v>2912</v>
      </c>
      <c r="AA518">
        <v>1981</v>
      </c>
      <c r="AB518">
        <v>1981</v>
      </c>
      <c r="AC518" t="s">
        <v>2913</v>
      </c>
      <c r="AD518" t="s">
        <v>2914</v>
      </c>
      <c r="AE518" t="s">
        <v>599</v>
      </c>
      <c r="AF518" t="s">
        <v>599</v>
      </c>
      <c r="AG518" t="s">
        <v>2915</v>
      </c>
      <c r="AH518" t="s">
        <v>599</v>
      </c>
      <c r="AI518" t="s">
        <v>599</v>
      </c>
      <c r="AJ518" t="s">
        <v>2916</v>
      </c>
      <c r="AK518" t="s">
        <v>599</v>
      </c>
      <c r="AL518" t="s">
        <v>2917</v>
      </c>
      <c r="AM518" t="s">
        <v>1319</v>
      </c>
      <c r="AN518" t="s">
        <v>599</v>
      </c>
      <c r="AO518" t="s">
        <v>599</v>
      </c>
      <c r="AP518" t="s">
        <v>599</v>
      </c>
      <c r="AQ518" t="s">
        <v>599</v>
      </c>
      <c r="AR518" t="s">
        <v>599</v>
      </c>
      <c r="AS518" t="s">
        <v>599</v>
      </c>
      <c r="AT518" t="s">
        <v>599</v>
      </c>
    </row>
    <row r="519" spans="1:46" s="13" customFormat="1" ht="30" x14ac:dyDescent="0.25">
      <c r="A519" s="9">
        <v>11267</v>
      </c>
      <c r="B519" s="10">
        <v>251973</v>
      </c>
      <c r="C519" s="10">
        <v>1</v>
      </c>
      <c r="D519" s="9">
        <v>45</v>
      </c>
      <c r="E519" s="11" t="s">
        <v>418</v>
      </c>
      <c r="F519" s="12" t="s">
        <v>419</v>
      </c>
      <c r="G519" s="9" t="s">
        <v>420</v>
      </c>
      <c r="H519" s="34"/>
      <c r="I519" s="55" t="str">
        <f t="shared" si="17"/>
        <v>https://permalinkbnd.bnportugal.gov.pt/viewer/255848/?offset=#page=45&amp;viewer=picture&amp;o=info&amp;n=0&amp;q=</v>
      </c>
      <c r="J519" s="45"/>
      <c r="K519" s="45"/>
      <c r="L519" s="45"/>
      <c r="M519" t="s">
        <v>418</v>
      </c>
      <c r="N519">
        <v>255848</v>
      </c>
      <c r="O519" t="str">
        <f t="shared" si="16"/>
        <v>https://permalinkbnd.bnportugal.gov.pt/viewer/255848/?offset=#page=45&amp;viewer=picture&amp;o=info&amp;n=0&amp;q=</v>
      </c>
      <c r="P519">
        <v>251973</v>
      </c>
      <c r="Q519" t="s">
        <v>418</v>
      </c>
      <c r="R519" t="s">
        <v>2910</v>
      </c>
      <c r="S519" t="s">
        <v>1178</v>
      </c>
      <c r="T519" t="s">
        <v>1192</v>
      </c>
      <c r="U519" t="s">
        <v>599</v>
      </c>
      <c r="V519" t="s">
        <v>2911</v>
      </c>
      <c r="W519" t="s">
        <v>599</v>
      </c>
      <c r="X519" t="s">
        <v>599</v>
      </c>
      <c r="Y519" t="s">
        <v>1182</v>
      </c>
      <c r="Z519" t="s">
        <v>2912</v>
      </c>
      <c r="AA519">
        <v>1981</v>
      </c>
      <c r="AB519">
        <v>1981</v>
      </c>
      <c r="AC519" t="s">
        <v>2913</v>
      </c>
      <c r="AD519" t="s">
        <v>2914</v>
      </c>
      <c r="AE519" t="s">
        <v>599</v>
      </c>
      <c r="AF519" t="s">
        <v>599</v>
      </c>
      <c r="AG519" t="s">
        <v>2915</v>
      </c>
      <c r="AH519" t="s">
        <v>599</v>
      </c>
      <c r="AI519" t="s">
        <v>599</v>
      </c>
      <c r="AJ519" t="s">
        <v>2916</v>
      </c>
      <c r="AK519" t="s">
        <v>599</v>
      </c>
      <c r="AL519" t="s">
        <v>2917</v>
      </c>
      <c r="AM519" t="s">
        <v>1319</v>
      </c>
      <c r="AN519" t="s">
        <v>599</v>
      </c>
      <c r="AO519" t="s">
        <v>599</v>
      </c>
      <c r="AP519" t="s">
        <v>599</v>
      </c>
      <c r="AQ519" t="s">
        <v>599</v>
      </c>
      <c r="AR519" t="s">
        <v>599</v>
      </c>
      <c r="AS519" t="s">
        <v>599</v>
      </c>
      <c r="AT519" t="s">
        <v>599</v>
      </c>
    </row>
    <row r="520" spans="1:46" s="13" customFormat="1" ht="30" x14ac:dyDescent="0.25">
      <c r="A520" s="9">
        <v>11268</v>
      </c>
      <c r="B520" s="10">
        <v>251973</v>
      </c>
      <c r="C520" s="10">
        <v>1</v>
      </c>
      <c r="D520" s="9">
        <v>47</v>
      </c>
      <c r="E520" s="11" t="s">
        <v>418</v>
      </c>
      <c r="F520" s="12" t="s">
        <v>419</v>
      </c>
      <c r="G520" s="9" t="s">
        <v>420</v>
      </c>
      <c r="H520" s="34"/>
      <c r="I520" s="55" t="str">
        <f t="shared" si="17"/>
        <v>https://permalinkbnd.bnportugal.gov.pt/viewer/255848/?offset=#page=47&amp;viewer=picture&amp;o=info&amp;n=0&amp;q=</v>
      </c>
      <c r="J520" s="45"/>
      <c r="K520" s="45"/>
      <c r="L520" s="45"/>
      <c r="M520" t="s">
        <v>418</v>
      </c>
      <c r="N520">
        <v>255848</v>
      </c>
      <c r="O520" t="str">
        <f t="shared" si="16"/>
        <v>https://permalinkbnd.bnportugal.gov.pt/viewer/255848/?offset=#page=47&amp;viewer=picture&amp;o=info&amp;n=0&amp;q=</v>
      </c>
      <c r="P520">
        <v>251973</v>
      </c>
      <c r="Q520" t="s">
        <v>418</v>
      </c>
      <c r="R520" t="s">
        <v>2910</v>
      </c>
      <c r="S520" t="s">
        <v>1178</v>
      </c>
      <c r="T520" t="s">
        <v>1192</v>
      </c>
      <c r="U520" t="s">
        <v>599</v>
      </c>
      <c r="V520" t="s">
        <v>2911</v>
      </c>
      <c r="W520" t="s">
        <v>599</v>
      </c>
      <c r="X520" t="s">
        <v>599</v>
      </c>
      <c r="Y520" t="s">
        <v>1182</v>
      </c>
      <c r="Z520" t="s">
        <v>2912</v>
      </c>
      <c r="AA520">
        <v>1981</v>
      </c>
      <c r="AB520">
        <v>1981</v>
      </c>
      <c r="AC520" t="s">
        <v>2913</v>
      </c>
      <c r="AD520" t="s">
        <v>2914</v>
      </c>
      <c r="AE520" t="s">
        <v>599</v>
      </c>
      <c r="AF520" t="s">
        <v>599</v>
      </c>
      <c r="AG520" t="s">
        <v>2915</v>
      </c>
      <c r="AH520" t="s">
        <v>599</v>
      </c>
      <c r="AI520" t="s">
        <v>599</v>
      </c>
      <c r="AJ520" t="s">
        <v>2916</v>
      </c>
      <c r="AK520" t="s">
        <v>599</v>
      </c>
      <c r="AL520" t="s">
        <v>2917</v>
      </c>
      <c r="AM520" t="s">
        <v>1319</v>
      </c>
      <c r="AN520" t="s">
        <v>599</v>
      </c>
      <c r="AO520" t="s">
        <v>599</v>
      </c>
      <c r="AP520" t="s">
        <v>599</v>
      </c>
      <c r="AQ520" t="s">
        <v>599</v>
      </c>
      <c r="AR520" t="s">
        <v>599</v>
      </c>
      <c r="AS520" t="s">
        <v>599</v>
      </c>
      <c r="AT520" t="s">
        <v>599</v>
      </c>
    </row>
    <row r="521" spans="1:46" s="13" customFormat="1" ht="30" x14ac:dyDescent="0.25">
      <c r="A521" s="9">
        <v>11269</v>
      </c>
      <c r="B521" s="10">
        <v>251973</v>
      </c>
      <c r="C521" s="10">
        <v>1</v>
      </c>
      <c r="D521" s="9">
        <v>49</v>
      </c>
      <c r="E521" s="11" t="s">
        <v>418</v>
      </c>
      <c r="F521" s="12" t="s">
        <v>419</v>
      </c>
      <c r="G521" s="9" t="s">
        <v>420</v>
      </c>
      <c r="H521" s="34"/>
      <c r="I521" s="55" t="str">
        <f t="shared" si="17"/>
        <v>https://permalinkbnd.bnportugal.gov.pt/viewer/255848/?offset=#page=49&amp;viewer=picture&amp;o=info&amp;n=0&amp;q=</v>
      </c>
      <c r="J521" s="45"/>
      <c r="K521" s="45"/>
      <c r="L521" s="45"/>
      <c r="M521" t="s">
        <v>418</v>
      </c>
      <c r="N521">
        <v>255848</v>
      </c>
      <c r="O521" t="str">
        <f t="shared" si="16"/>
        <v>https://permalinkbnd.bnportugal.gov.pt/viewer/255848/?offset=#page=49&amp;viewer=picture&amp;o=info&amp;n=0&amp;q=</v>
      </c>
      <c r="P521">
        <v>251973</v>
      </c>
      <c r="Q521" t="s">
        <v>418</v>
      </c>
      <c r="R521" t="s">
        <v>2910</v>
      </c>
      <c r="S521" t="s">
        <v>1178</v>
      </c>
      <c r="T521" t="s">
        <v>1192</v>
      </c>
      <c r="U521" t="s">
        <v>599</v>
      </c>
      <c r="V521" t="s">
        <v>2911</v>
      </c>
      <c r="W521" t="s">
        <v>599</v>
      </c>
      <c r="X521" t="s">
        <v>599</v>
      </c>
      <c r="Y521" t="s">
        <v>1182</v>
      </c>
      <c r="Z521" t="s">
        <v>2912</v>
      </c>
      <c r="AA521">
        <v>1981</v>
      </c>
      <c r="AB521">
        <v>1981</v>
      </c>
      <c r="AC521" t="s">
        <v>2913</v>
      </c>
      <c r="AD521" t="s">
        <v>2914</v>
      </c>
      <c r="AE521" t="s">
        <v>599</v>
      </c>
      <c r="AF521" t="s">
        <v>599</v>
      </c>
      <c r="AG521" t="s">
        <v>2915</v>
      </c>
      <c r="AH521" t="s">
        <v>599</v>
      </c>
      <c r="AI521" t="s">
        <v>599</v>
      </c>
      <c r="AJ521" t="s">
        <v>2916</v>
      </c>
      <c r="AK521" t="s">
        <v>599</v>
      </c>
      <c r="AL521" t="s">
        <v>2917</v>
      </c>
      <c r="AM521" t="s">
        <v>1319</v>
      </c>
      <c r="AN521" t="s">
        <v>599</v>
      </c>
      <c r="AO521" t="s">
        <v>599</v>
      </c>
      <c r="AP521" t="s">
        <v>599</v>
      </c>
      <c r="AQ521" t="s">
        <v>599</v>
      </c>
      <c r="AR521" t="s">
        <v>599</v>
      </c>
      <c r="AS521" t="s">
        <v>599</v>
      </c>
      <c r="AT521" t="s">
        <v>599</v>
      </c>
    </row>
    <row r="522" spans="1:46" s="13" customFormat="1" ht="30" x14ac:dyDescent="0.25">
      <c r="A522" s="9">
        <v>11270</v>
      </c>
      <c r="B522" s="10">
        <v>251973</v>
      </c>
      <c r="C522" s="10">
        <v>1</v>
      </c>
      <c r="D522" s="9">
        <v>51</v>
      </c>
      <c r="E522" s="11" t="s">
        <v>418</v>
      </c>
      <c r="F522" s="12" t="s">
        <v>419</v>
      </c>
      <c r="G522" s="9" t="s">
        <v>420</v>
      </c>
      <c r="H522" s="34"/>
      <c r="I522" s="55" t="str">
        <f t="shared" si="17"/>
        <v>https://permalinkbnd.bnportugal.gov.pt/viewer/255848/?offset=#page=51&amp;viewer=picture&amp;o=info&amp;n=0&amp;q=</v>
      </c>
      <c r="J522" s="45"/>
      <c r="K522" s="45"/>
      <c r="L522" s="45"/>
      <c r="M522" t="s">
        <v>418</v>
      </c>
      <c r="N522">
        <v>255848</v>
      </c>
      <c r="O522" t="str">
        <f t="shared" si="16"/>
        <v>https://permalinkbnd.bnportugal.gov.pt/viewer/255848/?offset=#page=51&amp;viewer=picture&amp;o=info&amp;n=0&amp;q=</v>
      </c>
      <c r="P522">
        <v>251973</v>
      </c>
      <c r="Q522" t="s">
        <v>418</v>
      </c>
      <c r="R522" t="s">
        <v>2910</v>
      </c>
      <c r="S522" t="s">
        <v>1178</v>
      </c>
      <c r="T522" t="s">
        <v>1192</v>
      </c>
      <c r="U522" t="s">
        <v>599</v>
      </c>
      <c r="V522" t="s">
        <v>2911</v>
      </c>
      <c r="W522" t="s">
        <v>599</v>
      </c>
      <c r="X522" t="s">
        <v>599</v>
      </c>
      <c r="Y522" t="s">
        <v>1182</v>
      </c>
      <c r="Z522" t="s">
        <v>2912</v>
      </c>
      <c r="AA522">
        <v>1981</v>
      </c>
      <c r="AB522">
        <v>1981</v>
      </c>
      <c r="AC522" t="s">
        <v>2913</v>
      </c>
      <c r="AD522" t="s">
        <v>2914</v>
      </c>
      <c r="AE522" t="s">
        <v>599</v>
      </c>
      <c r="AF522" t="s">
        <v>599</v>
      </c>
      <c r="AG522" t="s">
        <v>2915</v>
      </c>
      <c r="AH522" t="s">
        <v>599</v>
      </c>
      <c r="AI522" t="s">
        <v>599</v>
      </c>
      <c r="AJ522" t="s">
        <v>2916</v>
      </c>
      <c r="AK522" t="s">
        <v>599</v>
      </c>
      <c r="AL522" t="s">
        <v>2917</v>
      </c>
      <c r="AM522" t="s">
        <v>1319</v>
      </c>
      <c r="AN522" t="s">
        <v>599</v>
      </c>
      <c r="AO522" t="s">
        <v>599</v>
      </c>
      <c r="AP522" t="s">
        <v>599</v>
      </c>
      <c r="AQ522" t="s">
        <v>599</v>
      </c>
      <c r="AR522" t="s">
        <v>599</v>
      </c>
      <c r="AS522" t="s">
        <v>599</v>
      </c>
      <c r="AT522" t="s">
        <v>599</v>
      </c>
    </row>
    <row r="523" spans="1:46" s="13" customFormat="1" ht="30" x14ac:dyDescent="0.25">
      <c r="A523" s="9">
        <v>11276</v>
      </c>
      <c r="B523" s="10">
        <v>253094</v>
      </c>
      <c r="C523" s="10">
        <v>1</v>
      </c>
      <c r="D523" s="9">
        <v>54</v>
      </c>
      <c r="E523" s="11" t="s">
        <v>421</v>
      </c>
      <c r="F523" s="12" t="s">
        <v>422</v>
      </c>
      <c r="G523" s="9" t="s">
        <v>423</v>
      </c>
      <c r="H523" s="34"/>
      <c r="I523" s="55" t="str">
        <f t="shared" si="17"/>
        <v>https://permalinkbnd.bnportugal.gov.pt/viewer/274463/?offset=#page=54&amp;viewer=picture&amp;o=info&amp;n=0&amp;q=</v>
      </c>
      <c r="J523" s="45"/>
      <c r="K523" s="45"/>
      <c r="L523" s="45"/>
      <c r="M523" t="s">
        <v>421</v>
      </c>
      <c r="N523">
        <v>274463</v>
      </c>
      <c r="O523" t="str">
        <f t="shared" si="16"/>
        <v>https://permalinkbnd.bnportugal.gov.pt/viewer/274463/?offset=#page=54&amp;viewer=picture&amp;o=info&amp;n=0&amp;q=</v>
      </c>
      <c r="P523">
        <v>253094</v>
      </c>
      <c r="Q523" t="s">
        <v>421</v>
      </c>
      <c r="R523" t="s">
        <v>2918</v>
      </c>
      <c r="S523" t="s">
        <v>1178</v>
      </c>
      <c r="T523" t="s">
        <v>1179</v>
      </c>
      <c r="U523" t="s">
        <v>599</v>
      </c>
      <c r="V523" t="s">
        <v>1180</v>
      </c>
      <c r="W523" t="s">
        <v>599</v>
      </c>
      <c r="X523" t="s">
        <v>599</v>
      </c>
      <c r="Y523" t="s">
        <v>2919</v>
      </c>
      <c r="Z523" t="s">
        <v>2920</v>
      </c>
      <c r="AA523">
        <v>1821</v>
      </c>
      <c r="AB523">
        <v>1821</v>
      </c>
      <c r="AC523" t="s">
        <v>2921</v>
      </c>
      <c r="AD523" t="s">
        <v>1185</v>
      </c>
      <c r="AE523" t="s">
        <v>599</v>
      </c>
      <c r="AF523" t="s">
        <v>2922</v>
      </c>
      <c r="AG523" t="s">
        <v>2923</v>
      </c>
      <c r="AH523" t="s">
        <v>599</v>
      </c>
      <c r="AI523" t="s">
        <v>2924</v>
      </c>
      <c r="AJ523" t="s">
        <v>2925</v>
      </c>
      <c r="AK523" t="s">
        <v>1188</v>
      </c>
      <c r="AL523" t="s">
        <v>2926</v>
      </c>
      <c r="AM523" t="s">
        <v>1190</v>
      </c>
      <c r="AN523" t="s">
        <v>2927</v>
      </c>
      <c r="AO523" t="s">
        <v>599</v>
      </c>
      <c r="AP523" t="s">
        <v>2928</v>
      </c>
      <c r="AQ523" t="s">
        <v>599</v>
      </c>
      <c r="AR523" t="s">
        <v>599</v>
      </c>
      <c r="AS523" t="s">
        <v>599</v>
      </c>
      <c r="AT523" t="s">
        <v>599</v>
      </c>
    </row>
    <row r="524" spans="1:46" s="13" customFormat="1" ht="30" x14ac:dyDescent="0.25">
      <c r="A524" s="9">
        <v>11277</v>
      </c>
      <c r="B524" s="10">
        <v>253094</v>
      </c>
      <c r="C524" s="10">
        <v>1</v>
      </c>
      <c r="D524" s="9">
        <v>366</v>
      </c>
      <c r="E524" s="11" t="s">
        <v>421</v>
      </c>
      <c r="F524" s="12" t="s">
        <v>422</v>
      </c>
      <c r="G524" s="9" t="s">
        <v>423</v>
      </c>
      <c r="H524" s="34"/>
      <c r="I524" s="55" t="str">
        <f t="shared" si="17"/>
        <v>https://permalinkbnd.bnportugal.gov.pt/viewer/274463/?offset=#page=366&amp;viewer=picture&amp;o=info&amp;n=0&amp;q=</v>
      </c>
      <c r="J524" s="45"/>
      <c r="K524" s="45"/>
      <c r="L524" s="45"/>
      <c r="M524" t="s">
        <v>421</v>
      </c>
      <c r="N524">
        <v>274463</v>
      </c>
      <c r="O524" t="str">
        <f t="shared" si="16"/>
        <v>https://permalinkbnd.bnportugal.gov.pt/viewer/274463/?offset=#page=366&amp;viewer=picture&amp;o=info&amp;n=0&amp;q=</v>
      </c>
      <c r="P524">
        <v>253094</v>
      </c>
      <c r="Q524" t="s">
        <v>421</v>
      </c>
      <c r="R524" t="s">
        <v>2918</v>
      </c>
      <c r="S524" t="s">
        <v>1178</v>
      </c>
      <c r="T524" t="s">
        <v>1179</v>
      </c>
      <c r="U524" t="s">
        <v>599</v>
      </c>
      <c r="V524" t="s">
        <v>1180</v>
      </c>
      <c r="W524" t="s">
        <v>599</v>
      </c>
      <c r="X524" t="s">
        <v>599</v>
      </c>
      <c r="Y524" t="s">
        <v>2919</v>
      </c>
      <c r="Z524" t="s">
        <v>2920</v>
      </c>
      <c r="AA524">
        <v>1821</v>
      </c>
      <c r="AB524">
        <v>1821</v>
      </c>
      <c r="AC524" t="s">
        <v>2921</v>
      </c>
      <c r="AD524" t="s">
        <v>1185</v>
      </c>
      <c r="AE524" t="s">
        <v>599</v>
      </c>
      <c r="AF524" t="s">
        <v>2922</v>
      </c>
      <c r="AG524" t="s">
        <v>2923</v>
      </c>
      <c r="AH524" t="s">
        <v>599</v>
      </c>
      <c r="AI524" t="s">
        <v>2924</v>
      </c>
      <c r="AJ524" t="s">
        <v>2925</v>
      </c>
      <c r="AK524" t="s">
        <v>1188</v>
      </c>
      <c r="AL524" t="s">
        <v>2926</v>
      </c>
      <c r="AM524" t="s">
        <v>1190</v>
      </c>
      <c r="AN524" t="s">
        <v>2927</v>
      </c>
      <c r="AO524" t="s">
        <v>599</v>
      </c>
      <c r="AP524" t="s">
        <v>2928</v>
      </c>
      <c r="AQ524" t="s">
        <v>599</v>
      </c>
      <c r="AR524" t="s">
        <v>599</v>
      </c>
      <c r="AS524" t="s">
        <v>599</v>
      </c>
      <c r="AT524" t="s">
        <v>599</v>
      </c>
    </row>
    <row r="525" spans="1:46" s="13" customFormat="1" ht="30" x14ac:dyDescent="0.25">
      <c r="A525" s="9">
        <v>11291</v>
      </c>
      <c r="B525" s="10">
        <v>258798</v>
      </c>
      <c r="C525" s="10">
        <v>1</v>
      </c>
      <c r="D525" s="9">
        <v>7</v>
      </c>
      <c r="E525" s="11" t="s">
        <v>424</v>
      </c>
      <c r="F525" s="12" t="s">
        <v>425</v>
      </c>
      <c r="G525" s="9" t="s">
        <v>426</v>
      </c>
      <c r="H525" s="34"/>
      <c r="I525" s="55" t="str">
        <f t="shared" si="17"/>
        <v>https://permalinkbnd.bnportugal.gov.pt/viewer/14629/?offset=#page=7&amp;viewer=picture&amp;o=info&amp;n=0&amp;q=</v>
      </c>
      <c r="J525" s="45"/>
      <c r="K525" s="45"/>
      <c r="L525" s="45"/>
      <c r="M525" t="s">
        <v>424</v>
      </c>
      <c r="N525">
        <v>14629</v>
      </c>
      <c r="O525" t="str">
        <f t="shared" si="16"/>
        <v>https://permalinkbnd.bnportugal.gov.pt/viewer/14629/?offset=#page=7&amp;viewer=picture&amp;o=info&amp;n=0&amp;q=</v>
      </c>
      <c r="P525">
        <v>258798</v>
      </c>
      <c r="Q525" t="s">
        <v>424</v>
      </c>
      <c r="R525" t="s">
        <v>2929</v>
      </c>
      <c r="S525" t="s">
        <v>1178</v>
      </c>
      <c r="T525" t="s">
        <v>1209</v>
      </c>
      <c r="U525" t="s">
        <v>599</v>
      </c>
      <c r="V525" t="s">
        <v>2904</v>
      </c>
      <c r="W525" t="s">
        <v>599</v>
      </c>
      <c r="X525" t="s">
        <v>599</v>
      </c>
      <c r="Y525" t="s">
        <v>1182</v>
      </c>
      <c r="Z525" t="s">
        <v>2930</v>
      </c>
      <c r="AA525">
        <v>1874</v>
      </c>
      <c r="AB525">
        <v>1874</v>
      </c>
      <c r="AC525" t="s">
        <v>2931</v>
      </c>
      <c r="AD525" t="s">
        <v>1185</v>
      </c>
      <c r="AE525" t="s">
        <v>599</v>
      </c>
      <c r="AF525" t="s">
        <v>599</v>
      </c>
      <c r="AG525" t="s">
        <v>2932</v>
      </c>
      <c r="AH525" t="s">
        <v>599</v>
      </c>
      <c r="AI525" t="s">
        <v>599</v>
      </c>
      <c r="AJ525" t="s">
        <v>2933</v>
      </c>
      <c r="AK525" t="s">
        <v>599</v>
      </c>
      <c r="AL525" t="s">
        <v>2934</v>
      </c>
      <c r="AM525" t="s">
        <v>1190</v>
      </c>
      <c r="AN525" t="s">
        <v>599</v>
      </c>
      <c r="AO525" t="s">
        <v>599</v>
      </c>
      <c r="AP525" t="s">
        <v>2935</v>
      </c>
      <c r="AQ525" t="s">
        <v>599</v>
      </c>
      <c r="AR525" t="s">
        <v>599</v>
      </c>
      <c r="AS525" t="s">
        <v>599</v>
      </c>
      <c r="AT525" t="s">
        <v>599</v>
      </c>
    </row>
    <row r="526" spans="1:46" s="13" customFormat="1" ht="30" x14ac:dyDescent="0.25">
      <c r="A526" s="9">
        <v>11292</v>
      </c>
      <c r="B526" s="10">
        <v>258798</v>
      </c>
      <c r="C526" s="10">
        <v>1</v>
      </c>
      <c r="D526" s="9">
        <v>21</v>
      </c>
      <c r="E526" s="11" t="s">
        <v>424</v>
      </c>
      <c r="F526" s="12" t="s">
        <v>425</v>
      </c>
      <c r="G526" s="9" t="s">
        <v>426</v>
      </c>
      <c r="H526" s="34"/>
      <c r="I526" s="55" t="str">
        <f t="shared" si="17"/>
        <v>https://permalinkbnd.bnportugal.gov.pt/viewer/14629/?offset=#page=21&amp;viewer=picture&amp;o=info&amp;n=0&amp;q=</v>
      </c>
      <c r="J526" s="45"/>
      <c r="K526" s="45"/>
      <c r="L526" s="45"/>
      <c r="M526" t="s">
        <v>424</v>
      </c>
      <c r="N526">
        <v>14629</v>
      </c>
      <c r="O526" t="str">
        <f t="shared" si="16"/>
        <v>https://permalinkbnd.bnportugal.gov.pt/viewer/14629/?offset=#page=21&amp;viewer=picture&amp;o=info&amp;n=0&amp;q=</v>
      </c>
      <c r="P526">
        <v>258798</v>
      </c>
      <c r="Q526" t="s">
        <v>424</v>
      </c>
      <c r="R526" t="s">
        <v>2929</v>
      </c>
      <c r="S526" t="s">
        <v>1178</v>
      </c>
      <c r="T526" t="s">
        <v>1209</v>
      </c>
      <c r="U526" t="s">
        <v>599</v>
      </c>
      <c r="V526" t="s">
        <v>2904</v>
      </c>
      <c r="W526" t="s">
        <v>599</v>
      </c>
      <c r="X526" t="s">
        <v>599</v>
      </c>
      <c r="Y526" t="s">
        <v>1182</v>
      </c>
      <c r="Z526" t="s">
        <v>2930</v>
      </c>
      <c r="AA526">
        <v>1874</v>
      </c>
      <c r="AB526">
        <v>1874</v>
      </c>
      <c r="AC526" t="s">
        <v>2931</v>
      </c>
      <c r="AD526" t="s">
        <v>1185</v>
      </c>
      <c r="AE526" t="s">
        <v>599</v>
      </c>
      <c r="AF526" t="s">
        <v>599</v>
      </c>
      <c r="AG526" t="s">
        <v>2932</v>
      </c>
      <c r="AH526" t="s">
        <v>599</v>
      </c>
      <c r="AI526" t="s">
        <v>599</v>
      </c>
      <c r="AJ526" t="s">
        <v>2933</v>
      </c>
      <c r="AK526" t="s">
        <v>599</v>
      </c>
      <c r="AL526" t="s">
        <v>2934</v>
      </c>
      <c r="AM526" t="s">
        <v>1190</v>
      </c>
      <c r="AN526" t="s">
        <v>599</v>
      </c>
      <c r="AO526" t="s">
        <v>599</v>
      </c>
      <c r="AP526" t="s">
        <v>2935</v>
      </c>
      <c r="AQ526" t="s">
        <v>599</v>
      </c>
      <c r="AR526" t="s">
        <v>599</v>
      </c>
      <c r="AS526" t="s">
        <v>599</v>
      </c>
      <c r="AT526" t="s">
        <v>599</v>
      </c>
    </row>
    <row r="527" spans="1:46" s="13" customFormat="1" ht="30" x14ac:dyDescent="0.25">
      <c r="A527" s="9">
        <v>11293</v>
      </c>
      <c r="B527" s="10">
        <v>258798</v>
      </c>
      <c r="C527" s="10">
        <v>1</v>
      </c>
      <c r="D527" s="9">
        <v>48</v>
      </c>
      <c r="E527" s="11" t="s">
        <v>424</v>
      </c>
      <c r="F527" s="12" t="s">
        <v>425</v>
      </c>
      <c r="G527" s="9" t="s">
        <v>426</v>
      </c>
      <c r="H527" s="34"/>
      <c r="I527" s="55" t="str">
        <f t="shared" si="17"/>
        <v>https://permalinkbnd.bnportugal.gov.pt/viewer/14629/?offset=#page=48&amp;viewer=picture&amp;o=info&amp;n=0&amp;q=</v>
      </c>
      <c r="J527" s="45"/>
      <c r="K527" s="45"/>
      <c r="L527" s="45"/>
      <c r="M527" t="s">
        <v>424</v>
      </c>
      <c r="N527">
        <v>14629</v>
      </c>
      <c r="O527" t="str">
        <f t="shared" si="16"/>
        <v>https://permalinkbnd.bnportugal.gov.pt/viewer/14629/?offset=#page=48&amp;viewer=picture&amp;o=info&amp;n=0&amp;q=</v>
      </c>
      <c r="P527">
        <v>258798</v>
      </c>
      <c r="Q527" t="s">
        <v>424</v>
      </c>
      <c r="R527" t="s">
        <v>2929</v>
      </c>
      <c r="S527" t="s">
        <v>1178</v>
      </c>
      <c r="T527" t="s">
        <v>1209</v>
      </c>
      <c r="U527" t="s">
        <v>599</v>
      </c>
      <c r="V527" t="s">
        <v>2904</v>
      </c>
      <c r="W527" t="s">
        <v>599</v>
      </c>
      <c r="X527" t="s">
        <v>599</v>
      </c>
      <c r="Y527" t="s">
        <v>1182</v>
      </c>
      <c r="Z527" t="s">
        <v>2930</v>
      </c>
      <c r="AA527">
        <v>1874</v>
      </c>
      <c r="AB527">
        <v>1874</v>
      </c>
      <c r="AC527" t="s">
        <v>2931</v>
      </c>
      <c r="AD527" t="s">
        <v>1185</v>
      </c>
      <c r="AE527" t="s">
        <v>599</v>
      </c>
      <c r="AF527" t="s">
        <v>599</v>
      </c>
      <c r="AG527" t="s">
        <v>2932</v>
      </c>
      <c r="AH527" t="s">
        <v>599</v>
      </c>
      <c r="AI527" t="s">
        <v>599</v>
      </c>
      <c r="AJ527" t="s">
        <v>2933</v>
      </c>
      <c r="AK527" t="s">
        <v>599</v>
      </c>
      <c r="AL527" t="s">
        <v>2934</v>
      </c>
      <c r="AM527" t="s">
        <v>1190</v>
      </c>
      <c r="AN527" t="s">
        <v>599</v>
      </c>
      <c r="AO527" t="s">
        <v>599</v>
      </c>
      <c r="AP527" t="s">
        <v>2935</v>
      </c>
      <c r="AQ527" t="s">
        <v>599</v>
      </c>
      <c r="AR527" t="s">
        <v>599</v>
      </c>
      <c r="AS527" t="s">
        <v>599</v>
      </c>
      <c r="AT527" t="s">
        <v>599</v>
      </c>
    </row>
    <row r="528" spans="1:46" s="13" customFormat="1" ht="30" x14ac:dyDescent="0.25">
      <c r="A528" s="9">
        <v>11294</v>
      </c>
      <c r="B528" s="10">
        <v>258798</v>
      </c>
      <c r="C528" s="10">
        <v>1</v>
      </c>
      <c r="D528" s="9">
        <v>100</v>
      </c>
      <c r="E528" s="11" t="s">
        <v>424</v>
      </c>
      <c r="F528" s="12" t="s">
        <v>425</v>
      </c>
      <c r="G528" s="9" t="s">
        <v>426</v>
      </c>
      <c r="H528" s="34"/>
      <c r="I528" s="55" t="str">
        <f t="shared" si="17"/>
        <v>https://permalinkbnd.bnportugal.gov.pt/viewer/14629/?offset=#page=100&amp;viewer=picture&amp;o=info&amp;n=0&amp;q=</v>
      </c>
      <c r="J528" s="45"/>
      <c r="K528" s="45"/>
      <c r="L528" s="45"/>
      <c r="M528" t="s">
        <v>424</v>
      </c>
      <c r="N528">
        <v>14629</v>
      </c>
      <c r="O528" t="str">
        <f t="shared" si="16"/>
        <v>https://permalinkbnd.bnportugal.gov.pt/viewer/14629/?offset=#page=100&amp;viewer=picture&amp;o=info&amp;n=0&amp;q=</v>
      </c>
      <c r="P528">
        <v>258798</v>
      </c>
      <c r="Q528" t="s">
        <v>424</v>
      </c>
      <c r="R528" t="s">
        <v>2929</v>
      </c>
      <c r="S528" t="s">
        <v>1178</v>
      </c>
      <c r="T528" t="s">
        <v>1209</v>
      </c>
      <c r="U528" t="s">
        <v>599</v>
      </c>
      <c r="V528" t="s">
        <v>2904</v>
      </c>
      <c r="W528" t="s">
        <v>599</v>
      </c>
      <c r="X528" t="s">
        <v>599</v>
      </c>
      <c r="Y528" t="s">
        <v>1182</v>
      </c>
      <c r="Z528" t="s">
        <v>2930</v>
      </c>
      <c r="AA528">
        <v>1874</v>
      </c>
      <c r="AB528">
        <v>1874</v>
      </c>
      <c r="AC528" t="s">
        <v>2931</v>
      </c>
      <c r="AD528" t="s">
        <v>1185</v>
      </c>
      <c r="AE528" t="s">
        <v>599</v>
      </c>
      <c r="AF528" t="s">
        <v>599</v>
      </c>
      <c r="AG528" t="s">
        <v>2932</v>
      </c>
      <c r="AH528" t="s">
        <v>599</v>
      </c>
      <c r="AI528" t="s">
        <v>599</v>
      </c>
      <c r="AJ528" t="s">
        <v>2933</v>
      </c>
      <c r="AK528" t="s">
        <v>599</v>
      </c>
      <c r="AL528" t="s">
        <v>2934</v>
      </c>
      <c r="AM528" t="s">
        <v>1190</v>
      </c>
      <c r="AN528" t="s">
        <v>599</v>
      </c>
      <c r="AO528" t="s">
        <v>599</v>
      </c>
      <c r="AP528" t="s">
        <v>2935</v>
      </c>
      <c r="AQ528" t="s">
        <v>599</v>
      </c>
      <c r="AR528" t="s">
        <v>599</v>
      </c>
      <c r="AS528" t="s">
        <v>599</v>
      </c>
      <c r="AT528" t="s">
        <v>599</v>
      </c>
    </row>
    <row r="529" spans="1:46" s="13" customFormat="1" ht="30" x14ac:dyDescent="0.25">
      <c r="A529" s="9">
        <v>11295</v>
      </c>
      <c r="B529" s="10">
        <v>258798</v>
      </c>
      <c r="C529" s="10">
        <v>1</v>
      </c>
      <c r="D529" s="9">
        <v>129</v>
      </c>
      <c r="E529" s="11" t="s">
        <v>424</v>
      </c>
      <c r="F529" s="12" t="s">
        <v>425</v>
      </c>
      <c r="G529" s="9" t="s">
        <v>426</v>
      </c>
      <c r="H529" s="34"/>
      <c r="I529" s="55" t="str">
        <f t="shared" si="17"/>
        <v>https://permalinkbnd.bnportugal.gov.pt/viewer/14629/?offset=#page=129&amp;viewer=picture&amp;o=info&amp;n=0&amp;q=</v>
      </c>
      <c r="J529" s="45"/>
      <c r="K529" s="45"/>
      <c r="L529" s="45"/>
      <c r="M529" t="s">
        <v>424</v>
      </c>
      <c r="N529">
        <v>14629</v>
      </c>
      <c r="O529" t="str">
        <f t="shared" si="16"/>
        <v>https://permalinkbnd.bnportugal.gov.pt/viewer/14629/?offset=#page=129&amp;viewer=picture&amp;o=info&amp;n=0&amp;q=</v>
      </c>
      <c r="P529">
        <v>258798</v>
      </c>
      <c r="Q529" t="s">
        <v>424</v>
      </c>
      <c r="R529" t="s">
        <v>2929</v>
      </c>
      <c r="S529" t="s">
        <v>1178</v>
      </c>
      <c r="T529" t="s">
        <v>1209</v>
      </c>
      <c r="U529" t="s">
        <v>599</v>
      </c>
      <c r="V529" t="s">
        <v>2904</v>
      </c>
      <c r="W529" t="s">
        <v>599</v>
      </c>
      <c r="X529" t="s">
        <v>599</v>
      </c>
      <c r="Y529" t="s">
        <v>1182</v>
      </c>
      <c r="Z529" t="s">
        <v>2930</v>
      </c>
      <c r="AA529">
        <v>1874</v>
      </c>
      <c r="AB529">
        <v>1874</v>
      </c>
      <c r="AC529" t="s">
        <v>2931</v>
      </c>
      <c r="AD529" t="s">
        <v>1185</v>
      </c>
      <c r="AE529" t="s">
        <v>599</v>
      </c>
      <c r="AF529" t="s">
        <v>599</v>
      </c>
      <c r="AG529" t="s">
        <v>2932</v>
      </c>
      <c r="AH529" t="s">
        <v>599</v>
      </c>
      <c r="AI529" t="s">
        <v>599</v>
      </c>
      <c r="AJ529" t="s">
        <v>2933</v>
      </c>
      <c r="AK529" t="s">
        <v>599</v>
      </c>
      <c r="AL529" t="s">
        <v>2934</v>
      </c>
      <c r="AM529" t="s">
        <v>1190</v>
      </c>
      <c r="AN529" t="s">
        <v>599</v>
      </c>
      <c r="AO529" t="s">
        <v>599</v>
      </c>
      <c r="AP529" t="s">
        <v>2935</v>
      </c>
      <c r="AQ529" t="s">
        <v>599</v>
      </c>
      <c r="AR529" t="s">
        <v>599</v>
      </c>
      <c r="AS529" t="s">
        <v>599</v>
      </c>
      <c r="AT529" t="s">
        <v>599</v>
      </c>
    </row>
    <row r="530" spans="1:46" s="13" customFormat="1" ht="30" x14ac:dyDescent="0.25">
      <c r="A530" s="9">
        <v>11296</v>
      </c>
      <c r="B530" s="10">
        <v>258798</v>
      </c>
      <c r="C530" s="10">
        <v>1</v>
      </c>
      <c r="D530" s="9">
        <v>152</v>
      </c>
      <c r="E530" s="11" t="s">
        <v>424</v>
      </c>
      <c r="F530" s="12" t="s">
        <v>425</v>
      </c>
      <c r="G530" s="9" t="s">
        <v>426</v>
      </c>
      <c r="H530" s="34"/>
      <c r="I530" s="55" t="str">
        <f t="shared" si="17"/>
        <v>https://permalinkbnd.bnportugal.gov.pt/viewer/14629/?offset=#page=152&amp;viewer=picture&amp;o=info&amp;n=0&amp;q=</v>
      </c>
      <c r="J530" s="45"/>
      <c r="K530" s="45"/>
      <c r="L530" s="45"/>
      <c r="M530" t="s">
        <v>424</v>
      </c>
      <c r="N530">
        <v>14629</v>
      </c>
      <c r="O530" t="str">
        <f t="shared" si="16"/>
        <v>https://permalinkbnd.bnportugal.gov.pt/viewer/14629/?offset=#page=152&amp;viewer=picture&amp;o=info&amp;n=0&amp;q=</v>
      </c>
      <c r="P530">
        <v>258798</v>
      </c>
      <c r="Q530" t="s">
        <v>424</v>
      </c>
      <c r="R530" t="s">
        <v>2929</v>
      </c>
      <c r="S530" t="s">
        <v>1178</v>
      </c>
      <c r="T530" t="s">
        <v>1209</v>
      </c>
      <c r="U530" t="s">
        <v>599</v>
      </c>
      <c r="V530" t="s">
        <v>2904</v>
      </c>
      <c r="W530" t="s">
        <v>599</v>
      </c>
      <c r="X530" t="s">
        <v>599</v>
      </c>
      <c r="Y530" t="s">
        <v>1182</v>
      </c>
      <c r="Z530" t="s">
        <v>2930</v>
      </c>
      <c r="AA530">
        <v>1874</v>
      </c>
      <c r="AB530">
        <v>1874</v>
      </c>
      <c r="AC530" t="s">
        <v>2931</v>
      </c>
      <c r="AD530" t="s">
        <v>1185</v>
      </c>
      <c r="AE530" t="s">
        <v>599</v>
      </c>
      <c r="AF530" t="s">
        <v>599</v>
      </c>
      <c r="AG530" t="s">
        <v>2932</v>
      </c>
      <c r="AH530" t="s">
        <v>599</v>
      </c>
      <c r="AI530" t="s">
        <v>599</v>
      </c>
      <c r="AJ530" t="s">
        <v>2933</v>
      </c>
      <c r="AK530" t="s">
        <v>599</v>
      </c>
      <c r="AL530" t="s">
        <v>2934</v>
      </c>
      <c r="AM530" t="s">
        <v>1190</v>
      </c>
      <c r="AN530" t="s">
        <v>599</v>
      </c>
      <c r="AO530" t="s">
        <v>599</v>
      </c>
      <c r="AP530" t="s">
        <v>2935</v>
      </c>
      <c r="AQ530" t="s">
        <v>599</v>
      </c>
      <c r="AR530" t="s">
        <v>599</v>
      </c>
      <c r="AS530" t="s">
        <v>599</v>
      </c>
      <c r="AT530" t="s">
        <v>599</v>
      </c>
    </row>
    <row r="531" spans="1:46" s="13" customFormat="1" ht="30" x14ac:dyDescent="0.25">
      <c r="A531" s="9">
        <v>11297</v>
      </c>
      <c r="B531" s="10">
        <v>258798</v>
      </c>
      <c r="C531" s="10">
        <v>1</v>
      </c>
      <c r="D531" s="9">
        <v>191</v>
      </c>
      <c r="E531" s="11" t="s">
        <v>424</v>
      </c>
      <c r="F531" s="12" t="s">
        <v>425</v>
      </c>
      <c r="G531" s="9" t="s">
        <v>426</v>
      </c>
      <c r="H531" s="34"/>
      <c r="I531" s="55" t="str">
        <f t="shared" si="17"/>
        <v>https://permalinkbnd.bnportugal.gov.pt/viewer/14629/?offset=#page=191&amp;viewer=picture&amp;o=info&amp;n=0&amp;q=</v>
      </c>
      <c r="J531" s="45"/>
      <c r="K531" s="45"/>
      <c r="L531" s="45"/>
      <c r="M531" t="s">
        <v>424</v>
      </c>
      <c r="N531">
        <v>14629</v>
      </c>
      <c r="O531" t="str">
        <f t="shared" si="16"/>
        <v>https://permalinkbnd.bnportugal.gov.pt/viewer/14629/?offset=#page=191&amp;viewer=picture&amp;o=info&amp;n=0&amp;q=</v>
      </c>
      <c r="P531">
        <v>258798</v>
      </c>
      <c r="Q531" t="s">
        <v>424</v>
      </c>
      <c r="R531" t="s">
        <v>2929</v>
      </c>
      <c r="S531" t="s">
        <v>1178</v>
      </c>
      <c r="T531" t="s">
        <v>1209</v>
      </c>
      <c r="U531" t="s">
        <v>599</v>
      </c>
      <c r="V531" t="s">
        <v>2904</v>
      </c>
      <c r="W531" t="s">
        <v>599</v>
      </c>
      <c r="X531" t="s">
        <v>599</v>
      </c>
      <c r="Y531" t="s">
        <v>1182</v>
      </c>
      <c r="Z531" t="s">
        <v>2930</v>
      </c>
      <c r="AA531">
        <v>1874</v>
      </c>
      <c r="AB531">
        <v>1874</v>
      </c>
      <c r="AC531" t="s">
        <v>2931</v>
      </c>
      <c r="AD531" t="s">
        <v>1185</v>
      </c>
      <c r="AE531" t="s">
        <v>599</v>
      </c>
      <c r="AF531" t="s">
        <v>599</v>
      </c>
      <c r="AG531" t="s">
        <v>2932</v>
      </c>
      <c r="AH531" t="s">
        <v>599</v>
      </c>
      <c r="AI531" t="s">
        <v>599</v>
      </c>
      <c r="AJ531" t="s">
        <v>2933</v>
      </c>
      <c r="AK531" t="s">
        <v>599</v>
      </c>
      <c r="AL531" t="s">
        <v>2934</v>
      </c>
      <c r="AM531" t="s">
        <v>1190</v>
      </c>
      <c r="AN531" t="s">
        <v>599</v>
      </c>
      <c r="AO531" t="s">
        <v>599</v>
      </c>
      <c r="AP531" t="s">
        <v>2935</v>
      </c>
      <c r="AQ531" t="s">
        <v>599</v>
      </c>
      <c r="AR531" t="s">
        <v>599</v>
      </c>
      <c r="AS531" t="s">
        <v>599</v>
      </c>
      <c r="AT531" t="s">
        <v>599</v>
      </c>
    </row>
    <row r="532" spans="1:46" s="13" customFormat="1" ht="30" x14ac:dyDescent="0.25">
      <c r="A532" s="9">
        <v>11298</v>
      </c>
      <c r="B532" s="10">
        <v>258798</v>
      </c>
      <c r="C532" s="10">
        <v>1</v>
      </c>
      <c r="D532" s="9">
        <v>209</v>
      </c>
      <c r="E532" s="11" t="s">
        <v>424</v>
      </c>
      <c r="F532" s="12" t="s">
        <v>425</v>
      </c>
      <c r="G532" s="9" t="s">
        <v>426</v>
      </c>
      <c r="H532" s="34"/>
      <c r="I532" s="55" t="str">
        <f t="shared" si="17"/>
        <v>https://permalinkbnd.bnportugal.gov.pt/viewer/14629/?offset=#page=209&amp;viewer=picture&amp;o=info&amp;n=0&amp;q=</v>
      </c>
      <c r="J532" s="45"/>
      <c r="K532" s="45"/>
      <c r="L532" s="45"/>
      <c r="M532" t="s">
        <v>424</v>
      </c>
      <c r="N532">
        <v>14629</v>
      </c>
      <c r="O532" t="str">
        <f t="shared" si="16"/>
        <v>https://permalinkbnd.bnportugal.gov.pt/viewer/14629/?offset=#page=209&amp;viewer=picture&amp;o=info&amp;n=0&amp;q=</v>
      </c>
      <c r="P532">
        <v>258798</v>
      </c>
      <c r="Q532" t="s">
        <v>424</v>
      </c>
      <c r="R532" t="s">
        <v>2929</v>
      </c>
      <c r="S532" t="s">
        <v>1178</v>
      </c>
      <c r="T532" t="s">
        <v>1209</v>
      </c>
      <c r="U532" t="s">
        <v>599</v>
      </c>
      <c r="V532" t="s">
        <v>2904</v>
      </c>
      <c r="W532" t="s">
        <v>599</v>
      </c>
      <c r="X532" t="s">
        <v>599</v>
      </c>
      <c r="Y532" t="s">
        <v>1182</v>
      </c>
      <c r="Z532" t="s">
        <v>2930</v>
      </c>
      <c r="AA532">
        <v>1874</v>
      </c>
      <c r="AB532">
        <v>1874</v>
      </c>
      <c r="AC532" t="s">
        <v>2931</v>
      </c>
      <c r="AD532" t="s">
        <v>1185</v>
      </c>
      <c r="AE532" t="s">
        <v>599</v>
      </c>
      <c r="AF532" t="s">
        <v>599</v>
      </c>
      <c r="AG532" t="s">
        <v>2932</v>
      </c>
      <c r="AH532" t="s">
        <v>599</v>
      </c>
      <c r="AI532" t="s">
        <v>599</v>
      </c>
      <c r="AJ532" t="s">
        <v>2933</v>
      </c>
      <c r="AK532" t="s">
        <v>599</v>
      </c>
      <c r="AL532" t="s">
        <v>2934</v>
      </c>
      <c r="AM532" t="s">
        <v>1190</v>
      </c>
      <c r="AN532" t="s">
        <v>599</v>
      </c>
      <c r="AO532" t="s">
        <v>599</v>
      </c>
      <c r="AP532" t="s">
        <v>2935</v>
      </c>
      <c r="AQ532" t="s">
        <v>599</v>
      </c>
      <c r="AR532" t="s">
        <v>599</v>
      </c>
      <c r="AS532" t="s">
        <v>599</v>
      </c>
      <c r="AT532" t="s">
        <v>599</v>
      </c>
    </row>
    <row r="533" spans="1:46" s="13" customFormat="1" ht="30" x14ac:dyDescent="0.25">
      <c r="A533" s="9">
        <v>11299</v>
      </c>
      <c r="B533" s="10">
        <v>258798</v>
      </c>
      <c r="C533" s="10">
        <v>1</v>
      </c>
      <c r="D533" s="9">
        <v>264</v>
      </c>
      <c r="E533" s="11" t="s">
        <v>424</v>
      </c>
      <c r="F533" s="12" t="s">
        <v>425</v>
      </c>
      <c r="G533" s="9" t="s">
        <v>426</v>
      </c>
      <c r="H533" s="34"/>
      <c r="I533" s="55" t="str">
        <f t="shared" si="17"/>
        <v>https://permalinkbnd.bnportugal.gov.pt/viewer/14629/?offset=#page=264&amp;viewer=picture&amp;o=info&amp;n=0&amp;q=</v>
      </c>
      <c r="J533" s="45"/>
      <c r="K533" s="45"/>
      <c r="L533" s="45"/>
      <c r="M533" t="s">
        <v>424</v>
      </c>
      <c r="N533">
        <v>14629</v>
      </c>
      <c r="O533" t="str">
        <f t="shared" si="16"/>
        <v>https://permalinkbnd.bnportugal.gov.pt/viewer/14629/?offset=#page=264&amp;viewer=picture&amp;o=info&amp;n=0&amp;q=</v>
      </c>
      <c r="P533">
        <v>258798</v>
      </c>
      <c r="Q533" t="s">
        <v>424</v>
      </c>
      <c r="R533" t="s">
        <v>2929</v>
      </c>
      <c r="S533" t="s">
        <v>1178</v>
      </c>
      <c r="T533" t="s">
        <v>1209</v>
      </c>
      <c r="U533" t="s">
        <v>599</v>
      </c>
      <c r="V533" t="s">
        <v>2904</v>
      </c>
      <c r="W533" t="s">
        <v>599</v>
      </c>
      <c r="X533" t="s">
        <v>599</v>
      </c>
      <c r="Y533" t="s">
        <v>1182</v>
      </c>
      <c r="Z533" t="s">
        <v>2930</v>
      </c>
      <c r="AA533">
        <v>1874</v>
      </c>
      <c r="AB533">
        <v>1874</v>
      </c>
      <c r="AC533" t="s">
        <v>2931</v>
      </c>
      <c r="AD533" t="s">
        <v>1185</v>
      </c>
      <c r="AE533" t="s">
        <v>599</v>
      </c>
      <c r="AF533" t="s">
        <v>599</v>
      </c>
      <c r="AG533" t="s">
        <v>2932</v>
      </c>
      <c r="AH533" t="s">
        <v>599</v>
      </c>
      <c r="AI533" t="s">
        <v>599</v>
      </c>
      <c r="AJ533" t="s">
        <v>2933</v>
      </c>
      <c r="AK533" t="s">
        <v>599</v>
      </c>
      <c r="AL533" t="s">
        <v>2934</v>
      </c>
      <c r="AM533" t="s">
        <v>1190</v>
      </c>
      <c r="AN533" t="s">
        <v>599</v>
      </c>
      <c r="AO533" t="s">
        <v>599</v>
      </c>
      <c r="AP533" t="s">
        <v>2935</v>
      </c>
      <c r="AQ533" t="s">
        <v>599</v>
      </c>
      <c r="AR533" t="s">
        <v>599</v>
      </c>
      <c r="AS533" t="s">
        <v>599</v>
      </c>
      <c r="AT533" t="s">
        <v>599</v>
      </c>
    </row>
    <row r="534" spans="1:46" s="13" customFormat="1" ht="30" x14ac:dyDescent="0.25">
      <c r="A534" s="9">
        <v>11300</v>
      </c>
      <c r="B534" s="10">
        <v>258798</v>
      </c>
      <c r="C534" s="10">
        <v>1</v>
      </c>
      <c r="D534" s="9">
        <v>297</v>
      </c>
      <c r="E534" s="11" t="s">
        <v>424</v>
      </c>
      <c r="F534" s="12" t="s">
        <v>425</v>
      </c>
      <c r="G534" s="9" t="s">
        <v>426</v>
      </c>
      <c r="H534" s="34"/>
      <c r="I534" s="55" t="str">
        <f t="shared" si="17"/>
        <v>https://permalinkbnd.bnportugal.gov.pt/viewer/14629/?offset=#page=297&amp;viewer=picture&amp;o=info&amp;n=0&amp;q=</v>
      </c>
      <c r="J534" s="45"/>
      <c r="K534" s="45"/>
      <c r="L534" s="45"/>
      <c r="M534" t="s">
        <v>424</v>
      </c>
      <c r="N534">
        <v>14629</v>
      </c>
      <c r="O534" t="str">
        <f t="shared" si="16"/>
        <v>https://permalinkbnd.bnportugal.gov.pt/viewer/14629/?offset=#page=297&amp;viewer=picture&amp;o=info&amp;n=0&amp;q=</v>
      </c>
      <c r="P534">
        <v>258798</v>
      </c>
      <c r="Q534" t="s">
        <v>424</v>
      </c>
      <c r="R534" t="s">
        <v>2929</v>
      </c>
      <c r="S534" t="s">
        <v>1178</v>
      </c>
      <c r="T534" t="s">
        <v>1209</v>
      </c>
      <c r="U534" t="s">
        <v>599</v>
      </c>
      <c r="V534" t="s">
        <v>2904</v>
      </c>
      <c r="W534" t="s">
        <v>599</v>
      </c>
      <c r="X534" t="s">
        <v>599</v>
      </c>
      <c r="Y534" t="s">
        <v>1182</v>
      </c>
      <c r="Z534" t="s">
        <v>2930</v>
      </c>
      <c r="AA534">
        <v>1874</v>
      </c>
      <c r="AB534">
        <v>1874</v>
      </c>
      <c r="AC534" t="s">
        <v>2931</v>
      </c>
      <c r="AD534" t="s">
        <v>1185</v>
      </c>
      <c r="AE534" t="s">
        <v>599</v>
      </c>
      <c r="AF534" t="s">
        <v>599</v>
      </c>
      <c r="AG534" t="s">
        <v>2932</v>
      </c>
      <c r="AH534" t="s">
        <v>599</v>
      </c>
      <c r="AI534" t="s">
        <v>599</v>
      </c>
      <c r="AJ534" t="s">
        <v>2933</v>
      </c>
      <c r="AK534" t="s">
        <v>599</v>
      </c>
      <c r="AL534" t="s">
        <v>2934</v>
      </c>
      <c r="AM534" t="s">
        <v>1190</v>
      </c>
      <c r="AN534" t="s">
        <v>599</v>
      </c>
      <c r="AO534" t="s">
        <v>599</v>
      </c>
      <c r="AP534" t="s">
        <v>2935</v>
      </c>
      <c r="AQ534" t="s">
        <v>599</v>
      </c>
      <c r="AR534" t="s">
        <v>599</v>
      </c>
      <c r="AS534" t="s">
        <v>599</v>
      </c>
      <c r="AT534" t="s">
        <v>599</v>
      </c>
    </row>
    <row r="535" spans="1:46" s="13" customFormat="1" ht="30" x14ac:dyDescent="0.25">
      <c r="A535" s="9">
        <v>11301</v>
      </c>
      <c r="B535" s="10">
        <v>259033</v>
      </c>
      <c r="C535" s="10">
        <v>1</v>
      </c>
      <c r="D535" s="9">
        <v>10</v>
      </c>
      <c r="E535" s="11" t="s">
        <v>427</v>
      </c>
      <c r="F535" s="12" t="s">
        <v>428</v>
      </c>
      <c r="G535" s="9" t="s">
        <v>429</v>
      </c>
      <c r="H535" s="34"/>
      <c r="I535" s="55" t="str">
        <f t="shared" si="17"/>
        <v>https://permalinkbnd.bnportugal.gov.pt/viewer/14639/?offset=#page=10&amp;viewer=picture&amp;o=info&amp;n=0&amp;q=</v>
      </c>
      <c r="J535" s="45"/>
      <c r="K535" s="45"/>
      <c r="L535" s="45"/>
      <c r="M535" t="s">
        <v>427</v>
      </c>
      <c r="N535">
        <v>14639</v>
      </c>
      <c r="O535" t="str">
        <f t="shared" si="16"/>
        <v>https://permalinkbnd.bnportugal.gov.pt/viewer/14639/?offset=#page=10&amp;viewer=picture&amp;o=info&amp;n=0&amp;q=</v>
      </c>
      <c r="P535">
        <v>259033</v>
      </c>
      <c r="Q535" t="s">
        <v>427</v>
      </c>
      <c r="R535" t="s">
        <v>2936</v>
      </c>
      <c r="S535" t="s">
        <v>1178</v>
      </c>
      <c r="T535" t="s">
        <v>1362</v>
      </c>
      <c r="U535" t="s">
        <v>1192</v>
      </c>
      <c r="V535" t="s">
        <v>2937</v>
      </c>
      <c r="W535" t="s">
        <v>2938</v>
      </c>
      <c r="X535" t="s">
        <v>599</v>
      </c>
      <c r="Y535" t="s">
        <v>1182</v>
      </c>
      <c r="Z535" t="s">
        <v>2939</v>
      </c>
      <c r="AA535">
        <v>1735</v>
      </c>
      <c r="AB535">
        <v>1735</v>
      </c>
      <c r="AC535" t="s">
        <v>2940</v>
      </c>
      <c r="AD535" t="s">
        <v>1185</v>
      </c>
      <c r="AE535" t="s">
        <v>599</v>
      </c>
      <c r="AF535" t="s">
        <v>599</v>
      </c>
      <c r="AG535" t="s">
        <v>2941</v>
      </c>
      <c r="AH535" t="s">
        <v>599</v>
      </c>
      <c r="AI535" t="s">
        <v>599</v>
      </c>
      <c r="AJ535" t="s">
        <v>2942</v>
      </c>
      <c r="AK535" t="s">
        <v>599</v>
      </c>
      <c r="AL535" t="s">
        <v>2943</v>
      </c>
      <c r="AM535" t="s">
        <v>1190</v>
      </c>
      <c r="AN535" t="s">
        <v>599</v>
      </c>
      <c r="AO535" t="s">
        <v>599</v>
      </c>
      <c r="AP535" t="s">
        <v>2944</v>
      </c>
      <c r="AQ535" t="s">
        <v>599</v>
      </c>
      <c r="AR535" t="s">
        <v>599</v>
      </c>
      <c r="AS535" t="s">
        <v>599</v>
      </c>
      <c r="AT535" t="s">
        <v>599</v>
      </c>
    </row>
    <row r="536" spans="1:46" s="13" customFormat="1" ht="30" x14ac:dyDescent="0.25">
      <c r="A536" s="9">
        <v>11302</v>
      </c>
      <c r="B536" s="10">
        <v>259033</v>
      </c>
      <c r="C536" s="10">
        <v>1</v>
      </c>
      <c r="D536" s="9">
        <v>86</v>
      </c>
      <c r="E536" s="11" t="s">
        <v>427</v>
      </c>
      <c r="F536" s="12" t="s">
        <v>428</v>
      </c>
      <c r="G536" s="9" t="s">
        <v>429</v>
      </c>
      <c r="H536" s="34"/>
      <c r="I536" s="55" t="str">
        <f t="shared" si="17"/>
        <v>https://permalinkbnd.bnportugal.gov.pt/viewer/14639/?offset=#page=86&amp;viewer=picture&amp;o=info&amp;n=0&amp;q=</v>
      </c>
      <c r="J536" s="45"/>
      <c r="K536" s="45"/>
      <c r="L536" s="45"/>
      <c r="M536" t="s">
        <v>427</v>
      </c>
      <c r="N536">
        <v>14639</v>
      </c>
      <c r="O536" t="str">
        <f t="shared" si="16"/>
        <v>https://permalinkbnd.bnportugal.gov.pt/viewer/14639/?offset=#page=86&amp;viewer=picture&amp;o=info&amp;n=0&amp;q=</v>
      </c>
      <c r="P536">
        <v>259033</v>
      </c>
      <c r="Q536" t="s">
        <v>427</v>
      </c>
      <c r="R536" t="s">
        <v>2936</v>
      </c>
      <c r="S536" t="s">
        <v>1178</v>
      </c>
      <c r="T536" t="s">
        <v>1362</v>
      </c>
      <c r="U536" t="s">
        <v>1192</v>
      </c>
      <c r="V536" t="s">
        <v>2937</v>
      </c>
      <c r="W536" t="s">
        <v>2938</v>
      </c>
      <c r="X536" t="s">
        <v>599</v>
      </c>
      <c r="Y536" t="s">
        <v>1182</v>
      </c>
      <c r="Z536" t="s">
        <v>2939</v>
      </c>
      <c r="AA536">
        <v>1735</v>
      </c>
      <c r="AB536">
        <v>1735</v>
      </c>
      <c r="AC536" t="s">
        <v>2940</v>
      </c>
      <c r="AD536" t="s">
        <v>1185</v>
      </c>
      <c r="AE536" t="s">
        <v>599</v>
      </c>
      <c r="AF536" t="s">
        <v>599</v>
      </c>
      <c r="AG536" t="s">
        <v>2941</v>
      </c>
      <c r="AH536" t="s">
        <v>599</v>
      </c>
      <c r="AI536" t="s">
        <v>599</v>
      </c>
      <c r="AJ536" t="s">
        <v>2942</v>
      </c>
      <c r="AK536" t="s">
        <v>599</v>
      </c>
      <c r="AL536" t="s">
        <v>2943</v>
      </c>
      <c r="AM536" t="s">
        <v>1190</v>
      </c>
      <c r="AN536" t="s">
        <v>599</v>
      </c>
      <c r="AO536" t="s">
        <v>599</v>
      </c>
      <c r="AP536" t="s">
        <v>2944</v>
      </c>
      <c r="AQ536" t="s">
        <v>599</v>
      </c>
      <c r="AR536" t="s">
        <v>599</v>
      </c>
      <c r="AS536" t="s">
        <v>599</v>
      </c>
      <c r="AT536" t="s">
        <v>599</v>
      </c>
    </row>
    <row r="537" spans="1:46" s="13" customFormat="1" ht="30" x14ac:dyDescent="0.25">
      <c r="A537" s="9">
        <v>11303</v>
      </c>
      <c r="B537" s="10">
        <v>259033</v>
      </c>
      <c r="C537" s="10">
        <v>1</v>
      </c>
      <c r="D537" s="9">
        <v>168</v>
      </c>
      <c r="E537" s="11" t="s">
        <v>427</v>
      </c>
      <c r="F537" s="12" t="s">
        <v>428</v>
      </c>
      <c r="G537" s="9" t="s">
        <v>429</v>
      </c>
      <c r="H537" s="34"/>
      <c r="I537" s="55" t="str">
        <f t="shared" si="17"/>
        <v>https://permalinkbnd.bnportugal.gov.pt/viewer/14639/?offset=#page=168&amp;viewer=picture&amp;o=info&amp;n=0&amp;q=</v>
      </c>
      <c r="J537" s="45"/>
      <c r="K537" s="45"/>
      <c r="L537" s="45"/>
      <c r="M537" t="s">
        <v>427</v>
      </c>
      <c r="N537">
        <v>14639</v>
      </c>
      <c r="O537" t="str">
        <f t="shared" si="16"/>
        <v>https://permalinkbnd.bnportugal.gov.pt/viewer/14639/?offset=#page=168&amp;viewer=picture&amp;o=info&amp;n=0&amp;q=</v>
      </c>
      <c r="P537">
        <v>259033</v>
      </c>
      <c r="Q537" t="s">
        <v>427</v>
      </c>
      <c r="R537" t="s">
        <v>2936</v>
      </c>
      <c r="S537" t="s">
        <v>1178</v>
      </c>
      <c r="T537" t="s">
        <v>1362</v>
      </c>
      <c r="U537" t="s">
        <v>1192</v>
      </c>
      <c r="V537" t="s">
        <v>2937</v>
      </c>
      <c r="W537" t="s">
        <v>2938</v>
      </c>
      <c r="X537" t="s">
        <v>599</v>
      </c>
      <c r="Y537" t="s">
        <v>1182</v>
      </c>
      <c r="Z537" t="s">
        <v>2939</v>
      </c>
      <c r="AA537">
        <v>1735</v>
      </c>
      <c r="AB537">
        <v>1735</v>
      </c>
      <c r="AC537" t="s">
        <v>2940</v>
      </c>
      <c r="AD537" t="s">
        <v>1185</v>
      </c>
      <c r="AE537" t="s">
        <v>599</v>
      </c>
      <c r="AF537" t="s">
        <v>599</v>
      </c>
      <c r="AG537" t="s">
        <v>2941</v>
      </c>
      <c r="AH537" t="s">
        <v>599</v>
      </c>
      <c r="AI537" t="s">
        <v>599</v>
      </c>
      <c r="AJ537" t="s">
        <v>2942</v>
      </c>
      <c r="AK537" t="s">
        <v>599</v>
      </c>
      <c r="AL537" t="s">
        <v>2943</v>
      </c>
      <c r="AM537" t="s">
        <v>1190</v>
      </c>
      <c r="AN537" t="s">
        <v>599</v>
      </c>
      <c r="AO537" t="s">
        <v>599</v>
      </c>
      <c r="AP537" t="s">
        <v>2944</v>
      </c>
      <c r="AQ537" t="s">
        <v>599</v>
      </c>
      <c r="AR537" t="s">
        <v>599</v>
      </c>
      <c r="AS537" t="s">
        <v>599</v>
      </c>
      <c r="AT537" t="s">
        <v>599</v>
      </c>
    </row>
    <row r="538" spans="1:46" s="13" customFormat="1" ht="30" x14ac:dyDescent="0.25">
      <c r="A538" s="9">
        <v>11304</v>
      </c>
      <c r="B538" s="10">
        <v>259033</v>
      </c>
      <c r="C538" s="10">
        <v>1</v>
      </c>
      <c r="D538" s="9">
        <v>266</v>
      </c>
      <c r="E538" s="11" t="s">
        <v>427</v>
      </c>
      <c r="F538" s="12" t="s">
        <v>428</v>
      </c>
      <c r="G538" s="9" t="s">
        <v>429</v>
      </c>
      <c r="H538" s="34"/>
      <c r="I538" s="55" t="str">
        <f t="shared" si="17"/>
        <v>https://permalinkbnd.bnportugal.gov.pt/viewer/14639/?offset=#page=266&amp;viewer=picture&amp;o=info&amp;n=0&amp;q=</v>
      </c>
      <c r="J538" s="45"/>
      <c r="K538" s="45"/>
      <c r="L538" s="45"/>
      <c r="M538" t="s">
        <v>427</v>
      </c>
      <c r="N538">
        <v>14639</v>
      </c>
      <c r="O538" t="str">
        <f t="shared" si="16"/>
        <v>https://permalinkbnd.bnportugal.gov.pt/viewer/14639/?offset=#page=266&amp;viewer=picture&amp;o=info&amp;n=0&amp;q=</v>
      </c>
      <c r="P538">
        <v>259033</v>
      </c>
      <c r="Q538" t="s">
        <v>427</v>
      </c>
      <c r="R538" t="s">
        <v>2936</v>
      </c>
      <c r="S538" t="s">
        <v>1178</v>
      </c>
      <c r="T538" t="s">
        <v>1362</v>
      </c>
      <c r="U538" t="s">
        <v>1192</v>
      </c>
      <c r="V538" t="s">
        <v>2937</v>
      </c>
      <c r="W538" t="s">
        <v>2938</v>
      </c>
      <c r="X538" t="s">
        <v>599</v>
      </c>
      <c r="Y538" t="s">
        <v>1182</v>
      </c>
      <c r="Z538" t="s">
        <v>2939</v>
      </c>
      <c r="AA538">
        <v>1735</v>
      </c>
      <c r="AB538">
        <v>1735</v>
      </c>
      <c r="AC538" t="s">
        <v>2940</v>
      </c>
      <c r="AD538" t="s">
        <v>1185</v>
      </c>
      <c r="AE538" t="s">
        <v>599</v>
      </c>
      <c r="AF538" t="s">
        <v>599</v>
      </c>
      <c r="AG538" t="s">
        <v>2941</v>
      </c>
      <c r="AH538" t="s">
        <v>599</v>
      </c>
      <c r="AI538" t="s">
        <v>599</v>
      </c>
      <c r="AJ538" t="s">
        <v>2942</v>
      </c>
      <c r="AK538" t="s">
        <v>599</v>
      </c>
      <c r="AL538" t="s">
        <v>2943</v>
      </c>
      <c r="AM538" t="s">
        <v>1190</v>
      </c>
      <c r="AN538" t="s">
        <v>599</v>
      </c>
      <c r="AO538" t="s">
        <v>599</v>
      </c>
      <c r="AP538" t="s">
        <v>2944</v>
      </c>
      <c r="AQ538" t="s">
        <v>599</v>
      </c>
      <c r="AR538" t="s">
        <v>599</v>
      </c>
      <c r="AS538" t="s">
        <v>599</v>
      </c>
      <c r="AT538" t="s">
        <v>599</v>
      </c>
    </row>
    <row r="539" spans="1:46" s="13" customFormat="1" ht="30" x14ac:dyDescent="0.25">
      <c r="A539" s="9">
        <v>11305</v>
      </c>
      <c r="B539" s="10">
        <v>259033</v>
      </c>
      <c r="C539" s="10">
        <v>2</v>
      </c>
      <c r="D539" s="9">
        <v>12</v>
      </c>
      <c r="E539" s="11" t="s">
        <v>427</v>
      </c>
      <c r="F539" s="12" t="s">
        <v>428</v>
      </c>
      <c r="G539" s="9" t="s">
        <v>429</v>
      </c>
      <c r="H539" s="34"/>
      <c r="I539" s="55" t="str">
        <f t="shared" si="17"/>
        <v>https://permalinkbnd.bnportugal.gov.pt/viewer/14639/?offset=#page=12&amp;viewer=picture&amp;o=info&amp;n=0&amp;q=</v>
      </c>
      <c r="J539" s="45"/>
      <c r="K539" s="45"/>
      <c r="L539" s="45"/>
      <c r="M539" t="s">
        <v>427</v>
      </c>
      <c r="N539">
        <v>14639</v>
      </c>
      <c r="O539" t="str">
        <f t="shared" si="16"/>
        <v>https://permalinkbnd.bnportugal.gov.pt/viewer/14639/?offset=#page=12&amp;viewer=picture&amp;o=info&amp;n=0&amp;q=</v>
      </c>
      <c r="P539">
        <v>259033</v>
      </c>
      <c r="Q539" t="s">
        <v>427</v>
      </c>
      <c r="R539" t="s">
        <v>2936</v>
      </c>
      <c r="S539" t="s">
        <v>1178</v>
      </c>
      <c r="T539" t="s">
        <v>1362</v>
      </c>
      <c r="U539" t="s">
        <v>1192</v>
      </c>
      <c r="V539" t="s">
        <v>2937</v>
      </c>
      <c r="W539" t="s">
        <v>2938</v>
      </c>
      <c r="X539" t="s">
        <v>599</v>
      </c>
      <c r="Y539" t="s">
        <v>1182</v>
      </c>
      <c r="Z539" t="s">
        <v>2939</v>
      </c>
      <c r="AA539">
        <v>1735</v>
      </c>
      <c r="AB539">
        <v>1735</v>
      </c>
      <c r="AC539" t="s">
        <v>2940</v>
      </c>
      <c r="AD539" t="s">
        <v>1185</v>
      </c>
      <c r="AE539" t="s">
        <v>599</v>
      </c>
      <c r="AF539" t="s">
        <v>599</v>
      </c>
      <c r="AG539" t="s">
        <v>2941</v>
      </c>
      <c r="AH539" t="s">
        <v>599</v>
      </c>
      <c r="AI539" t="s">
        <v>599</v>
      </c>
      <c r="AJ539" t="s">
        <v>2942</v>
      </c>
      <c r="AK539" t="s">
        <v>599</v>
      </c>
      <c r="AL539" t="s">
        <v>2943</v>
      </c>
      <c r="AM539" t="s">
        <v>1190</v>
      </c>
      <c r="AN539" t="s">
        <v>599</v>
      </c>
      <c r="AO539" t="s">
        <v>599</v>
      </c>
      <c r="AP539" t="s">
        <v>2944</v>
      </c>
      <c r="AQ539" t="s">
        <v>599</v>
      </c>
      <c r="AR539" t="s">
        <v>599</v>
      </c>
      <c r="AS539" t="s">
        <v>599</v>
      </c>
      <c r="AT539" t="s">
        <v>599</v>
      </c>
    </row>
    <row r="540" spans="1:46" ht="30" x14ac:dyDescent="0.25">
      <c r="A540" s="2">
        <v>11306</v>
      </c>
      <c r="B540" s="10">
        <v>259033</v>
      </c>
      <c r="C540" s="10">
        <v>2</v>
      </c>
      <c r="D540" s="9">
        <v>102</v>
      </c>
      <c r="E540" s="11" t="s">
        <v>427</v>
      </c>
      <c r="F540" s="12" t="s">
        <v>428</v>
      </c>
      <c r="G540" s="9" t="s">
        <v>429</v>
      </c>
      <c r="H540" s="34"/>
      <c r="I540" s="55" t="str">
        <f t="shared" si="17"/>
        <v>https://permalinkbnd.bnportugal.gov.pt/viewer/14639/?offset=#page=102&amp;viewer=picture&amp;o=info&amp;n=0&amp;q=</v>
      </c>
      <c r="J540" s="45"/>
      <c r="K540" s="45"/>
      <c r="L540" s="45"/>
      <c r="M540" t="s">
        <v>427</v>
      </c>
      <c r="N540">
        <v>14639</v>
      </c>
      <c r="O540" t="str">
        <f t="shared" si="16"/>
        <v>https://permalinkbnd.bnportugal.gov.pt/viewer/14639/?offset=#page=102&amp;viewer=picture&amp;o=info&amp;n=0&amp;q=</v>
      </c>
      <c r="P540">
        <v>259033</v>
      </c>
      <c r="Q540" t="s">
        <v>427</v>
      </c>
      <c r="R540" t="s">
        <v>2936</v>
      </c>
      <c r="S540" t="s">
        <v>1178</v>
      </c>
      <c r="T540" t="s">
        <v>1362</v>
      </c>
      <c r="U540" t="s">
        <v>1192</v>
      </c>
      <c r="V540" t="s">
        <v>2937</v>
      </c>
      <c r="W540" t="s">
        <v>2938</v>
      </c>
      <c r="X540" t="s">
        <v>599</v>
      </c>
      <c r="Y540" t="s">
        <v>1182</v>
      </c>
      <c r="Z540" t="s">
        <v>2939</v>
      </c>
      <c r="AA540">
        <v>1735</v>
      </c>
      <c r="AB540">
        <v>1735</v>
      </c>
      <c r="AC540" t="s">
        <v>2940</v>
      </c>
      <c r="AD540" t="s">
        <v>1185</v>
      </c>
      <c r="AE540" t="s">
        <v>599</v>
      </c>
      <c r="AF540" t="s">
        <v>599</v>
      </c>
      <c r="AG540" t="s">
        <v>2941</v>
      </c>
      <c r="AH540" t="s">
        <v>599</v>
      </c>
      <c r="AI540" t="s">
        <v>599</v>
      </c>
      <c r="AJ540" t="s">
        <v>2942</v>
      </c>
      <c r="AK540" t="s">
        <v>599</v>
      </c>
      <c r="AL540" t="s">
        <v>2943</v>
      </c>
      <c r="AM540" t="s">
        <v>1190</v>
      </c>
      <c r="AN540" t="s">
        <v>599</v>
      </c>
      <c r="AO540" t="s">
        <v>599</v>
      </c>
      <c r="AP540" t="s">
        <v>2944</v>
      </c>
      <c r="AQ540" t="s">
        <v>599</v>
      </c>
      <c r="AR540" t="s">
        <v>599</v>
      </c>
      <c r="AS540" t="s">
        <v>599</v>
      </c>
      <c r="AT540" t="s">
        <v>599</v>
      </c>
    </row>
    <row r="541" spans="1:46" ht="30" x14ac:dyDescent="0.25">
      <c r="A541" s="2">
        <v>11307</v>
      </c>
      <c r="B541" s="10">
        <v>259033</v>
      </c>
      <c r="C541" s="10">
        <v>2</v>
      </c>
      <c r="D541" s="9">
        <v>202</v>
      </c>
      <c r="E541" s="11" t="s">
        <v>427</v>
      </c>
      <c r="F541" s="12" t="s">
        <v>428</v>
      </c>
      <c r="G541" s="9" t="s">
        <v>429</v>
      </c>
      <c r="H541" s="34"/>
      <c r="I541" s="55" t="str">
        <f t="shared" si="17"/>
        <v>https://permalinkbnd.bnportugal.gov.pt/viewer/14639/?offset=#page=202&amp;viewer=picture&amp;o=info&amp;n=0&amp;q=</v>
      </c>
      <c r="J541" s="45"/>
      <c r="K541" s="45"/>
      <c r="L541" s="45"/>
      <c r="M541" t="s">
        <v>427</v>
      </c>
      <c r="N541">
        <v>14639</v>
      </c>
      <c r="O541" t="str">
        <f t="shared" si="16"/>
        <v>https://permalinkbnd.bnportugal.gov.pt/viewer/14639/?offset=#page=202&amp;viewer=picture&amp;o=info&amp;n=0&amp;q=</v>
      </c>
      <c r="P541">
        <v>259033</v>
      </c>
      <c r="Q541" t="s">
        <v>427</v>
      </c>
      <c r="R541" t="s">
        <v>2936</v>
      </c>
      <c r="S541" t="s">
        <v>1178</v>
      </c>
      <c r="T541" t="s">
        <v>1362</v>
      </c>
      <c r="U541" t="s">
        <v>1192</v>
      </c>
      <c r="V541" t="s">
        <v>2937</v>
      </c>
      <c r="W541" t="s">
        <v>2938</v>
      </c>
      <c r="X541" t="s">
        <v>599</v>
      </c>
      <c r="Y541" t="s">
        <v>1182</v>
      </c>
      <c r="Z541" t="s">
        <v>2939</v>
      </c>
      <c r="AA541">
        <v>1735</v>
      </c>
      <c r="AB541">
        <v>1735</v>
      </c>
      <c r="AC541" t="s">
        <v>2940</v>
      </c>
      <c r="AD541" t="s">
        <v>1185</v>
      </c>
      <c r="AE541" t="s">
        <v>599</v>
      </c>
      <c r="AF541" t="s">
        <v>599</v>
      </c>
      <c r="AG541" t="s">
        <v>2941</v>
      </c>
      <c r="AH541" t="s">
        <v>599</v>
      </c>
      <c r="AI541" t="s">
        <v>599</v>
      </c>
      <c r="AJ541" t="s">
        <v>2942</v>
      </c>
      <c r="AK541" t="s">
        <v>599</v>
      </c>
      <c r="AL541" t="s">
        <v>2943</v>
      </c>
      <c r="AM541" t="s">
        <v>1190</v>
      </c>
      <c r="AN541" t="s">
        <v>599</v>
      </c>
      <c r="AO541" t="s">
        <v>599</v>
      </c>
      <c r="AP541" t="s">
        <v>2944</v>
      </c>
      <c r="AQ541" t="s">
        <v>599</v>
      </c>
      <c r="AR541" t="s">
        <v>599</v>
      </c>
      <c r="AS541" t="s">
        <v>599</v>
      </c>
      <c r="AT541" t="s">
        <v>599</v>
      </c>
    </row>
    <row r="542" spans="1:46" ht="30" x14ac:dyDescent="0.25">
      <c r="A542" s="2">
        <v>11308</v>
      </c>
      <c r="B542" s="10">
        <v>259033</v>
      </c>
      <c r="C542" s="10">
        <v>2</v>
      </c>
      <c r="D542" s="9">
        <v>282</v>
      </c>
      <c r="E542" s="11" t="s">
        <v>427</v>
      </c>
      <c r="F542" s="12" t="s">
        <v>428</v>
      </c>
      <c r="G542" s="9" t="s">
        <v>429</v>
      </c>
      <c r="H542" s="34"/>
      <c r="I542" s="55" t="str">
        <f t="shared" si="17"/>
        <v>https://permalinkbnd.bnportugal.gov.pt/viewer/14639/?offset=#page=282&amp;viewer=picture&amp;o=info&amp;n=0&amp;q=</v>
      </c>
      <c r="J542" s="45"/>
      <c r="K542" s="45"/>
      <c r="L542" s="45"/>
      <c r="M542" t="s">
        <v>427</v>
      </c>
      <c r="N542">
        <v>14639</v>
      </c>
      <c r="O542" t="str">
        <f t="shared" si="16"/>
        <v>https://permalinkbnd.bnportugal.gov.pt/viewer/14639/?offset=#page=282&amp;viewer=picture&amp;o=info&amp;n=0&amp;q=</v>
      </c>
      <c r="P542">
        <v>259033</v>
      </c>
      <c r="Q542" t="s">
        <v>427</v>
      </c>
      <c r="R542" t="s">
        <v>2936</v>
      </c>
      <c r="S542" t="s">
        <v>1178</v>
      </c>
      <c r="T542" t="s">
        <v>1362</v>
      </c>
      <c r="U542" t="s">
        <v>1192</v>
      </c>
      <c r="V542" t="s">
        <v>2937</v>
      </c>
      <c r="W542" t="s">
        <v>2938</v>
      </c>
      <c r="X542" t="s">
        <v>599</v>
      </c>
      <c r="Y542" t="s">
        <v>1182</v>
      </c>
      <c r="Z542" t="s">
        <v>2939</v>
      </c>
      <c r="AA542">
        <v>1735</v>
      </c>
      <c r="AB542">
        <v>1735</v>
      </c>
      <c r="AC542" t="s">
        <v>2940</v>
      </c>
      <c r="AD542" t="s">
        <v>1185</v>
      </c>
      <c r="AE542" t="s">
        <v>599</v>
      </c>
      <c r="AF542" t="s">
        <v>599</v>
      </c>
      <c r="AG542" t="s">
        <v>2941</v>
      </c>
      <c r="AH542" t="s">
        <v>599</v>
      </c>
      <c r="AI542" t="s">
        <v>599</v>
      </c>
      <c r="AJ542" t="s">
        <v>2942</v>
      </c>
      <c r="AK542" t="s">
        <v>599</v>
      </c>
      <c r="AL542" t="s">
        <v>2943</v>
      </c>
      <c r="AM542" t="s">
        <v>1190</v>
      </c>
      <c r="AN542" t="s">
        <v>599</v>
      </c>
      <c r="AO542" t="s">
        <v>599</v>
      </c>
      <c r="AP542" t="s">
        <v>2944</v>
      </c>
      <c r="AQ542" t="s">
        <v>599</v>
      </c>
      <c r="AR542" t="s">
        <v>599</v>
      </c>
      <c r="AS542" t="s">
        <v>599</v>
      </c>
      <c r="AT542" t="s">
        <v>599</v>
      </c>
    </row>
    <row r="543" spans="1:46" ht="45" x14ac:dyDescent="0.25">
      <c r="A543" s="2">
        <v>11309</v>
      </c>
      <c r="B543" s="46">
        <v>259033</v>
      </c>
      <c r="C543" s="46">
        <v>3</v>
      </c>
      <c r="D543" s="47">
        <v>12</v>
      </c>
      <c r="E543" s="48" t="s">
        <v>427</v>
      </c>
      <c r="F543" s="49" t="s">
        <v>428</v>
      </c>
      <c r="G543" s="47" t="s">
        <v>429</v>
      </c>
      <c r="H543" s="47" t="s">
        <v>1137</v>
      </c>
      <c r="I543" s="55" t="str">
        <f t="shared" si="17"/>
        <v>https://permalinkbnd.bnportugal.gov.pt/viewer/14639/?offset=#page=12&amp;viewer=picture&amp;o=info&amp;n=0&amp;q=</v>
      </c>
      <c r="J543" s="45"/>
      <c r="K543" s="45"/>
      <c r="L543" s="45"/>
      <c r="M543" t="s">
        <v>427</v>
      </c>
      <c r="N543">
        <v>14639</v>
      </c>
      <c r="O543" t="str">
        <f t="shared" si="16"/>
        <v>https://permalinkbnd.bnportugal.gov.pt/viewer/14639/?offset=#page=12&amp;viewer=picture&amp;o=info&amp;n=0&amp;q=</v>
      </c>
      <c r="P543">
        <v>259033</v>
      </c>
      <c r="Q543" t="s">
        <v>427</v>
      </c>
      <c r="R543" t="s">
        <v>2936</v>
      </c>
      <c r="S543" t="s">
        <v>1178</v>
      </c>
      <c r="T543" t="s">
        <v>1362</v>
      </c>
      <c r="U543" t="s">
        <v>1192</v>
      </c>
      <c r="V543" t="s">
        <v>2937</v>
      </c>
      <c r="W543" t="s">
        <v>2938</v>
      </c>
      <c r="X543" t="s">
        <v>599</v>
      </c>
      <c r="Y543" t="s">
        <v>1182</v>
      </c>
      <c r="Z543" t="s">
        <v>2939</v>
      </c>
      <c r="AA543">
        <v>1735</v>
      </c>
      <c r="AB543">
        <v>1735</v>
      </c>
      <c r="AC543" t="s">
        <v>2940</v>
      </c>
      <c r="AD543" t="s">
        <v>1185</v>
      </c>
      <c r="AE543" t="s">
        <v>599</v>
      </c>
      <c r="AF543" t="s">
        <v>599</v>
      </c>
      <c r="AG543" t="s">
        <v>2941</v>
      </c>
      <c r="AH543" t="s">
        <v>599</v>
      </c>
      <c r="AI543" t="s">
        <v>599</v>
      </c>
      <c r="AJ543" t="s">
        <v>2942</v>
      </c>
      <c r="AK543" t="s">
        <v>599</v>
      </c>
      <c r="AL543" t="s">
        <v>2943</v>
      </c>
      <c r="AM543" t="s">
        <v>1190</v>
      </c>
      <c r="AN543" t="s">
        <v>599</v>
      </c>
      <c r="AO543" t="s">
        <v>599</v>
      </c>
      <c r="AP543" t="s">
        <v>2944</v>
      </c>
      <c r="AQ543" t="s">
        <v>599</v>
      </c>
      <c r="AR543" t="s">
        <v>599</v>
      </c>
      <c r="AS543" t="s">
        <v>599</v>
      </c>
      <c r="AT543" t="s">
        <v>599</v>
      </c>
    </row>
    <row r="544" spans="1:46" ht="30" x14ac:dyDescent="0.25">
      <c r="A544" s="2">
        <v>11310</v>
      </c>
      <c r="B544" s="10">
        <v>259033</v>
      </c>
      <c r="C544" s="10">
        <v>3</v>
      </c>
      <c r="D544" s="9">
        <v>98</v>
      </c>
      <c r="E544" s="11" t="s">
        <v>427</v>
      </c>
      <c r="F544" s="12" t="s">
        <v>428</v>
      </c>
      <c r="G544" s="9" t="s">
        <v>429</v>
      </c>
      <c r="H544" s="34"/>
      <c r="I544" s="55" t="str">
        <f t="shared" si="17"/>
        <v>https://permalinkbnd.bnportugal.gov.pt/viewer/14639/?offset=#page=98&amp;viewer=picture&amp;o=info&amp;n=0&amp;q=</v>
      </c>
      <c r="J544" s="45"/>
      <c r="K544" s="45"/>
      <c r="L544" s="45"/>
      <c r="M544" t="s">
        <v>427</v>
      </c>
      <c r="N544">
        <v>14639</v>
      </c>
      <c r="O544" t="str">
        <f t="shared" si="16"/>
        <v>https://permalinkbnd.bnportugal.gov.pt/viewer/14639/?offset=#page=98&amp;viewer=picture&amp;o=info&amp;n=0&amp;q=</v>
      </c>
      <c r="P544">
        <v>259033</v>
      </c>
      <c r="Q544" t="s">
        <v>427</v>
      </c>
      <c r="R544" t="s">
        <v>2936</v>
      </c>
      <c r="S544" t="s">
        <v>1178</v>
      </c>
      <c r="T544" t="s">
        <v>1362</v>
      </c>
      <c r="U544" t="s">
        <v>1192</v>
      </c>
      <c r="V544" t="s">
        <v>2937</v>
      </c>
      <c r="W544" t="s">
        <v>2938</v>
      </c>
      <c r="X544" t="s">
        <v>599</v>
      </c>
      <c r="Y544" t="s">
        <v>1182</v>
      </c>
      <c r="Z544" t="s">
        <v>2939</v>
      </c>
      <c r="AA544">
        <v>1735</v>
      </c>
      <c r="AB544">
        <v>1735</v>
      </c>
      <c r="AC544" t="s">
        <v>2940</v>
      </c>
      <c r="AD544" t="s">
        <v>1185</v>
      </c>
      <c r="AE544" t="s">
        <v>599</v>
      </c>
      <c r="AF544" t="s">
        <v>599</v>
      </c>
      <c r="AG544" t="s">
        <v>2941</v>
      </c>
      <c r="AH544" t="s">
        <v>599</v>
      </c>
      <c r="AI544" t="s">
        <v>599</v>
      </c>
      <c r="AJ544" t="s">
        <v>2942</v>
      </c>
      <c r="AK544" t="s">
        <v>599</v>
      </c>
      <c r="AL544" t="s">
        <v>2943</v>
      </c>
      <c r="AM544" t="s">
        <v>1190</v>
      </c>
      <c r="AN544" t="s">
        <v>599</v>
      </c>
      <c r="AO544" t="s">
        <v>599</v>
      </c>
      <c r="AP544" t="s">
        <v>2944</v>
      </c>
      <c r="AQ544" t="s">
        <v>599</v>
      </c>
      <c r="AR544" t="s">
        <v>599</v>
      </c>
      <c r="AS544" t="s">
        <v>599</v>
      </c>
      <c r="AT544" t="s">
        <v>599</v>
      </c>
    </row>
    <row r="545" spans="1:46" ht="30" x14ac:dyDescent="0.25">
      <c r="A545" s="2">
        <v>11311</v>
      </c>
      <c r="B545" s="10">
        <v>259033</v>
      </c>
      <c r="C545" s="10">
        <v>3</v>
      </c>
      <c r="D545" s="9">
        <v>176</v>
      </c>
      <c r="E545" s="11" t="s">
        <v>427</v>
      </c>
      <c r="F545" s="12" t="s">
        <v>428</v>
      </c>
      <c r="G545" s="9" t="s">
        <v>429</v>
      </c>
      <c r="H545" s="34"/>
      <c r="I545" s="55" t="str">
        <f t="shared" si="17"/>
        <v>https://permalinkbnd.bnportugal.gov.pt/viewer/14639/?offset=#page=176&amp;viewer=picture&amp;o=info&amp;n=0&amp;q=</v>
      </c>
      <c r="J545" s="45"/>
      <c r="K545" s="45"/>
      <c r="L545" s="45"/>
      <c r="M545" t="s">
        <v>427</v>
      </c>
      <c r="N545">
        <v>14639</v>
      </c>
      <c r="O545" t="str">
        <f t="shared" si="16"/>
        <v>https://permalinkbnd.bnportugal.gov.pt/viewer/14639/?offset=#page=176&amp;viewer=picture&amp;o=info&amp;n=0&amp;q=</v>
      </c>
      <c r="P545">
        <v>259033</v>
      </c>
      <c r="Q545" t="s">
        <v>427</v>
      </c>
      <c r="R545" t="s">
        <v>2936</v>
      </c>
      <c r="S545" t="s">
        <v>1178</v>
      </c>
      <c r="T545" t="s">
        <v>1362</v>
      </c>
      <c r="U545" t="s">
        <v>1192</v>
      </c>
      <c r="V545" t="s">
        <v>2937</v>
      </c>
      <c r="W545" t="s">
        <v>2938</v>
      </c>
      <c r="X545" t="s">
        <v>599</v>
      </c>
      <c r="Y545" t="s">
        <v>1182</v>
      </c>
      <c r="Z545" t="s">
        <v>2939</v>
      </c>
      <c r="AA545">
        <v>1735</v>
      </c>
      <c r="AB545">
        <v>1735</v>
      </c>
      <c r="AC545" t="s">
        <v>2940</v>
      </c>
      <c r="AD545" t="s">
        <v>1185</v>
      </c>
      <c r="AE545" t="s">
        <v>599</v>
      </c>
      <c r="AF545" t="s">
        <v>599</v>
      </c>
      <c r="AG545" t="s">
        <v>2941</v>
      </c>
      <c r="AH545" t="s">
        <v>599</v>
      </c>
      <c r="AI545" t="s">
        <v>599</v>
      </c>
      <c r="AJ545" t="s">
        <v>2942</v>
      </c>
      <c r="AK545" t="s">
        <v>599</v>
      </c>
      <c r="AL545" t="s">
        <v>2943</v>
      </c>
      <c r="AM545" t="s">
        <v>1190</v>
      </c>
      <c r="AN545" t="s">
        <v>599</v>
      </c>
      <c r="AO545" t="s">
        <v>599</v>
      </c>
      <c r="AP545" t="s">
        <v>2944</v>
      </c>
      <c r="AQ545" t="s">
        <v>599</v>
      </c>
      <c r="AR545" t="s">
        <v>599</v>
      </c>
      <c r="AS545" t="s">
        <v>599</v>
      </c>
      <c r="AT545" t="s">
        <v>599</v>
      </c>
    </row>
    <row r="546" spans="1:46" ht="30" x14ac:dyDescent="0.25">
      <c r="A546" s="2">
        <v>11318</v>
      </c>
      <c r="B546" s="10">
        <v>259828</v>
      </c>
      <c r="C546" s="10">
        <v>1</v>
      </c>
      <c r="D546" s="9">
        <v>9</v>
      </c>
      <c r="E546" s="11" t="s">
        <v>430</v>
      </c>
      <c r="F546" s="12" t="s">
        <v>431</v>
      </c>
      <c r="G546" s="9" t="s">
        <v>431</v>
      </c>
      <c r="H546" s="34"/>
      <c r="I546" s="55" t="str">
        <f t="shared" si="17"/>
        <v>https://permalinkbnd.bnportugal.gov.pt/viewer/14621/?offset=#page=9&amp;viewer=picture&amp;o=info&amp;n=0&amp;q=</v>
      </c>
      <c r="J546" s="45"/>
      <c r="K546" s="45"/>
      <c r="L546" s="45"/>
      <c r="M546" t="s">
        <v>430</v>
      </c>
      <c r="N546">
        <v>14621</v>
      </c>
      <c r="O546" t="str">
        <f t="shared" si="16"/>
        <v>https://permalinkbnd.bnportugal.gov.pt/viewer/14621/?offset=#page=9&amp;viewer=picture&amp;o=info&amp;n=0&amp;q=</v>
      </c>
      <c r="P546">
        <v>259828</v>
      </c>
      <c r="Q546" t="s">
        <v>430</v>
      </c>
      <c r="R546" t="s">
        <v>2945</v>
      </c>
      <c r="S546" t="s">
        <v>1178</v>
      </c>
      <c r="T546" t="s">
        <v>2543</v>
      </c>
      <c r="U546" t="s">
        <v>1192</v>
      </c>
      <c r="V546" t="s">
        <v>2946</v>
      </c>
      <c r="W546" t="s">
        <v>2947</v>
      </c>
      <c r="X546" t="s">
        <v>599</v>
      </c>
      <c r="Y546" t="s">
        <v>1182</v>
      </c>
      <c r="Z546" t="s">
        <v>2948</v>
      </c>
      <c r="AA546">
        <v>1777</v>
      </c>
      <c r="AB546">
        <v>1777</v>
      </c>
      <c r="AC546" t="s">
        <v>2949</v>
      </c>
      <c r="AD546" t="s">
        <v>1185</v>
      </c>
      <c r="AE546" t="s">
        <v>599</v>
      </c>
      <c r="AF546" t="s">
        <v>599</v>
      </c>
      <c r="AG546" t="s">
        <v>2950</v>
      </c>
      <c r="AH546" t="s">
        <v>599</v>
      </c>
      <c r="AI546" t="s">
        <v>599</v>
      </c>
      <c r="AJ546" t="s">
        <v>2951</v>
      </c>
      <c r="AK546" t="s">
        <v>599</v>
      </c>
      <c r="AL546" t="s">
        <v>2952</v>
      </c>
      <c r="AM546" t="s">
        <v>1190</v>
      </c>
      <c r="AN546" t="s">
        <v>599</v>
      </c>
      <c r="AO546" t="s">
        <v>599</v>
      </c>
      <c r="AP546" t="s">
        <v>599</v>
      </c>
      <c r="AQ546" t="s">
        <v>599</v>
      </c>
      <c r="AR546" t="s">
        <v>599</v>
      </c>
      <c r="AS546" t="s">
        <v>599</v>
      </c>
      <c r="AT546" t="s">
        <v>599</v>
      </c>
    </row>
    <row r="547" spans="1:46" ht="30" x14ac:dyDescent="0.25">
      <c r="A547" s="2">
        <v>11319</v>
      </c>
      <c r="B547" s="10">
        <v>259828</v>
      </c>
      <c r="C547" s="10">
        <v>1</v>
      </c>
      <c r="D547" s="9">
        <v>37</v>
      </c>
      <c r="E547" s="11" t="s">
        <v>430</v>
      </c>
      <c r="F547" s="12" t="s">
        <v>431</v>
      </c>
      <c r="G547" s="9" t="s">
        <v>431</v>
      </c>
      <c r="H547" s="34"/>
      <c r="I547" s="55" t="str">
        <f t="shared" si="17"/>
        <v>https://permalinkbnd.bnportugal.gov.pt/viewer/14621/?offset=#page=37&amp;viewer=picture&amp;o=info&amp;n=0&amp;q=</v>
      </c>
      <c r="J547" s="45"/>
      <c r="K547" s="45"/>
      <c r="L547" s="45"/>
      <c r="M547" t="s">
        <v>430</v>
      </c>
      <c r="N547">
        <v>14621</v>
      </c>
      <c r="O547" t="str">
        <f t="shared" si="16"/>
        <v>https://permalinkbnd.bnportugal.gov.pt/viewer/14621/?offset=#page=37&amp;viewer=picture&amp;o=info&amp;n=0&amp;q=</v>
      </c>
      <c r="P547">
        <v>259828</v>
      </c>
      <c r="Q547" t="s">
        <v>430</v>
      </c>
      <c r="R547" t="s">
        <v>2945</v>
      </c>
      <c r="S547" t="s">
        <v>1178</v>
      </c>
      <c r="T547" t="s">
        <v>2543</v>
      </c>
      <c r="U547" t="s">
        <v>1192</v>
      </c>
      <c r="V547" t="s">
        <v>2946</v>
      </c>
      <c r="W547" t="s">
        <v>2947</v>
      </c>
      <c r="X547" t="s">
        <v>599</v>
      </c>
      <c r="Y547" t="s">
        <v>1182</v>
      </c>
      <c r="Z547" t="s">
        <v>2948</v>
      </c>
      <c r="AA547">
        <v>1777</v>
      </c>
      <c r="AB547">
        <v>1777</v>
      </c>
      <c r="AC547" t="s">
        <v>2949</v>
      </c>
      <c r="AD547" t="s">
        <v>1185</v>
      </c>
      <c r="AE547" t="s">
        <v>599</v>
      </c>
      <c r="AF547" t="s">
        <v>599</v>
      </c>
      <c r="AG547" t="s">
        <v>2950</v>
      </c>
      <c r="AH547" t="s">
        <v>599</v>
      </c>
      <c r="AI547" t="s">
        <v>599</v>
      </c>
      <c r="AJ547" t="s">
        <v>2951</v>
      </c>
      <c r="AK547" t="s">
        <v>599</v>
      </c>
      <c r="AL547" t="s">
        <v>2952</v>
      </c>
      <c r="AM547" t="s">
        <v>1190</v>
      </c>
      <c r="AN547" t="s">
        <v>599</v>
      </c>
      <c r="AO547" t="s">
        <v>599</v>
      </c>
      <c r="AP547" t="s">
        <v>599</v>
      </c>
      <c r="AQ547" t="s">
        <v>599</v>
      </c>
      <c r="AR547" t="s">
        <v>599</v>
      </c>
      <c r="AS547" t="s">
        <v>599</v>
      </c>
      <c r="AT547" t="s">
        <v>599</v>
      </c>
    </row>
    <row r="548" spans="1:46" ht="30" x14ac:dyDescent="0.25">
      <c r="A548" s="2">
        <v>11320</v>
      </c>
      <c r="B548" s="10">
        <v>259828</v>
      </c>
      <c r="C548" s="10">
        <v>1</v>
      </c>
      <c r="D548" s="9">
        <v>75</v>
      </c>
      <c r="E548" s="11" t="s">
        <v>430</v>
      </c>
      <c r="F548" s="12" t="s">
        <v>431</v>
      </c>
      <c r="G548" s="9" t="s">
        <v>431</v>
      </c>
      <c r="H548" s="34"/>
      <c r="I548" s="55" t="str">
        <f t="shared" si="17"/>
        <v>https://permalinkbnd.bnportugal.gov.pt/viewer/14621/?offset=#page=75&amp;viewer=picture&amp;o=info&amp;n=0&amp;q=</v>
      </c>
      <c r="J548" s="45"/>
      <c r="K548" s="45"/>
      <c r="L548" s="45"/>
      <c r="M548" t="s">
        <v>430</v>
      </c>
      <c r="N548">
        <v>14621</v>
      </c>
      <c r="O548" t="str">
        <f t="shared" si="16"/>
        <v>https://permalinkbnd.bnportugal.gov.pt/viewer/14621/?offset=#page=75&amp;viewer=picture&amp;o=info&amp;n=0&amp;q=</v>
      </c>
      <c r="P548">
        <v>259828</v>
      </c>
      <c r="Q548" t="s">
        <v>430</v>
      </c>
      <c r="R548" t="s">
        <v>2945</v>
      </c>
      <c r="S548" t="s">
        <v>1178</v>
      </c>
      <c r="T548" t="s">
        <v>2543</v>
      </c>
      <c r="U548" t="s">
        <v>1192</v>
      </c>
      <c r="V548" t="s">
        <v>2946</v>
      </c>
      <c r="W548" t="s">
        <v>2947</v>
      </c>
      <c r="X548" t="s">
        <v>599</v>
      </c>
      <c r="Y548" t="s">
        <v>1182</v>
      </c>
      <c r="Z548" t="s">
        <v>2948</v>
      </c>
      <c r="AA548">
        <v>1777</v>
      </c>
      <c r="AB548">
        <v>1777</v>
      </c>
      <c r="AC548" t="s">
        <v>2949</v>
      </c>
      <c r="AD548" t="s">
        <v>1185</v>
      </c>
      <c r="AE548" t="s">
        <v>599</v>
      </c>
      <c r="AF548" t="s">
        <v>599</v>
      </c>
      <c r="AG548" t="s">
        <v>2950</v>
      </c>
      <c r="AH548" t="s">
        <v>599</v>
      </c>
      <c r="AI548" t="s">
        <v>599</v>
      </c>
      <c r="AJ548" t="s">
        <v>2951</v>
      </c>
      <c r="AK548" t="s">
        <v>599</v>
      </c>
      <c r="AL548" t="s">
        <v>2952</v>
      </c>
      <c r="AM548" t="s">
        <v>1190</v>
      </c>
      <c r="AN548" t="s">
        <v>599</v>
      </c>
      <c r="AO548" t="s">
        <v>599</v>
      </c>
      <c r="AP548" t="s">
        <v>599</v>
      </c>
      <c r="AQ548" t="s">
        <v>599</v>
      </c>
      <c r="AR548" t="s">
        <v>599</v>
      </c>
      <c r="AS548" t="s">
        <v>599</v>
      </c>
      <c r="AT548" t="s">
        <v>599</v>
      </c>
    </row>
    <row r="549" spans="1:46" ht="30" x14ac:dyDescent="0.25">
      <c r="A549" s="2">
        <v>11321</v>
      </c>
      <c r="B549" s="10">
        <v>259828</v>
      </c>
      <c r="C549" s="10">
        <v>1</v>
      </c>
      <c r="D549" s="9">
        <v>115</v>
      </c>
      <c r="E549" s="11" t="s">
        <v>430</v>
      </c>
      <c r="F549" s="12" t="s">
        <v>431</v>
      </c>
      <c r="G549" s="9" t="s">
        <v>431</v>
      </c>
      <c r="H549" s="34"/>
      <c r="I549" s="55" t="str">
        <f t="shared" si="17"/>
        <v>https://permalinkbnd.bnportugal.gov.pt/viewer/14621/?offset=#page=115&amp;viewer=picture&amp;o=info&amp;n=0&amp;q=</v>
      </c>
      <c r="J549" s="45"/>
      <c r="K549" s="45"/>
      <c r="L549" s="45"/>
      <c r="M549" t="s">
        <v>430</v>
      </c>
      <c r="N549">
        <v>14621</v>
      </c>
      <c r="O549" t="str">
        <f t="shared" si="16"/>
        <v>https://permalinkbnd.bnportugal.gov.pt/viewer/14621/?offset=#page=115&amp;viewer=picture&amp;o=info&amp;n=0&amp;q=</v>
      </c>
      <c r="P549">
        <v>259828</v>
      </c>
      <c r="Q549" t="s">
        <v>430</v>
      </c>
      <c r="R549" t="s">
        <v>2945</v>
      </c>
      <c r="S549" t="s">
        <v>1178</v>
      </c>
      <c r="T549" t="s">
        <v>2543</v>
      </c>
      <c r="U549" t="s">
        <v>1192</v>
      </c>
      <c r="V549" t="s">
        <v>2946</v>
      </c>
      <c r="W549" t="s">
        <v>2947</v>
      </c>
      <c r="X549" t="s">
        <v>599</v>
      </c>
      <c r="Y549" t="s">
        <v>1182</v>
      </c>
      <c r="Z549" t="s">
        <v>2948</v>
      </c>
      <c r="AA549">
        <v>1777</v>
      </c>
      <c r="AB549">
        <v>1777</v>
      </c>
      <c r="AC549" t="s">
        <v>2949</v>
      </c>
      <c r="AD549" t="s">
        <v>1185</v>
      </c>
      <c r="AE549" t="s">
        <v>599</v>
      </c>
      <c r="AF549" t="s">
        <v>599</v>
      </c>
      <c r="AG549" t="s">
        <v>2950</v>
      </c>
      <c r="AH549" t="s">
        <v>599</v>
      </c>
      <c r="AI549" t="s">
        <v>599</v>
      </c>
      <c r="AJ549" t="s">
        <v>2951</v>
      </c>
      <c r="AK549" t="s">
        <v>599</v>
      </c>
      <c r="AL549" t="s">
        <v>2952</v>
      </c>
      <c r="AM549" t="s">
        <v>1190</v>
      </c>
      <c r="AN549" t="s">
        <v>599</v>
      </c>
      <c r="AO549" t="s">
        <v>599</v>
      </c>
      <c r="AP549" t="s">
        <v>599</v>
      </c>
      <c r="AQ549" t="s">
        <v>599</v>
      </c>
      <c r="AR549" t="s">
        <v>599</v>
      </c>
      <c r="AS549" t="s">
        <v>599</v>
      </c>
      <c r="AT549" t="s">
        <v>599</v>
      </c>
    </row>
    <row r="550" spans="1:46" ht="30" x14ac:dyDescent="0.25">
      <c r="A550" s="2">
        <v>11322</v>
      </c>
      <c r="B550" s="10">
        <v>259828</v>
      </c>
      <c r="C550" s="10">
        <v>1</v>
      </c>
      <c r="D550" s="9">
        <v>171</v>
      </c>
      <c r="E550" s="11" t="s">
        <v>430</v>
      </c>
      <c r="F550" s="12" t="s">
        <v>431</v>
      </c>
      <c r="G550" s="9" t="s">
        <v>431</v>
      </c>
      <c r="H550" s="34"/>
      <c r="I550" s="55" t="str">
        <f t="shared" si="17"/>
        <v>https://permalinkbnd.bnportugal.gov.pt/viewer/14621/?offset=#page=171&amp;viewer=picture&amp;o=info&amp;n=0&amp;q=</v>
      </c>
      <c r="J550" s="45"/>
      <c r="K550" s="45"/>
      <c r="L550" s="45"/>
      <c r="M550" t="s">
        <v>430</v>
      </c>
      <c r="N550">
        <v>14621</v>
      </c>
      <c r="O550" t="str">
        <f t="shared" si="16"/>
        <v>https://permalinkbnd.bnportugal.gov.pt/viewer/14621/?offset=#page=171&amp;viewer=picture&amp;o=info&amp;n=0&amp;q=</v>
      </c>
      <c r="P550">
        <v>259828</v>
      </c>
      <c r="Q550" t="s">
        <v>430</v>
      </c>
      <c r="R550" t="s">
        <v>2945</v>
      </c>
      <c r="S550" t="s">
        <v>1178</v>
      </c>
      <c r="T550" t="s">
        <v>2543</v>
      </c>
      <c r="U550" t="s">
        <v>1192</v>
      </c>
      <c r="V550" t="s">
        <v>2946</v>
      </c>
      <c r="W550" t="s">
        <v>2947</v>
      </c>
      <c r="X550" t="s">
        <v>599</v>
      </c>
      <c r="Y550" t="s">
        <v>1182</v>
      </c>
      <c r="Z550" t="s">
        <v>2948</v>
      </c>
      <c r="AA550">
        <v>1777</v>
      </c>
      <c r="AB550">
        <v>1777</v>
      </c>
      <c r="AC550" t="s">
        <v>2949</v>
      </c>
      <c r="AD550" t="s">
        <v>1185</v>
      </c>
      <c r="AE550" t="s">
        <v>599</v>
      </c>
      <c r="AF550" t="s">
        <v>599</v>
      </c>
      <c r="AG550" t="s">
        <v>2950</v>
      </c>
      <c r="AH550" t="s">
        <v>599</v>
      </c>
      <c r="AI550" t="s">
        <v>599</v>
      </c>
      <c r="AJ550" t="s">
        <v>2951</v>
      </c>
      <c r="AK550" t="s">
        <v>599</v>
      </c>
      <c r="AL550" t="s">
        <v>2952</v>
      </c>
      <c r="AM550" t="s">
        <v>1190</v>
      </c>
      <c r="AN550" t="s">
        <v>599</v>
      </c>
      <c r="AO550" t="s">
        <v>599</v>
      </c>
      <c r="AP550" t="s">
        <v>599</v>
      </c>
      <c r="AQ550" t="s">
        <v>599</v>
      </c>
      <c r="AR550" t="s">
        <v>599</v>
      </c>
      <c r="AS550" t="s">
        <v>599</v>
      </c>
      <c r="AT550" t="s">
        <v>599</v>
      </c>
    </row>
    <row r="551" spans="1:46" ht="30" x14ac:dyDescent="0.25">
      <c r="A551" s="2">
        <v>11323</v>
      </c>
      <c r="B551" s="10">
        <v>259828</v>
      </c>
      <c r="C551" s="10">
        <v>1</v>
      </c>
      <c r="D551" s="9">
        <v>211</v>
      </c>
      <c r="E551" s="11" t="s">
        <v>430</v>
      </c>
      <c r="F551" s="12" t="s">
        <v>431</v>
      </c>
      <c r="G551" s="9" t="s">
        <v>431</v>
      </c>
      <c r="H551" s="34"/>
      <c r="I551" s="55" t="str">
        <f t="shared" si="17"/>
        <v>https://permalinkbnd.bnportugal.gov.pt/viewer/14621/?offset=#page=211&amp;viewer=picture&amp;o=info&amp;n=0&amp;q=</v>
      </c>
      <c r="J551" s="45"/>
      <c r="K551" s="45"/>
      <c r="L551" s="45"/>
      <c r="M551" t="s">
        <v>430</v>
      </c>
      <c r="N551">
        <v>14621</v>
      </c>
      <c r="O551" t="str">
        <f t="shared" si="16"/>
        <v>https://permalinkbnd.bnportugal.gov.pt/viewer/14621/?offset=#page=211&amp;viewer=picture&amp;o=info&amp;n=0&amp;q=</v>
      </c>
      <c r="P551">
        <v>259828</v>
      </c>
      <c r="Q551" t="s">
        <v>430</v>
      </c>
      <c r="R551" t="s">
        <v>2945</v>
      </c>
      <c r="S551" t="s">
        <v>1178</v>
      </c>
      <c r="T551" t="s">
        <v>2543</v>
      </c>
      <c r="U551" t="s">
        <v>1192</v>
      </c>
      <c r="V551" t="s">
        <v>2946</v>
      </c>
      <c r="W551" t="s">
        <v>2947</v>
      </c>
      <c r="X551" t="s">
        <v>599</v>
      </c>
      <c r="Y551" t="s">
        <v>1182</v>
      </c>
      <c r="Z551" t="s">
        <v>2948</v>
      </c>
      <c r="AA551">
        <v>1777</v>
      </c>
      <c r="AB551">
        <v>1777</v>
      </c>
      <c r="AC551" t="s">
        <v>2949</v>
      </c>
      <c r="AD551" t="s">
        <v>1185</v>
      </c>
      <c r="AE551" t="s">
        <v>599</v>
      </c>
      <c r="AF551" t="s">
        <v>599</v>
      </c>
      <c r="AG551" t="s">
        <v>2950</v>
      </c>
      <c r="AH551" t="s">
        <v>599</v>
      </c>
      <c r="AI551" t="s">
        <v>599</v>
      </c>
      <c r="AJ551" t="s">
        <v>2951</v>
      </c>
      <c r="AK551" t="s">
        <v>599</v>
      </c>
      <c r="AL551" t="s">
        <v>2952</v>
      </c>
      <c r="AM551" t="s">
        <v>1190</v>
      </c>
      <c r="AN551" t="s">
        <v>599</v>
      </c>
      <c r="AO551" t="s">
        <v>599</v>
      </c>
      <c r="AP551" t="s">
        <v>599</v>
      </c>
      <c r="AQ551" t="s">
        <v>599</v>
      </c>
      <c r="AR551" t="s">
        <v>599</v>
      </c>
      <c r="AS551" t="s">
        <v>599</v>
      </c>
      <c r="AT551" t="s">
        <v>599</v>
      </c>
    </row>
    <row r="552" spans="1:46" ht="30" x14ac:dyDescent="0.25">
      <c r="A552" s="2">
        <v>11324</v>
      </c>
      <c r="B552" s="10">
        <v>259828</v>
      </c>
      <c r="C552" s="10">
        <v>1</v>
      </c>
      <c r="D552" s="9">
        <v>259</v>
      </c>
      <c r="E552" s="11" t="s">
        <v>430</v>
      </c>
      <c r="F552" s="12" t="s">
        <v>431</v>
      </c>
      <c r="G552" s="9" t="s">
        <v>431</v>
      </c>
      <c r="H552" s="34"/>
      <c r="I552" s="55" t="str">
        <f t="shared" si="17"/>
        <v>https://permalinkbnd.bnportugal.gov.pt/viewer/14621/?offset=#page=259&amp;viewer=picture&amp;o=info&amp;n=0&amp;q=</v>
      </c>
      <c r="J552" s="45"/>
      <c r="K552" s="45"/>
      <c r="L552" s="45"/>
      <c r="M552" t="s">
        <v>430</v>
      </c>
      <c r="N552">
        <v>14621</v>
      </c>
      <c r="O552" t="str">
        <f t="shared" si="16"/>
        <v>https://permalinkbnd.bnportugal.gov.pt/viewer/14621/?offset=#page=259&amp;viewer=picture&amp;o=info&amp;n=0&amp;q=</v>
      </c>
      <c r="P552">
        <v>259828</v>
      </c>
      <c r="Q552" t="s">
        <v>430</v>
      </c>
      <c r="R552" t="s">
        <v>2945</v>
      </c>
      <c r="S552" t="s">
        <v>1178</v>
      </c>
      <c r="T552" t="s">
        <v>2543</v>
      </c>
      <c r="U552" t="s">
        <v>1192</v>
      </c>
      <c r="V552" t="s">
        <v>2946</v>
      </c>
      <c r="W552" t="s">
        <v>2947</v>
      </c>
      <c r="X552" t="s">
        <v>599</v>
      </c>
      <c r="Y552" t="s">
        <v>1182</v>
      </c>
      <c r="Z552" t="s">
        <v>2948</v>
      </c>
      <c r="AA552">
        <v>1777</v>
      </c>
      <c r="AB552">
        <v>1777</v>
      </c>
      <c r="AC552" t="s">
        <v>2949</v>
      </c>
      <c r="AD552" t="s">
        <v>1185</v>
      </c>
      <c r="AE552" t="s">
        <v>599</v>
      </c>
      <c r="AF552" t="s">
        <v>599</v>
      </c>
      <c r="AG552" t="s">
        <v>2950</v>
      </c>
      <c r="AH552" t="s">
        <v>599</v>
      </c>
      <c r="AI552" t="s">
        <v>599</v>
      </c>
      <c r="AJ552" t="s">
        <v>2951</v>
      </c>
      <c r="AK552" t="s">
        <v>599</v>
      </c>
      <c r="AL552" t="s">
        <v>2952</v>
      </c>
      <c r="AM552" t="s">
        <v>1190</v>
      </c>
      <c r="AN552" t="s">
        <v>599</v>
      </c>
      <c r="AO552" t="s">
        <v>599</v>
      </c>
      <c r="AP552" t="s">
        <v>599</v>
      </c>
      <c r="AQ552" t="s">
        <v>599</v>
      </c>
      <c r="AR552" t="s">
        <v>599</v>
      </c>
      <c r="AS552" t="s">
        <v>599</v>
      </c>
      <c r="AT552" t="s">
        <v>599</v>
      </c>
    </row>
    <row r="553" spans="1:46" ht="30" x14ac:dyDescent="0.25">
      <c r="A553" s="2">
        <v>11325</v>
      </c>
      <c r="B553" s="10">
        <v>259828</v>
      </c>
      <c r="C553" s="10">
        <v>1</v>
      </c>
      <c r="D553" s="9">
        <v>293</v>
      </c>
      <c r="E553" s="11" t="s">
        <v>430</v>
      </c>
      <c r="F553" s="12" t="s">
        <v>431</v>
      </c>
      <c r="G553" s="9" t="s">
        <v>431</v>
      </c>
      <c r="H553" s="34"/>
      <c r="I553" s="55" t="str">
        <f t="shared" si="17"/>
        <v>https://permalinkbnd.bnportugal.gov.pt/viewer/14621/?offset=#page=293&amp;viewer=picture&amp;o=info&amp;n=0&amp;q=</v>
      </c>
      <c r="J553" s="45"/>
      <c r="K553" s="45"/>
      <c r="L553" s="45"/>
      <c r="M553" t="s">
        <v>430</v>
      </c>
      <c r="N553">
        <v>14621</v>
      </c>
      <c r="O553" t="str">
        <f t="shared" si="16"/>
        <v>https://permalinkbnd.bnportugal.gov.pt/viewer/14621/?offset=#page=293&amp;viewer=picture&amp;o=info&amp;n=0&amp;q=</v>
      </c>
      <c r="P553">
        <v>259828</v>
      </c>
      <c r="Q553" t="s">
        <v>430</v>
      </c>
      <c r="R553" t="s">
        <v>2945</v>
      </c>
      <c r="S553" t="s">
        <v>1178</v>
      </c>
      <c r="T553" t="s">
        <v>2543</v>
      </c>
      <c r="U553" t="s">
        <v>1192</v>
      </c>
      <c r="V553" t="s">
        <v>2946</v>
      </c>
      <c r="W553" t="s">
        <v>2947</v>
      </c>
      <c r="X553" t="s">
        <v>599</v>
      </c>
      <c r="Y553" t="s">
        <v>1182</v>
      </c>
      <c r="Z553" t="s">
        <v>2948</v>
      </c>
      <c r="AA553">
        <v>1777</v>
      </c>
      <c r="AB553">
        <v>1777</v>
      </c>
      <c r="AC553" t="s">
        <v>2949</v>
      </c>
      <c r="AD553" t="s">
        <v>1185</v>
      </c>
      <c r="AE553" t="s">
        <v>599</v>
      </c>
      <c r="AF553" t="s">
        <v>599</v>
      </c>
      <c r="AG553" t="s">
        <v>2950</v>
      </c>
      <c r="AH553" t="s">
        <v>599</v>
      </c>
      <c r="AI553" t="s">
        <v>599</v>
      </c>
      <c r="AJ553" t="s">
        <v>2951</v>
      </c>
      <c r="AK553" t="s">
        <v>599</v>
      </c>
      <c r="AL553" t="s">
        <v>2952</v>
      </c>
      <c r="AM553" t="s">
        <v>1190</v>
      </c>
      <c r="AN553" t="s">
        <v>599</v>
      </c>
      <c r="AO553" t="s">
        <v>599</v>
      </c>
      <c r="AP553" t="s">
        <v>599</v>
      </c>
      <c r="AQ553" t="s">
        <v>599</v>
      </c>
      <c r="AR553" t="s">
        <v>599</v>
      </c>
      <c r="AS553" t="s">
        <v>599</v>
      </c>
      <c r="AT553" t="s">
        <v>599</v>
      </c>
    </row>
    <row r="554" spans="1:46" ht="30" x14ac:dyDescent="0.25">
      <c r="A554" s="2">
        <v>11326</v>
      </c>
      <c r="B554" s="10">
        <v>259828</v>
      </c>
      <c r="C554" s="10">
        <v>1</v>
      </c>
      <c r="D554" s="9">
        <v>325</v>
      </c>
      <c r="E554" s="11" t="s">
        <v>430</v>
      </c>
      <c r="F554" s="12" t="s">
        <v>431</v>
      </c>
      <c r="G554" s="9" t="s">
        <v>431</v>
      </c>
      <c r="H554" s="34"/>
      <c r="I554" s="55" t="str">
        <f t="shared" si="17"/>
        <v>https://permalinkbnd.bnportugal.gov.pt/viewer/14621/?offset=#page=325&amp;viewer=picture&amp;o=info&amp;n=0&amp;q=</v>
      </c>
      <c r="J554" s="45"/>
      <c r="K554" s="45"/>
      <c r="L554" s="45"/>
      <c r="M554" t="s">
        <v>430</v>
      </c>
      <c r="N554">
        <v>14621</v>
      </c>
      <c r="O554" t="str">
        <f t="shared" si="16"/>
        <v>https://permalinkbnd.bnportugal.gov.pt/viewer/14621/?offset=#page=325&amp;viewer=picture&amp;o=info&amp;n=0&amp;q=</v>
      </c>
      <c r="P554">
        <v>259828</v>
      </c>
      <c r="Q554" t="s">
        <v>430</v>
      </c>
      <c r="R554" t="s">
        <v>2945</v>
      </c>
      <c r="S554" t="s">
        <v>1178</v>
      </c>
      <c r="T554" t="s">
        <v>2543</v>
      </c>
      <c r="U554" t="s">
        <v>1192</v>
      </c>
      <c r="V554" t="s">
        <v>2946</v>
      </c>
      <c r="W554" t="s">
        <v>2947</v>
      </c>
      <c r="X554" t="s">
        <v>599</v>
      </c>
      <c r="Y554" t="s">
        <v>1182</v>
      </c>
      <c r="Z554" t="s">
        <v>2948</v>
      </c>
      <c r="AA554">
        <v>1777</v>
      </c>
      <c r="AB554">
        <v>1777</v>
      </c>
      <c r="AC554" t="s">
        <v>2949</v>
      </c>
      <c r="AD554" t="s">
        <v>1185</v>
      </c>
      <c r="AE554" t="s">
        <v>599</v>
      </c>
      <c r="AF554" t="s">
        <v>599</v>
      </c>
      <c r="AG554" t="s">
        <v>2950</v>
      </c>
      <c r="AH554" t="s">
        <v>599</v>
      </c>
      <c r="AI554" t="s">
        <v>599</v>
      </c>
      <c r="AJ554" t="s">
        <v>2951</v>
      </c>
      <c r="AK554" t="s">
        <v>599</v>
      </c>
      <c r="AL554" t="s">
        <v>2952</v>
      </c>
      <c r="AM554" t="s">
        <v>1190</v>
      </c>
      <c r="AN554" t="s">
        <v>599</v>
      </c>
      <c r="AO554" t="s">
        <v>599</v>
      </c>
      <c r="AP554" t="s">
        <v>599</v>
      </c>
      <c r="AQ554" t="s">
        <v>599</v>
      </c>
      <c r="AR554" t="s">
        <v>599</v>
      </c>
      <c r="AS554" t="s">
        <v>599</v>
      </c>
      <c r="AT554" t="s">
        <v>599</v>
      </c>
    </row>
    <row r="555" spans="1:46" ht="30" x14ac:dyDescent="0.25">
      <c r="A555" s="2">
        <v>11327</v>
      </c>
      <c r="B555" s="10">
        <v>259828</v>
      </c>
      <c r="C555" s="10">
        <v>1</v>
      </c>
      <c r="D555" s="9">
        <v>365</v>
      </c>
      <c r="E555" s="11" t="s">
        <v>430</v>
      </c>
      <c r="F555" s="12" t="s">
        <v>431</v>
      </c>
      <c r="G555" s="9" t="s">
        <v>431</v>
      </c>
      <c r="H555" s="34"/>
      <c r="I555" s="55" t="str">
        <f t="shared" si="17"/>
        <v>https://permalinkbnd.bnportugal.gov.pt/viewer/14621/?offset=#page=365&amp;viewer=picture&amp;o=info&amp;n=0&amp;q=</v>
      </c>
      <c r="J555" s="45"/>
      <c r="K555" s="45"/>
      <c r="L555" s="45"/>
      <c r="M555" t="s">
        <v>430</v>
      </c>
      <c r="N555">
        <v>14621</v>
      </c>
      <c r="O555" t="str">
        <f t="shared" si="16"/>
        <v>https://permalinkbnd.bnportugal.gov.pt/viewer/14621/?offset=#page=365&amp;viewer=picture&amp;o=info&amp;n=0&amp;q=</v>
      </c>
      <c r="P555">
        <v>259828</v>
      </c>
      <c r="Q555" t="s">
        <v>430</v>
      </c>
      <c r="R555" t="s">
        <v>2945</v>
      </c>
      <c r="S555" t="s">
        <v>1178</v>
      </c>
      <c r="T555" t="s">
        <v>2543</v>
      </c>
      <c r="U555" t="s">
        <v>1192</v>
      </c>
      <c r="V555" t="s">
        <v>2946</v>
      </c>
      <c r="W555" t="s">
        <v>2947</v>
      </c>
      <c r="X555" t="s">
        <v>599</v>
      </c>
      <c r="Y555" t="s">
        <v>1182</v>
      </c>
      <c r="Z555" t="s">
        <v>2948</v>
      </c>
      <c r="AA555">
        <v>1777</v>
      </c>
      <c r="AB555">
        <v>1777</v>
      </c>
      <c r="AC555" t="s">
        <v>2949</v>
      </c>
      <c r="AD555" t="s">
        <v>1185</v>
      </c>
      <c r="AE555" t="s">
        <v>599</v>
      </c>
      <c r="AF555" t="s">
        <v>599</v>
      </c>
      <c r="AG555" t="s">
        <v>2950</v>
      </c>
      <c r="AH555" t="s">
        <v>599</v>
      </c>
      <c r="AI555" t="s">
        <v>599</v>
      </c>
      <c r="AJ555" t="s">
        <v>2951</v>
      </c>
      <c r="AK555" t="s">
        <v>599</v>
      </c>
      <c r="AL555" t="s">
        <v>2952</v>
      </c>
      <c r="AM555" t="s">
        <v>1190</v>
      </c>
      <c r="AN555" t="s">
        <v>599</v>
      </c>
      <c r="AO555" t="s">
        <v>599</v>
      </c>
      <c r="AP555" t="s">
        <v>599</v>
      </c>
      <c r="AQ555" t="s">
        <v>599</v>
      </c>
      <c r="AR555" t="s">
        <v>599</v>
      </c>
      <c r="AS555" t="s">
        <v>599</v>
      </c>
      <c r="AT555" t="s">
        <v>599</v>
      </c>
    </row>
    <row r="556" spans="1:46" ht="30" x14ac:dyDescent="0.25">
      <c r="A556" s="2">
        <v>11328</v>
      </c>
      <c r="B556" s="10">
        <v>259828</v>
      </c>
      <c r="C556" s="10">
        <v>1</v>
      </c>
      <c r="D556" s="9">
        <v>401</v>
      </c>
      <c r="E556" s="11" t="s">
        <v>430</v>
      </c>
      <c r="F556" s="12" t="s">
        <v>431</v>
      </c>
      <c r="G556" s="9" t="s">
        <v>431</v>
      </c>
      <c r="H556" s="34"/>
      <c r="I556" s="55" t="str">
        <f t="shared" si="17"/>
        <v>https://permalinkbnd.bnportugal.gov.pt/viewer/14621/?offset=#page=401&amp;viewer=picture&amp;o=info&amp;n=0&amp;q=</v>
      </c>
      <c r="J556" s="45"/>
      <c r="K556" s="45"/>
      <c r="L556" s="45"/>
      <c r="M556" t="s">
        <v>430</v>
      </c>
      <c r="N556">
        <v>14621</v>
      </c>
      <c r="O556" t="str">
        <f t="shared" si="16"/>
        <v>https://permalinkbnd.bnportugal.gov.pt/viewer/14621/?offset=#page=401&amp;viewer=picture&amp;o=info&amp;n=0&amp;q=</v>
      </c>
      <c r="P556">
        <v>259828</v>
      </c>
      <c r="Q556" t="s">
        <v>430</v>
      </c>
      <c r="R556" t="s">
        <v>2945</v>
      </c>
      <c r="S556" t="s">
        <v>1178</v>
      </c>
      <c r="T556" t="s">
        <v>2543</v>
      </c>
      <c r="U556" t="s">
        <v>1192</v>
      </c>
      <c r="V556" t="s">
        <v>2946</v>
      </c>
      <c r="W556" t="s">
        <v>2947</v>
      </c>
      <c r="X556" t="s">
        <v>599</v>
      </c>
      <c r="Y556" t="s">
        <v>1182</v>
      </c>
      <c r="Z556" t="s">
        <v>2948</v>
      </c>
      <c r="AA556">
        <v>1777</v>
      </c>
      <c r="AB556">
        <v>1777</v>
      </c>
      <c r="AC556" t="s">
        <v>2949</v>
      </c>
      <c r="AD556" t="s">
        <v>1185</v>
      </c>
      <c r="AE556" t="s">
        <v>599</v>
      </c>
      <c r="AF556" t="s">
        <v>599</v>
      </c>
      <c r="AG556" t="s">
        <v>2950</v>
      </c>
      <c r="AH556" t="s">
        <v>599</v>
      </c>
      <c r="AI556" t="s">
        <v>599</v>
      </c>
      <c r="AJ556" t="s">
        <v>2951</v>
      </c>
      <c r="AK556" t="s">
        <v>599</v>
      </c>
      <c r="AL556" t="s">
        <v>2952</v>
      </c>
      <c r="AM556" t="s">
        <v>1190</v>
      </c>
      <c r="AN556" t="s">
        <v>599</v>
      </c>
      <c r="AO556" t="s">
        <v>599</v>
      </c>
      <c r="AP556" t="s">
        <v>599</v>
      </c>
      <c r="AQ556" t="s">
        <v>599</v>
      </c>
      <c r="AR556" t="s">
        <v>599</v>
      </c>
      <c r="AS556" t="s">
        <v>599</v>
      </c>
      <c r="AT556" t="s">
        <v>599</v>
      </c>
    </row>
    <row r="557" spans="1:46" ht="30" x14ac:dyDescent="0.25">
      <c r="A557" s="2">
        <v>11364</v>
      </c>
      <c r="B557" s="10">
        <v>303898</v>
      </c>
      <c r="C557" s="10">
        <v>1</v>
      </c>
      <c r="D557" s="9">
        <v>10</v>
      </c>
      <c r="E557" s="11" t="s">
        <v>432</v>
      </c>
      <c r="F557" s="12" t="s">
        <v>178</v>
      </c>
      <c r="G557" s="9">
        <v>10</v>
      </c>
      <c r="H557" s="34"/>
      <c r="I557" s="55" t="str">
        <f t="shared" si="17"/>
        <v>https://permalinkbnd.bnportugal.gov.pt/viewer/14573/?offset=#page=10&amp;viewer=picture&amp;o=info&amp;n=0&amp;q=</v>
      </c>
      <c r="J557" s="45"/>
      <c r="K557" s="45"/>
      <c r="L557" s="45"/>
      <c r="M557" t="s">
        <v>432</v>
      </c>
      <c r="N557">
        <v>14573</v>
      </c>
      <c r="O557" t="str">
        <f t="shared" si="16"/>
        <v>https://permalinkbnd.bnportugal.gov.pt/viewer/14573/?offset=#page=10&amp;viewer=picture&amp;o=info&amp;n=0&amp;q=</v>
      </c>
      <c r="P557">
        <v>303898</v>
      </c>
      <c r="Q557" t="s">
        <v>432</v>
      </c>
      <c r="R557" t="s">
        <v>2953</v>
      </c>
      <c r="S557" t="s">
        <v>1178</v>
      </c>
      <c r="T557" t="s">
        <v>1502</v>
      </c>
      <c r="U557" t="s">
        <v>1192</v>
      </c>
      <c r="V557" t="s">
        <v>1742</v>
      </c>
      <c r="W557" t="s">
        <v>599</v>
      </c>
      <c r="X557" t="s">
        <v>599</v>
      </c>
      <c r="Y557" t="s">
        <v>1182</v>
      </c>
      <c r="Z557" t="s">
        <v>2680</v>
      </c>
      <c r="AA557">
        <v>1803</v>
      </c>
      <c r="AB557">
        <v>1803</v>
      </c>
      <c r="AC557" t="s">
        <v>2954</v>
      </c>
      <c r="AD557" t="s">
        <v>1185</v>
      </c>
      <c r="AE557" t="s">
        <v>599</v>
      </c>
      <c r="AF557" t="s">
        <v>599</v>
      </c>
      <c r="AG557" t="s">
        <v>2955</v>
      </c>
      <c r="AH557" t="s">
        <v>599</v>
      </c>
      <c r="AI557" t="s">
        <v>599</v>
      </c>
      <c r="AJ557" t="s">
        <v>2956</v>
      </c>
      <c r="AK557" t="s">
        <v>1702</v>
      </c>
      <c r="AL557" t="s">
        <v>2957</v>
      </c>
      <c r="AM557" t="s">
        <v>1190</v>
      </c>
      <c r="AN557" t="s">
        <v>599</v>
      </c>
      <c r="AO557" t="s">
        <v>599</v>
      </c>
      <c r="AP557" t="s">
        <v>599</v>
      </c>
      <c r="AQ557" t="s">
        <v>599</v>
      </c>
      <c r="AR557" t="s">
        <v>599</v>
      </c>
      <c r="AS557" t="s">
        <v>599</v>
      </c>
      <c r="AT557" t="s">
        <v>599</v>
      </c>
    </row>
    <row r="558" spans="1:46" ht="30" x14ac:dyDescent="0.25">
      <c r="A558" s="2">
        <v>11368</v>
      </c>
      <c r="B558" s="10">
        <v>323612</v>
      </c>
      <c r="C558" s="10">
        <v>1</v>
      </c>
      <c r="D558" s="9">
        <v>19</v>
      </c>
      <c r="E558" s="11" t="s">
        <v>433</v>
      </c>
      <c r="F558" s="12">
        <v>19</v>
      </c>
      <c r="G558" s="9">
        <v>19</v>
      </c>
      <c r="H558" s="34"/>
      <c r="I558" s="55" t="str">
        <f t="shared" si="17"/>
        <v>https://permalinkbnd.bnportugal.gov.pt/viewer/14605/?offset=#page=19&amp;viewer=picture&amp;o=info&amp;n=0&amp;q=</v>
      </c>
      <c r="J558" s="45"/>
      <c r="K558" s="45"/>
      <c r="L558" s="45"/>
      <c r="M558" t="s">
        <v>433</v>
      </c>
      <c r="N558">
        <v>14605</v>
      </c>
      <c r="O558" t="str">
        <f t="shared" si="16"/>
        <v>https://permalinkbnd.bnportugal.gov.pt/viewer/14605/?offset=#page=19&amp;viewer=picture&amp;o=info&amp;n=0&amp;q=</v>
      </c>
      <c r="P558">
        <v>323612</v>
      </c>
      <c r="Q558" t="s">
        <v>433</v>
      </c>
      <c r="R558" t="s">
        <v>2958</v>
      </c>
      <c r="S558" t="s">
        <v>1178</v>
      </c>
      <c r="T558" t="s">
        <v>1192</v>
      </c>
      <c r="U558" t="s">
        <v>599</v>
      </c>
      <c r="V558" t="s">
        <v>1551</v>
      </c>
      <c r="W558" t="s">
        <v>599</v>
      </c>
      <c r="X558" t="s">
        <v>599</v>
      </c>
      <c r="Y558" t="s">
        <v>1182</v>
      </c>
      <c r="Z558" t="s">
        <v>2959</v>
      </c>
      <c r="AA558">
        <v>1572</v>
      </c>
      <c r="AB558">
        <v>1572</v>
      </c>
      <c r="AC558" t="s">
        <v>1712</v>
      </c>
      <c r="AD558" t="s">
        <v>1185</v>
      </c>
      <c r="AE558" t="s">
        <v>599</v>
      </c>
      <c r="AF558" t="s">
        <v>599</v>
      </c>
      <c r="AG558" t="s">
        <v>2960</v>
      </c>
      <c r="AH558" t="s">
        <v>599</v>
      </c>
      <c r="AI558" t="s">
        <v>599</v>
      </c>
      <c r="AJ558" t="s">
        <v>2961</v>
      </c>
      <c r="AK558" t="s">
        <v>599</v>
      </c>
      <c r="AL558" t="s">
        <v>2962</v>
      </c>
      <c r="AM558" t="s">
        <v>1190</v>
      </c>
      <c r="AN558" t="s">
        <v>599</v>
      </c>
      <c r="AO558" t="s">
        <v>599</v>
      </c>
      <c r="AP558" t="s">
        <v>599</v>
      </c>
      <c r="AQ558" t="s">
        <v>599</v>
      </c>
      <c r="AR558" t="s">
        <v>599</v>
      </c>
      <c r="AS558" t="s">
        <v>599</v>
      </c>
      <c r="AT558" t="s">
        <v>599</v>
      </c>
    </row>
    <row r="559" spans="1:46" ht="30" x14ac:dyDescent="0.25">
      <c r="A559" s="2">
        <v>11369</v>
      </c>
      <c r="B559" s="10">
        <v>323613</v>
      </c>
      <c r="C559" s="10">
        <v>1</v>
      </c>
      <c r="D559" s="9">
        <v>7</v>
      </c>
      <c r="E559" s="11" t="s">
        <v>434</v>
      </c>
      <c r="F559" s="12">
        <v>7</v>
      </c>
      <c r="G559" s="9">
        <v>7</v>
      </c>
      <c r="H559" s="34"/>
      <c r="I559" s="55" t="str">
        <f t="shared" si="17"/>
        <v>https://permalinkbnd.bnportugal.gov.pt/viewer/14632/?offset=#page=7&amp;viewer=picture&amp;o=info&amp;n=0&amp;q=</v>
      </c>
      <c r="J559" s="45"/>
      <c r="K559" s="45"/>
      <c r="L559" s="45"/>
      <c r="M559" t="s">
        <v>434</v>
      </c>
      <c r="N559">
        <v>14632</v>
      </c>
      <c r="O559" t="str">
        <f t="shared" si="16"/>
        <v>https://permalinkbnd.bnportugal.gov.pt/viewer/14632/?offset=#page=7&amp;viewer=picture&amp;o=info&amp;n=0&amp;q=</v>
      </c>
      <c r="P559">
        <v>323613</v>
      </c>
      <c r="Q559" t="s">
        <v>434</v>
      </c>
      <c r="R559" t="s">
        <v>2963</v>
      </c>
      <c r="S559" t="s">
        <v>1178</v>
      </c>
      <c r="T559" t="s">
        <v>1192</v>
      </c>
      <c r="U559" t="s">
        <v>599</v>
      </c>
      <c r="V559" t="s">
        <v>1551</v>
      </c>
      <c r="W559" t="s">
        <v>599</v>
      </c>
      <c r="X559" t="s">
        <v>599</v>
      </c>
      <c r="Y559" t="s">
        <v>1182</v>
      </c>
      <c r="Z559" t="s">
        <v>2964</v>
      </c>
      <c r="AA559">
        <v>1572</v>
      </c>
      <c r="AB559">
        <v>1572</v>
      </c>
      <c r="AC559" t="s">
        <v>1712</v>
      </c>
      <c r="AD559" t="s">
        <v>1185</v>
      </c>
      <c r="AE559" t="s">
        <v>599</v>
      </c>
      <c r="AF559" t="s">
        <v>599</v>
      </c>
      <c r="AG559" t="s">
        <v>2965</v>
      </c>
      <c r="AH559" t="s">
        <v>599</v>
      </c>
      <c r="AI559" t="s">
        <v>599</v>
      </c>
      <c r="AJ559" t="s">
        <v>2966</v>
      </c>
      <c r="AK559" t="s">
        <v>2967</v>
      </c>
      <c r="AL559" t="s">
        <v>2968</v>
      </c>
      <c r="AM559" t="s">
        <v>1190</v>
      </c>
      <c r="AN559" t="s">
        <v>599</v>
      </c>
      <c r="AO559" t="s">
        <v>599</v>
      </c>
      <c r="AP559" t="s">
        <v>599</v>
      </c>
      <c r="AQ559" t="s">
        <v>599</v>
      </c>
      <c r="AR559" t="s">
        <v>599</v>
      </c>
      <c r="AS559" t="s">
        <v>599</v>
      </c>
      <c r="AT559" t="s">
        <v>599</v>
      </c>
    </row>
    <row r="560" spans="1:46" ht="30" x14ac:dyDescent="0.25">
      <c r="A560" s="2">
        <v>11370</v>
      </c>
      <c r="B560" s="10">
        <v>323614</v>
      </c>
      <c r="C560" s="10">
        <v>1</v>
      </c>
      <c r="D560" s="9">
        <v>23</v>
      </c>
      <c r="E560" s="11" t="s">
        <v>435</v>
      </c>
      <c r="F560" s="12" t="s">
        <v>436</v>
      </c>
      <c r="G560" s="9" t="s">
        <v>436</v>
      </c>
      <c r="H560" s="34"/>
      <c r="I560" s="55" t="str">
        <f t="shared" si="17"/>
        <v>https://permalinkbnd.bnportugal.gov.pt/viewer/14680/?offset=#page=23&amp;viewer=picture&amp;o=info&amp;n=0&amp;q=</v>
      </c>
      <c r="J560" s="45"/>
      <c r="K560" s="45"/>
      <c r="L560" s="45"/>
      <c r="M560" t="s">
        <v>435</v>
      </c>
      <c r="N560">
        <v>14680</v>
      </c>
      <c r="O560" t="str">
        <f t="shared" si="16"/>
        <v>https://permalinkbnd.bnportugal.gov.pt/viewer/14680/?offset=#page=23&amp;viewer=picture&amp;o=info&amp;n=0&amp;q=</v>
      </c>
      <c r="P560">
        <v>323614</v>
      </c>
      <c r="Q560" t="s">
        <v>435</v>
      </c>
      <c r="R560" t="s">
        <v>2969</v>
      </c>
      <c r="S560" t="s">
        <v>1178</v>
      </c>
      <c r="T560" t="s">
        <v>1192</v>
      </c>
      <c r="U560" t="s">
        <v>599</v>
      </c>
      <c r="V560" t="s">
        <v>1551</v>
      </c>
      <c r="W560" t="s">
        <v>599</v>
      </c>
      <c r="X560" t="s">
        <v>599</v>
      </c>
      <c r="Y560" t="s">
        <v>2970</v>
      </c>
      <c r="Z560" t="s">
        <v>2971</v>
      </c>
      <c r="AA560">
        <v>1584</v>
      </c>
      <c r="AB560">
        <v>1584</v>
      </c>
      <c r="AC560" t="s">
        <v>2972</v>
      </c>
      <c r="AD560" t="s">
        <v>1185</v>
      </c>
      <c r="AE560" t="s">
        <v>599</v>
      </c>
      <c r="AF560" t="s">
        <v>599</v>
      </c>
      <c r="AG560" t="s">
        <v>2973</v>
      </c>
      <c r="AH560" t="s">
        <v>599</v>
      </c>
      <c r="AI560" t="s">
        <v>2974</v>
      </c>
      <c r="AJ560" t="s">
        <v>2975</v>
      </c>
      <c r="AK560" t="s">
        <v>2976</v>
      </c>
      <c r="AL560" t="s">
        <v>2977</v>
      </c>
      <c r="AM560" t="s">
        <v>1190</v>
      </c>
      <c r="AN560" t="s">
        <v>599</v>
      </c>
      <c r="AO560" t="s">
        <v>599</v>
      </c>
      <c r="AP560" t="s">
        <v>599</v>
      </c>
      <c r="AQ560" t="s">
        <v>599</v>
      </c>
      <c r="AR560" t="s">
        <v>599</v>
      </c>
      <c r="AS560" t="s">
        <v>599</v>
      </c>
      <c r="AT560" t="s">
        <v>599</v>
      </c>
    </row>
    <row r="561" spans="1:46" ht="30" x14ac:dyDescent="0.25">
      <c r="A561" s="2">
        <v>11371</v>
      </c>
      <c r="B561" s="10">
        <v>323614</v>
      </c>
      <c r="C561" s="10">
        <v>1</v>
      </c>
      <c r="D561" s="9">
        <v>45</v>
      </c>
      <c r="E561" s="11" t="s">
        <v>435</v>
      </c>
      <c r="F561" s="12" t="s">
        <v>436</v>
      </c>
      <c r="G561" s="9" t="s">
        <v>436</v>
      </c>
      <c r="H561" s="34"/>
      <c r="I561" s="55" t="str">
        <f t="shared" si="17"/>
        <v>https://permalinkbnd.bnportugal.gov.pt/viewer/14680/?offset=#page=45&amp;viewer=picture&amp;o=info&amp;n=0&amp;q=</v>
      </c>
      <c r="J561" s="45"/>
      <c r="K561" s="45"/>
      <c r="L561" s="45"/>
      <c r="M561" t="s">
        <v>435</v>
      </c>
      <c r="N561">
        <v>14680</v>
      </c>
      <c r="O561" t="str">
        <f t="shared" si="16"/>
        <v>https://permalinkbnd.bnportugal.gov.pt/viewer/14680/?offset=#page=45&amp;viewer=picture&amp;o=info&amp;n=0&amp;q=</v>
      </c>
      <c r="P561">
        <v>323614</v>
      </c>
      <c r="Q561" t="s">
        <v>435</v>
      </c>
      <c r="R561" t="s">
        <v>2969</v>
      </c>
      <c r="S561" t="s">
        <v>1178</v>
      </c>
      <c r="T561" t="s">
        <v>1192</v>
      </c>
      <c r="U561" t="s">
        <v>599</v>
      </c>
      <c r="V561" t="s">
        <v>1551</v>
      </c>
      <c r="W561" t="s">
        <v>599</v>
      </c>
      <c r="X561" t="s">
        <v>599</v>
      </c>
      <c r="Y561" t="s">
        <v>2970</v>
      </c>
      <c r="Z561" t="s">
        <v>2971</v>
      </c>
      <c r="AA561">
        <v>1584</v>
      </c>
      <c r="AB561">
        <v>1584</v>
      </c>
      <c r="AC561" t="s">
        <v>2972</v>
      </c>
      <c r="AD561" t="s">
        <v>1185</v>
      </c>
      <c r="AE561" t="s">
        <v>599</v>
      </c>
      <c r="AF561" t="s">
        <v>599</v>
      </c>
      <c r="AG561" t="s">
        <v>2973</v>
      </c>
      <c r="AH561" t="s">
        <v>599</v>
      </c>
      <c r="AI561" t="s">
        <v>2974</v>
      </c>
      <c r="AJ561" t="s">
        <v>2975</v>
      </c>
      <c r="AK561" t="s">
        <v>2976</v>
      </c>
      <c r="AL561" t="s">
        <v>2977</v>
      </c>
      <c r="AM561" t="s">
        <v>1190</v>
      </c>
      <c r="AN561" t="s">
        <v>599</v>
      </c>
      <c r="AO561" t="s">
        <v>599</v>
      </c>
      <c r="AP561" t="s">
        <v>599</v>
      </c>
      <c r="AQ561" t="s">
        <v>599</v>
      </c>
      <c r="AR561" t="s">
        <v>599</v>
      </c>
      <c r="AS561" t="s">
        <v>599</v>
      </c>
      <c r="AT561" t="s">
        <v>599</v>
      </c>
    </row>
    <row r="562" spans="1:46" ht="30" x14ac:dyDescent="0.25">
      <c r="A562" s="2">
        <v>11372</v>
      </c>
      <c r="B562" s="10">
        <v>323615</v>
      </c>
      <c r="C562" s="10">
        <v>1</v>
      </c>
      <c r="D562" s="9">
        <v>9</v>
      </c>
      <c r="E562" s="11" t="s">
        <v>437</v>
      </c>
      <c r="F562" s="12">
        <v>9</v>
      </c>
      <c r="G562" s="9">
        <v>9</v>
      </c>
      <c r="H562" s="34"/>
      <c r="I562" s="55" t="str">
        <f t="shared" si="17"/>
        <v>https://permalinkbnd.bnportugal.gov.pt/viewer/14556/?offset=#page=9&amp;viewer=picture&amp;o=info&amp;n=0&amp;q=</v>
      </c>
      <c r="J562" s="45"/>
      <c r="K562" s="45"/>
      <c r="L562" s="45"/>
      <c r="M562" t="s">
        <v>437</v>
      </c>
      <c r="N562">
        <v>14556</v>
      </c>
      <c r="O562" t="str">
        <f t="shared" si="16"/>
        <v>https://permalinkbnd.bnportugal.gov.pt/viewer/14556/?offset=#page=9&amp;viewer=picture&amp;o=info&amp;n=0&amp;q=</v>
      </c>
      <c r="P562">
        <v>323615</v>
      </c>
      <c r="Q562" t="s">
        <v>437</v>
      </c>
      <c r="R562" t="s">
        <v>2978</v>
      </c>
      <c r="S562" t="s">
        <v>1178</v>
      </c>
      <c r="T562" t="s">
        <v>1192</v>
      </c>
      <c r="U562" t="s">
        <v>599</v>
      </c>
      <c r="V562" t="s">
        <v>1551</v>
      </c>
      <c r="W562" t="s">
        <v>599</v>
      </c>
      <c r="X562" t="s">
        <v>599</v>
      </c>
      <c r="Y562" t="s">
        <v>2979</v>
      </c>
      <c r="Z562" t="s">
        <v>2980</v>
      </c>
      <c r="AA562">
        <v>1591</v>
      </c>
      <c r="AB562">
        <v>1591</v>
      </c>
      <c r="AC562" t="s">
        <v>2981</v>
      </c>
      <c r="AD562" t="s">
        <v>1185</v>
      </c>
      <c r="AE562" t="s">
        <v>599</v>
      </c>
      <c r="AF562" t="s">
        <v>599</v>
      </c>
      <c r="AG562" t="s">
        <v>2982</v>
      </c>
      <c r="AH562" t="s">
        <v>599</v>
      </c>
      <c r="AI562" t="s">
        <v>599</v>
      </c>
      <c r="AJ562" t="s">
        <v>2983</v>
      </c>
      <c r="AK562" t="s">
        <v>2984</v>
      </c>
      <c r="AL562" t="s">
        <v>2985</v>
      </c>
      <c r="AM562" t="s">
        <v>1190</v>
      </c>
      <c r="AN562" t="s">
        <v>599</v>
      </c>
      <c r="AO562" t="s">
        <v>599</v>
      </c>
      <c r="AP562" t="s">
        <v>599</v>
      </c>
      <c r="AQ562" t="s">
        <v>599</v>
      </c>
      <c r="AR562" t="s">
        <v>599</v>
      </c>
      <c r="AS562" t="s">
        <v>599</v>
      </c>
      <c r="AT562" t="s">
        <v>599</v>
      </c>
    </row>
    <row r="563" spans="1:46" ht="30" x14ac:dyDescent="0.25">
      <c r="A563" s="2">
        <v>11373</v>
      </c>
      <c r="B563" s="10">
        <v>323616</v>
      </c>
      <c r="C563" s="10">
        <v>1</v>
      </c>
      <c r="D563" s="9">
        <v>5</v>
      </c>
      <c r="E563" s="11" t="s">
        <v>438</v>
      </c>
      <c r="F563" s="12">
        <v>5</v>
      </c>
      <c r="G563" s="9">
        <v>5</v>
      </c>
      <c r="H563" s="34"/>
      <c r="I563" s="55" t="str">
        <f t="shared" si="17"/>
        <v>https://permalinkbnd.bnportugal.gov.pt/viewer/14578/?offset=#page=5&amp;viewer=picture&amp;o=info&amp;n=0&amp;q=</v>
      </c>
      <c r="J563" s="45"/>
      <c r="K563" s="45"/>
      <c r="L563" s="45"/>
      <c r="M563" t="s">
        <v>438</v>
      </c>
      <c r="N563">
        <v>14578</v>
      </c>
      <c r="O563" t="str">
        <f t="shared" si="16"/>
        <v>https://permalinkbnd.bnportugal.gov.pt/viewer/14578/?offset=#page=5&amp;viewer=picture&amp;o=info&amp;n=0&amp;q=</v>
      </c>
      <c r="P563">
        <v>323616</v>
      </c>
      <c r="Q563" t="s">
        <v>438</v>
      </c>
      <c r="R563" t="s">
        <v>2986</v>
      </c>
      <c r="S563" t="s">
        <v>1178</v>
      </c>
      <c r="T563" t="s">
        <v>1192</v>
      </c>
      <c r="U563" t="s">
        <v>599</v>
      </c>
      <c r="V563" t="s">
        <v>1551</v>
      </c>
      <c r="W563" t="s">
        <v>599</v>
      </c>
      <c r="X563" t="s">
        <v>599</v>
      </c>
      <c r="Y563" t="s">
        <v>2987</v>
      </c>
      <c r="Z563" t="s">
        <v>2988</v>
      </c>
      <c r="AA563">
        <v>1597</v>
      </c>
      <c r="AB563">
        <v>1597</v>
      </c>
      <c r="AC563" t="s">
        <v>1712</v>
      </c>
      <c r="AD563" t="s">
        <v>1185</v>
      </c>
      <c r="AE563" t="s">
        <v>599</v>
      </c>
      <c r="AF563" t="s">
        <v>599</v>
      </c>
      <c r="AG563" t="s">
        <v>2989</v>
      </c>
      <c r="AH563" t="s">
        <v>599</v>
      </c>
      <c r="AI563" t="s">
        <v>599</v>
      </c>
      <c r="AJ563" t="s">
        <v>2990</v>
      </c>
      <c r="AK563" t="s">
        <v>2984</v>
      </c>
      <c r="AL563" t="s">
        <v>2991</v>
      </c>
      <c r="AM563" t="s">
        <v>1190</v>
      </c>
      <c r="AN563" t="s">
        <v>599</v>
      </c>
      <c r="AO563" t="s">
        <v>599</v>
      </c>
      <c r="AP563" t="s">
        <v>599</v>
      </c>
      <c r="AQ563" t="s">
        <v>599</v>
      </c>
      <c r="AR563" t="s">
        <v>599</v>
      </c>
      <c r="AS563" t="s">
        <v>599</v>
      </c>
      <c r="AT563" t="s">
        <v>599</v>
      </c>
    </row>
    <row r="564" spans="1:46" ht="30" x14ac:dyDescent="0.25">
      <c r="A564" s="2">
        <v>11374</v>
      </c>
      <c r="B564" s="10">
        <v>323617</v>
      </c>
      <c r="C564" s="10">
        <v>1</v>
      </c>
      <c r="D564" s="9">
        <v>9</v>
      </c>
      <c r="E564" s="11" t="s">
        <v>439</v>
      </c>
      <c r="F564" s="12">
        <v>9</v>
      </c>
      <c r="G564" s="9">
        <v>9</v>
      </c>
      <c r="H564" s="34"/>
      <c r="I564" s="55" t="str">
        <f t="shared" si="17"/>
        <v>https://permalinkbnd.bnportugal.gov.pt/viewer/14576/?offset=#page=9&amp;viewer=picture&amp;o=info&amp;n=0&amp;q=</v>
      </c>
      <c r="J564" s="45"/>
      <c r="K564" s="45"/>
      <c r="L564" s="45"/>
      <c r="M564" t="s">
        <v>439</v>
      </c>
      <c r="N564">
        <v>14576</v>
      </c>
      <c r="O564" t="str">
        <f t="shared" si="16"/>
        <v>https://permalinkbnd.bnportugal.gov.pt/viewer/14576/?offset=#page=9&amp;viewer=picture&amp;o=info&amp;n=0&amp;q=</v>
      </c>
      <c r="P564">
        <v>323617</v>
      </c>
      <c r="Q564" t="s">
        <v>439</v>
      </c>
      <c r="R564" t="s">
        <v>2992</v>
      </c>
      <c r="S564" t="s">
        <v>1178</v>
      </c>
      <c r="T564" t="s">
        <v>1192</v>
      </c>
      <c r="U564" t="s">
        <v>599</v>
      </c>
      <c r="V564" t="s">
        <v>2993</v>
      </c>
      <c r="W564" t="s">
        <v>599</v>
      </c>
      <c r="X564" t="s">
        <v>599</v>
      </c>
      <c r="Y564" t="s">
        <v>1182</v>
      </c>
      <c r="Z564" t="s">
        <v>2994</v>
      </c>
      <c r="AA564">
        <v>1595</v>
      </c>
      <c r="AB564">
        <v>1595</v>
      </c>
      <c r="AC564" t="s">
        <v>2995</v>
      </c>
      <c r="AD564" t="s">
        <v>1185</v>
      </c>
      <c r="AE564" t="s">
        <v>599</v>
      </c>
      <c r="AF564" t="s">
        <v>599</v>
      </c>
      <c r="AG564" t="s">
        <v>2996</v>
      </c>
      <c r="AH564" t="s">
        <v>599</v>
      </c>
      <c r="AI564" t="s">
        <v>599</v>
      </c>
      <c r="AJ564" t="s">
        <v>2997</v>
      </c>
      <c r="AK564" t="s">
        <v>2984</v>
      </c>
      <c r="AL564" t="s">
        <v>2998</v>
      </c>
      <c r="AM564" t="s">
        <v>1190</v>
      </c>
      <c r="AN564" t="s">
        <v>599</v>
      </c>
      <c r="AO564" t="s">
        <v>599</v>
      </c>
      <c r="AP564" t="s">
        <v>599</v>
      </c>
      <c r="AQ564" t="s">
        <v>599</v>
      </c>
      <c r="AR564" t="s">
        <v>599</v>
      </c>
      <c r="AS564" t="s">
        <v>599</v>
      </c>
      <c r="AT564" t="s">
        <v>599</v>
      </c>
    </row>
    <row r="565" spans="1:46" ht="30" x14ac:dyDescent="0.25">
      <c r="A565" s="2">
        <v>11380</v>
      </c>
      <c r="B565" s="10">
        <v>329698</v>
      </c>
      <c r="C565" s="10">
        <v>1</v>
      </c>
      <c r="D565" s="9">
        <v>3</v>
      </c>
      <c r="E565" s="11" t="s">
        <v>440</v>
      </c>
      <c r="F565" s="12" t="s">
        <v>441</v>
      </c>
      <c r="G565" s="9" t="s">
        <v>442</v>
      </c>
      <c r="H565" s="34"/>
      <c r="I565" s="55" t="str">
        <f t="shared" si="17"/>
        <v>https://permalinkbnd.bnportugal.gov.pt/viewer/14592/?offset=#page=3&amp;viewer=picture&amp;o=info&amp;n=0&amp;q=</v>
      </c>
      <c r="J565" s="45"/>
      <c r="K565" s="45"/>
      <c r="L565" s="45"/>
      <c r="M565" t="s">
        <v>440</v>
      </c>
      <c r="N565">
        <v>14592</v>
      </c>
      <c r="O565" t="str">
        <f t="shared" si="16"/>
        <v>https://permalinkbnd.bnportugal.gov.pt/viewer/14592/?offset=#page=3&amp;viewer=picture&amp;o=info&amp;n=0&amp;q=</v>
      </c>
      <c r="P565">
        <v>329698</v>
      </c>
      <c r="Q565" t="s">
        <v>440</v>
      </c>
      <c r="R565" t="s">
        <v>2999</v>
      </c>
      <c r="S565" t="s">
        <v>1178</v>
      </c>
      <c r="T565" t="s">
        <v>1192</v>
      </c>
      <c r="U565" t="s">
        <v>599</v>
      </c>
      <c r="V565" t="s">
        <v>3000</v>
      </c>
      <c r="W565" t="s">
        <v>599</v>
      </c>
      <c r="X565" t="s">
        <v>599</v>
      </c>
      <c r="Y565" t="s">
        <v>1182</v>
      </c>
      <c r="Z565" t="s">
        <v>3001</v>
      </c>
      <c r="AA565">
        <v>1641</v>
      </c>
      <c r="AB565">
        <v>1641</v>
      </c>
      <c r="AC565" t="s">
        <v>3002</v>
      </c>
      <c r="AD565" t="s">
        <v>3003</v>
      </c>
      <c r="AE565" t="s">
        <v>599</v>
      </c>
      <c r="AF565" t="s">
        <v>599</v>
      </c>
      <c r="AG565" t="s">
        <v>3004</v>
      </c>
      <c r="AH565" t="s">
        <v>599</v>
      </c>
      <c r="AI565" t="s">
        <v>599</v>
      </c>
      <c r="AJ565" t="s">
        <v>3005</v>
      </c>
      <c r="AK565" t="s">
        <v>2967</v>
      </c>
      <c r="AL565" t="s">
        <v>3006</v>
      </c>
      <c r="AM565" t="s">
        <v>1190</v>
      </c>
      <c r="AN565" t="s">
        <v>599</v>
      </c>
      <c r="AO565" t="s">
        <v>599</v>
      </c>
      <c r="AP565" t="s">
        <v>3007</v>
      </c>
      <c r="AQ565" t="s">
        <v>599</v>
      </c>
      <c r="AR565" t="s">
        <v>599</v>
      </c>
      <c r="AS565" t="s">
        <v>599</v>
      </c>
      <c r="AT565" t="s">
        <v>599</v>
      </c>
    </row>
    <row r="566" spans="1:46" ht="30" x14ac:dyDescent="0.25">
      <c r="A566" s="2">
        <v>11381</v>
      </c>
      <c r="B566" s="10">
        <v>329698</v>
      </c>
      <c r="C566" s="10">
        <v>1</v>
      </c>
      <c r="D566" s="9">
        <v>8</v>
      </c>
      <c r="E566" s="11" t="s">
        <v>440</v>
      </c>
      <c r="F566" s="12" t="s">
        <v>441</v>
      </c>
      <c r="G566" s="9" t="s">
        <v>442</v>
      </c>
      <c r="H566" s="34"/>
      <c r="I566" s="55" t="str">
        <f t="shared" si="17"/>
        <v>https://permalinkbnd.bnportugal.gov.pt/viewer/14592/?offset=#page=8&amp;viewer=picture&amp;o=info&amp;n=0&amp;q=</v>
      </c>
      <c r="J566" s="45"/>
      <c r="K566" s="45"/>
      <c r="L566" s="45"/>
      <c r="M566" t="s">
        <v>440</v>
      </c>
      <c r="N566">
        <v>14592</v>
      </c>
      <c r="O566" t="str">
        <f t="shared" si="16"/>
        <v>https://permalinkbnd.bnportugal.gov.pt/viewer/14592/?offset=#page=8&amp;viewer=picture&amp;o=info&amp;n=0&amp;q=</v>
      </c>
      <c r="P566">
        <v>329698</v>
      </c>
      <c r="Q566" t="s">
        <v>440</v>
      </c>
      <c r="R566" t="s">
        <v>2999</v>
      </c>
      <c r="S566" t="s">
        <v>1178</v>
      </c>
      <c r="T566" t="s">
        <v>1192</v>
      </c>
      <c r="U566" t="s">
        <v>599</v>
      </c>
      <c r="V566" t="s">
        <v>3000</v>
      </c>
      <c r="W566" t="s">
        <v>599</v>
      </c>
      <c r="X566" t="s">
        <v>599</v>
      </c>
      <c r="Y566" t="s">
        <v>1182</v>
      </c>
      <c r="Z566" t="s">
        <v>3001</v>
      </c>
      <c r="AA566">
        <v>1641</v>
      </c>
      <c r="AB566">
        <v>1641</v>
      </c>
      <c r="AC566" t="s">
        <v>3002</v>
      </c>
      <c r="AD566" t="s">
        <v>3003</v>
      </c>
      <c r="AE566" t="s">
        <v>599</v>
      </c>
      <c r="AF566" t="s">
        <v>599</v>
      </c>
      <c r="AG566" t="s">
        <v>3004</v>
      </c>
      <c r="AH566" t="s">
        <v>599</v>
      </c>
      <c r="AI566" t="s">
        <v>599</v>
      </c>
      <c r="AJ566" t="s">
        <v>3005</v>
      </c>
      <c r="AK566" t="s">
        <v>2967</v>
      </c>
      <c r="AL566" t="s">
        <v>3006</v>
      </c>
      <c r="AM566" t="s">
        <v>1190</v>
      </c>
      <c r="AN566" t="s">
        <v>599</v>
      </c>
      <c r="AO566" t="s">
        <v>599</v>
      </c>
      <c r="AP566" t="s">
        <v>3007</v>
      </c>
      <c r="AQ566" t="s">
        <v>599</v>
      </c>
      <c r="AR566" t="s">
        <v>599</v>
      </c>
      <c r="AS566" t="s">
        <v>599</v>
      </c>
      <c r="AT566" t="s">
        <v>599</v>
      </c>
    </row>
    <row r="567" spans="1:46" ht="30" x14ac:dyDescent="0.25">
      <c r="A567" s="2">
        <v>11382</v>
      </c>
      <c r="B567" s="10">
        <v>329698</v>
      </c>
      <c r="C567" s="10">
        <v>1</v>
      </c>
      <c r="D567" s="9">
        <v>12</v>
      </c>
      <c r="E567" s="11" t="s">
        <v>440</v>
      </c>
      <c r="F567" s="12" t="s">
        <v>441</v>
      </c>
      <c r="G567" s="9" t="s">
        <v>442</v>
      </c>
      <c r="H567" s="34"/>
      <c r="I567" s="55" t="str">
        <f t="shared" si="17"/>
        <v>https://permalinkbnd.bnportugal.gov.pt/viewer/14592/?offset=#page=12&amp;viewer=picture&amp;o=info&amp;n=0&amp;q=</v>
      </c>
      <c r="J567" s="45"/>
      <c r="K567" s="45"/>
      <c r="L567" s="45"/>
      <c r="M567" t="s">
        <v>440</v>
      </c>
      <c r="N567">
        <v>14592</v>
      </c>
      <c r="O567" t="str">
        <f t="shared" si="16"/>
        <v>https://permalinkbnd.bnportugal.gov.pt/viewer/14592/?offset=#page=12&amp;viewer=picture&amp;o=info&amp;n=0&amp;q=</v>
      </c>
      <c r="P567">
        <v>329698</v>
      </c>
      <c r="Q567" t="s">
        <v>440</v>
      </c>
      <c r="R567" t="s">
        <v>2999</v>
      </c>
      <c r="S567" t="s">
        <v>1178</v>
      </c>
      <c r="T567" t="s">
        <v>1192</v>
      </c>
      <c r="U567" t="s">
        <v>599</v>
      </c>
      <c r="V567" t="s">
        <v>3000</v>
      </c>
      <c r="W567" t="s">
        <v>599</v>
      </c>
      <c r="X567" t="s">
        <v>599</v>
      </c>
      <c r="Y567" t="s">
        <v>1182</v>
      </c>
      <c r="Z567" t="s">
        <v>3001</v>
      </c>
      <c r="AA567">
        <v>1641</v>
      </c>
      <c r="AB567">
        <v>1641</v>
      </c>
      <c r="AC567" t="s">
        <v>3002</v>
      </c>
      <c r="AD567" t="s">
        <v>3003</v>
      </c>
      <c r="AE567" t="s">
        <v>599</v>
      </c>
      <c r="AF567" t="s">
        <v>599</v>
      </c>
      <c r="AG567" t="s">
        <v>3004</v>
      </c>
      <c r="AH567" t="s">
        <v>599</v>
      </c>
      <c r="AI567" t="s">
        <v>599</v>
      </c>
      <c r="AJ567" t="s">
        <v>3005</v>
      </c>
      <c r="AK567" t="s">
        <v>2967</v>
      </c>
      <c r="AL567" t="s">
        <v>3006</v>
      </c>
      <c r="AM567" t="s">
        <v>1190</v>
      </c>
      <c r="AN567" t="s">
        <v>599</v>
      </c>
      <c r="AO567" t="s">
        <v>599</v>
      </c>
      <c r="AP567" t="s">
        <v>3007</v>
      </c>
      <c r="AQ567" t="s">
        <v>599</v>
      </c>
      <c r="AR567" t="s">
        <v>599</v>
      </c>
      <c r="AS567" t="s">
        <v>599</v>
      </c>
      <c r="AT567" t="s">
        <v>599</v>
      </c>
    </row>
    <row r="568" spans="1:46" ht="30" x14ac:dyDescent="0.25">
      <c r="A568" s="2">
        <v>11388</v>
      </c>
      <c r="B568" s="10">
        <v>331404</v>
      </c>
      <c r="C568" s="10">
        <v>1</v>
      </c>
      <c r="D568" s="9">
        <v>10</v>
      </c>
      <c r="E568" s="11" t="s">
        <v>443</v>
      </c>
      <c r="F568" s="12" t="s">
        <v>444</v>
      </c>
      <c r="G568" s="9" t="s">
        <v>249</v>
      </c>
      <c r="H568" s="34"/>
      <c r="I568" s="55" t="str">
        <f t="shared" si="17"/>
        <v>https://permalinkbnd.bnportugal.gov.pt/viewer/14566/?offset=#page=10&amp;viewer=picture&amp;o=info&amp;n=0&amp;q=</v>
      </c>
      <c r="J568" s="45"/>
      <c r="K568" s="45"/>
      <c r="L568" s="45"/>
      <c r="M568" t="s">
        <v>443</v>
      </c>
      <c r="N568">
        <v>14566</v>
      </c>
      <c r="O568" t="str">
        <f t="shared" si="16"/>
        <v>https://permalinkbnd.bnportugal.gov.pt/viewer/14566/?offset=#page=10&amp;viewer=picture&amp;o=info&amp;n=0&amp;q=</v>
      </c>
      <c r="P568">
        <v>331404</v>
      </c>
      <c r="Q568" t="s">
        <v>443</v>
      </c>
      <c r="R568" t="s">
        <v>3008</v>
      </c>
      <c r="S568" t="s">
        <v>1178</v>
      </c>
      <c r="T568" t="s">
        <v>1502</v>
      </c>
      <c r="U568" t="s">
        <v>1192</v>
      </c>
      <c r="V568" t="s">
        <v>1862</v>
      </c>
      <c r="W568" t="s">
        <v>3009</v>
      </c>
      <c r="X568" t="s">
        <v>599</v>
      </c>
      <c r="Y568" t="s">
        <v>1182</v>
      </c>
      <c r="Z568" t="s">
        <v>3010</v>
      </c>
      <c r="AA568">
        <v>1809</v>
      </c>
      <c r="AB568">
        <v>1809</v>
      </c>
      <c r="AC568" t="s">
        <v>3011</v>
      </c>
      <c r="AD568" t="s">
        <v>1185</v>
      </c>
      <c r="AE568" t="s">
        <v>599</v>
      </c>
      <c r="AF568" t="s">
        <v>599</v>
      </c>
      <c r="AG568" t="s">
        <v>1866</v>
      </c>
      <c r="AH568" t="s">
        <v>599</v>
      </c>
      <c r="AI568" t="s">
        <v>599</v>
      </c>
      <c r="AJ568" t="s">
        <v>3012</v>
      </c>
      <c r="AK568" t="s">
        <v>1702</v>
      </c>
      <c r="AL568" t="s">
        <v>3013</v>
      </c>
      <c r="AM568" t="s">
        <v>1190</v>
      </c>
      <c r="AN568" t="s">
        <v>599</v>
      </c>
      <c r="AO568" t="s">
        <v>599</v>
      </c>
      <c r="AP568" t="s">
        <v>599</v>
      </c>
      <c r="AQ568" t="s">
        <v>599</v>
      </c>
      <c r="AR568" t="s">
        <v>599</v>
      </c>
      <c r="AS568" t="s">
        <v>599</v>
      </c>
      <c r="AT568" t="s">
        <v>599</v>
      </c>
    </row>
    <row r="569" spans="1:46" ht="30" x14ac:dyDescent="0.25">
      <c r="A569" s="2">
        <v>11389</v>
      </c>
      <c r="B569" s="10">
        <v>331404</v>
      </c>
      <c r="C569" s="10">
        <v>1</v>
      </c>
      <c r="D569" s="9">
        <v>11</v>
      </c>
      <c r="E569" s="11" t="s">
        <v>443</v>
      </c>
      <c r="F569" s="12" t="s">
        <v>444</v>
      </c>
      <c r="G569" s="9" t="s">
        <v>249</v>
      </c>
      <c r="H569" s="34"/>
      <c r="I569" s="55" t="str">
        <f t="shared" si="17"/>
        <v>https://permalinkbnd.bnportugal.gov.pt/viewer/14566/?offset=#page=11&amp;viewer=picture&amp;o=info&amp;n=0&amp;q=</v>
      </c>
      <c r="J569" s="45"/>
      <c r="K569" s="45"/>
      <c r="L569" s="45"/>
      <c r="M569" t="s">
        <v>443</v>
      </c>
      <c r="N569">
        <v>14566</v>
      </c>
      <c r="O569" t="str">
        <f t="shared" si="16"/>
        <v>https://permalinkbnd.bnportugal.gov.pt/viewer/14566/?offset=#page=11&amp;viewer=picture&amp;o=info&amp;n=0&amp;q=</v>
      </c>
      <c r="P569">
        <v>331404</v>
      </c>
      <c r="Q569" t="s">
        <v>443</v>
      </c>
      <c r="R569" t="s">
        <v>3008</v>
      </c>
      <c r="S569" t="s">
        <v>1178</v>
      </c>
      <c r="T569" t="s">
        <v>1502</v>
      </c>
      <c r="U569" t="s">
        <v>1192</v>
      </c>
      <c r="V569" t="s">
        <v>1862</v>
      </c>
      <c r="W569" t="s">
        <v>3009</v>
      </c>
      <c r="X569" t="s">
        <v>599</v>
      </c>
      <c r="Y569" t="s">
        <v>1182</v>
      </c>
      <c r="Z569" t="s">
        <v>3010</v>
      </c>
      <c r="AA569">
        <v>1809</v>
      </c>
      <c r="AB569">
        <v>1809</v>
      </c>
      <c r="AC569" t="s">
        <v>3011</v>
      </c>
      <c r="AD569" t="s">
        <v>1185</v>
      </c>
      <c r="AE569" t="s">
        <v>599</v>
      </c>
      <c r="AF569" t="s">
        <v>599</v>
      </c>
      <c r="AG569" t="s">
        <v>1866</v>
      </c>
      <c r="AH569" t="s">
        <v>599</v>
      </c>
      <c r="AI569" t="s">
        <v>599</v>
      </c>
      <c r="AJ569" t="s">
        <v>3012</v>
      </c>
      <c r="AK569" t="s">
        <v>1702</v>
      </c>
      <c r="AL569" t="s">
        <v>3013</v>
      </c>
      <c r="AM569" t="s">
        <v>1190</v>
      </c>
      <c r="AN569" t="s">
        <v>599</v>
      </c>
      <c r="AO569" t="s">
        <v>599</v>
      </c>
      <c r="AP569" t="s">
        <v>599</v>
      </c>
      <c r="AQ569" t="s">
        <v>599</v>
      </c>
      <c r="AR569" t="s">
        <v>599</v>
      </c>
      <c r="AS569" t="s">
        <v>599</v>
      </c>
      <c r="AT569" t="s">
        <v>599</v>
      </c>
    </row>
    <row r="570" spans="1:46" ht="30" x14ac:dyDescent="0.25">
      <c r="A570" s="2">
        <v>11390</v>
      </c>
      <c r="B570" s="10">
        <v>331411</v>
      </c>
      <c r="C570" s="10">
        <v>1</v>
      </c>
      <c r="D570" s="9">
        <v>6</v>
      </c>
      <c r="E570" s="11" t="s">
        <v>445</v>
      </c>
      <c r="F570" s="12" t="s">
        <v>446</v>
      </c>
      <c r="G570" s="9" t="s">
        <v>447</v>
      </c>
      <c r="H570" s="34"/>
      <c r="I570" s="55" t="str">
        <f t="shared" si="17"/>
        <v>https://permalinkbnd.bnportugal.gov.pt/viewer/274466/?offset=#page=6&amp;viewer=picture&amp;o=info&amp;n=0&amp;q=</v>
      </c>
      <c r="J570" s="45"/>
      <c r="K570" s="45"/>
      <c r="L570" s="45"/>
      <c r="M570" t="s">
        <v>445</v>
      </c>
      <c r="N570">
        <v>274466</v>
      </c>
      <c r="O570" t="str">
        <f t="shared" si="16"/>
        <v>https://permalinkbnd.bnportugal.gov.pt/viewer/274466/?offset=#page=6&amp;viewer=picture&amp;o=info&amp;n=0&amp;q=</v>
      </c>
      <c r="P570">
        <v>331411</v>
      </c>
      <c r="Q570" t="s">
        <v>445</v>
      </c>
      <c r="R570" t="s">
        <v>3014</v>
      </c>
      <c r="S570" t="s">
        <v>1178</v>
      </c>
      <c r="T570" t="s">
        <v>1502</v>
      </c>
      <c r="U570" t="s">
        <v>1192</v>
      </c>
      <c r="V570" t="s">
        <v>1765</v>
      </c>
      <c r="W570" t="s">
        <v>1863</v>
      </c>
      <c r="X570" t="s">
        <v>599</v>
      </c>
      <c r="Y570" t="s">
        <v>1182</v>
      </c>
      <c r="Z570" t="s">
        <v>3015</v>
      </c>
      <c r="AA570">
        <v>1826</v>
      </c>
      <c r="AB570">
        <v>1826</v>
      </c>
      <c r="AC570" t="s">
        <v>3016</v>
      </c>
      <c r="AD570" t="s">
        <v>1185</v>
      </c>
      <c r="AE570" t="s">
        <v>599</v>
      </c>
      <c r="AF570" t="s">
        <v>599</v>
      </c>
      <c r="AG570" t="s">
        <v>3017</v>
      </c>
      <c r="AH570" t="s">
        <v>599</v>
      </c>
      <c r="AI570" t="s">
        <v>599</v>
      </c>
      <c r="AJ570" t="s">
        <v>3018</v>
      </c>
      <c r="AK570" t="s">
        <v>1188</v>
      </c>
      <c r="AL570" t="s">
        <v>3019</v>
      </c>
      <c r="AM570" t="s">
        <v>1190</v>
      </c>
      <c r="AN570" t="s">
        <v>599</v>
      </c>
      <c r="AO570" t="s">
        <v>599</v>
      </c>
      <c r="AP570" t="s">
        <v>599</v>
      </c>
      <c r="AQ570" t="s">
        <v>599</v>
      </c>
      <c r="AR570" t="s">
        <v>599</v>
      </c>
      <c r="AS570" t="s">
        <v>599</v>
      </c>
      <c r="AT570" t="s">
        <v>599</v>
      </c>
    </row>
    <row r="571" spans="1:46" ht="30" x14ac:dyDescent="0.25">
      <c r="A571" s="2">
        <v>11391</v>
      </c>
      <c r="B571" s="10">
        <v>331411</v>
      </c>
      <c r="C571" s="10">
        <v>1</v>
      </c>
      <c r="D571" s="9">
        <v>12</v>
      </c>
      <c r="E571" s="11" t="s">
        <v>445</v>
      </c>
      <c r="F571" s="12" t="s">
        <v>446</v>
      </c>
      <c r="G571" s="9" t="s">
        <v>447</v>
      </c>
      <c r="H571" s="34"/>
      <c r="I571" s="55" t="str">
        <f t="shared" si="17"/>
        <v>https://permalinkbnd.bnportugal.gov.pt/viewer/274466/?offset=#page=12&amp;viewer=picture&amp;o=info&amp;n=0&amp;q=</v>
      </c>
      <c r="J571" s="45"/>
      <c r="K571" s="45"/>
      <c r="L571" s="45"/>
      <c r="M571" t="s">
        <v>445</v>
      </c>
      <c r="N571">
        <v>274466</v>
      </c>
      <c r="O571" t="str">
        <f t="shared" si="16"/>
        <v>https://permalinkbnd.bnportugal.gov.pt/viewer/274466/?offset=#page=12&amp;viewer=picture&amp;o=info&amp;n=0&amp;q=</v>
      </c>
      <c r="P571">
        <v>331411</v>
      </c>
      <c r="Q571" t="s">
        <v>445</v>
      </c>
      <c r="R571" t="s">
        <v>3014</v>
      </c>
      <c r="S571" t="s">
        <v>1178</v>
      </c>
      <c r="T571" t="s">
        <v>1502</v>
      </c>
      <c r="U571" t="s">
        <v>1192</v>
      </c>
      <c r="V571" t="s">
        <v>1765</v>
      </c>
      <c r="W571" t="s">
        <v>1863</v>
      </c>
      <c r="X571" t="s">
        <v>599</v>
      </c>
      <c r="Y571" t="s">
        <v>1182</v>
      </c>
      <c r="Z571" t="s">
        <v>3015</v>
      </c>
      <c r="AA571">
        <v>1826</v>
      </c>
      <c r="AB571">
        <v>1826</v>
      </c>
      <c r="AC571" t="s">
        <v>3016</v>
      </c>
      <c r="AD571" t="s">
        <v>1185</v>
      </c>
      <c r="AE571" t="s">
        <v>599</v>
      </c>
      <c r="AF571" t="s">
        <v>599</v>
      </c>
      <c r="AG571" t="s">
        <v>3017</v>
      </c>
      <c r="AH571" t="s">
        <v>599</v>
      </c>
      <c r="AI571" t="s">
        <v>599</v>
      </c>
      <c r="AJ571" t="s">
        <v>3018</v>
      </c>
      <c r="AK571" t="s">
        <v>1188</v>
      </c>
      <c r="AL571" t="s">
        <v>3019</v>
      </c>
      <c r="AM571" t="s">
        <v>1190</v>
      </c>
      <c r="AN571" t="s">
        <v>599</v>
      </c>
      <c r="AO571" t="s">
        <v>599</v>
      </c>
      <c r="AP571" t="s">
        <v>599</v>
      </c>
      <c r="AQ571" t="s">
        <v>599</v>
      </c>
      <c r="AR571" t="s">
        <v>599</v>
      </c>
      <c r="AS571" t="s">
        <v>599</v>
      </c>
      <c r="AT571" t="s">
        <v>599</v>
      </c>
    </row>
    <row r="572" spans="1:46" ht="30" x14ac:dyDescent="0.25">
      <c r="A572" s="2">
        <v>11440</v>
      </c>
      <c r="B572" s="10">
        <v>380835</v>
      </c>
      <c r="C572" s="10">
        <v>1</v>
      </c>
      <c r="D572" s="9">
        <v>1</v>
      </c>
      <c r="E572" s="11" t="s">
        <v>448</v>
      </c>
      <c r="F572" s="12" t="s">
        <v>449</v>
      </c>
      <c r="G572" s="9">
        <v>1</v>
      </c>
      <c r="H572" s="34"/>
      <c r="I572" s="55" t="str">
        <f t="shared" si="17"/>
        <v>https://permalinkbnd.bnportugal.gov.pt/viewer/278408/?offset=#page=1&amp;viewer=picture&amp;o=info&amp;n=0&amp;q=</v>
      </c>
      <c r="J572" s="45"/>
      <c r="K572" s="45"/>
      <c r="L572" s="45"/>
      <c r="M572" t="s">
        <v>448</v>
      </c>
      <c r="N572">
        <v>278408</v>
      </c>
      <c r="O572" t="str">
        <f t="shared" si="16"/>
        <v>https://permalinkbnd.bnportugal.gov.pt/viewer/278408/?offset=#page=1&amp;viewer=picture&amp;o=info&amp;n=0&amp;q=</v>
      </c>
      <c r="P572">
        <v>380835</v>
      </c>
      <c r="Q572" t="s">
        <v>448</v>
      </c>
      <c r="R572" t="s">
        <v>3020</v>
      </c>
      <c r="S572" t="s">
        <v>1178</v>
      </c>
      <c r="T572" t="s">
        <v>1502</v>
      </c>
      <c r="U572" t="s">
        <v>599</v>
      </c>
      <c r="V572" t="s">
        <v>3021</v>
      </c>
      <c r="W572" t="s">
        <v>599</v>
      </c>
      <c r="X572" t="s">
        <v>599</v>
      </c>
      <c r="Y572" t="s">
        <v>1182</v>
      </c>
      <c r="Z572" t="s">
        <v>3022</v>
      </c>
      <c r="AA572">
        <v>1883</v>
      </c>
      <c r="AB572">
        <v>1883</v>
      </c>
      <c r="AC572" t="s">
        <v>3023</v>
      </c>
      <c r="AD572" t="s">
        <v>1185</v>
      </c>
      <c r="AE572" t="s">
        <v>599</v>
      </c>
      <c r="AF572" t="s">
        <v>599</v>
      </c>
      <c r="AG572" t="s">
        <v>3024</v>
      </c>
      <c r="AH572" t="s">
        <v>599</v>
      </c>
      <c r="AI572" t="s">
        <v>599</v>
      </c>
      <c r="AJ572" t="s">
        <v>3025</v>
      </c>
      <c r="AK572" t="s">
        <v>1188</v>
      </c>
      <c r="AL572" t="s">
        <v>3026</v>
      </c>
      <c r="AM572" t="s">
        <v>1190</v>
      </c>
      <c r="AN572" t="s">
        <v>599</v>
      </c>
      <c r="AO572" t="s">
        <v>599</v>
      </c>
      <c r="AP572" t="s">
        <v>599</v>
      </c>
      <c r="AQ572" t="s">
        <v>599</v>
      </c>
      <c r="AR572" t="s">
        <v>599</v>
      </c>
      <c r="AS572" t="s">
        <v>599</v>
      </c>
      <c r="AT572" t="s">
        <v>599</v>
      </c>
    </row>
    <row r="573" spans="1:46" ht="60" x14ac:dyDescent="0.25">
      <c r="A573" s="2">
        <v>11441</v>
      </c>
      <c r="B573" s="10">
        <v>381202</v>
      </c>
      <c r="C573" s="10">
        <v>1</v>
      </c>
      <c r="D573" s="9">
        <v>29</v>
      </c>
      <c r="E573" s="11" t="s">
        <v>450</v>
      </c>
      <c r="F573" s="12" t="s">
        <v>451</v>
      </c>
      <c r="G573" s="9" t="s">
        <v>452</v>
      </c>
      <c r="H573" s="34"/>
      <c r="I573" s="55" t="str">
        <f t="shared" si="17"/>
        <v>https://permalinkbnd.bnportugal.gov.pt/viewer/14624/?offset=#page=29&amp;viewer=picture&amp;o=info&amp;n=0&amp;q=</v>
      </c>
      <c r="J573" s="45"/>
      <c r="K573" s="45"/>
      <c r="L573" s="45"/>
      <c r="M573" t="s">
        <v>450</v>
      </c>
      <c r="N573">
        <v>14624</v>
      </c>
      <c r="O573" t="str">
        <f t="shared" si="16"/>
        <v>https://permalinkbnd.bnportugal.gov.pt/viewer/14624/?offset=#page=29&amp;viewer=picture&amp;o=info&amp;n=0&amp;q=</v>
      </c>
      <c r="P573">
        <v>381202</v>
      </c>
      <c r="Q573" t="s">
        <v>450</v>
      </c>
      <c r="R573" t="s">
        <v>3027</v>
      </c>
      <c r="S573" t="s">
        <v>1178</v>
      </c>
      <c r="T573" t="s">
        <v>1209</v>
      </c>
      <c r="U573" t="s">
        <v>1192</v>
      </c>
      <c r="V573" t="s">
        <v>3028</v>
      </c>
      <c r="W573" t="s">
        <v>599</v>
      </c>
      <c r="X573" t="s">
        <v>599</v>
      </c>
      <c r="Y573" t="s">
        <v>1182</v>
      </c>
      <c r="Z573" t="s">
        <v>3029</v>
      </c>
      <c r="AA573">
        <v>1639</v>
      </c>
      <c r="AB573">
        <v>1639</v>
      </c>
      <c r="AC573" t="s">
        <v>3030</v>
      </c>
      <c r="AD573" t="s">
        <v>1185</v>
      </c>
      <c r="AE573" t="s">
        <v>599</v>
      </c>
      <c r="AF573" t="s">
        <v>599</v>
      </c>
      <c r="AG573" t="s">
        <v>3031</v>
      </c>
      <c r="AH573" t="s">
        <v>599</v>
      </c>
      <c r="AI573" t="s">
        <v>3032</v>
      </c>
      <c r="AJ573" t="s">
        <v>3033</v>
      </c>
      <c r="AK573" t="s">
        <v>599</v>
      </c>
      <c r="AL573" t="s">
        <v>3034</v>
      </c>
      <c r="AM573" t="s">
        <v>1190</v>
      </c>
      <c r="AN573" t="s">
        <v>599</v>
      </c>
      <c r="AO573" t="s">
        <v>599</v>
      </c>
      <c r="AP573" t="s">
        <v>3035</v>
      </c>
      <c r="AQ573" t="s">
        <v>599</v>
      </c>
      <c r="AR573" t="s">
        <v>599</v>
      </c>
      <c r="AS573" t="s">
        <v>599</v>
      </c>
      <c r="AT573" t="s">
        <v>599</v>
      </c>
    </row>
    <row r="574" spans="1:46" ht="60" x14ac:dyDescent="0.25">
      <c r="A574" s="2">
        <v>11442</v>
      </c>
      <c r="B574" s="10">
        <v>381202</v>
      </c>
      <c r="C574" s="10">
        <v>1</v>
      </c>
      <c r="D574" s="9">
        <v>100</v>
      </c>
      <c r="E574" s="11" t="s">
        <v>450</v>
      </c>
      <c r="F574" s="12" t="s">
        <v>451</v>
      </c>
      <c r="G574" s="9" t="s">
        <v>452</v>
      </c>
      <c r="H574" s="34"/>
      <c r="I574" s="55" t="str">
        <f t="shared" si="17"/>
        <v>https://permalinkbnd.bnportugal.gov.pt/viewer/14624/?offset=#page=100&amp;viewer=picture&amp;o=info&amp;n=0&amp;q=</v>
      </c>
      <c r="J574" s="45"/>
      <c r="K574" s="45"/>
      <c r="L574" s="45"/>
      <c r="M574" t="s">
        <v>450</v>
      </c>
      <c r="N574">
        <v>14624</v>
      </c>
      <c r="O574" t="str">
        <f t="shared" si="16"/>
        <v>https://permalinkbnd.bnportugal.gov.pt/viewer/14624/?offset=#page=100&amp;viewer=picture&amp;o=info&amp;n=0&amp;q=</v>
      </c>
      <c r="P574">
        <v>381202</v>
      </c>
      <c r="Q574" t="s">
        <v>450</v>
      </c>
      <c r="R574" t="s">
        <v>3027</v>
      </c>
      <c r="S574" t="s">
        <v>1178</v>
      </c>
      <c r="T574" t="s">
        <v>1209</v>
      </c>
      <c r="U574" t="s">
        <v>1192</v>
      </c>
      <c r="V574" t="s">
        <v>3028</v>
      </c>
      <c r="W574" t="s">
        <v>599</v>
      </c>
      <c r="X574" t="s">
        <v>599</v>
      </c>
      <c r="Y574" t="s">
        <v>1182</v>
      </c>
      <c r="Z574" t="s">
        <v>3029</v>
      </c>
      <c r="AA574">
        <v>1639</v>
      </c>
      <c r="AB574">
        <v>1639</v>
      </c>
      <c r="AC574" t="s">
        <v>3030</v>
      </c>
      <c r="AD574" t="s">
        <v>1185</v>
      </c>
      <c r="AE574" t="s">
        <v>599</v>
      </c>
      <c r="AF574" t="s">
        <v>599</v>
      </c>
      <c r="AG574" t="s">
        <v>3031</v>
      </c>
      <c r="AH574" t="s">
        <v>599</v>
      </c>
      <c r="AI574" t="s">
        <v>3032</v>
      </c>
      <c r="AJ574" t="s">
        <v>3033</v>
      </c>
      <c r="AK574" t="s">
        <v>599</v>
      </c>
      <c r="AL574" t="s">
        <v>3034</v>
      </c>
      <c r="AM574" t="s">
        <v>1190</v>
      </c>
      <c r="AN574" t="s">
        <v>599</v>
      </c>
      <c r="AO574" t="s">
        <v>599</v>
      </c>
      <c r="AP574" t="s">
        <v>3035</v>
      </c>
      <c r="AQ574" t="s">
        <v>599</v>
      </c>
      <c r="AR574" t="s">
        <v>599</v>
      </c>
      <c r="AS574" t="s">
        <v>599</v>
      </c>
      <c r="AT574" t="s">
        <v>599</v>
      </c>
    </row>
    <row r="575" spans="1:46" ht="60" x14ac:dyDescent="0.25">
      <c r="A575" s="2">
        <v>11443</v>
      </c>
      <c r="B575" s="10">
        <v>381202</v>
      </c>
      <c r="C575" s="10">
        <v>1</v>
      </c>
      <c r="D575" s="9">
        <v>216</v>
      </c>
      <c r="E575" s="11" t="s">
        <v>450</v>
      </c>
      <c r="F575" s="12" t="s">
        <v>451</v>
      </c>
      <c r="G575" s="9" t="s">
        <v>452</v>
      </c>
      <c r="H575" s="34"/>
      <c r="I575" s="55" t="str">
        <f t="shared" si="17"/>
        <v>https://permalinkbnd.bnportugal.gov.pt/viewer/14624/?offset=#page=216&amp;viewer=picture&amp;o=info&amp;n=0&amp;q=</v>
      </c>
      <c r="J575" s="45"/>
      <c r="K575" s="45"/>
      <c r="L575" s="45"/>
      <c r="M575" t="s">
        <v>450</v>
      </c>
      <c r="N575">
        <v>14624</v>
      </c>
      <c r="O575" t="str">
        <f t="shared" si="16"/>
        <v>https://permalinkbnd.bnportugal.gov.pt/viewer/14624/?offset=#page=216&amp;viewer=picture&amp;o=info&amp;n=0&amp;q=</v>
      </c>
      <c r="P575">
        <v>381202</v>
      </c>
      <c r="Q575" t="s">
        <v>450</v>
      </c>
      <c r="R575" t="s">
        <v>3027</v>
      </c>
      <c r="S575" t="s">
        <v>1178</v>
      </c>
      <c r="T575" t="s">
        <v>1209</v>
      </c>
      <c r="U575" t="s">
        <v>1192</v>
      </c>
      <c r="V575" t="s">
        <v>3028</v>
      </c>
      <c r="W575" t="s">
        <v>599</v>
      </c>
      <c r="X575" t="s">
        <v>599</v>
      </c>
      <c r="Y575" t="s">
        <v>1182</v>
      </c>
      <c r="Z575" t="s">
        <v>3029</v>
      </c>
      <c r="AA575">
        <v>1639</v>
      </c>
      <c r="AB575">
        <v>1639</v>
      </c>
      <c r="AC575" t="s">
        <v>3030</v>
      </c>
      <c r="AD575" t="s">
        <v>1185</v>
      </c>
      <c r="AE575" t="s">
        <v>599</v>
      </c>
      <c r="AF575" t="s">
        <v>599</v>
      </c>
      <c r="AG575" t="s">
        <v>3031</v>
      </c>
      <c r="AH575" t="s">
        <v>599</v>
      </c>
      <c r="AI575" t="s">
        <v>3032</v>
      </c>
      <c r="AJ575" t="s">
        <v>3033</v>
      </c>
      <c r="AK575" t="s">
        <v>599</v>
      </c>
      <c r="AL575" t="s">
        <v>3034</v>
      </c>
      <c r="AM575" t="s">
        <v>1190</v>
      </c>
      <c r="AN575" t="s">
        <v>599</v>
      </c>
      <c r="AO575" t="s">
        <v>599</v>
      </c>
      <c r="AP575" t="s">
        <v>3035</v>
      </c>
      <c r="AQ575" t="s">
        <v>599</v>
      </c>
      <c r="AR575" t="s">
        <v>599</v>
      </c>
      <c r="AS575" t="s">
        <v>599</v>
      </c>
      <c r="AT575" t="s">
        <v>599</v>
      </c>
    </row>
    <row r="576" spans="1:46" ht="60" x14ac:dyDescent="0.25">
      <c r="A576" s="2">
        <v>11444</v>
      </c>
      <c r="B576" s="10">
        <v>381202</v>
      </c>
      <c r="C576" s="10">
        <v>1</v>
      </c>
      <c r="D576" s="9">
        <v>297</v>
      </c>
      <c r="E576" s="11" t="s">
        <v>450</v>
      </c>
      <c r="F576" s="12" t="s">
        <v>451</v>
      </c>
      <c r="G576" s="9" t="s">
        <v>452</v>
      </c>
      <c r="H576" s="34"/>
      <c r="I576" s="55" t="str">
        <f t="shared" si="17"/>
        <v>https://permalinkbnd.bnportugal.gov.pt/viewer/14624/?offset=#page=297&amp;viewer=picture&amp;o=info&amp;n=0&amp;q=</v>
      </c>
      <c r="J576" s="45"/>
      <c r="K576" s="45"/>
      <c r="L576" s="45"/>
      <c r="M576" t="s">
        <v>450</v>
      </c>
      <c r="N576">
        <v>14624</v>
      </c>
      <c r="O576" t="str">
        <f t="shared" si="16"/>
        <v>https://permalinkbnd.bnportugal.gov.pt/viewer/14624/?offset=#page=297&amp;viewer=picture&amp;o=info&amp;n=0&amp;q=</v>
      </c>
      <c r="P576">
        <v>381202</v>
      </c>
      <c r="Q576" t="s">
        <v>450</v>
      </c>
      <c r="R576" t="s">
        <v>3027</v>
      </c>
      <c r="S576" t="s">
        <v>1178</v>
      </c>
      <c r="T576" t="s">
        <v>1209</v>
      </c>
      <c r="U576" t="s">
        <v>1192</v>
      </c>
      <c r="V576" t="s">
        <v>3028</v>
      </c>
      <c r="W576" t="s">
        <v>599</v>
      </c>
      <c r="X576" t="s">
        <v>599</v>
      </c>
      <c r="Y576" t="s">
        <v>1182</v>
      </c>
      <c r="Z576" t="s">
        <v>3029</v>
      </c>
      <c r="AA576">
        <v>1639</v>
      </c>
      <c r="AB576">
        <v>1639</v>
      </c>
      <c r="AC576" t="s">
        <v>3030</v>
      </c>
      <c r="AD576" t="s">
        <v>1185</v>
      </c>
      <c r="AE576" t="s">
        <v>599</v>
      </c>
      <c r="AF576" t="s">
        <v>599</v>
      </c>
      <c r="AG576" t="s">
        <v>3031</v>
      </c>
      <c r="AH576" t="s">
        <v>599</v>
      </c>
      <c r="AI576" t="s">
        <v>3032</v>
      </c>
      <c r="AJ576" t="s">
        <v>3033</v>
      </c>
      <c r="AK576" t="s">
        <v>599</v>
      </c>
      <c r="AL576" t="s">
        <v>3034</v>
      </c>
      <c r="AM576" t="s">
        <v>1190</v>
      </c>
      <c r="AN576" t="s">
        <v>599</v>
      </c>
      <c r="AO576" t="s">
        <v>599</v>
      </c>
      <c r="AP576" t="s">
        <v>3035</v>
      </c>
      <c r="AQ576" t="s">
        <v>599</v>
      </c>
      <c r="AR576" t="s">
        <v>599</v>
      </c>
      <c r="AS576" t="s">
        <v>599</v>
      </c>
      <c r="AT576" t="s">
        <v>599</v>
      </c>
    </row>
    <row r="577" spans="1:46" ht="60" x14ac:dyDescent="0.25">
      <c r="A577" s="2">
        <v>11445</v>
      </c>
      <c r="B577" s="10">
        <v>381202</v>
      </c>
      <c r="C577" s="10">
        <v>1</v>
      </c>
      <c r="D577" s="9">
        <v>308</v>
      </c>
      <c r="E577" s="11" t="s">
        <v>450</v>
      </c>
      <c r="F577" s="12" t="s">
        <v>451</v>
      </c>
      <c r="G577" s="9" t="s">
        <v>452</v>
      </c>
      <c r="H577" s="34"/>
      <c r="I577" s="55" t="str">
        <f t="shared" si="17"/>
        <v>https://permalinkbnd.bnportugal.gov.pt/viewer/14624/?offset=#page=308&amp;viewer=picture&amp;o=info&amp;n=0&amp;q=</v>
      </c>
      <c r="J577" s="45"/>
      <c r="K577" s="45"/>
      <c r="L577" s="45"/>
      <c r="M577" t="s">
        <v>450</v>
      </c>
      <c r="N577">
        <v>14624</v>
      </c>
      <c r="O577" t="str">
        <f t="shared" si="16"/>
        <v>https://permalinkbnd.bnportugal.gov.pt/viewer/14624/?offset=#page=308&amp;viewer=picture&amp;o=info&amp;n=0&amp;q=</v>
      </c>
      <c r="P577">
        <v>381202</v>
      </c>
      <c r="Q577" t="s">
        <v>450</v>
      </c>
      <c r="R577" t="s">
        <v>3027</v>
      </c>
      <c r="S577" t="s">
        <v>1178</v>
      </c>
      <c r="T577" t="s">
        <v>1209</v>
      </c>
      <c r="U577" t="s">
        <v>1192</v>
      </c>
      <c r="V577" t="s">
        <v>3028</v>
      </c>
      <c r="W577" t="s">
        <v>599</v>
      </c>
      <c r="X577" t="s">
        <v>599</v>
      </c>
      <c r="Y577" t="s">
        <v>1182</v>
      </c>
      <c r="Z577" t="s">
        <v>3029</v>
      </c>
      <c r="AA577">
        <v>1639</v>
      </c>
      <c r="AB577">
        <v>1639</v>
      </c>
      <c r="AC577" t="s">
        <v>3030</v>
      </c>
      <c r="AD577" t="s">
        <v>1185</v>
      </c>
      <c r="AE577" t="s">
        <v>599</v>
      </c>
      <c r="AF577" t="s">
        <v>599</v>
      </c>
      <c r="AG577" t="s">
        <v>3031</v>
      </c>
      <c r="AH577" t="s">
        <v>599</v>
      </c>
      <c r="AI577" t="s">
        <v>3032</v>
      </c>
      <c r="AJ577" t="s">
        <v>3033</v>
      </c>
      <c r="AK577" t="s">
        <v>599</v>
      </c>
      <c r="AL577" t="s">
        <v>3034</v>
      </c>
      <c r="AM577" t="s">
        <v>1190</v>
      </c>
      <c r="AN577" t="s">
        <v>599</v>
      </c>
      <c r="AO577" t="s">
        <v>599</v>
      </c>
      <c r="AP577" t="s">
        <v>3035</v>
      </c>
      <c r="AQ577" t="s">
        <v>599</v>
      </c>
      <c r="AR577" t="s">
        <v>599</v>
      </c>
      <c r="AS577" t="s">
        <v>599</v>
      </c>
      <c r="AT577" t="s">
        <v>599</v>
      </c>
    </row>
    <row r="578" spans="1:46" ht="60" x14ac:dyDescent="0.25">
      <c r="A578" s="2">
        <v>11446</v>
      </c>
      <c r="B578" s="10">
        <v>381202</v>
      </c>
      <c r="C578" s="10">
        <v>1</v>
      </c>
      <c r="D578" s="9">
        <v>424</v>
      </c>
      <c r="E578" s="11" t="s">
        <v>450</v>
      </c>
      <c r="F578" s="12" t="s">
        <v>451</v>
      </c>
      <c r="G578" s="9" t="s">
        <v>452</v>
      </c>
      <c r="H578" s="34"/>
      <c r="I578" s="55" t="str">
        <f t="shared" si="17"/>
        <v>https://permalinkbnd.bnportugal.gov.pt/viewer/14624/?offset=#page=424&amp;viewer=picture&amp;o=info&amp;n=0&amp;q=</v>
      </c>
      <c r="J578" s="45"/>
      <c r="K578" s="45"/>
      <c r="L578" s="45"/>
      <c r="M578" t="s">
        <v>450</v>
      </c>
      <c r="N578">
        <v>14624</v>
      </c>
      <c r="O578" t="str">
        <f t="shared" ref="O578:O641" si="18">CONCATENATE("https://permalinkbnd.bnportugal.gov.pt/viewer/",N578,"/?offset=#page=",D578,"&amp;viewer=picture&amp;o=info&amp;n=0&amp;q=")</f>
        <v>https://permalinkbnd.bnportugal.gov.pt/viewer/14624/?offset=#page=424&amp;viewer=picture&amp;o=info&amp;n=0&amp;q=</v>
      </c>
      <c r="P578">
        <v>381202</v>
      </c>
      <c r="Q578" t="s">
        <v>450</v>
      </c>
      <c r="R578" t="s">
        <v>3027</v>
      </c>
      <c r="S578" t="s">
        <v>1178</v>
      </c>
      <c r="T578" t="s">
        <v>1209</v>
      </c>
      <c r="U578" t="s">
        <v>1192</v>
      </c>
      <c r="V578" t="s">
        <v>3028</v>
      </c>
      <c r="W578" t="s">
        <v>599</v>
      </c>
      <c r="X578" t="s">
        <v>599</v>
      </c>
      <c r="Y578" t="s">
        <v>1182</v>
      </c>
      <c r="Z578" t="s">
        <v>3029</v>
      </c>
      <c r="AA578">
        <v>1639</v>
      </c>
      <c r="AB578">
        <v>1639</v>
      </c>
      <c r="AC578" t="s">
        <v>3030</v>
      </c>
      <c r="AD578" t="s">
        <v>1185</v>
      </c>
      <c r="AE578" t="s">
        <v>599</v>
      </c>
      <c r="AF578" t="s">
        <v>599</v>
      </c>
      <c r="AG578" t="s">
        <v>3031</v>
      </c>
      <c r="AH578" t="s">
        <v>599</v>
      </c>
      <c r="AI578" t="s">
        <v>3032</v>
      </c>
      <c r="AJ578" t="s">
        <v>3033</v>
      </c>
      <c r="AK578" t="s">
        <v>599</v>
      </c>
      <c r="AL578" t="s">
        <v>3034</v>
      </c>
      <c r="AM578" t="s">
        <v>1190</v>
      </c>
      <c r="AN578" t="s">
        <v>599</v>
      </c>
      <c r="AO578" t="s">
        <v>599</v>
      </c>
      <c r="AP578" t="s">
        <v>3035</v>
      </c>
      <c r="AQ578" t="s">
        <v>599</v>
      </c>
      <c r="AR578" t="s">
        <v>599</v>
      </c>
      <c r="AS578" t="s">
        <v>599</v>
      </c>
      <c r="AT578" t="s">
        <v>599</v>
      </c>
    </row>
    <row r="579" spans="1:46" ht="60" x14ac:dyDescent="0.25">
      <c r="A579" s="2">
        <v>11447</v>
      </c>
      <c r="B579" s="10">
        <v>381202</v>
      </c>
      <c r="C579" s="10">
        <v>1</v>
      </c>
      <c r="D579" s="9">
        <v>530</v>
      </c>
      <c r="E579" s="11" t="s">
        <v>450</v>
      </c>
      <c r="F579" s="12" t="s">
        <v>451</v>
      </c>
      <c r="G579" s="9" t="s">
        <v>452</v>
      </c>
      <c r="H579" s="34"/>
      <c r="I579" s="55" t="str">
        <f t="shared" ref="I579:I642" si="19">HYPERLINK(O579)</f>
        <v>https://permalinkbnd.bnportugal.gov.pt/viewer/14624/?offset=#page=530&amp;viewer=picture&amp;o=info&amp;n=0&amp;q=</v>
      </c>
      <c r="J579" s="45"/>
      <c r="K579" s="45"/>
      <c r="L579" s="45"/>
      <c r="M579" t="s">
        <v>450</v>
      </c>
      <c r="N579">
        <v>14624</v>
      </c>
      <c r="O579" t="str">
        <f t="shared" si="18"/>
        <v>https://permalinkbnd.bnportugal.gov.pt/viewer/14624/?offset=#page=530&amp;viewer=picture&amp;o=info&amp;n=0&amp;q=</v>
      </c>
      <c r="P579">
        <v>381202</v>
      </c>
      <c r="Q579" t="s">
        <v>450</v>
      </c>
      <c r="R579" t="s">
        <v>3027</v>
      </c>
      <c r="S579" t="s">
        <v>1178</v>
      </c>
      <c r="T579" t="s">
        <v>1209</v>
      </c>
      <c r="U579" t="s">
        <v>1192</v>
      </c>
      <c r="V579" t="s">
        <v>3028</v>
      </c>
      <c r="W579" t="s">
        <v>599</v>
      </c>
      <c r="X579" t="s">
        <v>599</v>
      </c>
      <c r="Y579" t="s">
        <v>1182</v>
      </c>
      <c r="Z579" t="s">
        <v>3029</v>
      </c>
      <c r="AA579">
        <v>1639</v>
      </c>
      <c r="AB579">
        <v>1639</v>
      </c>
      <c r="AC579" t="s">
        <v>3030</v>
      </c>
      <c r="AD579" t="s">
        <v>1185</v>
      </c>
      <c r="AE579" t="s">
        <v>599</v>
      </c>
      <c r="AF579" t="s">
        <v>599</v>
      </c>
      <c r="AG579" t="s">
        <v>3031</v>
      </c>
      <c r="AH579" t="s">
        <v>599</v>
      </c>
      <c r="AI579" t="s">
        <v>3032</v>
      </c>
      <c r="AJ579" t="s">
        <v>3033</v>
      </c>
      <c r="AK579" t="s">
        <v>599</v>
      </c>
      <c r="AL579" t="s">
        <v>3034</v>
      </c>
      <c r="AM579" t="s">
        <v>1190</v>
      </c>
      <c r="AN579" t="s">
        <v>599</v>
      </c>
      <c r="AO579" t="s">
        <v>599</v>
      </c>
      <c r="AP579" t="s">
        <v>3035</v>
      </c>
      <c r="AQ579" t="s">
        <v>599</v>
      </c>
      <c r="AR579" t="s">
        <v>599</v>
      </c>
      <c r="AS579" t="s">
        <v>599</v>
      </c>
      <c r="AT579" t="s">
        <v>599</v>
      </c>
    </row>
    <row r="580" spans="1:46" ht="60" x14ac:dyDescent="0.25">
      <c r="A580" s="2">
        <v>11448</v>
      </c>
      <c r="B580" s="10">
        <v>381202</v>
      </c>
      <c r="C580" s="10">
        <v>2</v>
      </c>
      <c r="D580" s="9">
        <v>7</v>
      </c>
      <c r="E580" s="11" t="s">
        <v>450</v>
      </c>
      <c r="F580" s="12" t="s">
        <v>451</v>
      </c>
      <c r="G580" s="9" t="s">
        <v>452</v>
      </c>
      <c r="H580" s="34"/>
      <c r="I580" s="55" t="str">
        <f t="shared" si="19"/>
        <v>https://permalinkbnd.bnportugal.gov.pt/viewer/14624/?offset=#page=7&amp;viewer=picture&amp;o=info&amp;n=0&amp;q=</v>
      </c>
      <c r="J580" s="45"/>
      <c r="K580" s="45"/>
      <c r="L580" s="45"/>
      <c r="M580" t="s">
        <v>450</v>
      </c>
      <c r="N580">
        <v>14624</v>
      </c>
      <c r="O580" t="str">
        <f t="shared" si="18"/>
        <v>https://permalinkbnd.bnportugal.gov.pt/viewer/14624/?offset=#page=7&amp;viewer=picture&amp;o=info&amp;n=0&amp;q=</v>
      </c>
      <c r="P580">
        <v>381202</v>
      </c>
      <c r="Q580" t="s">
        <v>450</v>
      </c>
      <c r="R580" t="s">
        <v>3027</v>
      </c>
      <c r="S580" t="s">
        <v>1178</v>
      </c>
      <c r="T580" t="s">
        <v>1209</v>
      </c>
      <c r="U580" t="s">
        <v>1192</v>
      </c>
      <c r="V580" t="s">
        <v>3028</v>
      </c>
      <c r="W580" t="s">
        <v>599</v>
      </c>
      <c r="X580" t="s">
        <v>599</v>
      </c>
      <c r="Y580" t="s">
        <v>1182</v>
      </c>
      <c r="Z580" t="s">
        <v>3029</v>
      </c>
      <c r="AA580">
        <v>1639</v>
      </c>
      <c r="AB580">
        <v>1639</v>
      </c>
      <c r="AC580" t="s">
        <v>3030</v>
      </c>
      <c r="AD580" t="s">
        <v>1185</v>
      </c>
      <c r="AE580" t="s">
        <v>599</v>
      </c>
      <c r="AF580" t="s">
        <v>599</v>
      </c>
      <c r="AG580" t="s">
        <v>3031</v>
      </c>
      <c r="AH580" t="s">
        <v>599</v>
      </c>
      <c r="AI580" t="s">
        <v>3032</v>
      </c>
      <c r="AJ580" t="s">
        <v>3033</v>
      </c>
      <c r="AK580" t="s">
        <v>599</v>
      </c>
      <c r="AL580" t="s">
        <v>3034</v>
      </c>
      <c r="AM580" t="s">
        <v>1190</v>
      </c>
      <c r="AN580" t="s">
        <v>599</v>
      </c>
      <c r="AO580" t="s">
        <v>599</v>
      </c>
      <c r="AP580" t="s">
        <v>3035</v>
      </c>
      <c r="AQ580" t="s">
        <v>599</v>
      </c>
      <c r="AR580" t="s">
        <v>599</v>
      </c>
      <c r="AS580" t="s">
        <v>599</v>
      </c>
      <c r="AT580" t="s">
        <v>599</v>
      </c>
    </row>
    <row r="581" spans="1:46" ht="60" x14ac:dyDescent="0.25">
      <c r="A581" s="2">
        <v>11449</v>
      </c>
      <c r="B581" s="10">
        <v>381202</v>
      </c>
      <c r="C581" s="10">
        <v>2</v>
      </c>
      <c r="D581" s="9">
        <v>10</v>
      </c>
      <c r="E581" s="11" t="s">
        <v>450</v>
      </c>
      <c r="F581" s="12" t="s">
        <v>451</v>
      </c>
      <c r="G581" s="9" t="s">
        <v>452</v>
      </c>
      <c r="H581" s="34"/>
      <c r="I581" s="55" t="str">
        <f t="shared" si="19"/>
        <v>https://permalinkbnd.bnportugal.gov.pt/viewer/14624/?offset=#page=10&amp;viewer=picture&amp;o=info&amp;n=0&amp;q=</v>
      </c>
      <c r="J581" s="45"/>
      <c r="K581" s="45"/>
      <c r="L581" s="45"/>
      <c r="M581" t="s">
        <v>450</v>
      </c>
      <c r="N581">
        <v>14624</v>
      </c>
      <c r="O581" t="str">
        <f t="shared" si="18"/>
        <v>https://permalinkbnd.bnportugal.gov.pt/viewer/14624/?offset=#page=10&amp;viewer=picture&amp;o=info&amp;n=0&amp;q=</v>
      </c>
      <c r="P581">
        <v>381202</v>
      </c>
      <c r="Q581" t="s">
        <v>450</v>
      </c>
      <c r="R581" t="s">
        <v>3027</v>
      </c>
      <c r="S581" t="s">
        <v>1178</v>
      </c>
      <c r="T581" t="s">
        <v>1209</v>
      </c>
      <c r="U581" t="s">
        <v>1192</v>
      </c>
      <c r="V581" t="s">
        <v>3028</v>
      </c>
      <c r="W581" t="s">
        <v>599</v>
      </c>
      <c r="X581" t="s">
        <v>599</v>
      </c>
      <c r="Y581" t="s">
        <v>1182</v>
      </c>
      <c r="Z581" t="s">
        <v>3029</v>
      </c>
      <c r="AA581">
        <v>1639</v>
      </c>
      <c r="AB581">
        <v>1639</v>
      </c>
      <c r="AC581" t="s">
        <v>3030</v>
      </c>
      <c r="AD581" t="s">
        <v>1185</v>
      </c>
      <c r="AE581" t="s">
        <v>599</v>
      </c>
      <c r="AF581" t="s">
        <v>599</v>
      </c>
      <c r="AG581" t="s">
        <v>3031</v>
      </c>
      <c r="AH581" t="s">
        <v>599</v>
      </c>
      <c r="AI581" t="s">
        <v>3032</v>
      </c>
      <c r="AJ581" t="s">
        <v>3033</v>
      </c>
      <c r="AK581" t="s">
        <v>599</v>
      </c>
      <c r="AL581" t="s">
        <v>3034</v>
      </c>
      <c r="AM581" t="s">
        <v>1190</v>
      </c>
      <c r="AN581" t="s">
        <v>599</v>
      </c>
      <c r="AO581" t="s">
        <v>599</v>
      </c>
      <c r="AP581" t="s">
        <v>3035</v>
      </c>
      <c r="AQ581" t="s">
        <v>599</v>
      </c>
      <c r="AR581" t="s">
        <v>599</v>
      </c>
      <c r="AS581" t="s">
        <v>599</v>
      </c>
      <c r="AT581" t="s">
        <v>599</v>
      </c>
    </row>
    <row r="582" spans="1:46" ht="60" x14ac:dyDescent="0.25">
      <c r="A582" s="2">
        <v>11450</v>
      </c>
      <c r="B582" s="10">
        <v>381202</v>
      </c>
      <c r="C582" s="10">
        <v>2</v>
      </c>
      <c r="D582" s="9">
        <v>76</v>
      </c>
      <c r="E582" s="11" t="s">
        <v>450</v>
      </c>
      <c r="F582" s="12" t="s">
        <v>451</v>
      </c>
      <c r="G582" s="9" t="s">
        <v>452</v>
      </c>
      <c r="H582" s="34"/>
      <c r="I582" s="55" t="str">
        <f t="shared" si="19"/>
        <v>https://permalinkbnd.bnportugal.gov.pt/viewer/14624/?offset=#page=76&amp;viewer=picture&amp;o=info&amp;n=0&amp;q=</v>
      </c>
      <c r="J582" s="45"/>
      <c r="K582" s="45"/>
      <c r="L582" s="45"/>
      <c r="M582" t="s">
        <v>450</v>
      </c>
      <c r="N582">
        <v>14624</v>
      </c>
      <c r="O582" t="str">
        <f t="shared" si="18"/>
        <v>https://permalinkbnd.bnportugal.gov.pt/viewer/14624/?offset=#page=76&amp;viewer=picture&amp;o=info&amp;n=0&amp;q=</v>
      </c>
      <c r="P582">
        <v>381202</v>
      </c>
      <c r="Q582" t="s">
        <v>450</v>
      </c>
      <c r="R582" t="s">
        <v>3027</v>
      </c>
      <c r="S582" t="s">
        <v>1178</v>
      </c>
      <c r="T582" t="s">
        <v>1209</v>
      </c>
      <c r="U582" t="s">
        <v>1192</v>
      </c>
      <c r="V582" t="s">
        <v>3028</v>
      </c>
      <c r="W582" t="s">
        <v>599</v>
      </c>
      <c r="X582" t="s">
        <v>599</v>
      </c>
      <c r="Y582" t="s">
        <v>1182</v>
      </c>
      <c r="Z582" t="s">
        <v>3029</v>
      </c>
      <c r="AA582">
        <v>1639</v>
      </c>
      <c r="AB582">
        <v>1639</v>
      </c>
      <c r="AC582" t="s">
        <v>3030</v>
      </c>
      <c r="AD582" t="s">
        <v>1185</v>
      </c>
      <c r="AE582" t="s">
        <v>599</v>
      </c>
      <c r="AF582" t="s">
        <v>599</v>
      </c>
      <c r="AG582" t="s">
        <v>3031</v>
      </c>
      <c r="AH582" t="s">
        <v>599</v>
      </c>
      <c r="AI582" t="s">
        <v>3032</v>
      </c>
      <c r="AJ582" t="s">
        <v>3033</v>
      </c>
      <c r="AK582" t="s">
        <v>599</v>
      </c>
      <c r="AL582" t="s">
        <v>3034</v>
      </c>
      <c r="AM582" t="s">
        <v>1190</v>
      </c>
      <c r="AN582" t="s">
        <v>599</v>
      </c>
      <c r="AO582" t="s">
        <v>599</v>
      </c>
      <c r="AP582" t="s">
        <v>3035</v>
      </c>
      <c r="AQ582" t="s">
        <v>599</v>
      </c>
      <c r="AR582" t="s">
        <v>599</v>
      </c>
      <c r="AS582" t="s">
        <v>599</v>
      </c>
      <c r="AT582" t="s">
        <v>599</v>
      </c>
    </row>
    <row r="583" spans="1:46" ht="60" x14ac:dyDescent="0.25">
      <c r="A583" s="2">
        <v>11451</v>
      </c>
      <c r="B583" s="10">
        <v>381202</v>
      </c>
      <c r="C583" s="10">
        <v>2</v>
      </c>
      <c r="D583" s="9">
        <v>114</v>
      </c>
      <c r="E583" s="11" t="s">
        <v>450</v>
      </c>
      <c r="F583" s="12" t="s">
        <v>451</v>
      </c>
      <c r="G583" s="9" t="s">
        <v>452</v>
      </c>
      <c r="H583" s="34"/>
      <c r="I583" s="55" t="str">
        <f t="shared" si="19"/>
        <v>https://permalinkbnd.bnportugal.gov.pt/viewer/14624/?offset=#page=114&amp;viewer=picture&amp;o=info&amp;n=0&amp;q=</v>
      </c>
      <c r="J583" s="45"/>
      <c r="K583" s="45"/>
      <c r="L583" s="45"/>
      <c r="M583" t="s">
        <v>450</v>
      </c>
      <c r="N583">
        <v>14624</v>
      </c>
      <c r="O583" t="str">
        <f t="shared" si="18"/>
        <v>https://permalinkbnd.bnportugal.gov.pt/viewer/14624/?offset=#page=114&amp;viewer=picture&amp;o=info&amp;n=0&amp;q=</v>
      </c>
      <c r="P583">
        <v>381202</v>
      </c>
      <c r="Q583" t="s">
        <v>450</v>
      </c>
      <c r="R583" t="s">
        <v>3027</v>
      </c>
      <c r="S583" t="s">
        <v>1178</v>
      </c>
      <c r="T583" t="s">
        <v>1209</v>
      </c>
      <c r="U583" t="s">
        <v>1192</v>
      </c>
      <c r="V583" t="s">
        <v>3028</v>
      </c>
      <c r="W583" t="s">
        <v>599</v>
      </c>
      <c r="X583" t="s">
        <v>599</v>
      </c>
      <c r="Y583" t="s">
        <v>1182</v>
      </c>
      <c r="Z583" t="s">
        <v>3029</v>
      </c>
      <c r="AA583">
        <v>1639</v>
      </c>
      <c r="AB583">
        <v>1639</v>
      </c>
      <c r="AC583" t="s">
        <v>3030</v>
      </c>
      <c r="AD583" t="s">
        <v>1185</v>
      </c>
      <c r="AE583" t="s">
        <v>599</v>
      </c>
      <c r="AF583" t="s">
        <v>599</v>
      </c>
      <c r="AG583" t="s">
        <v>3031</v>
      </c>
      <c r="AH583" t="s">
        <v>599</v>
      </c>
      <c r="AI583" t="s">
        <v>3032</v>
      </c>
      <c r="AJ583" t="s">
        <v>3033</v>
      </c>
      <c r="AK583" t="s">
        <v>599</v>
      </c>
      <c r="AL583" t="s">
        <v>3034</v>
      </c>
      <c r="AM583" t="s">
        <v>1190</v>
      </c>
      <c r="AN583" t="s">
        <v>599</v>
      </c>
      <c r="AO583" t="s">
        <v>599</v>
      </c>
      <c r="AP583" t="s">
        <v>3035</v>
      </c>
      <c r="AQ583" t="s">
        <v>599</v>
      </c>
      <c r="AR583" t="s">
        <v>599</v>
      </c>
      <c r="AS583" t="s">
        <v>599</v>
      </c>
      <c r="AT583" t="s">
        <v>599</v>
      </c>
    </row>
    <row r="584" spans="1:46" ht="60" x14ac:dyDescent="0.25">
      <c r="A584" s="2">
        <v>11452</v>
      </c>
      <c r="B584" s="10">
        <v>381202</v>
      </c>
      <c r="C584" s="10">
        <v>2</v>
      </c>
      <c r="D584" s="9">
        <v>194</v>
      </c>
      <c r="E584" s="11" t="s">
        <v>450</v>
      </c>
      <c r="F584" s="12" t="s">
        <v>451</v>
      </c>
      <c r="G584" s="9" t="s">
        <v>452</v>
      </c>
      <c r="H584" s="34"/>
      <c r="I584" s="55" t="str">
        <f t="shared" si="19"/>
        <v>https://permalinkbnd.bnportugal.gov.pt/viewer/14624/?offset=#page=194&amp;viewer=picture&amp;o=info&amp;n=0&amp;q=</v>
      </c>
      <c r="J584" s="45"/>
      <c r="K584" s="45"/>
      <c r="L584" s="45"/>
      <c r="M584" t="s">
        <v>450</v>
      </c>
      <c r="N584">
        <v>14624</v>
      </c>
      <c r="O584" t="str">
        <f t="shared" si="18"/>
        <v>https://permalinkbnd.bnportugal.gov.pt/viewer/14624/?offset=#page=194&amp;viewer=picture&amp;o=info&amp;n=0&amp;q=</v>
      </c>
      <c r="P584">
        <v>381202</v>
      </c>
      <c r="Q584" t="s">
        <v>450</v>
      </c>
      <c r="R584" t="s">
        <v>3027</v>
      </c>
      <c r="S584" t="s">
        <v>1178</v>
      </c>
      <c r="T584" t="s">
        <v>1209</v>
      </c>
      <c r="U584" t="s">
        <v>1192</v>
      </c>
      <c r="V584" t="s">
        <v>3028</v>
      </c>
      <c r="W584" t="s">
        <v>599</v>
      </c>
      <c r="X584" t="s">
        <v>599</v>
      </c>
      <c r="Y584" t="s">
        <v>1182</v>
      </c>
      <c r="Z584" t="s">
        <v>3029</v>
      </c>
      <c r="AA584">
        <v>1639</v>
      </c>
      <c r="AB584">
        <v>1639</v>
      </c>
      <c r="AC584" t="s">
        <v>3030</v>
      </c>
      <c r="AD584" t="s">
        <v>1185</v>
      </c>
      <c r="AE584" t="s">
        <v>599</v>
      </c>
      <c r="AF584" t="s">
        <v>599</v>
      </c>
      <c r="AG584" t="s">
        <v>3031</v>
      </c>
      <c r="AH584" t="s">
        <v>599</v>
      </c>
      <c r="AI584" t="s">
        <v>3032</v>
      </c>
      <c r="AJ584" t="s">
        <v>3033</v>
      </c>
      <c r="AK584" t="s">
        <v>599</v>
      </c>
      <c r="AL584" t="s">
        <v>3034</v>
      </c>
      <c r="AM584" t="s">
        <v>1190</v>
      </c>
      <c r="AN584" t="s">
        <v>599</v>
      </c>
      <c r="AO584" t="s">
        <v>599</v>
      </c>
      <c r="AP584" t="s">
        <v>3035</v>
      </c>
      <c r="AQ584" t="s">
        <v>599</v>
      </c>
      <c r="AR584" t="s">
        <v>599</v>
      </c>
      <c r="AS584" t="s">
        <v>599</v>
      </c>
      <c r="AT584" t="s">
        <v>599</v>
      </c>
    </row>
    <row r="585" spans="1:46" ht="60" x14ac:dyDescent="0.25">
      <c r="A585" s="2">
        <v>11453</v>
      </c>
      <c r="B585" s="10">
        <v>381202</v>
      </c>
      <c r="C585" s="10">
        <v>2</v>
      </c>
      <c r="D585" s="9">
        <v>274</v>
      </c>
      <c r="E585" s="11" t="s">
        <v>450</v>
      </c>
      <c r="F585" s="12" t="s">
        <v>451</v>
      </c>
      <c r="G585" s="9" t="s">
        <v>452</v>
      </c>
      <c r="H585" s="34"/>
      <c r="I585" s="55" t="str">
        <f t="shared" si="19"/>
        <v>https://permalinkbnd.bnportugal.gov.pt/viewer/14624/?offset=#page=274&amp;viewer=picture&amp;o=info&amp;n=0&amp;q=</v>
      </c>
      <c r="J585" s="45"/>
      <c r="K585" s="45"/>
      <c r="L585" s="45"/>
      <c r="M585" t="s">
        <v>450</v>
      </c>
      <c r="N585">
        <v>14624</v>
      </c>
      <c r="O585" t="str">
        <f t="shared" si="18"/>
        <v>https://permalinkbnd.bnportugal.gov.pt/viewer/14624/?offset=#page=274&amp;viewer=picture&amp;o=info&amp;n=0&amp;q=</v>
      </c>
      <c r="P585">
        <v>381202</v>
      </c>
      <c r="Q585" t="s">
        <v>450</v>
      </c>
      <c r="R585" t="s">
        <v>3027</v>
      </c>
      <c r="S585" t="s">
        <v>1178</v>
      </c>
      <c r="T585" t="s">
        <v>1209</v>
      </c>
      <c r="U585" t="s">
        <v>1192</v>
      </c>
      <c r="V585" t="s">
        <v>3028</v>
      </c>
      <c r="W585" t="s">
        <v>599</v>
      </c>
      <c r="X585" t="s">
        <v>599</v>
      </c>
      <c r="Y585" t="s">
        <v>1182</v>
      </c>
      <c r="Z585" t="s">
        <v>3029</v>
      </c>
      <c r="AA585">
        <v>1639</v>
      </c>
      <c r="AB585">
        <v>1639</v>
      </c>
      <c r="AC585" t="s">
        <v>3030</v>
      </c>
      <c r="AD585" t="s">
        <v>1185</v>
      </c>
      <c r="AE585" t="s">
        <v>599</v>
      </c>
      <c r="AF585" t="s">
        <v>599</v>
      </c>
      <c r="AG585" t="s">
        <v>3031</v>
      </c>
      <c r="AH585" t="s">
        <v>599</v>
      </c>
      <c r="AI585" t="s">
        <v>3032</v>
      </c>
      <c r="AJ585" t="s">
        <v>3033</v>
      </c>
      <c r="AK585" t="s">
        <v>599</v>
      </c>
      <c r="AL585" t="s">
        <v>3034</v>
      </c>
      <c r="AM585" t="s">
        <v>1190</v>
      </c>
      <c r="AN585" t="s">
        <v>599</v>
      </c>
      <c r="AO585" t="s">
        <v>599</v>
      </c>
      <c r="AP585" t="s">
        <v>3035</v>
      </c>
      <c r="AQ585" t="s">
        <v>599</v>
      </c>
      <c r="AR585" t="s">
        <v>599</v>
      </c>
      <c r="AS585" t="s">
        <v>599</v>
      </c>
      <c r="AT585" t="s">
        <v>599</v>
      </c>
    </row>
    <row r="586" spans="1:46" ht="60" x14ac:dyDescent="0.25">
      <c r="A586" s="2">
        <v>11454</v>
      </c>
      <c r="B586" s="10">
        <v>381202</v>
      </c>
      <c r="C586" s="10">
        <v>2</v>
      </c>
      <c r="D586" s="9">
        <v>418</v>
      </c>
      <c r="E586" s="11" t="s">
        <v>450</v>
      </c>
      <c r="F586" s="12" t="s">
        <v>451</v>
      </c>
      <c r="G586" s="9" t="s">
        <v>452</v>
      </c>
      <c r="H586" s="34"/>
      <c r="I586" s="55" t="str">
        <f t="shared" si="19"/>
        <v>https://permalinkbnd.bnportugal.gov.pt/viewer/14624/?offset=#page=418&amp;viewer=picture&amp;o=info&amp;n=0&amp;q=</v>
      </c>
      <c r="J586" s="45"/>
      <c r="K586" s="45"/>
      <c r="L586" s="45"/>
      <c r="M586" t="s">
        <v>450</v>
      </c>
      <c r="N586">
        <v>14624</v>
      </c>
      <c r="O586" t="str">
        <f t="shared" si="18"/>
        <v>https://permalinkbnd.bnportugal.gov.pt/viewer/14624/?offset=#page=418&amp;viewer=picture&amp;o=info&amp;n=0&amp;q=</v>
      </c>
      <c r="P586">
        <v>381202</v>
      </c>
      <c r="Q586" t="s">
        <v>450</v>
      </c>
      <c r="R586" t="s">
        <v>3027</v>
      </c>
      <c r="S586" t="s">
        <v>1178</v>
      </c>
      <c r="T586" t="s">
        <v>1209</v>
      </c>
      <c r="U586" t="s">
        <v>1192</v>
      </c>
      <c r="V586" t="s">
        <v>3028</v>
      </c>
      <c r="W586" t="s">
        <v>599</v>
      </c>
      <c r="X586" t="s">
        <v>599</v>
      </c>
      <c r="Y586" t="s">
        <v>1182</v>
      </c>
      <c r="Z586" t="s">
        <v>3029</v>
      </c>
      <c r="AA586">
        <v>1639</v>
      </c>
      <c r="AB586">
        <v>1639</v>
      </c>
      <c r="AC586" t="s">
        <v>3030</v>
      </c>
      <c r="AD586" t="s">
        <v>1185</v>
      </c>
      <c r="AE586" t="s">
        <v>599</v>
      </c>
      <c r="AF586" t="s">
        <v>599</v>
      </c>
      <c r="AG586" t="s">
        <v>3031</v>
      </c>
      <c r="AH586" t="s">
        <v>599</v>
      </c>
      <c r="AI586" t="s">
        <v>3032</v>
      </c>
      <c r="AJ586" t="s">
        <v>3033</v>
      </c>
      <c r="AK586" t="s">
        <v>599</v>
      </c>
      <c r="AL586" t="s">
        <v>3034</v>
      </c>
      <c r="AM586" t="s">
        <v>1190</v>
      </c>
      <c r="AN586" t="s">
        <v>599</v>
      </c>
      <c r="AO586" t="s">
        <v>599</v>
      </c>
      <c r="AP586" t="s">
        <v>3035</v>
      </c>
      <c r="AQ586" t="s">
        <v>599</v>
      </c>
      <c r="AR586" t="s">
        <v>599</v>
      </c>
      <c r="AS586" t="s">
        <v>599</v>
      </c>
      <c r="AT586" t="s">
        <v>599</v>
      </c>
    </row>
    <row r="587" spans="1:46" ht="60" x14ac:dyDescent="0.25">
      <c r="A587" s="2">
        <v>11455</v>
      </c>
      <c r="B587" s="10">
        <v>381202</v>
      </c>
      <c r="C587" s="10">
        <v>2</v>
      </c>
      <c r="D587" s="9">
        <v>454</v>
      </c>
      <c r="E587" s="11" t="s">
        <v>450</v>
      </c>
      <c r="F587" s="12" t="s">
        <v>451</v>
      </c>
      <c r="G587" s="9" t="s">
        <v>452</v>
      </c>
      <c r="H587" s="34"/>
      <c r="I587" s="55" t="str">
        <f t="shared" si="19"/>
        <v>https://permalinkbnd.bnportugal.gov.pt/viewer/14624/?offset=#page=454&amp;viewer=picture&amp;o=info&amp;n=0&amp;q=</v>
      </c>
      <c r="J587" s="45"/>
      <c r="K587" s="45"/>
      <c r="L587" s="45"/>
      <c r="M587" t="s">
        <v>450</v>
      </c>
      <c r="N587">
        <v>14624</v>
      </c>
      <c r="O587" t="str">
        <f t="shared" si="18"/>
        <v>https://permalinkbnd.bnportugal.gov.pt/viewer/14624/?offset=#page=454&amp;viewer=picture&amp;o=info&amp;n=0&amp;q=</v>
      </c>
      <c r="P587">
        <v>381202</v>
      </c>
      <c r="Q587" t="s">
        <v>450</v>
      </c>
      <c r="R587" t="s">
        <v>3027</v>
      </c>
      <c r="S587" t="s">
        <v>1178</v>
      </c>
      <c r="T587" t="s">
        <v>1209</v>
      </c>
      <c r="U587" t="s">
        <v>1192</v>
      </c>
      <c r="V587" t="s">
        <v>3028</v>
      </c>
      <c r="W587" t="s">
        <v>599</v>
      </c>
      <c r="X587" t="s">
        <v>599</v>
      </c>
      <c r="Y587" t="s">
        <v>1182</v>
      </c>
      <c r="Z587" t="s">
        <v>3029</v>
      </c>
      <c r="AA587">
        <v>1639</v>
      </c>
      <c r="AB587">
        <v>1639</v>
      </c>
      <c r="AC587" t="s">
        <v>3030</v>
      </c>
      <c r="AD587" t="s">
        <v>1185</v>
      </c>
      <c r="AE587" t="s">
        <v>599</v>
      </c>
      <c r="AF587" t="s">
        <v>599</v>
      </c>
      <c r="AG587" t="s">
        <v>3031</v>
      </c>
      <c r="AH587" t="s">
        <v>599</v>
      </c>
      <c r="AI587" t="s">
        <v>3032</v>
      </c>
      <c r="AJ587" t="s">
        <v>3033</v>
      </c>
      <c r="AK587" t="s">
        <v>599</v>
      </c>
      <c r="AL587" t="s">
        <v>3034</v>
      </c>
      <c r="AM587" t="s">
        <v>1190</v>
      </c>
      <c r="AN587" t="s">
        <v>599</v>
      </c>
      <c r="AO587" t="s">
        <v>599</v>
      </c>
      <c r="AP587" t="s">
        <v>3035</v>
      </c>
      <c r="AQ587" t="s">
        <v>599</v>
      </c>
      <c r="AR587" t="s">
        <v>599</v>
      </c>
      <c r="AS587" t="s">
        <v>599</v>
      </c>
      <c r="AT587" t="s">
        <v>599</v>
      </c>
    </row>
    <row r="588" spans="1:46" ht="60" x14ac:dyDescent="0.25">
      <c r="A588" s="2">
        <v>11456</v>
      </c>
      <c r="B588" s="10">
        <v>381202</v>
      </c>
      <c r="C588" s="10">
        <v>2</v>
      </c>
      <c r="D588" s="9">
        <v>463</v>
      </c>
      <c r="E588" s="11" t="s">
        <v>450</v>
      </c>
      <c r="F588" s="12" t="s">
        <v>451</v>
      </c>
      <c r="G588" s="9" t="s">
        <v>452</v>
      </c>
      <c r="H588" s="34"/>
      <c r="I588" s="55" t="str">
        <f t="shared" si="19"/>
        <v>https://permalinkbnd.bnportugal.gov.pt/viewer/14624/?offset=#page=463&amp;viewer=picture&amp;o=info&amp;n=0&amp;q=</v>
      </c>
      <c r="J588" s="45"/>
      <c r="K588" s="45"/>
      <c r="L588" s="45"/>
      <c r="M588" t="s">
        <v>450</v>
      </c>
      <c r="N588">
        <v>14624</v>
      </c>
      <c r="O588" t="str">
        <f t="shared" si="18"/>
        <v>https://permalinkbnd.bnportugal.gov.pt/viewer/14624/?offset=#page=463&amp;viewer=picture&amp;o=info&amp;n=0&amp;q=</v>
      </c>
      <c r="P588">
        <v>381202</v>
      </c>
      <c r="Q588" t="s">
        <v>450</v>
      </c>
      <c r="R588" t="s">
        <v>3027</v>
      </c>
      <c r="S588" t="s">
        <v>1178</v>
      </c>
      <c r="T588" t="s">
        <v>1209</v>
      </c>
      <c r="U588" t="s">
        <v>1192</v>
      </c>
      <c r="V588" t="s">
        <v>3028</v>
      </c>
      <c r="W588" t="s">
        <v>599</v>
      </c>
      <c r="X588" t="s">
        <v>599</v>
      </c>
      <c r="Y588" t="s">
        <v>1182</v>
      </c>
      <c r="Z588" t="s">
        <v>3029</v>
      </c>
      <c r="AA588">
        <v>1639</v>
      </c>
      <c r="AB588">
        <v>1639</v>
      </c>
      <c r="AC588" t="s">
        <v>3030</v>
      </c>
      <c r="AD588" t="s">
        <v>1185</v>
      </c>
      <c r="AE588" t="s">
        <v>599</v>
      </c>
      <c r="AF588" t="s">
        <v>599</v>
      </c>
      <c r="AG588" t="s">
        <v>3031</v>
      </c>
      <c r="AH588" t="s">
        <v>599</v>
      </c>
      <c r="AI588" t="s">
        <v>3032</v>
      </c>
      <c r="AJ588" t="s">
        <v>3033</v>
      </c>
      <c r="AK588" t="s">
        <v>599</v>
      </c>
      <c r="AL588" t="s">
        <v>3034</v>
      </c>
      <c r="AM588" t="s">
        <v>1190</v>
      </c>
      <c r="AN588" t="s">
        <v>599</v>
      </c>
      <c r="AO588" t="s">
        <v>599</v>
      </c>
      <c r="AP588" t="s">
        <v>3035</v>
      </c>
      <c r="AQ588" t="s">
        <v>599</v>
      </c>
      <c r="AR588" t="s">
        <v>599</v>
      </c>
      <c r="AS588" t="s">
        <v>599</v>
      </c>
      <c r="AT588" t="s">
        <v>599</v>
      </c>
    </row>
    <row r="589" spans="1:46" ht="60" x14ac:dyDescent="0.25">
      <c r="A589" s="2">
        <v>11457</v>
      </c>
      <c r="B589" s="10">
        <v>381202</v>
      </c>
      <c r="C589" s="10">
        <v>2</v>
      </c>
      <c r="D589" s="9">
        <v>465</v>
      </c>
      <c r="E589" s="11" t="s">
        <v>450</v>
      </c>
      <c r="F589" s="12" t="s">
        <v>451</v>
      </c>
      <c r="G589" s="9" t="s">
        <v>452</v>
      </c>
      <c r="H589" s="34"/>
      <c r="I589" s="55" t="str">
        <f t="shared" si="19"/>
        <v>https://permalinkbnd.bnportugal.gov.pt/viewer/14624/?offset=#page=465&amp;viewer=picture&amp;o=info&amp;n=0&amp;q=</v>
      </c>
      <c r="J589" s="45"/>
      <c r="K589" s="45"/>
      <c r="L589" s="45"/>
      <c r="M589" t="s">
        <v>450</v>
      </c>
      <c r="N589">
        <v>14624</v>
      </c>
      <c r="O589" t="str">
        <f t="shared" si="18"/>
        <v>https://permalinkbnd.bnportugal.gov.pt/viewer/14624/?offset=#page=465&amp;viewer=picture&amp;o=info&amp;n=0&amp;q=</v>
      </c>
      <c r="P589">
        <v>381202</v>
      </c>
      <c r="Q589" t="s">
        <v>450</v>
      </c>
      <c r="R589" t="s">
        <v>3027</v>
      </c>
      <c r="S589" t="s">
        <v>1178</v>
      </c>
      <c r="T589" t="s">
        <v>1209</v>
      </c>
      <c r="U589" t="s">
        <v>1192</v>
      </c>
      <c r="V589" t="s">
        <v>3028</v>
      </c>
      <c r="W589" t="s">
        <v>599</v>
      </c>
      <c r="X589" t="s">
        <v>599</v>
      </c>
      <c r="Y589" t="s">
        <v>1182</v>
      </c>
      <c r="Z589" t="s">
        <v>3029</v>
      </c>
      <c r="AA589">
        <v>1639</v>
      </c>
      <c r="AB589">
        <v>1639</v>
      </c>
      <c r="AC589" t="s">
        <v>3030</v>
      </c>
      <c r="AD589" t="s">
        <v>1185</v>
      </c>
      <c r="AE589" t="s">
        <v>599</v>
      </c>
      <c r="AF589" t="s">
        <v>599</v>
      </c>
      <c r="AG589" t="s">
        <v>3031</v>
      </c>
      <c r="AH589" t="s">
        <v>599</v>
      </c>
      <c r="AI589" t="s">
        <v>3032</v>
      </c>
      <c r="AJ589" t="s">
        <v>3033</v>
      </c>
      <c r="AK589" t="s">
        <v>599</v>
      </c>
      <c r="AL589" t="s">
        <v>3034</v>
      </c>
      <c r="AM589" t="s">
        <v>1190</v>
      </c>
      <c r="AN589" t="s">
        <v>599</v>
      </c>
      <c r="AO589" t="s">
        <v>599</v>
      </c>
      <c r="AP589" t="s">
        <v>3035</v>
      </c>
      <c r="AQ589" t="s">
        <v>599</v>
      </c>
      <c r="AR589" t="s">
        <v>599</v>
      </c>
      <c r="AS589" t="s">
        <v>599</v>
      </c>
      <c r="AT589" t="s">
        <v>599</v>
      </c>
    </row>
    <row r="590" spans="1:46" ht="60" x14ac:dyDescent="0.25">
      <c r="A590" s="2">
        <v>11458</v>
      </c>
      <c r="B590" s="10">
        <v>381202</v>
      </c>
      <c r="C590" s="10">
        <v>2</v>
      </c>
      <c r="D590" s="9">
        <v>466</v>
      </c>
      <c r="E590" s="11" t="s">
        <v>450</v>
      </c>
      <c r="F590" s="12" t="s">
        <v>451</v>
      </c>
      <c r="G590" s="9" t="s">
        <v>452</v>
      </c>
      <c r="H590" s="34"/>
      <c r="I590" s="55" t="str">
        <f t="shared" si="19"/>
        <v>https://permalinkbnd.bnportugal.gov.pt/viewer/14624/?offset=#page=466&amp;viewer=picture&amp;o=info&amp;n=0&amp;q=</v>
      </c>
      <c r="J590" s="45"/>
      <c r="K590" s="45"/>
      <c r="L590" s="45"/>
      <c r="M590" t="s">
        <v>450</v>
      </c>
      <c r="N590">
        <v>14624</v>
      </c>
      <c r="O590" t="str">
        <f t="shared" si="18"/>
        <v>https://permalinkbnd.bnportugal.gov.pt/viewer/14624/?offset=#page=466&amp;viewer=picture&amp;o=info&amp;n=0&amp;q=</v>
      </c>
      <c r="P590">
        <v>381202</v>
      </c>
      <c r="Q590" t="s">
        <v>450</v>
      </c>
      <c r="R590" t="s">
        <v>3027</v>
      </c>
      <c r="S590" t="s">
        <v>1178</v>
      </c>
      <c r="T590" t="s">
        <v>1209</v>
      </c>
      <c r="U590" t="s">
        <v>1192</v>
      </c>
      <c r="V590" t="s">
        <v>3028</v>
      </c>
      <c r="W590" t="s">
        <v>599</v>
      </c>
      <c r="X590" t="s">
        <v>599</v>
      </c>
      <c r="Y590" t="s">
        <v>1182</v>
      </c>
      <c r="Z590" t="s">
        <v>3029</v>
      </c>
      <c r="AA590">
        <v>1639</v>
      </c>
      <c r="AB590">
        <v>1639</v>
      </c>
      <c r="AC590" t="s">
        <v>3030</v>
      </c>
      <c r="AD590" t="s">
        <v>1185</v>
      </c>
      <c r="AE590" t="s">
        <v>599</v>
      </c>
      <c r="AF590" t="s">
        <v>599</v>
      </c>
      <c r="AG590" t="s">
        <v>3031</v>
      </c>
      <c r="AH590" t="s">
        <v>599</v>
      </c>
      <c r="AI590" t="s">
        <v>3032</v>
      </c>
      <c r="AJ590" t="s">
        <v>3033</v>
      </c>
      <c r="AK590" t="s">
        <v>599</v>
      </c>
      <c r="AL590" t="s">
        <v>3034</v>
      </c>
      <c r="AM590" t="s">
        <v>1190</v>
      </c>
      <c r="AN590" t="s">
        <v>599</v>
      </c>
      <c r="AO590" t="s">
        <v>599</v>
      </c>
      <c r="AP590" t="s">
        <v>3035</v>
      </c>
      <c r="AQ590" t="s">
        <v>599</v>
      </c>
      <c r="AR590" t="s">
        <v>599</v>
      </c>
      <c r="AS590" t="s">
        <v>599</v>
      </c>
      <c r="AT590" t="s">
        <v>599</v>
      </c>
    </row>
    <row r="591" spans="1:46" ht="60" x14ac:dyDescent="0.25">
      <c r="A591" s="2">
        <v>11459</v>
      </c>
      <c r="B591" s="10">
        <v>381202</v>
      </c>
      <c r="C591" s="10">
        <v>2</v>
      </c>
      <c r="D591" s="9">
        <v>468</v>
      </c>
      <c r="E591" s="11" t="s">
        <v>450</v>
      </c>
      <c r="F591" s="12" t="s">
        <v>451</v>
      </c>
      <c r="G591" s="9" t="s">
        <v>452</v>
      </c>
      <c r="H591" s="34"/>
      <c r="I591" s="55" t="str">
        <f t="shared" si="19"/>
        <v>https://permalinkbnd.bnportugal.gov.pt/viewer/14624/?offset=#page=468&amp;viewer=picture&amp;o=info&amp;n=0&amp;q=</v>
      </c>
      <c r="J591" s="45"/>
      <c r="K591" s="45"/>
      <c r="L591" s="45"/>
      <c r="M591" t="s">
        <v>450</v>
      </c>
      <c r="N591">
        <v>14624</v>
      </c>
      <c r="O591" t="str">
        <f t="shared" si="18"/>
        <v>https://permalinkbnd.bnportugal.gov.pt/viewer/14624/?offset=#page=468&amp;viewer=picture&amp;o=info&amp;n=0&amp;q=</v>
      </c>
      <c r="P591">
        <v>381202</v>
      </c>
      <c r="Q591" t="s">
        <v>450</v>
      </c>
      <c r="R591" t="s">
        <v>3027</v>
      </c>
      <c r="S591" t="s">
        <v>1178</v>
      </c>
      <c r="T591" t="s">
        <v>1209</v>
      </c>
      <c r="U591" t="s">
        <v>1192</v>
      </c>
      <c r="V591" t="s">
        <v>3028</v>
      </c>
      <c r="W591" t="s">
        <v>599</v>
      </c>
      <c r="X591" t="s">
        <v>599</v>
      </c>
      <c r="Y591" t="s">
        <v>1182</v>
      </c>
      <c r="Z591" t="s">
        <v>3029</v>
      </c>
      <c r="AA591">
        <v>1639</v>
      </c>
      <c r="AB591">
        <v>1639</v>
      </c>
      <c r="AC591" t="s">
        <v>3030</v>
      </c>
      <c r="AD591" t="s">
        <v>1185</v>
      </c>
      <c r="AE591" t="s">
        <v>599</v>
      </c>
      <c r="AF591" t="s">
        <v>599</v>
      </c>
      <c r="AG591" t="s">
        <v>3031</v>
      </c>
      <c r="AH591" t="s">
        <v>599</v>
      </c>
      <c r="AI591" t="s">
        <v>3032</v>
      </c>
      <c r="AJ591" t="s">
        <v>3033</v>
      </c>
      <c r="AK591" t="s">
        <v>599</v>
      </c>
      <c r="AL591" t="s">
        <v>3034</v>
      </c>
      <c r="AM591" t="s">
        <v>1190</v>
      </c>
      <c r="AN591" t="s">
        <v>599</v>
      </c>
      <c r="AO591" t="s">
        <v>599</v>
      </c>
      <c r="AP591" t="s">
        <v>3035</v>
      </c>
      <c r="AQ591" t="s">
        <v>599</v>
      </c>
      <c r="AR591" t="s">
        <v>599</v>
      </c>
      <c r="AS591" t="s">
        <v>599</v>
      </c>
      <c r="AT591" t="s">
        <v>599</v>
      </c>
    </row>
    <row r="592" spans="1:46" ht="60" x14ac:dyDescent="0.25">
      <c r="A592" s="2">
        <v>11460</v>
      </c>
      <c r="B592" s="10">
        <v>381202</v>
      </c>
      <c r="C592" s="10">
        <v>2</v>
      </c>
      <c r="D592" s="9">
        <v>472</v>
      </c>
      <c r="E592" s="11" t="s">
        <v>450</v>
      </c>
      <c r="F592" s="12" t="s">
        <v>451</v>
      </c>
      <c r="G592" s="9" t="s">
        <v>452</v>
      </c>
      <c r="H592" s="34"/>
      <c r="I592" s="55" t="str">
        <f t="shared" si="19"/>
        <v>https://permalinkbnd.bnportugal.gov.pt/viewer/14624/?offset=#page=472&amp;viewer=picture&amp;o=info&amp;n=0&amp;q=</v>
      </c>
      <c r="J592" s="45"/>
      <c r="K592" s="45"/>
      <c r="L592" s="45"/>
      <c r="M592" t="s">
        <v>450</v>
      </c>
      <c r="N592">
        <v>14624</v>
      </c>
      <c r="O592" t="str">
        <f t="shared" si="18"/>
        <v>https://permalinkbnd.bnportugal.gov.pt/viewer/14624/?offset=#page=472&amp;viewer=picture&amp;o=info&amp;n=0&amp;q=</v>
      </c>
      <c r="P592">
        <v>381202</v>
      </c>
      <c r="Q592" t="s">
        <v>450</v>
      </c>
      <c r="R592" t="s">
        <v>3027</v>
      </c>
      <c r="S592" t="s">
        <v>1178</v>
      </c>
      <c r="T592" t="s">
        <v>1209</v>
      </c>
      <c r="U592" t="s">
        <v>1192</v>
      </c>
      <c r="V592" t="s">
        <v>3028</v>
      </c>
      <c r="W592" t="s">
        <v>599</v>
      </c>
      <c r="X592" t="s">
        <v>599</v>
      </c>
      <c r="Y592" t="s">
        <v>1182</v>
      </c>
      <c r="Z592" t="s">
        <v>3029</v>
      </c>
      <c r="AA592">
        <v>1639</v>
      </c>
      <c r="AB592">
        <v>1639</v>
      </c>
      <c r="AC592" t="s">
        <v>3030</v>
      </c>
      <c r="AD592" t="s">
        <v>1185</v>
      </c>
      <c r="AE592" t="s">
        <v>599</v>
      </c>
      <c r="AF592" t="s">
        <v>599</v>
      </c>
      <c r="AG592" t="s">
        <v>3031</v>
      </c>
      <c r="AH592" t="s">
        <v>599</v>
      </c>
      <c r="AI592" t="s">
        <v>3032</v>
      </c>
      <c r="AJ592" t="s">
        <v>3033</v>
      </c>
      <c r="AK592" t="s">
        <v>599</v>
      </c>
      <c r="AL592" t="s">
        <v>3034</v>
      </c>
      <c r="AM592" t="s">
        <v>1190</v>
      </c>
      <c r="AN592" t="s">
        <v>599</v>
      </c>
      <c r="AO592" t="s">
        <v>599</v>
      </c>
      <c r="AP592" t="s">
        <v>3035</v>
      </c>
      <c r="AQ592" t="s">
        <v>599</v>
      </c>
      <c r="AR592" t="s">
        <v>599</v>
      </c>
      <c r="AS592" t="s">
        <v>599</v>
      </c>
      <c r="AT592" t="s">
        <v>599</v>
      </c>
    </row>
    <row r="593" spans="1:46" ht="60" x14ac:dyDescent="0.25">
      <c r="A593" s="2">
        <v>11461</v>
      </c>
      <c r="B593" s="10">
        <v>381202</v>
      </c>
      <c r="C593" s="10">
        <v>2</v>
      </c>
      <c r="D593" s="9">
        <v>473</v>
      </c>
      <c r="E593" s="11" t="s">
        <v>450</v>
      </c>
      <c r="F593" s="12" t="s">
        <v>451</v>
      </c>
      <c r="G593" s="9" t="s">
        <v>452</v>
      </c>
      <c r="H593" s="34"/>
      <c r="I593" s="55" t="str">
        <f t="shared" si="19"/>
        <v>https://permalinkbnd.bnportugal.gov.pt/viewer/14624/?offset=#page=473&amp;viewer=picture&amp;o=info&amp;n=0&amp;q=</v>
      </c>
      <c r="J593" s="45"/>
      <c r="K593" s="45"/>
      <c r="L593" s="45"/>
      <c r="M593" t="s">
        <v>450</v>
      </c>
      <c r="N593">
        <v>14624</v>
      </c>
      <c r="O593" t="str">
        <f t="shared" si="18"/>
        <v>https://permalinkbnd.bnportugal.gov.pt/viewer/14624/?offset=#page=473&amp;viewer=picture&amp;o=info&amp;n=0&amp;q=</v>
      </c>
      <c r="P593">
        <v>381202</v>
      </c>
      <c r="Q593" t="s">
        <v>450</v>
      </c>
      <c r="R593" t="s">
        <v>3027</v>
      </c>
      <c r="S593" t="s">
        <v>1178</v>
      </c>
      <c r="T593" t="s">
        <v>1209</v>
      </c>
      <c r="U593" t="s">
        <v>1192</v>
      </c>
      <c r="V593" t="s">
        <v>3028</v>
      </c>
      <c r="W593" t="s">
        <v>599</v>
      </c>
      <c r="X593" t="s">
        <v>599</v>
      </c>
      <c r="Y593" t="s">
        <v>1182</v>
      </c>
      <c r="Z593" t="s">
        <v>3029</v>
      </c>
      <c r="AA593">
        <v>1639</v>
      </c>
      <c r="AB593">
        <v>1639</v>
      </c>
      <c r="AC593" t="s">
        <v>3030</v>
      </c>
      <c r="AD593" t="s">
        <v>1185</v>
      </c>
      <c r="AE593" t="s">
        <v>599</v>
      </c>
      <c r="AF593" t="s">
        <v>599</v>
      </c>
      <c r="AG593" t="s">
        <v>3031</v>
      </c>
      <c r="AH593" t="s">
        <v>599</v>
      </c>
      <c r="AI593" t="s">
        <v>3032</v>
      </c>
      <c r="AJ593" t="s">
        <v>3033</v>
      </c>
      <c r="AK593" t="s">
        <v>599</v>
      </c>
      <c r="AL593" t="s">
        <v>3034</v>
      </c>
      <c r="AM593" t="s">
        <v>1190</v>
      </c>
      <c r="AN593" t="s">
        <v>599</v>
      </c>
      <c r="AO593" t="s">
        <v>599</v>
      </c>
      <c r="AP593" t="s">
        <v>3035</v>
      </c>
      <c r="AQ593" t="s">
        <v>599</v>
      </c>
      <c r="AR593" t="s">
        <v>599</v>
      </c>
      <c r="AS593" t="s">
        <v>599</v>
      </c>
      <c r="AT593" t="s">
        <v>599</v>
      </c>
    </row>
    <row r="594" spans="1:46" ht="60" x14ac:dyDescent="0.25">
      <c r="A594" s="2">
        <v>11462</v>
      </c>
      <c r="B594" s="10">
        <v>381202</v>
      </c>
      <c r="C594" s="10">
        <v>2</v>
      </c>
      <c r="D594" s="9">
        <v>474</v>
      </c>
      <c r="E594" s="11" t="s">
        <v>450</v>
      </c>
      <c r="F594" s="12" t="s">
        <v>451</v>
      </c>
      <c r="G594" s="9" t="s">
        <v>452</v>
      </c>
      <c r="H594" s="34"/>
      <c r="I594" s="55" t="str">
        <f t="shared" si="19"/>
        <v>https://permalinkbnd.bnportugal.gov.pt/viewer/14624/?offset=#page=474&amp;viewer=picture&amp;o=info&amp;n=0&amp;q=</v>
      </c>
      <c r="J594" s="45"/>
      <c r="K594" s="45"/>
      <c r="L594" s="45"/>
      <c r="M594" t="s">
        <v>450</v>
      </c>
      <c r="N594">
        <v>14624</v>
      </c>
      <c r="O594" t="str">
        <f t="shared" si="18"/>
        <v>https://permalinkbnd.bnportugal.gov.pt/viewer/14624/?offset=#page=474&amp;viewer=picture&amp;o=info&amp;n=0&amp;q=</v>
      </c>
      <c r="P594">
        <v>381202</v>
      </c>
      <c r="Q594" t="s">
        <v>450</v>
      </c>
      <c r="R594" t="s">
        <v>3027</v>
      </c>
      <c r="S594" t="s">
        <v>1178</v>
      </c>
      <c r="T594" t="s">
        <v>1209</v>
      </c>
      <c r="U594" t="s">
        <v>1192</v>
      </c>
      <c r="V594" t="s">
        <v>3028</v>
      </c>
      <c r="W594" t="s">
        <v>599</v>
      </c>
      <c r="X594" t="s">
        <v>599</v>
      </c>
      <c r="Y594" t="s">
        <v>1182</v>
      </c>
      <c r="Z594" t="s">
        <v>3029</v>
      </c>
      <c r="AA594">
        <v>1639</v>
      </c>
      <c r="AB594">
        <v>1639</v>
      </c>
      <c r="AC594" t="s">
        <v>3030</v>
      </c>
      <c r="AD594" t="s">
        <v>1185</v>
      </c>
      <c r="AE594" t="s">
        <v>599</v>
      </c>
      <c r="AF594" t="s">
        <v>599</v>
      </c>
      <c r="AG594" t="s">
        <v>3031</v>
      </c>
      <c r="AH594" t="s">
        <v>599</v>
      </c>
      <c r="AI594" t="s">
        <v>3032</v>
      </c>
      <c r="AJ594" t="s">
        <v>3033</v>
      </c>
      <c r="AK594" t="s">
        <v>599</v>
      </c>
      <c r="AL594" t="s">
        <v>3034</v>
      </c>
      <c r="AM594" t="s">
        <v>1190</v>
      </c>
      <c r="AN594" t="s">
        <v>599</v>
      </c>
      <c r="AO594" t="s">
        <v>599</v>
      </c>
      <c r="AP594" t="s">
        <v>3035</v>
      </c>
      <c r="AQ594" t="s">
        <v>599</v>
      </c>
      <c r="AR594" t="s">
        <v>599</v>
      </c>
      <c r="AS594" t="s">
        <v>599</v>
      </c>
      <c r="AT594" t="s">
        <v>599</v>
      </c>
    </row>
    <row r="595" spans="1:46" ht="60" x14ac:dyDescent="0.25">
      <c r="A595" s="2">
        <v>11463</v>
      </c>
      <c r="B595" s="10">
        <v>381202</v>
      </c>
      <c r="C595" s="10">
        <v>2</v>
      </c>
      <c r="D595" s="9">
        <v>476</v>
      </c>
      <c r="E595" s="11" t="s">
        <v>450</v>
      </c>
      <c r="F595" s="12" t="s">
        <v>451</v>
      </c>
      <c r="G595" s="9" t="s">
        <v>452</v>
      </c>
      <c r="H595" s="34"/>
      <c r="I595" s="55" t="str">
        <f t="shared" si="19"/>
        <v>https://permalinkbnd.bnportugal.gov.pt/viewer/14624/?offset=#page=476&amp;viewer=picture&amp;o=info&amp;n=0&amp;q=</v>
      </c>
      <c r="J595" s="45"/>
      <c r="K595" s="45"/>
      <c r="L595" s="45"/>
      <c r="M595" t="s">
        <v>450</v>
      </c>
      <c r="N595">
        <v>14624</v>
      </c>
      <c r="O595" t="str">
        <f t="shared" si="18"/>
        <v>https://permalinkbnd.bnportugal.gov.pt/viewer/14624/?offset=#page=476&amp;viewer=picture&amp;o=info&amp;n=0&amp;q=</v>
      </c>
      <c r="P595">
        <v>381202</v>
      </c>
      <c r="Q595" t="s">
        <v>450</v>
      </c>
      <c r="R595" t="s">
        <v>3027</v>
      </c>
      <c r="S595" t="s">
        <v>1178</v>
      </c>
      <c r="T595" t="s">
        <v>1209</v>
      </c>
      <c r="U595" t="s">
        <v>1192</v>
      </c>
      <c r="V595" t="s">
        <v>3028</v>
      </c>
      <c r="W595" t="s">
        <v>599</v>
      </c>
      <c r="X595" t="s">
        <v>599</v>
      </c>
      <c r="Y595" t="s">
        <v>1182</v>
      </c>
      <c r="Z595" t="s">
        <v>3029</v>
      </c>
      <c r="AA595">
        <v>1639</v>
      </c>
      <c r="AB595">
        <v>1639</v>
      </c>
      <c r="AC595" t="s">
        <v>3030</v>
      </c>
      <c r="AD595" t="s">
        <v>1185</v>
      </c>
      <c r="AE595" t="s">
        <v>599</v>
      </c>
      <c r="AF595" t="s">
        <v>599</v>
      </c>
      <c r="AG595" t="s">
        <v>3031</v>
      </c>
      <c r="AH595" t="s">
        <v>599</v>
      </c>
      <c r="AI595" t="s">
        <v>3032</v>
      </c>
      <c r="AJ595" t="s">
        <v>3033</v>
      </c>
      <c r="AK595" t="s">
        <v>599</v>
      </c>
      <c r="AL595" t="s">
        <v>3034</v>
      </c>
      <c r="AM595" t="s">
        <v>1190</v>
      </c>
      <c r="AN595" t="s">
        <v>599</v>
      </c>
      <c r="AO595" t="s">
        <v>599</v>
      </c>
      <c r="AP595" t="s">
        <v>3035</v>
      </c>
      <c r="AQ595" t="s">
        <v>599</v>
      </c>
      <c r="AR595" t="s">
        <v>599</v>
      </c>
      <c r="AS595" t="s">
        <v>599</v>
      </c>
      <c r="AT595" t="s">
        <v>599</v>
      </c>
    </row>
    <row r="596" spans="1:46" ht="60" x14ac:dyDescent="0.25">
      <c r="A596" s="2">
        <v>11464</v>
      </c>
      <c r="B596" s="10">
        <v>381202</v>
      </c>
      <c r="C596" s="10">
        <v>2</v>
      </c>
      <c r="D596" s="9">
        <v>480</v>
      </c>
      <c r="E596" s="11" t="s">
        <v>450</v>
      </c>
      <c r="F596" s="12" t="s">
        <v>451</v>
      </c>
      <c r="G596" s="9" t="s">
        <v>452</v>
      </c>
      <c r="H596" s="34"/>
      <c r="I596" s="55" t="str">
        <f t="shared" si="19"/>
        <v>https://permalinkbnd.bnportugal.gov.pt/viewer/14624/?offset=#page=480&amp;viewer=picture&amp;o=info&amp;n=0&amp;q=</v>
      </c>
      <c r="J596" s="45"/>
      <c r="K596" s="45"/>
      <c r="L596" s="45"/>
      <c r="M596" t="s">
        <v>450</v>
      </c>
      <c r="N596">
        <v>14624</v>
      </c>
      <c r="O596" t="str">
        <f t="shared" si="18"/>
        <v>https://permalinkbnd.bnportugal.gov.pt/viewer/14624/?offset=#page=480&amp;viewer=picture&amp;o=info&amp;n=0&amp;q=</v>
      </c>
      <c r="P596">
        <v>381202</v>
      </c>
      <c r="Q596" t="s">
        <v>450</v>
      </c>
      <c r="R596" t="s">
        <v>3027</v>
      </c>
      <c r="S596" t="s">
        <v>1178</v>
      </c>
      <c r="T596" t="s">
        <v>1209</v>
      </c>
      <c r="U596" t="s">
        <v>1192</v>
      </c>
      <c r="V596" t="s">
        <v>3028</v>
      </c>
      <c r="W596" t="s">
        <v>599</v>
      </c>
      <c r="X596" t="s">
        <v>599</v>
      </c>
      <c r="Y596" t="s">
        <v>1182</v>
      </c>
      <c r="Z596" t="s">
        <v>3029</v>
      </c>
      <c r="AA596">
        <v>1639</v>
      </c>
      <c r="AB596">
        <v>1639</v>
      </c>
      <c r="AC596" t="s">
        <v>3030</v>
      </c>
      <c r="AD596" t="s">
        <v>1185</v>
      </c>
      <c r="AE596" t="s">
        <v>599</v>
      </c>
      <c r="AF596" t="s">
        <v>599</v>
      </c>
      <c r="AG596" t="s">
        <v>3031</v>
      </c>
      <c r="AH596" t="s">
        <v>599</v>
      </c>
      <c r="AI596" t="s">
        <v>3032</v>
      </c>
      <c r="AJ596" t="s">
        <v>3033</v>
      </c>
      <c r="AK596" t="s">
        <v>599</v>
      </c>
      <c r="AL596" t="s">
        <v>3034</v>
      </c>
      <c r="AM596" t="s">
        <v>1190</v>
      </c>
      <c r="AN596" t="s">
        <v>599</v>
      </c>
      <c r="AO596" t="s">
        <v>599</v>
      </c>
      <c r="AP596" t="s">
        <v>3035</v>
      </c>
      <c r="AQ596" t="s">
        <v>599</v>
      </c>
      <c r="AR596" t="s">
        <v>599</v>
      </c>
      <c r="AS596" t="s">
        <v>599</v>
      </c>
      <c r="AT596" t="s">
        <v>599</v>
      </c>
    </row>
    <row r="597" spans="1:46" ht="60" x14ac:dyDescent="0.25">
      <c r="A597" s="2">
        <v>11465</v>
      </c>
      <c r="B597" s="10">
        <v>381202</v>
      </c>
      <c r="C597" s="10">
        <v>2</v>
      </c>
      <c r="D597" s="9">
        <v>514</v>
      </c>
      <c r="E597" s="11" t="s">
        <v>450</v>
      </c>
      <c r="F597" s="12" t="s">
        <v>451</v>
      </c>
      <c r="G597" s="9" t="s">
        <v>452</v>
      </c>
      <c r="H597" s="34"/>
      <c r="I597" s="55" t="str">
        <f t="shared" si="19"/>
        <v>https://permalinkbnd.bnportugal.gov.pt/viewer/14624/?offset=#page=514&amp;viewer=picture&amp;o=info&amp;n=0&amp;q=</v>
      </c>
      <c r="J597" s="45"/>
      <c r="K597" s="45"/>
      <c r="L597" s="45"/>
      <c r="M597" t="s">
        <v>450</v>
      </c>
      <c r="N597">
        <v>14624</v>
      </c>
      <c r="O597" t="str">
        <f t="shared" si="18"/>
        <v>https://permalinkbnd.bnportugal.gov.pt/viewer/14624/?offset=#page=514&amp;viewer=picture&amp;o=info&amp;n=0&amp;q=</v>
      </c>
      <c r="P597">
        <v>381202</v>
      </c>
      <c r="Q597" t="s">
        <v>450</v>
      </c>
      <c r="R597" t="s">
        <v>3027</v>
      </c>
      <c r="S597" t="s">
        <v>1178</v>
      </c>
      <c r="T597" t="s">
        <v>1209</v>
      </c>
      <c r="U597" t="s">
        <v>1192</v>
      </c>
      <c r="V597" t="s">
        <v>3028</v>
      </c>
      <c r="W597" t="s">
        <v>599</v>
      </c>
      <c r="X597" t="s">
        <v>599</v>
      </c>
      <c r="Y597" t="s">
        <v>1182</v>
      </c>
      <c r="Z597" t="s">
        <v>3029</v>
      </c>
      <c r="AA597">
        <v>1639</v>
      </c>
      <c r="AB597">
        <v>1639</v>
      </c>
      <c r="AC597" t="s">
        <v>3030</v>
      </c>
      <c r="AD597" t="s">
        <v>1185</v>
      </c>
      <c r="AE597" t="s">
        <v>599</v>
      </c>
      <c r="AF597" t="s">
        <v>599</v>
      </c>
      <c r="AG597" t="s">
        <v>3031</v>
      </c>
      <c r="AH597" t="s">
        <v>599</v>
      </c>
      <c r="AI597" t="s">
        <v>3032</v>
      </c>
      <c r="AJ597" t="s">
        <v>3033</v>
      </c>
      <c r="AK597" t="s">
        <v>599</v>
      </c>
      <c r="AL597" t="s">
        <v>3034</v>
      </c>
      <c r="AM597" t="s">
        <v>1190</v>
      </c>
      <c r="AN597" t="s">
        <v>599</v>
      </c>
      <c r="AO597" t="s">
        <v>599</v>
      </c>
      <c r="AP597" t="s">
        <v>3035</v>
      </c>
      <c r="AQ597" t="s">
        <v>599</v>
      </c>
      <c r="AR597" t="s">
        <v>599</v>
      </c>
      <c r="AS597" t="s">
        <v>599</v>
      </c>
      <c r="AT597" t="s">
        <v>599</v>
      </c>
    </row>
    <row r="598" spans="1:46" ht="60" x14ac:dyDescent="0.25">
      <c r="A598" s="2">
        <v>11466</v>
      </c>
      <c r="B598" s="10">
        <v>381202</v>
      </c>
      <c r="C598" s="10">
        <v>2</v>
      </c>
      <c r="D598" s="9">
        <v>520</v>
      </c>
      <c r="E598" s="11" t="s">
        <v>450</v>
      </c>
      <c r="F598" s="12" t="s">
        <v>451</v>
      </c>
      <c r="G598" s="9" t="s">
        <v>452</v>
      </c>
      <c r="H598" s="34"/>
      <c r="I598" s="55" t="str">
        <f t="shared" si="19"/>
        <v>https://permalinkbnd.bnportugal.gov.pt/viewer/14624/?offset=#page=520&amp;viewer=picture&amp;o=info&amp;n=0&amp;q=</v>
      </c>
      <c r="J598" s="45"/>
      <c r="K598" s="45"/>
      <c r="L598" s="45"/>
      <c r="M598" t="s">
        <v>450</v>
      </c>
      <c r="N598">
        <v>14624</v>
      </c>
      <c r="O598" t="str">
        <f t="shared" si="18"/>
        <v>https://permalinkbnd.bnportugal.gov.pt/viewer/14624/?offset=#page=520&amp;viewer=picture&amp;o=info&amp;n=0&amp;q=</v>
      </c>
      <c r="P598">
        <v>381202</v>
      </c>
      <c r="Q598" t="s">
        <v>450</v>
      </c>
      <c r="R598" t="s">
        <v>3027</v>
      </c>
      <c r="S598" t="s">
        <v>1178</v>
      </c>
      <c r="T598" t="s">
        <v>1209</v>
      </c>
      <c r="U598" t="s">
        <v>1192</v>
      </c>
      <c r="V598" t="s">
        <v>3028</v>
      </c>
      <c r="W598" t="s">
        <v>599</v>
      </c>
      <c r="X598" t="s">
        <v>599</v>
      </c>
      <c r="Y598" t="s">
        <v>1182</v>
      </c>
      <c r="Z598" t="s">
        <v>3029</v>
      </c>
      <c r="AA598">
        <v>1639</v>
      </c>
      <c r="AB598">
        <v>1639</v>
      </c>
      <c r="AC598" t="s">
        <v>3030</v>
      </c>
      <c r="AD598" t="s">
        <v>1185</v>
      </c>
      <c r="AE598" t="s">
        <v>599</v>
      </c>
      <c r="AF598" t="s">
        <v>599</v>
      </c>
      <c r="AG598" t="s">
        <v>3031</v>
      </c>
      <c r="AH598" t="s">
        <v>599</v>
      </c>
      <c r="AI598" t="s">
        <v>3032</v>
      </c>
      <c r="AJ598" t="s">
        <v>3033</v>
      </c>
      <c r="AK598" t="s">
        <v>599</v>
      </c>
      <c r="AL598" t="s">
        <v>3034</v>
      </c>
      <c r="AM598" t="s">
        <v>1190</v>
      </c>
      <c r="AN598" t="s">
        <v>599</v>
      </c>
      <c r="AO598" t="s">
        <v>599</v>
      </c>
      <c r="AP598" t="s">
        <v>3035</v>
      </c>
      <c r="AQ598" t="s">
        <v>599</v>
      </c>
      <c r="AR598" t="s">
        <v>599</v>
      </c>
      <c r="AS598" t="s">
        <v>599</v>
      </c>
      <c r="AT598" t="s">
        <v>599</v>
      </c>
    </row>
    <row r="599" spans="1:46" ht="60" x14ac:dyDescent="0.25">
      <c r="A599" s="2">
        <v>11467</v>
      </c>
      <c r="B599" s="10">
        <v>381202</v>
      </c>
      <c r="C599" s="10">
        <v>2</v>
      </c>
      <c r="D599" s="9">
        <v>521</v>
      </c>
      <c r="E599" s="11" t="s">
        <v>450</v>
      </c>
      <c r="F599" s="12" t="s">
        <v>451</v>
      </c>
      <c r="G599" s="9" t="s">
        <v>452</v>
      </c>
      <c r="H599" s="34"/>
      <c r="I599" s="55" t="str">
        <f t="shared" si="19"/>
        <v>https://permalinkbnd.bnportugal.gov.pt/viewer/14624/?offset=#page=521&amp;viewer=picture&amp;o=info&amp;n=0&amp;q=</v>
      </c>
      <c r="J599" s="45"/>
      <c r="K599" s="45"/>
      <c r="L599" s="45"/>
      <c r="M599" t="s">
        <v>450</v>
      </c>
      <c r="N599">
        <v>14624</v>
      </c>
      <c r="O599" t="str">
        <f t="shared" si="18"/>
        <v>https://permalinkbnd.bnportugal.gov.pt/viewer/14624/?offset=#page=521&amp;viewer=picture&amp;o=info&amp;n=0&amp;q=</v>
      </c>
      <c r="P599">
        <v>381202</v>
      </c>
      <c r="Q599" t="s">
        <v>450</v>
      </c>
      <c r="R599" t="s">
        <v>3027</v>
      </c>
      <c r="S599" t="s">
        <v>1178</v>
      </c>
      <c r="T599" t="s">
        <v>1209</v>
      </c>
      <c r="U599" t="s">
        <v>1192</v>
      </c>
      <c r="V599" t="s">
        <v>3028</v>
      </c>
      <c r="W599" t="s">
        <v>599</v>
      </c>
      <c r="X599" t="s">
        <v>599</v>
      </c>
      <c r="Y599" t="s">
        <v>1182</v>
      </c>
      <c r="Z599" t="s">
        <v>3029</v>
      </c>
      <c r="AA599">
        <v>1639</v>
      </c>
      <c r="AB599">
        <v>1639</v>
      </c>
      <c r="AC599" t="s">
        <v>3030</v>
      </c>
      <c r="AD599" t="s">
        <v>1185</v>
      </c>
      <c r="AE599" t="s">
        <v>599</v>
      </c>
      <c r="AF599" t="s">
        <v>599</v>
      </c>
      <c r="AG599" t="s">
        <v>3031</v>
      </c>
      <c r="AH599" t="s">
        <v>599</v>
      </c>
      <c r="AI599" t="s">
        <v>3032</v>
      </c>
      <c r="AJ599" t="s">
        <v>3033</v>
      </c>
      <c r="AK599" t="s">
        <v>599</v>
      </c>
      <c r="AL599" t="s">
        <v>3034</v>
      </c>
      <c r="AM599" t="s">
        <v>1190</v>
      </c>
      <c r="AN599" t="s">
        <v>599</v>
      </c>
      <c r="AO599" t="s">
        <v>599</v>
      </c>
      <c r="AP599" t="s">
        <v>3035</v>
      </c>
      <c r="AQ599" t="s">
        <v>599</v>
      </c>
      <c r="AR599" t="s">
        <v>599</v>
      </c>
      <c r="AS599" t="s">
        <v>599</v>
      </c>
      <c r="AT599" t="s">
        <v>599</v>
      </c>
    </row>
    <row r="600" spans="1:46" ht="45" x14ac:dyDescent="0.25">
      <c r="A600" s="2">
        <v>11468</v>
      </c>
      <c r="B600" s="10">
        <v>381444</v>
      </c>
      <c r="C600" s="10">
        <v>1</v>
      </c>
      <c r="D600" s="9">
        <v>9</v>
      </c>
      <c r="E600" s="11" t="s">
        <v>453</v>
      </c>
      <c r="F600" s="12" t="s">
        <v>454</v>
      </c>
      <c r="G600" s="9" t="s">
        <v>455</v>
      </c>
      <c r="H600" s="34"/>
      <c r="I600" s="55" t="str">
        <f t="shared" si="19"/>
        <v>https://permalinkbnd.bnportugal.gov.pt/viewer/14587/?offset=#page=9&amp;viewer=picture&amp;o=info&amp;n=0&amp;q=</v>
      </c>
      <c r="J600" s="45"/>
      <c r="K600" s="45"/>
      <c r="L600" s="45"/>
      <c r="M600" t="s">
        <v>453</v>
      </c>
      <c r="N600">
        <v>14587</v>
      </c>
      <c r="O600" t="str">
        <f t="shared" si="18"/>
        <v>https://permalinkbnd.bnportugal.gov.pt/viewer/14587/?offset=#page=9&amp;viewer=picture&amp;o=info&amp;n=0&amp;q=</v>
      </c>
      <c r="P600">
        <v>381444</v>
      </c>
      <c r="Q600" t="s">
        <v>453</v>
      </c>
      <c r="R600" t="s">
        <v>3036</v>
      </c>
      <c r="S600" t="s">
        <v>1178</v>
      </c>
      <c r="T600" t="s">
        <v>1192</v>
      </c>
      <c r="U600" t="s">
        <v>599</v>
      </c>
      <c r="V600" t="s">
        <v>1551</v>
      </c>
      <c r="W600" t="s">
        <v>599</v>
      </c>
      <c r="X600" t="s">
        <v>599</v>
      </c>
      <c r="Y600" t="s">
        <v>1182</v>
      </c>
      <c r="Z600" t="s">
        <v>3037</v>
      </c>
      <c r="AA600">
        <v>1890</v>
      </c>
      <c r="AB600">
        <v>1890</v>
      </c>
      <c r="AC600" t="s">
        <v>3038</v>
      </c>
      <c r="AD600" t="s">
        <v>1185</v>
      </c>
      <c r="AE600" t="s">
        <v>599</v>
      </c>
      <c r="AF600" t="s">
        <v>599</v>
      </c>
      <c r="AG600" t="s">
        <v>3039</v>
      </c>
      <c r="AH600" t="s">
        <v>599</v>
      </c>
      <c r="AI600" t="s">
        <v>599</v>
      </c>
      <c r="AJ600" t="s">
        <v>3040</v>
      </c>
      <c r="AK600" t="s">
        <v>599</v>
      </c>
      <c r="AL600" t="s">
        <v>3041</v>
      </c>
      <c r="AM600" t="s">
        <v>1190</v>
      </c>
      <c r="AN600" t="s">
        <v>599</v>
      </c>
      <c r="AO600" t="s">
        <v>599</v>
      </c>
      <c r="AP600" t="s">
        <v>599</v>
      </c>
      <c r="AQ600" t="s">
        <v>599</v>
      </c>
      <c r="AR600" t="s">
        <v>599</v>
      </c>
      <c r="AS600" t="s">
        <v>599</v>
      </c>
      <c r="AT600" t="s">
        <v>599</v>
      </c>
    </row>
    <row r="601" spans="1:46" ht="45" x14ac:dyDescent="0.25">
      <c r="A601" s="2">
        <v>11469</v>
      </c>
      <c r="B601" s="10">
        <v>381444</v>
      </c>
      <c r="C601" s="10">
        <v>1</v>
      </c>
      <c r="D601" s="9">
        <v>23</v>
      </c>
      <c r="E601" s="11" t="s">
        <v>453</v>
      </c>
      <c r="F601" s="12" t="s">
        <v>454</v>
      </c>
      <c r="G601" s="9" t="s">
        <v>455</v>
      </c>
      <c r="H601" s="34"/>
      <c r="I601" s="55" t="str">
        <f t="shared" si="19"/>
        <v>https://permalinkbnd.bnportugal.gov.pt/viewer/14587/?offset=#page=23&amp;viewer=picture&amp;o=info&amp;n=0&amp;q=</v>
      </c>
      <c r="J601" s="45"/>
      <c r="K601" s="45"/>
      <c r="L601" s="45"/>
      <c r="M601" t="s">
        <v>453</v>
      </c>
      <c r="N601">
        <v>14587</v>
      </c>
      <c r="O601" t="str">
        <f t="shared" si="18"/>
        <v>https://permalinkbnd.bnportugal.gov.pt/viewer/14587/?offset=#page=23&amp;viewer=picture&amp;o=info&amp;n=0&amp;q=</v>
      </c>
      <c r="P601">
        <v>381444</v>
      </c>
      <c r="Q601" t="s">
        <v>453</v>
      </c>
      <c r="R601" t="s">
        <v>3036</v>
      </c>
      <c r="S601" t="s">
        <v>1178</v>
      </c>
      <c r="T601" t="s">
        <v>1192</v>
      </c>
      <c r="U601" t="s">
        <v>599</v>
      </c>
      <c r="V601" t="s">
        <v>1551</v>
      </c>
      <c r="W601" t="s">
        <v>599</v>
      </c>
      <c r="X601" t="s">
        <v>599</v>
      </c>
      <c r="Y601" t="s">
        <v>1182</v>
      </c>
      <c r="Z601" t="s">
        <v>3037</v>
      </c>
      <c r="AA601">
        <v>1890</v>
      </c>
      <c r="AB601">
        <v>1890</v>
      </c>
      <c r="AC601" t="s">
        <v>3038</v>
      </c>
      <c r="AD601" t="s">
        <v>1185</v>
      </c>
      <c r="AE601" t="s">
        <v>599</v>
      </c>
      <c r="AF601" t="s">
        <v>599</v>
      </c>
      <c r="AG601" t="s">
        <v>3039</v>
      </c>
      <c r="AH601" t="s">
        <v>599</v>
      </c>
      <c r="AI601" t="s">
        <v>599</v>
      </c>
      <c r="AJ601" t="s">
        <v>3040</v>
      </c>
      <c r="AK601" t="s">
        <v>599</v>
      </c>
      <c r="AL601" t="s">
        <v>3041</v>
      </c>
      <c r="AM601" t="s">
        <v>1190</v>
      </c>
      <c r="AN601" t="s">
        <v>599</v>
      </c>
      <c r="AO601" t="s">
        <v>599</v>
      </c>
      <c r="AP601" t="s">
        <v>599</v>
      </c>
      <c r="AQ601" t="s">
        <v>599</v>
      </c>
      <c r="AR601" t="s">
        <v>599</v>
      </c>
      <c r="AS601" t="s">
        <v>599</v>
      </c>
      <c r="AT601" t="s">
        <v>599</v>
      </c>
    </row>
    <row r="602" spans="1:46" ht="45" x14ac:dyDescent="0.25">
      <c r="A602" s="2">
        <v>11470</v>
      </c>
      <c r="B602" s="10">
        <v>381444</v>
      </c>
      <c r="C602" s="10">
        <v>1</v>
      </c>
      <c r="D602" s="9">
        <v>33</v>
      </c>
      <c r="E602" s="11" t="s">
        <v>453</v>
      </c>
      <c r="F602" s="12" t="s">
        <v>454</v>
      </c>
      <c r="G602" s="9" t="s">
        <v>455</v>
      </c>
      <c r="H602" s="34"/>
      <c r="I602" s="55" t="str">
        <f t="shared" si="19"/>
        <v>https://permalinkbnd.bnportugal.gov.pt/viewer/14587/?offset=#page=33&amp;viewer=picture&amp;o=info&amp;n=0&amp;q=</v>
      </c>
      <c r="J602" s="45"/>
      <c r="K602" s="45"/>
      <c r="L602" s="45"/>
      <c r="M602" t="s">
        <v>453</v>
      </c>
      <c r="N602">
        <v>14587</v>
      </c>
      <c r="O602" t="str">
        <f t="shared" si="18"/>
        <v>https://permalinkbnd.bnportugal.gov.pt/viewer/14587/?offset=#page=33&amp;viewer=picture&amp;o=info&amp;n=0&amp;q=</v>
      </c>
      <c r="P602">
        <v>381444</v>
      </c>
      <c r="Q602" t="s">
        <v>453</v>
      </c>
      <c r="R602" t="s">
        <v>3036</v>
      </c>
      <c r="S602" t="s">
        <v>1178</v>
      </c>
      <c r="T602" t="s">
        <v>1192</v>
      </c>
      <c r="U602" t="s">
        <v>599</v>
      </c>
      <c r="V602" t="s">
        <v>1551</v>
      </c>
      <c r="W602" t="s">
        <v>599</v>
      </c>
      <c r="X602" t="s">
        <v>599</v>
      </c>
      <c r="Y602" t="s">
        <v>1182</v>
      </c>
      <c r="Z602" t="s">
        <v>3037</v>
      </c>
      <c r="AA602">
        <v>1890</v>
      </c>
      <c r="AB602">
        <v>1890</v>
      </c>
      <c r="AC602" t="s">
        <v>3038</v>
      </c>
      <c r="AD602" t="s">
        <v>1185</v>
      </c>
      <c r="AE602" t="s">
        <v>599</v>
      </c>
      <c r="AF602" t="s">
        <v>599</v>
      </c>
      <c r="AG602" t="s">
        <v>3039</v>
      </c>
      <c r="AH602" t="s">
        <v>599</v>
      </c>
      <c r="AI602" t="s">
        <v>599</v>
      </c>
      <c r="AJ602" t="s">
        <v>3040</v>
      </c>
      <c r="AK602" t="s">
        <v>599</v>
      </c>
      <c r="AL602" t="s">
        <v>3041</v>
      </c>
      <c r="AM602" t="s">
        <v>1190</v>
      </c>
      <c r="AN602" t="s">
        <v>599</v>
      </c>
      <c r="AO602" t="s">
        <v>599</v>
      </c>
      <c r="AP602" t="s">
        <v>599</v>
      </c>
      <c r="AQ602" t="s">
        <v>599</v>
      </c>
      <c r="AR602" t="s">
        <v>599</v>
      </c>
      <c r="AS602" t="s">
        <v>599</v>
      </c>
      <c r="AT602" t="s">
        <v>599</v>
      </c>
    </row>
    <row r="603" spans="1:46" ht="45" x14ac:dyDescent="0.25">
      <c r="A603" s="2">
        <v>11471</v>
      </c>
      <c r="B603" s="10">
        <v>381444</v>
      </c>
      <c r="C603" s="10">
        <v>1</v>
      </c>
      <c r="D603" s="9">
        <v>57</v>
      </c>
      <c r="E603" s="11" t="s">
        <v>453</v>
      </c>
      <c r="F603" s="12" t="s">
        <v>454</v>
      </c>
      <c r="G603" s="9" t="s">
        <v>455</v>
      </c>
      <c r="H603" s="34"/>
      <c r="I603" s="55" t="str">
        <f t="shared" si="19"/>
        <v>https://permalinkbnd.bnportugal.gov.pt/viewer/14587/?offset=#page=57&amp;viewer=picture&amp;o=info&amp;n=0&amp;q=</v>
      </c>
      <c r="J603" s="45"/>
      <c r="K603" s="45"/>
      <c r="L603" s="45"/>
      <c r="M603" t="s">
        <v>453</v>
      </c>
      <c r="N603">
        <v>14587</v>
      </c>
      <c r="O603" t="str">
        <f t="shared" si="18"/>
        <v>https://permalinkbnd.bnportugal.gov.pt/viewer/14587/?offset=#page=57&amp;viewer=picture&amp;o=info&amp;n=0&amp;q=</v>
      </c>
      <c r="P603">
        <v>381444</v>
      </c>
      <c r="Q603" t="s">
        <v>453</v>
      </c>
      <c r="R603" t="s">
        <v>3036</v>
      </c>
      <c r="S603" t="s">
        <v>1178</v>
      </c>
      <c r="T603" t="s">
        <v>1192</v>
      </c>
      <c r="U603" t="s">
        <v>599</v>
      </c>
      <c r="V603" t="s">
        <v>1551</v>
      </c>
      <c r="W603" t="s">
        <v>599</v>
      </c>
      <c r="X603" t="s">
        <v>599</v>
      </c>
      <c r="Y603" t="s">
        <v>1182</v>
      </c>
      <c r="Z603" t="s">
        <v>3037</v>
      </c>
      <c r="AA603">
        <v>1890</v>
      </c>
      <c r="AB603">
        <v>1890</v>
      </c>
      <c r="AC603" t="s">
        <v>3038</v>
      </c>
      <c r="AD603" t="s">
        <v>1185</v>
      </c>
      <c r="AE603" t="s">
        <v>599</v>
      </c>
      <c r="AF603" t="s">
        <v>599</v>
      </c>
      <c r="AG603" t="s">
        <v>3039</v>
      </c>
      <c r="AH603" t="s">
        <v>599</v>
      </c>
      <c r="AI603" t="s">
        <v>599</v>
      </c>
      <c r="AJ603" t="s">
        <v>3040</v>
      </c>
      <c r="AK603" t="s">
        <v>599</v>
      </c>
      <c r="AL603" t="s">
        <v>3041</v>
      </c>
      <c r="AM603" t="s">
        <v>1190</v>
      </c>
      <c r="AN603" t="s">
        <v>599</v>
      </c>
      <c r="AO603" t="s">
        <v>599</v>
      </c>
      <c r="AP603" t="s">
        <v>599</v>
      </c>
      <c r="AQ603" t="s">
        <v>599</v>
      </c>
      <c r="AR603" t="s">
        <v>599</v>
      </c>
      <c r="AS603" t="s">
        <v>599</v>
      </c>
      <c r="AT603" t="s">
        <v>599</v>
      </c>
    </row>
    <row r="604" spans="1:46" ht="45" x14ac:dyDescent="0.25">
      <c r="A604" s="2">
        <v>11472</v>
      </c>
      <c r="B604" s="10">
        <v>381444</v>
      </c>
      <c r="C604" s="10">
        <v>1</v>
      </c>
      <c r="D604" s="9">
        <v>77</v>
      </c>
      <c r="E604" s="11" t="s">
        <v>453</v>
      </c>
      <c r="F604" s="12" t="s">
        <v>454</v>
      </c>
      <c r="G604" s="9" t="s">
        <v>455</v>
      </c>
      <c r="H604" s="34"/>
      <c r="I604" s="55" t="str">
        <f t="shared" si="19"/>
        <v>https://permalinkbnd.bnportugal.gov.pt/viewer/14587/?offset=#page=77&amp;viewer=picture&amp;o=info&amp;n=0&amp;q=</v>
      </c>
      <c r="J604" s="45"/>
      <c r="K604" s="45"/>
      <c r="L604" s="45"/>
      <c r="M604" t="s">
        <v>453</v>
      </c>
      <c r="N604">
        <v>14587</v>
      </c>
      <c r="O604" t="str">
        <f t="shared" si="18"/>
        <v>https://permalinkbnd.bnportugal.gov.pt/viewer/14587/?offset=#page=77&amp;viewer=picture&amp;o=info&amp;n=0&amp;q=</v>
      </c>
      <c r="P604">
        <v>381444</v>
      </c>
      <c r="Q604" t="s">
        <v>453</v>
      </c>
      <c r="R604" t="s">
        <v>3036</v>
      </c>
      <c r="S604" t="s">
        <v>1178</v>
      </c>
      <c r="T604" t="s">
        <v>1192</v>
      </c>
      <c r="U604" t="s">
        <v>599</v>
      </c>
      <c r="V604" t="s">
        <v>1551</v>
      </c>
      <c r="W604" t="s">
        <v>599</v>
      </c>
      <c r="X604" t="s">
        <v>599</v>
      </c>
      <c r="Y604" t="s">
        <v>1182</v>
      </c>
      <c r="Z604" t="s">
        <v>3037</v>
      </c>
      <c r="AA604">
        <v>1890</v>
      </c>
      <c r="AB604">
        <v>1890</v>
      </c>
      <c r="AC604" t="s">
        <v>3038</v>
      </c>
      <c r="AD604" t="s">
        <v>1185</v>
      </c>
      <c r="AE604" t="s">
        <v>599</v>
      </c>
      <c r="AF604" t="s">
        <v>599</v>
      </c>
      <c r="AG604" t="s">
        <v>3039</v>
      </c>
      <c r="AH604" t="s">
        <v>599</v>
      </c>
      <c r="AI604" t="s">
        <v>599</v>
      </c>
      <c r="AJ604" t="s">
        <v>3040</v>
      </c>
      <c r="AK604" t="s">
        <v>599</v>
      </c>
      <c r="AL604" t="s">
        <v>3041</v>
      </c>
      <c r="AM604" t="s">
        <v>1190</v>
      </c>
      <c r="AN604" t="s">
        <v>599</v>
      </c>
      <c r="AO604" t="s">
        <v>599</v>
      </c>
      <c r="AP604" t="s">
        <v>599</v>
      </c>
      <c r="AQ604" t="s">
        <v>599</v>
      </c>
      <c r="AR604" t="s">
        <v>599</v>
      </c>
      <c r="AS604" t="s">
        <v>599</v>
      </c>
      <c r="AT604" t="s">
        <v>599</v>
      </c>
    </row>
    <row r="605" spans="1:46" ht="45" x14ac:dyDescent="0.25">
      <c r="A605" s="2">
        <v>11473</v>
      </c>
      <c r="B605" s="10">
        <v>381444</v>
      </c>
      <c r="C605" s="10">
        <v>1</v>
      </c>
      <c r="D605" s="9">
        <v>99</v>
      </c>
      <c r="E605" s="11" t="s">
        <v>453</v>
      </c>
      <c r="F605" s="12" t="s">
        <v>454</v>
      </c>
      <c r="G605" s="9" t="s">
        <v>455</v>
      </c>
      <c r="H605" s="34"/>
      <c r="I605" s="55" t="str">
        <f t="shared" si="19"/>
        <v>https://permalinkbnd.bnportugal.gov.pt/viewer/14587/?offset=#page=99&amp;viewer=picture&amp;o=info&amp;n=0&amp;q=</v>
      </c>
      <c r="J605" s="45"/>
      <c r="K605" s="45"/>
      <c r="L605" s="45"/>
      <c r="M605" t="s">
        <v>453</v>
      </c>
      <c r="N605">
        <v>14587</v>
      </c>
      <c r="O605" t="str">
        <f t="shared" si="18"/>
        <v>https://permalinkbnd.bnportugal.gov.pt/viewer/14587/?offset=#page=99&amp;viewer=picture&amp;o=info&amp;n=0&amp;q=</v>
      </c>
      <c r="P605">
        <v>381444</v>
      </c>
      <c r="Q605" t="s">
        <v>453</v>
      </c>
      <c r="R605" t="s">
        <v>3036</v>
      </c>
      <c r="S605" t="s">
        <v>1178</v>
      </c>
      <c r="T605" t="s">
        <v>1192</v>
      </c>
      <c r="U605" t="s">
        <v>599</v>
      </c>
      <c r="V605" t="s">
        <v>1551</v>
      </c>
      <c r="W605" t="s">
        <v>599</v>
      </c>
      <c r="X605" t="s">
        <v>599</v>
      </c>
      <c r="Y605" t="s">
        <v>1182</v>
      </c>
      <c r="Z605" t="s">
        <v>3037</v>
      </c>
      <c r="AA605">
        <v>1890</v>
      </c>
      <c r="AB605">
        <v>1890</v>
      </c>
      <c r="AC605" t="s">
        <v>3038</v>
      </c>
      <c r="AD605" t="s">
        <v>1185</v>
      </c>
      <c r="AE605" t="s">
        <v>599</v>
      </c>
      <c r="AF605" t="s">
        <v>599</v>
      </c>
      <c r="AG605" t="s">
        <v>3039</v>
      </c>
      <c r="AH605" t="s">
        <v>599</v>
      </c>
      <c r="AI605" t="s">
        <v>599</v>
      </c>
      <c r="AJ605" t="s">
        <v>3040</v>
      </c>
      <c r="AK605" t="s">
        <v>599</v>
      </c>
      <c r="AL605" t="s">
        <v>3041</v>
      </c>
      <c r="AM605" t="s">
        <v>1190</v>
      </c>
      <c r="AN605" t="s">
        <v>599</v>
      </c>
      <c r="AO605" t="s">
        <v>599</v>
      </c>
      <c r="AP605" t="s">
        <v>599</v>
      </c>
      <c r="AQ605" t="s">
        <v>599</v>
      </c>
      <c r="AR605" t="s">
        <v>599</v>
      </c>
      <c r="AS605" t="s">
        <v>599</v>
      </c>
      <c r="AT605" t="s">
        <v>599</v>
      </c>
    </row>
    <row r="606" spans="1:46" ht="45" x14ac:dyDescent="0.25">
      <c r="A606" s="2">
        <v>11474</v>
      </c>
      <c r="B606" s="10">
        <v>381444</v>
      </c>
      <c r="C606" s="10">
        <v>1</v>
      </c>
      <c r="D606" s="9">
        <v>125</v>
      </c>
      <c r="E606" s="11" t="s">
        <v>453</v>
      </c>
      <c r="F606" s="12" t="s">
        <v>454</v>
      </c>
      <c r="G606" s="9" t="s">
        <v>455</v>
      </c>
      <c r="H606" s="34"/>
      <c r="I606" s="55" t="str">
        <f t="shared" si="19"/>
        <v>https://permalinkbnd.bnportugal.gov.pt/viewer/14587/?offset=#page=125&amp;viewer=picture&amp;o=info&amp;n=0&amp;q=</v>
      </c>
      <c r="J606" s="45"/>
      <c r="K606" s="45"/>
      <c r="L606" s="45"/>
      <c r="M606" t="s">
        <v>453</v>
      </c>
      <c r="N606">
        <v>14587</v>
      </c>
      <c r="O606" t="str">
        <f t="shared" si="18"/>
        <v>https://permalinkbnd.bnportugal.gov.pt/viewer/14587/?offset=#page=125&amp;viewer=picture&amp;o=info&amp;n=0&amp;q=</v>
      </c>
      <c r="P606">
        <v>381444</v>
      </c>
      <c r="Q606" t="s">
        <v>453</v>
      </c>
      <c r="R606" t="s">
        <v>3036</v>
      </c>
      <c r="S606" t="s">
        <v>1178</v>
      </c>
      <c r="T606" t="s">
        <v>1192</v>
      </c>
      <c r="U606" t="s">
        <v>599</v>
      </c>
      <c r="V606" t="s">
        <v>1551</v>
      </c>
      <c r="W606" t="s">
        <v>599</v>
      </c>
      <c r="X606" t="s">
        <v>599</v>
      </c>
      <c r="Y606" t="s">
        <v>1182</v>
      </c>
      <c r="Z606" t="s">
        <v>3037</v>
      </c>
      <c r="AA606">
        <v>1890</v>
      </c>
      <c r="AB606">
        <v>1890</v>
      </c>
      <c r="AC606" t="s">
        <v>3038</v>
      </c>
      <c r="AD606" t="s">
        <v>1185</v>
      </c>
      <c r="AE606" t="s">
        <v>599</v>
      </c>
      <c r="AF606" t="s">
        <v>599</v>
      </c>
      <c r="AG606" t="s">
        <v>3039</v>
      </c>
      <c r="AH606" t="s">
        <v>599</v>
      </c>
      <c r="AI606" t="s">
        <v>599</v>
      </c>
      <c r="AJ606" t="s">
        <v>3040</v>
      </c>
      <c r="AK606" t="s">
        <v>599</v>
      </c>
      <c r="AL606" t="s">
        <v>3041</v>
      </c>
      <c r="AM606" t="s">
        <v>1190</v>
      </c>
      <c r="AN606" t="s">
        <v>599</v>
      </c>
      <c r="AO606" t="s">
        <v>599</v>
      </c>
      <c r="AP606" t="s">
        <v>599</v>
      </c>
      <c r="AQ606" t="s">
        <v>599</v>
      </c>
      <c r="AR606" t="s">
        <v>599</v>
      </c>
      <c r="AS606" t="s">
        <v>599</v>
      </c>
      <c r="AT606" t="s">
        <v>599</v>
      </c>
    </row>
    <row r="607" spans="1:46" ht="45" x14ac:dyDescent="0.25">
      <c r="A607" s="2">
        <v>11475</v>
      </c>
      <c r="B607" s="10">
        <v>381444</v>
      </c>
      <c r="C607" s="10">
        <v>1</v>
      </c>
      <c r="D607" s="9">
        <v>147</v>
      </c>
      <c r="E607" s="11" t="s">
        <v>453</v>
      </c>
      <c r="F607" s="12" t="s">
        <v>454</v>
      </c>
      <c r="G607" s="9" t="s">
        <v>455</v>
      </c>
      <c r="H607" s="34"/>
      <c r="I607" s="55" t="str">
        <f t="shared" si="19"/>
        <v>https://permalinkbnd.bnportugal.gov.pt/viewer/14587/?offset=#page=147&amp;viewer=picture&amp;o=info&amp;n=0&amp;q=</v>
      </c>
      <c r="J607" s="45"/>
      <c r="K607" s="45"/>
      <c r="L607" s="45"/>
      <c r="M607" t="s">
        <v>453</v>
      </c>
      <c r="N607">
        <v>14587</v>
      </c>
      <c r="O607" t="str">
        <f t="shared" si="18"/>
        <v>https://permalinkbnd.bnportugal.gov.pt/viewer/14587/?offset=#page=147&amp;viewer=picture&amp;o=info&amp;n=0&amp;q=</v>
      </c>
      <c r="P607">
        <v>381444</v>
      </c>
      <c r="Q607" t="s">
        <v>453</v>
      </c>
      <c r="R607" t="s">
        <v>3036</v>
      </c>
      <c r="S607" t="s">
        <v>1178</v>
      </c>
      <c r="T607" t="s">
        <v>1192</v>
      </c>
      <c r="U607" t="s">
        <v>599</v>
      </c>
      <c r="V607" t="s">
        <v>1551</v>
      </c>
      <c r="W607" t="s">
        <v>599</v>
      </c>
      <c r="X607" t="s">
        <v>599</v>
      </c>
      <c r="Y607" t="s">
        <v>1182</v>
      </c>
      <c r="Z607" t="s">
        <v>3037</v>
      </c>
      <c r="AA607">
        <v>1890</v>
      </c>
      <c r="AB607">
        <v>1890</v>
      </c>
      <c r="AC607" t="s">
        <v>3038</v>
      </c>
      <c r="AD607" t="s">
        <v>1185</v>
      </c>
      <c r="AE607" t="s">
        <v>599</v>
      </c>
      <c r="AF607" t="s">
        <v>599</v>
      </c>
      <c r="AG607" t="s">
        <v>3039</v>
      </c>
      <c r="AH607" t="s">
        <v>599</v>
      </c>
      <c r="AI607" t="s">
        <v>599</v>
      </c>
      <c r="AJ607" t="s">
        <v>3040</v>
      </c>
      <c r="AK607" t="s">
        <v>599</v>
      </c>
      <c r="AL607" t="s">
        <v>3041</v>
      </c>
      <c r="AM607" t="s">
        <v>1190</v>
      </c>
      <c r="AN607" t="s">
        <v>599</v>
      </c>
      <c r="AO607" t="s">
        <v>599</v>
      </c>
      <c r="AP607" t="s">
        <v>599</v>
      </c>
      <c r="AQ607" t="s">
        <v>599</v>
      </c>
      <c r="AR607" t="s">
        <v>599</v>
      </c>
      <c r="AS607" t="s">
        <v>599</v>
      </c>
      <c r="AT607" t="s">
        <v>599</v>
      </c>
    </row>
    <row r="608" spans="1:46" ht="45" x14ac:dyDescent="0.25">
      <c r="A608" s="2">
        <v>11476</v>
      </c>
      <c r="B608" s="10">
        <v>381444</v>
      </c>
      <c r="C608" s="10">
        <v>1</v>
      </c>
      <c r="D608" s="9">
        <v>157</v>
      </c>
      <c r="E608" s="11" t="s">
        <v>453</v>
      </c>
      <c r="F608" s="12" t="s">
        <v>454</v>
      </c>
      <c r="G608" s="9" t="s">
        <v>455</v>
      </c>
      <c r="H608" s="34"/>
      <c r="I608" s="55" t="str">
        <f t="shared" si="19"/>
        <v>https://permalinkbnd.bnportugal.gov.pt/viewer/14587/?offset=#page=157&amp;viewer=picture&amp;o=info&amp;n=0&amp;q=</v>
      </c>
      <c r="J608" s="45"/>
      <c r="K608" s="45"/>
      <c r="L608" s="45"/>
      <c r="M608" t="s">
        <v>453</v>
      </c>
      <c r="N608">
        <v>14587</v>
      </c>
      <c r="O608" t="str">
        <f t="shared" si="18"/>
        <v>https://permalinkbnd.bnportugal.gov.pt/viewer/14587/?offset=#page=157&amp;viewer=picture&amp;o=info&amp;n=0&amp;q=</v>
      </c>
      <c r="P608">
        <v>381444</v>
      </c>
      <c r="Q608" t="s">
        <v>453</v>
      </c>
      <c r="R608" t="s">
        <v>3036</v>
      </c>
      <c r="S608" t="s">
        <v>1178</v>
      </c>
      <c r="T608" t="s">
        <v>1192</v>
      </c>
      <c r="U608" t="s">
        <v>599</v>
      </c>
      <c r="V608" t="s">
        <v>1551</v>
      </c>
      <c r="W608" t="s">
        <v>599</v>
      </c>
      <c r="X608" t="s">
        <v>599</v>
      </c>
      <c r="Y608" t="s">
        <v>1182</v>
      </c>
      <c r="Z608" t="s">
        <v>3037</v>
      </c>
      <c r="AA608">
        <v>1890</v>
      </c>
      <c r="AB608">
        <v>1890</v>
      </c>
      <c r="AC608" t="s">
        <v>3038</v>
      </c>
      <c r="AD608" t="s">
        <v>1185</v>
      </c>
      <c r="AE608" t="s">
        <v>599</v>
      </c>
      <c r="AF608" t="s">
        <v>599</v>
      </c>
      <c r="AG608" t="s">
        <v>3039</v>
      </c>
      <c r="AH608" t="s">
        <v>599</v>
      </c>
      <c r="AI608" t="s">
        <v>599</v>
      </c>
      <c r="AJ608" t="s">
        <v>3040</v>
      </c>
      <c r="AK608" t="s">
        <v>599</v>
      </c>
      <c r="AL608" t="s">
        <v>3041</v>
      </c>
      <c r="AM608" t="s">
        <v>1190</v>
      </c>
      <c r="AN608" t="s">
        <v>599</v>
      </c>
      <c r="AO608" t="s">
        <v>599</v>
      </c>
      <c r="AP608" t="s">
        <v>599</v>
      </c>
      <c r="AQ608" t="s">
        <v>599</v>
      </c>
      <c r="AR608" t="s">
        <v>599</v>
      </c>
      <c r="AS608" t="s">
        <v>599</v>
      </c>
      <c r="AT608" t="s">
        <v>599</v>
      </c>
    </row>
    <row r="609" spans="1:46" ht="45" x14ac:dyDescent="0.25">
      <c r="A609" s="2">
        <v>11477</v>
      </c>
      <c r="B609" s="10">
        <v>381444</v>
      </c>
      <c r="C609" s="10">
        <v>1</v>
      </c>
      <c r="D609" s="9">
        <v>173</v>
      </c>
      <c r="E609" s="11" t="s">
        <v>453</v>
      </c>
      <c r="F609" s="12" t="s">
        <v>454</v>
      </c>
      <c r="G609" s="9" t="s">
        <v>455</v>
      </c>
      <c r="H609" s="34"/>
      <c r="I609" s="55" t="str">
        <f t="shared" si="19"/>
        <v>https://permalinkbnd.bnportugal.gov.pt/viewer/14587/?offset=#page=173&amp;viewer=picture&amp;o=info&amp;n=0&amp;q=</v>
      </c>
      <c r="J609" s="45"/>
      <c r="K609" s="45"/>
      <c r="L609" s="45"/>
      <c r="M609" t="s">
        <v>453</v>
      </c>
      <c r="N609">
        <v>14587</v>
      </c>
      <c r="O609" t="str">
        <f t="shared" si="18"/>
        <v>https://permalinkbnd.bnportugal.gov.pt/viewer/14587/?offset=#page=173&amp;viewer=picture&amp;o=info&amp;n=0&amp;q=</v>
      </c>
      <c r="P609">
        <v>381444</v>
      </c>
      <c r="Q609" t="s">
        <v>453</v>
      </c>
      <c r="R609" t="s">
        <v>3036</v>
      </c>
      <c r="S609" t="s">
        <v>1178</v>
      </c>
      <c r="T609" t="s">
        <v>1192</v>
      </c>
      <c r="U609" t="s">
        <v>599</v>
      </c>
      <c r="V609" t="s">
        <v>1551</v>
      </c>
      <c r="W609" t="s">
        <v>599</v>
      </c>
      <c r="X609" t="s">
        <v>599</v>
      </c>
      <c r="Y609" t="s">
        <v>1182</v>
      </c>
      <c r="Z609" t="s">
        <v>3037</v>
      </c>
      <c r="AA609">
        <v>1890</v>
      </c>
      <c r="AB609">
        <v>1890</v>
      </c>
      <c r="AC609" t="s">
        <v>3038</v>
      </c>
      <c r="AD609" t="s">
        <v>1185</v>
      </c>
      <c r="AE609" t="s">
        <v>599</v>
      </c>
      <c r="AF609" t="s">
        <v>599</v>
      </c>
      <c r="AG609" t="s">
        <v>3039</v>
      </c>
      <c r="AH609" t="s">
        <v>599</v>
      </c>
      <c r="AI609" t="s">
        <v>599</v>
      </c>
      <c r="AJ609" t="s">
        <v>3040</v>
      </c>
      <c r="AK609" t="s">
        <v>599</v>
      </c>
      <c r="AL609" t="s">
        <v>3041</v>
      </c>
      <c r="AM609" t="s">
        <v>1190</v>
      </c>
      <c r="AN609" t="s">
        <v>599</v>
      </c>
      <c r="AO609" t="s">
        <v>599</v>
      </c>
      <c r="AP609" t="s">
        <v>599</v>
      </c>
      <c r="AQ609" t="s">
        <v>599</v>
      </c>
      <c r="AR609" t="s">
        <v>599</v>
      </c>
      <c r="AS609" t="s">
        <v>599</v>
      </c>
      <c r="AT609" t="s">
        <v>599</v>
      </c>
    </row>
    <row r="610" spans="1:46" ht="45" x14ac:dyDescent="0.25">
      <c r="A610" s="2">
        <v>11478</v>
      </c>
      <c r="B610" s="10">
        <v>381444</v>
      </c>
      <c r="C610" s="10">
        <v>1</v>
      </c>
      <c r="D610" s="9">
        <v>185</v>
      </c>
      <c r="E610" s="11" t="s">
        <v>453</v>
      </c>
      <c r="F610" s="12" t="s">
        <v>454</v>
      </c>
      <c r="G610" s="9" t="s">
        <v>455</v>
      </c>
      <c r="H610" s="34"/>
      <c r="I610" s="55" t="str">
        <f t="shared" si="19"/>
        <v>https://permalinkbnd.bnportugal.gov.pt/viewer/14587/?offset=#page=185&amp;viewer=picture&amp;o=info&amp;n=0&amp;q=</v>
      </c>
      <c r="J610" s="45"/>
      <c r="K610" s="45"/>
      <c r="L610" s="45"/>
      <c r="M610" t="s">
        <v>453</v>
      </c>
      <c r="N610">
        <v>14587</v>
      </c>
      <c r="O610" t="str">
        <f t="shared" si="18"/>
        <v>https://permalinkbnd.bnportugal.gov.pt/viewer/14587/?offset=#page=185&amp;viewer=picture&amp;o=info&amp;n=0&amp;q=</v>
      </c>
      <c r="P610">
        <v>381444</v>
      </c>
      <c r="Q610" t="s">
        <v>453</v>
      </c>
      <c r="R610" t="s">
        <v>3036</v>
      </c>
      <c r="S610" t="s">
        <v>1178</v>
      </c>
      <c r="T610" t="s">
        <v>1192</v>
      </c>
      <c r="U610" t="s">
        <v>599</v>
      </c>
      <c r="V610" t="s">
        <v>1551</v>
      </c>
      <c r="W610" t="s">
        <v>599</v>
      </c>
      <c r="X610" t="s">
        <v>599</v>
      </c>
      <c r="Y610" t="s">
        <v>1182</v>
      </c>
      <c r="Z610" t="s">
        <v>3037</v>
      </c>
      <c r="AA610">
        <v>1890</v>
      </c>
      <c r="AB610">
        <v>1890</v>
      </c>
      <c r="AC610" t="s">
        <v>3038</v>
      </c>
      <c r="AD610" t="s">
        <v>1185</v>
      </c>
      <c r="AE610" t="s">
        <v>599</v>
      </c>
      <c r="AF610" t="s">
        <v>599</v>
      </c>
      <c r="AG610" t="s">
        <v>3039</v>
      </c>
      <c r="AH610" t="s">
        <v>599</v>
      </c>
      <c r="AI610" t="s">
        <v>599</v>
      </c>
      <c r="AJ610" t="s">
        <v>3040</v>
      </c>
      <c r="AK610" t="s">
        <v>599</v>
      </c>
      <c r="AL610" t="s">
        <v>3041</v>
      </c>
      <c r="AM610" t="s">
        <v>1190</v>
      </c>
      <c r="AN610" t="s">
        <v>599</v>
      </c>
      <c r="AO610" t="s">
        <v>599</v>
      </c>
      <c r="AP610" t="s">
        <v>599</v>
      </c>
      <c r="AQ610" t="s">
        <v>599</v>
      </c>
      <c r="AR610" t="s">
        <v>599</v>
      </c>
      <c r="AS610" t="s">
        <v>599</v>
      </c>
      <c r="AT610" t="s">
        <v>599</v>
      </c>
    </row>
    <row r="611" spans="1:46" ht="45" x14ac:dyDescent="0.25">
      <c r="A611" s="2">
        <v>11479</v>
      </c>
      <c r="B611" s="10">
        <v>381444</v>
      </c>
      <c r="C611" s="10">
        <v>1</v>
      </c>
      <c r="D611" s="9">
        <v>223</v>
      </c>
      <c r="E611" s="11" t="s">
        <v>453</v>
      </c>
      <c r="F611" s="12" t="s">
        <v>454</v>
      </c>
      <c r="G611" s="9" t="s">
        <v>455</v>
      </c>
      <c r="H611" s="34"/>
      <c r="I611" s="55" t="str">
        <f t="shared" si="19"/>
        <v>https://permalinkbnd.bnportugal.gov.pt/viewer/14587/?offset=#page=223&amp;viewer=picture&amp;o=info&amp;n=0&amp;q=</v>
      </c>
      <c r="J611" s="45"/>
      <c r="K611" s="45"/>
      <c r="L611" s="45"/>
      <c r="M611" t="s">
        <v>453</v>
      </c>
      <c r="N611">
        <v>14587</v>
      </c>
      <c r="O611" t="str">
        <f t="shared" si="18"/>
        <v>https://permalinkbnd.bnportugal.gov.pt/viewer/14587/?offset=#page=223&amp;viewer=picture&amp;o=info&amp;n=0&amp;q=</v>
      </c>
      <c r="P611">
        <v>381444</v>
      </c>
      <c r="Q611" t="s">
        <v>453</v>
      </c>
      <c r="R611" t="s">
        <v>3036</v>
      </c>
      <c r="S611" t="s">
        <v>1178</v>
      </c>
      <c r="T611" t="s">
        <v>1192</v>
      </c>
      <c r="U611" t="s">
        <v>599</v>
      </c>
      <c r="V611" t="s">
        <v>1551</v>
      </c>
      <c r="W611" t="s">
        <v>599</v>
      </c>
      <c r="X611" t="s">
        <v>599</v>
      </c>
      <c r="Y611" t="s">
        <v>1182</v>
      </c>
      <c r="Z611" t="s">
        <v>3037</v>
      </c>
      <c r="AA611">
        <v>1890</v>
      </c>
      <c r="AB611">
        <v>1890</v>
      </c>
      <c r="AC611" t="s">
        <v>3038</v>
      </c>
      <c r="AD611" t="s">
        <v>1185</v>
      </c>
      <c r="AE611" t="s">
        <v>599</v>
      </c>
      <c r="AF611" t="s">
        <v>599</v>
      </c>
      <c r="AG611" t="s">
        <v>3039</v>
      </c>
      <c r="AH611" t="s">
        <v>599</v>
      </c>
      <c r="AI611" t="s">
        <v>599</v>
      </c>
      <c r="AJ611" t="s">
        <v>3040</v>
      </c>
      <c r="AK611" t="s">
        <v>599</v>
      </c>
      <c r="AL611" t="s">
        <v>3041</v>
      </c>
      <c r="AM611" t="s">
        <v>1190</v>
      </c>
      <c r="AN611" t="s">
        <v>599</v>
      </c>
      <c r="AO611" t="s">
        <v>599</v>
      </c>
      <c r="AP611" t="s">
        <v>599</v>
      </c>
      <c r="AQ611" t="s">
        <v>599</v>
      </c>
      <c r="AR611" t="s">
        <v>599</v>
      </c>
      <c r="AS611" t="s">
        <v>599</v>
      </c>
      <c r="AT611" t="s">
        <v>599</v>
      </c>
    </row>
    <row r="612" spans="1:46" ht="45" x14ac:dyDescent="0.25">
      <c r="A612" s="2">
        <v>11480</v>
      </c>
      <c r="B612" s="10">
        <v>381444</v>
      </c>
      <c r="C612" s="10">
        <v>1</v>
      </c>
      <c r="D612" s="9">
        <v>231</v>
      </c>
      <c r="E612" s="11" t="s">
        <v>453</v>
      </c>
      <c r="F612" s="12" t="s">
        <v>454</v>
      </c>
      <c r="G612" s="9" t="s">
        <v>455</v>
      </c>
      <c r="H612" s="34"/>
      <c r="I612" s="55" t="str">
        <f t="shared" si="19"/>
        <v>https://permalinkbnd.bnportugal.gov.pt/viewer/14587/?offset=#page=231&amp;viewer=picture&amp;o=info&amp;n=0&amp;q=</v>
      </c>
      <c r="J612" s="45"/>
      <c r="K612" s="45"/>
      <c r="L612" s="45"/>
      <c r="M612" t="s">
        <v>453</v>
      </c>
      <c r="N612">
        <v>14587</v>
      </c>
      <c r="O612" t="str">
        <f t="shared" si="18"/>
        <v>https://permalinkbnd.bnportugal.gov.pt/viewer/14587/?offset=#page=231&amp;viewer=picture&amp;o=info&amp;n=0&amp;q=</v>
      </c>
      <c r="P612">
        <v>381444</v>
      </c>
      <c r="Q612" t="s">
        <v>453</v>
      </c>
      <c r="R612" t="s">
        <v>3036</v>
      </c>
      <c r="S612" t="s">
        <v>1178</v>
      </c>
      <c r="T612" t="s">
        <v>1192</v>
      </c>
      <c r="U612" t="s">
        <v>599</v>
      </c>
      <c r="V612" t="s">
        <v>1551</v>
      </c>
      <c r="W612" t="s">
        <v>599</v>
      </c>
      <c r="X612" t="s">
        <v>599</v>
      </c>
      <c r="Y612" t="s">
        <v>1182</v>
      </c>
      <c r="Z612" t="s">
        <v>3037</v>
      </c>
      <c r="AA612">
        <v>1890</v>
      </c>
      <c r="AB612">
        <v>1890</v>
      </c>
      <c r="AC612" t="s">
        <v>3038</v>
      </c>
      <c r="AD612" t="s">
        <v>1185</v>
      </c>
      <c r="AE612" t="s">
        <v>599</v>
      </c>
      <c r="AF612" t="s">
        <v>599</v>
      </c>
      <c r="AG612" t="s">
        <v>3039</v>
      </c>
      <c r="AH612" t="s">
        <v>599</v>
      </c>
      <c r="AI612" t="s">
        <v>599</v>
      </c>
      <c r="AJ612" t="s">
        <v>3040</v>
      </c>
      <c r="AK612" t="s">
        <v>599</v>
      </c>
      <c r="AL612" t="s">
        <v>3041</v>
      </c>
      <c r="AM612" t="s">
        <v>1190</v>
      </c>
      <c r="AN612" t="s">
        <v>599</v>
      </c>
      <c r="AO612" t="s">
        <v>599</v>
      </c>
      <c r="AP612" t="s">
        <v>599</v>
      </c>
      <c r="AQ612" t="s">
        <v>599</v>
      </c>
      <c r="AR612" t="s">
        <v>599</v>
      </c>
      <c r="AS612" t="s">
        <v>599</v>
      </c>
      <c r="AT612" t="s">
        <v>599</v>
      </c>
    </row>
    <row r="613" spans="1:46" ht="45" x14ac:dyDescent="0.25">
      <c r="A613" s="2">
        <v>11481</v>
      </c>
      <c r="B613" s="10">
        <v>381444</v>
      </c>
      <c r="C613" s="10">
        <v>1</v>
      </c>
      <c r="D613" s="9">
        <v>255</v>
      </c>
      <c r="E613" s="11" t="s">
        <v>453</v>
      </c>
      <c r="F613" s="12" t="s">
        <v>454</v>
      </c>
      <c r="G613" s="9" t="s">
        <v>455</v>
      </c>
      <c r="H613" s="34"/>
      <c r="I613" s="55" t="str">
        <f t="shared" si="19"/>
        <v>https://permalinkbnd.bnportugal.gov.pt/viewer/14587/?offset=#page=255&amp;viewer=picture&amp;o=info&amp;n=0&amp;q=</v>
      </c>
      <c r="J613" s="45"/>
      <c r="K613" s="45"/>
      <c r="L613" s="45"/>
      <c r="M613" t="s">
        <v>453</v>
      </c>
      <c r="N613">
        <v>14587</v>
      </c>
      <c r="O613" t="str">
        <f t="shared" si="18"/>
        <v>https://permalinkbnd.bnportugal.gov.pt/viewer/14587/?offset=#page=255&amp;viewer=picture&amp;o=info&amp;n=0&amp;q=</v>
      </c>
      <c r="P613">
        <v>381444</v>
      </c>
      <c r="Q613" t="s">
        <v>453</v>
      </c>
      <c r="R613" t="s">
        <v>3036</v>
      </c>
      <c r="S613" t="s">
        <v>1178</v>
      </c>
      <c r="T613" t="s">
        <v>1192</v>
      </c>
      <c r="U613" t="s">
        <v>599</v>
      </c>
      <c r="V613" t="s">
        <v>1551</v>
      </c>
      <c r="W613" t="s">
        <v>599</v>
      </c>
      <c r="X613" t="s">
        <v>599</v>
      </c>
      <c r="Y613" t="s">
        <v>1182</v>
      </c>
      <c r="Z613" t="s">
        <v>3037</v>
      </c>
      <c r="AA613">
        <v>1890</v>
      </c>
      <c r="AB613">
        <v>1890</v>
      </c>
      <c r="AC613" t="s">
        <v>3038</v>
      </c>
      <c r="AD613" t="s">
        <v>1185</v>
      </c>
      <c r="AE613" t="s">
        <v>599</v>
      </c>
      <c r="AF613" t="s">
        <v>599</v>
      </c>
      <c r="AG613" t="s">
        <v>3039</v>
      </c>
      <c r="AH613" t="s">
        <v>599</v>
      </c>
      <c r="AI613" t="s">
        <v>599</v>
      </c>
      <c r="AJ613" t="s">
        <v>3040</v>
      </c>
      <c r="AK613" t="s">
        <v>599</v>
      </c>
      <c r="AL613" t="s">
        <v>3041</v>
      </c>
      <c r="AM613" t="s">
        <v>1190</v>
      </c>
      <c r="AN613" t="s">
        <v>599</v>
      </c>
      <c r="AO613" t="s">
        <v>599</v>
      </c>
      <c r="AP613" t="s">
        <v>599</v>
      </c>
      <c r="AQ613" t="s">
        <v>599</v>
      </c>
      <c r="AR613" t="s">
        <v>599</v>
      </c>
      <c r="AS613" t="s">
        <v>599</v>
      </c>
      <c r="AT613" t="s">
        <v>599</v>
      </c>
    </row>
    <row r="614" spans="1:46" ht="45" x14ac:dyDescent="0.25">
      <c r="A614" s="2">
        <v>11482</v>
      </c>
      <c r="B614" s="10">
        <v>381444</v>
      </c>
      <c r="C614" s="10">
        <v>1</v>
      </c>
      <c r="D614" s="9">
        <v>265</v>
      </c>
      <c r="E614" s="11" t="s">
        <v>453</v>
      </c>
      <c r="F614" s="12" t="s">
        <v>454</v>
      </c>
      <c r="G614" s="9" t="s">
        <v>455</v>
      </c>
      <c r="H614" s="34"/>
      <c r="I614" s="55" t="str">
        <f t="shared" si="19"/>
        <v>https://permalinkbnd.bnportugal.gov.pt/viewer/14587/?offset=#page=265&amp;viewer=picture&amp;o=info&amp;n=0&amp;q=</v>
      </c>
      <c r="J614" s="45"/>
      <c r="K614" s="45"/>
      <c r="L614" s="45"/>
      <c r="M614" t="s">
        <v>453</v>
      </c>
      <c r="N614">
        <v>14587</v>
      </c>
      <c r="O614" t="str">
        <f t="shared" si="18"/>
        <v>https://permalinkbnd.bnportugal.gov.pt/viewer/14587/?offset=#page=265&amp;viewer=picture&amp;o=info&amp;n=0&amp;q=</v>
      </c>
      <c r="P614">
        <v>381444</v>
      </c>
      <c r="Q614" t="s">
        <v>453</v>
      </c>
      <c r="R614" t="s">
        <v>3036</v>
      </c>
      <c r="S614" t="s">
        <v>1178</v>
      </c>
      <c r="T614" t="s">
        <v>1192</v>
      </c>
      <c r="U614" t="s">
        <v>599</v>
      </c>
      <c r="V614" t="s">
        <v>1551</v>
      </c>
      <c r="W614" t="s">
        <v>599</v>
      </c>
      <c r="X614" t="s">
        <v>599</v>
      </c>
      <c r="Y614" t="s">
        <v>1182</v>
      </c>
      <c r="Z614" t="s">
        <v>3037</v>
      </c>
      <c r="AA614">
        <v>1890</v>
      </c>
      <c r="AB614">
        <v>1890</v>
      </c>
      <c r="AC614" t="s">
        <v>3038</v>
      </c>
      <c r="AD614" t="s">
        <v>1185</v>
      </c>
      <c r="AE614" t="s">
        <v>599</v>
      </c>
      <c r="AF614" t="s">
        <v>599</v>
      </c>
      <c r="AG614" t="s">
        <v>3039</v>
      </c>
      <c r="AH614" t="s">
        <v>599</v>
      </c>
      <c r="AI614" t="s">
        <v>599</v>
      </c>
      <c r="AJ614" t="s">
        <v>3040</v>
      </c>
      <c r="AK614" t="s">
        <v>599</v>
      </c>
      <c r="AL614" t="s">
        <v>3041</v>
      </c>
      <c r="AM614" t="s">
        <v>1190</v>
      </c>
      <c r="AN614" t="s">
        <v>599</v>
      </c>
      <c r="AO614" t="s">
        <v>599</v>
      </c>
      <c r="AP614" t="s">
        <v>599</v>
      </c>
      <c r="AQ614" t="s">
        <v>599</v>
      </c>
      <c r="AR614" t="s">
        <v>599</v>
      </c>
      <c r="AS614" t="s">
        <v>599</v>
      </c>
      <c r="AT614" t="s">
        <v>599</v>
      </c>
    </row>
    <row r="615" spans="1:46" ht="45" x14ac:dyDescent="0.25">
      <c r="A615" s="2">
        <v>11483</v>
      </c>
      <c r="B615" s="10">
        <v>381444</v>
      </c>
      <c r="C615" s="10">
        <v>1</v>
      </c>
      <c r="D615" s="9">
        <v>289</v>
      </c>
      <c r="E615" s="11" t="s">
        <v>453</v>
      </c>
      <c r="F615" s="12" t="s">
        <v>454</v>
      </c>
      <c r="G615" s="9" t="s">
        <v>455</v>
      </c>
      <c r="H615" s="34"/>
      <c r="I615" s="55" t="str">
        <f t="shared" si="19"/>
        <v>https://permalinkbnd.bnportugal.gov.pt/viewer/14587/?offset=#page=289&amp;viewer=picture&amp;o=info&amp;n=0&amp;q=</v>
      </c>
      <c r="J615" s="45"/>
      <c r="K615" s="45"/>
      <c r="L615" s="45"/>
      <c r="M615" t="s">
        <v>453</v>
      </c>
      <c r="N615">
        <v>14587</v>
      </c>
      <c r="O615" t="str">
        <f t="shared" si="18"/>
        <v>https://permalinkbnd.bnportugal.gov.pt/viewer/14587/?offset=#page=289&amp;viewer=picture&amp;o=info&amp;n=0&amp;q=</v>
      </c>
      <c r="P615">
        <v>381444</v>
      </c>
      <c r="Q615" t="s">
        <v>453</v>
      </c>
      <c r="R615" t="s">
        <v>3036</v>
      </c>
      <c r="S615" t="s">
        <v>1178</v>
      </c>
      <c r="T615" t="s">
        <v>1192</v>
      </c>
      <c r="U615" t="s">
        <v>599</v>
      </c>
      <c r="V615" t="s">
        <v>1551</v>
      </c>
      <c r="W615" t="s">
        <v>599</v>
      </c>
      <c r="X615" t="s">
        <v>599</v>
      </c>
      <c r="Y615" t="s">
        <v>1182</v>
      </c>
      <c r="Z615" t="s">
        <v>3037</v>
      </c>
      <c r="AA615">
        <v>1890</v>
      </c>
      <c r="AB615">
        <v>1890</v>
      </c>
      <c r="AC615" t="s">
        <v>3038</v>
      </c>
      <c r="AD615" t="s">
        <v>1185</v>
      </c>
      <c r="AE615" t="s">
        <v>599</v>
      </c>
      <c r="AF615" t="s">
        <v>599</v>
      </c>
      <c r="AG615" t="s">
        <v>3039</v>
      </c>
      <c r="AH615" t="s">
        <v>599</v>
      </c>
      <c r="AI615" t="s">
        <v>599</v>
      </c>
      <c r="AJ615" t="s">
        <v>3040</v>
      </c>
      <c r="AK615" t="s">
        <v>599</v>
      </c>
      <c r="AL615" t="s">
        <v>3041</v>
      </c>
      <c r="AM615" t="s">
        <v>1190</v>
      </c>
      <c r="AN615" t="s">
        <v>599</v>
      </c>
      <c r="AO615" t="s">
        <v>599</v>
      </c>
      <c r="AP615" t="s">
        <v>599</v>
      </c>
      <c r="AQ615" t="s">
        <v>599</v>
      </c>
      <c r="AR615" t="s">
        <v>599</v>
      </c>
      <c r="AS615" t="s">
        <v>599</v>
      </c>
      <c r="AT615" t="s">
        <v>599</v>
      </c>
    </row>
    <row r="616" spans="1:46" ht="45" x14ac:dyDescent="0.25">
      <c r="A616" s="2">
        <v>11484</v>
      </c>
      <c r="B616" s="10">
        <v>381444</v>
      </c>
      <c r="C616" s="10">
        <v>1</v>
      </c>
      <c r="D616" s="9">
        <v>295</v>
      </c>
      <c r="E616" s="11" t="s">
        <v>453</v>
      </c>
      <c r="F616" s="12" t="s">
        <v>454</v>
      </c>
      <c r="G616" s="9" t="s">
        <v>455</v>
      </c>
      <c r="H616" s="34"/>
      <c r="I616" s="55" t="str">
        <f t="shared" si="19"/>
        <v>https://permalinkbnd.bnportugal.gov.pt/viewer/14587/?offset=#page=295&amp;viewer=picture&amp;o=info&amp;n=0&amp;q=</v>
      </c>
      <c r="J616" s="45"/>
      <c r="K616" s="45"/>
      <c r="L616" s="45"/>
      <c r="M616" t="s">
        <v>453</v>
      </c>
      <c r="N616">
        <v>14587</v>
      </c>
      <c r="O616" t="str">
        <f t="shared" si="18"/>
        <v>https://permalinkbnd.bnportugal.gov.pt/viewer/14587/?offset=#page=295&amp;viewer=picture&amp;o=info&amp;n=0&amp;q=</v>
      </c>
      <c r="P616">
        <v>381444</v>
      </c>
      <c r="Q616" t="s">
        <v>453</v>
      </c>
      <c r="R616" t="s">
        <v>3036</v>
      </c>
      <c r="S616" t="s">
        <v>1178</v>
      </c>
      <c r="T616" t="s">
        <v>1192</v>
      </c>
      <c r="U616" t="s">
        <v>599</v>
      </c>
      <c r="V616" t="s">
        <v>1551</v>
      </c>
      <c r="W616" t="s">
        <v>599</v>
      </c>
      <c r="X616" t="s">
        <v>599</v>
      </c>
      <c r="Y616" t="s">
        <v>1182</v>
      </c>
      <c r="Z616" t="s">
        <v>3037</v>
      </c>
      <c r="AA616">
        <v>1890</v>
      </c>
      <c r="AB616">
        <v>1890</v>
      </c>
      <c r="AC616" t="s">
        <v>3038</v>
      </c>
      <c r="AD616" t="s">
        <v>1185</v>
      </c>
      <c r="AE616" t="s">
        <v>599</v>
      </c>
      <c r="AF616" t="s">
        <v>599</v>
      </c>
      <c r="AG616" t="s">
        <v>3039</v>
      </c>
      <c r="AH616" t="s">
        <v>599</v>
      </c>
      <c r="AI616" t="s">
        <v>599</v>
      </c>
      <c r="AJ616" t="s">
        <v>3040</v>
      </c>
      <c r="AK616" t="s">
        <v>599</v>
      </c>
      <c r="AL616" t="s">
        <v>3041</v>
      </c>
      <c r="AM616" t="s">
        <v>1190</v>
      </c>
      <c r="AN616" t="s">
        <v>599</v>
      </c>
      <c r="AO616" t="s">
        <v>599</v>
      </c>
      <c r="AP616" t="s">
        <v>599</v>
      </c>
      <c r="AQ616" t="s">
        <v>599</v>
      </c>
      <c r="AR616" t="s">
        <v>599</v>
      </c>
      <c r="AS616" t="s">
        <v>599</v>
      </c>
      <c r="AT616" t="s">
        <v>599</v>
      </c>
    </row>
    <row r="617" spans="1:46" ht="45" x14ac:dyDescent="0.25">
      <c r="A617" s="2">
        <v>11485</v>
      </c>
      <c r="B617" s="10">
        <v>381444</v>
      </c>
      <c r="C617" s="10">
        <v>1</v>
      </c>
      <c r="D617" s="9">
        <v>323</v>
      </c>
      <c r="E617" s="11" t="s">
        <v>453</v>
      </c>
      <c r="F617" s="12" t="s">
        <v>454</v>
      </c>
      <c r="G617" s="9" t="s">
        <v>455</v>
      </c>
      <c r="H617" s="34"/>
      <c r="I617" s="55" t="str">
        <f t="shared" si="19"/>
        <v>https://permalinkbnd.bnportugal.gov.pt/viewer/14587/?offset=#page=323&amp;viewer=picture&amp;o=info&amp;n=0&amp;q=</v>
      </c>
      <c r="J617" s="45"/>
      <c r="K617" s="45"/>
      <c r="L617" s="45"/>
      <c r="M617" t="s">
        <v>453</v>
      </c>
      <c r="N617">
        <v>14587</v>
      </c>
      <c r="O617" t="str">
        <f t="shared" si="18"/>
        <v>https://permalinkbnd.bnportugal.gov.pt/viewer/14587/?offset=#page=323&amp;viewer=picture&amp;o=info&amp;n=0&amp;q=</v>
      </c>
      <c r="P617">
        <v>381444</v>
      </c>
      <c r="Q617" t="s">
        <v>453</v>
      </c>
      <c r="R617" t="s">
        <v>3036</v>
      </c>
      <c r="S617" t="s">
        <v>1178</v>
      </c>
      <c r="T617" t="s">
        <v>1192</v>
      </c>
      <c r="U617" t="s">
        <v>599</v>
      </c>
      <c r="V617" t="s">
        <v>1551</v>
      </c>
      <c r="W617" t="s">
        <v>599</v>
      </c>
      <c r="X617" t="s">
        <v>599</v>
      </c>
      <c r="Y617" t="s">
        <v>1182</v>
      </c>
      <c r="Z617" t="s">
        <v>3037</v>
      </c>
      <c r="AA617">
        <v>1890</v>
      </c>
      <c r="AB617">
        <v>1890</v>
      </c>
      <c r="AC617" t="s">
        <v>3038</v>
      </c>
      <c r="AD617" t="s">
        <v>1185</v>
      </c>
      <c r="AE617" t="s">
        <v>599</v>
      </c>
      <c r="AF617" t="s">
        <v>599</v>
      </c>
      <c r="AG617" t="s">
        <v>3039</v>
      </c>
      <c r="AH617" t="s">
        <v>599</v>
      </c>
      <c r="AI617" t="s">
        <v>599</v>
      </c>
      <c r="AJ617" t="s">
        <v>3040</v>
      </c>
      <c r="AK617" t="s">
        <v>599</v>
      </c>
      <c r="AL617" t="s">
        <v>3041</v>
      </c>
      <c r="AM617" t="s">
        <v>1190</v>
      </c>
      <c r="AN617" t="s">
        <v>599</v>
      </c>
      <c r="AO617" t="s">
        <v>599</v>
      </c>
      <c r="AP617" t="s">
        <v>599</v>
      </c>
      <c r="AQ617" t="s">
        <v>599</v>
      </c>
      <c r="AR617" t="s">
        <v>599</v>
      </c>
      <c r="AS617" t="s">
        <v>599</v>
      </c>
      <c r="AT617" t="s">
        <v>599</v>
      </c>
    </row>
    <row r="618" spans="1:46" ht="45" x14ac:dyDescent="0.25">
      <c r="A618" s="2">
        <v>11486</v>
      </c>
      <c r="B618" s="10">
        <v>381444</v>
      </c>
      <c r="C618" s="10">
        <v>1</v>
      </c>
      <c r="D618" s="9">
        <v>331</v>
      </c>
      <c r="E618" s="11" t="s">
        <v>453</v>
      </c>
      <c r="F618" s="12" t="s">
        <v>454</v>
      </c>
      <c r="G618" s="9" t="s">
        <v>455</v>
      </c>
      <c r="H618" s="34"/>
      <c r="I618" s="55" t="str">
        <f t="shared" si="19"/>
        <v>https://permalinkbnd.bnportugal.gov.pt/viewer/14587/?offset=#page=331&amp;viewer=picture&amp;o=info&amp;n=0&amp;q=</v>
      </c>
      <c r="J618" s="45"/>
      <c r="K618" s="45"/>
      <c r="L618" s="45"/>
      <c r="M618" t="s">
        <v>453</v>
      </c>
      <c r="N618">
        <v>14587</v>
      </c>
      <c r="O618" t="str">
        <f t="shared" si="18"/>
        <v>https://permalinkbnd.bnportugal.gov.pt/viewer/14587/?offset=#page=331&amp;viewer=picture&amp;o=info&amp;n=0&amp;q=</v>
      </c>
      <c r="P618">
        <v>381444</v>
      </c>
      <c r="Q618" t="s">
        <v>453</v>
      </c>
      <c r="R618" t="s">
        <v>3036</v>
      </c>
      <c r="S618" t="s">
        <v>1178</v>
      </c>
      <c r="T618" t="s">
        <v>1192</v>
      </c>
      <c r="U618" t="s">
        <v>599</v>
      </c>
      <c r="V618" t="s">
        <v>1551</v>
      </c>
      <c r="W618" t="s">
        <v>599</v>
      </c>
      <c r="X618" t="s">
        <v>599</v>
      </c>
      <c r="Y618" t="s">
        <v>1182</v>
      </c>
      <c r="Z618" t="s">
        <v>3037</v>
      </c>
      <c r="AA618">
        <v>1890</v>
      </c>
      <c r="AB618">
        <v>1890</v>
      </c>
      <c r="AC618" t="s">
        <v>3038</v>
      </c>
      <c r="AD618" t="s">
        <v>1185</v>
      </c>
      <c r="AE618" t="s">
        <v>599</v>
      </c>
      <c r="AF618" t="s">
        <v>599</v>
      </c>
      <c r="AG618" t="s">
        <v>3039</v>
      </c>
      <c r="AH618" t="s">
        <v>599</v>
      </c>
      <c r="AI618" t="s">
        <v>599</v>
      </c>
      <c r="AJ618" t="s">
        <v>3040</v>
      </c>
      <c r="AK618" t="s">
        <v>599</v>
      </c>
      <c r="AL618" t="s">
        <v>3041</v>
      </c>
      <c r="AM618" t="s">
        <v>1190</v>
      </c>
      <c r="AN618" t="s">
        <v>599</v>
      </c>
      <c r="AO618" t="s">
        <v>599</v>
      </c>
      <c r="AP618" t="s">
        <v>599</v>
      </c>
      <c r="AQ618" t="s">
        <v>599</v>
      </c>
      <c r="AR618" t="s">
        <v>599</v>
      </c>
      <c r="AS618" t="s">
        <v>599</v>
      </c>
      <c r="AT618" t="s">
        <v>599</v>
      </c>
    </row>
    <row r="619" spans="1:46" ht="45" x14ac:dyDescent="0.25">
      <c r="A619" s="2">
        <v>11487</v>
      </c>
      <c r="B619" s="10">
        <v>381444</v>
      </c>
      <c r="C619" s="10">
        <v>1</v>
      </c>
      <c r="D619" s="9">
        <v>365</v>
      </c>
      <c r="E619" s="11" t="s">
        <v>453</v>
      </c>
      <c r="F619" s="12" t="s">
        <v>454</v>
      </c>
      <c r="G619" s="9" t="s">
        <v>455</v>
      </c>
      <c r="H619" s="34"/>
      <c r="I619" s="55" t="str">
        <f t="shared" si="19"/>
        <v>https://permalinkbnd.bnportugal.gov.pt/viewer/14587/?offset=#page=365&amp;viewer=picture&amp;o=info&amp;n=0&amp;q=</v>
      </c>
      <c r="J619" s="45"/>
      <c r="K619" s="45"/>
      <c r="L619" s="45"/>
      <c r="M619" t="s">
        <v>453</v>
      </c>
      <c r="N619">
        <v>14587</v>
      </c>
      <c r="O619" t="str">
        <f t="shared" si="18"/>
        <v>https://permalinkbnd.bnportugal.gov.pt/viewer/14587/?offset=#page=365&amp;viewer=picture&amp;o=info&amp;n=0&amp;q=</v>
      </c>
      <c r="P619">
        <v>381444</v>
      </c>
      <c r="Q619" t="s">
        <v>453</v>
      </c>
      <c r="R619" t="s">
        <v>3036</v>
      </c>
      <c r="S619" t="s">
        <v>1178</v>
      </c>
      <c r="T619" t="s">
        <v>1192</v>
      </c>
      <c r="U619" t="s">
        <v>599</v>
      </c>
      <c r="V619" t="s">
        <v>1551</v>
      </c>
      <c r="W619" t="s">
        <v>599</v>
      </c>
      <c r="X619" t="s">
        <v>599</v>
      </c>
      <c r="Y619" t="s">
        <v>1182</v>
      </c>
      <c r="Z619" t="s">
        <v>3037</v>
      </c>
      <c r="AA619">
        <v>1890</v>
      </c>
      <c r="AB619">
        <v>1890</v>
      </c>
      <c r="AC619" t="s">
        <v>3038</v>
      </c>
      <c r="AD619" t="s">
        <v>1185</v>
      </c>
      <c r="AE619" t="s">
        <v>599</v>
      </c>
      <c r="AF619" t="s">
        <v>599</v>
      </c>
      <c r="AG619" t="s">
        <v>3039</v>
      </c>
      <c r="AH619" t="s">
        <v>599</v>
      </c>
      <c r="AI619" t="s">
        <v>599</v>
      </c>
      <c r="AJ619" t="s">
        <v>3040</v>
      </c>
      <c r="AK619" t="s">
        <v>599</v>
      </c>
      <c r="AL619" t="s">
        <v>3041</v>
      </c>
      <c r="AM619" t="s">
        <v>1190</v>
      </c>
      <c r="AN619" t="s">
        <v>599</v>
      </c>
      <c r="AO619" t="s">
        <v>599</v>
      </c>
      <c r="AP619" t="s">
        <v>599</v>
      </c>
      <c r="AQ619" t="s">
        <v>599</v>
      </c>
      <c r="AR619" t="s">
        <v>599</v>
      </c>
      <c r="AS619" t="s">
        <v>599</v>
      </c>
      <c r="AT619" t="s">
        <v>599</v>
      </c>
    </row>
    <row r="620" spans="1:46" ht="45" x14ac:dyDescent="0.25">
      <c r="A620" s="2">
        <v>11488</v>
      </c>
      <c r="B620" s="10">
        <v>381444</v>
      </c>
      <c r="C620" s="10">
        <v>1</v>
      </c>
      <c r="D620" s="9">
        <v>385</v>
      </c>
      <c r="E620" s="11" t="s">
        <v>453</v>
      </c>
      <c r="F620" s="12" t="s">
        <v>454</v>
      </c>
      <c r="G620" s="9" t="s">
        <v>455</v>
      </c>
      <c r="H620" s="34"/>
      <c r="I620" s="55" t="str">
        <f t="shared" si="19"/>
        <v>https://permalinkbnd.bnportugal.gov.pt/viewer/14587/?offset=#page=385&amp;viewer=picture&amp;o=info&amp;n=0&amp;q=</v>
      </c>
      <c r="J620" s="45"/>
      <c r="K620" s="45"/>
      <c r="L620" s="45"/>
      <c r="M620" t="s">
        <v>453</v>
      </c>
      <c r="N620">
        <v>14587</v>
      </c>
      <c r="O620" t="str">
        <f t="shared" si="18"/>
        <v>https://permalinkbnd.bnportugal.gov.pt/viewer/14587/?offset=#page=385&amp;viewer=picture&amp;o=info&amp;n=0&amp;q=</v>
      </c>
      <c r="P620">
        <v>381444</v>
      </c>
      <c r="Q620" t="s">
        <v>453</v>
      </c>
      <c r="R620" t="s">
        <v>3036</v>
      </c>
      <c r="S620" t="s">
        <v>1178</v>
      </c>
      <c r="T620" t="s">
        <v>1192</v>
      </c>
      <c r="U620" t="s">
        <v>599</v>
      </c>
      <c r="V620" t="s">
        <v>1551</v>
      </c>
      <c r="W620" t="s">
        <v>599</v>
      </c>
      <c r="X620" t="s">
        <v>599</v>
      </c>
      <c r="Y620" t="s">
        <v>1182</v>
      </c>
      <c r="Z620" t="s">
        <v>3037</v>
      </c>
      <c r="AA620">
        <v>1890</v>
      </c>
      <c r="AB620">
        <v>1890</v>
      </c>
      <c r="AC620" t="s">
        <v>3038</v>
      </c>
      <c r="AD620" t="s">
        <v>1185</v>
      </c>
      <c r="AE620" t="s">
        <v>599</v>
      </c>
      <c r="AF620" t="s">
        <v>599</v>
      </c>
      <c r="AG620" t="s">
        <v>3039</v>
      </c>
      <c r="AH620" t="s">
        <v>599</v>
      </c>
      <c r="AI620" t="s">
        <v>599</v>
      </c>
      <c r="AJ620" t="s">
        <v>3040</v>
      </c>
      <c r="AK620" t="s">
        <v>599</v>
      </c>
      <c r="AL620" t="s">
        <v>3041</v>
      </c>
      <c r="AM620" t="s">
        <v>1190</v>
      </c>
      <c r="AN620" t="s">
        <v>599</v>
      </c>
      <c r="AO620" t="s">
        <v>599</v>
      </c>
      <c r="AP620" t="s">
        <v>599</v>
      </c>
      <c r="AQ620" t="s">
        <v>599</v>
      </c>
      <c r="AR620" t="s">
        <v>599</v>
      </c>
      <c r="AS620" t="s">
        <v>599</v>
      </c>
      <c r="AT620" t="s">
        <v>599</v>
      </c>
    </row>
    <row r="621" spans="1:46" ht="30" x14ac:dyDescent="0.25">
      <c r="A621" s="2">
        <v>11489</v>
      </c>
      <c r="B621" s="10">
        <v>381504</v>
      </c>
      <c r="C621" s="10">
        <v>1</v>
      </c>
      <c r="D621" s="9">
        <v>8</v>
      </c>
      <c r="E621" s="11" t="s">
        <v>456</v>
      </c>
      <c r="F621" s="12" t="s">
        <v>457</v>
      </c>
      <c r="G621" s="9" t="s">
        <v>458</v>
      </c>
      <c r="H621" s="34"/>
      <c r="I621" s="55" t="str">
        <f t="shared" si="19"/>
        <v>https://permalinkbnd.bnportugal.gov.pt/viewer/14650/?offset=#page=8&amp;viewer=picture&amp;o=info&amp;n=0&amp;q=</v>
      </c>
      <c r="J621" s="45"/>
      <c r="K621" s="45"/>
      <c r="L621" s="45"/>
      <c r="M621" t="s">
        <v>456</v>
      </c>
      <c r="N621">
        <v>14650</v>
      </c>
      <c r="O621" t="str">
        <f t="shared" si="18"/>
        <v>https://permalinkbnd.bnportugal.gov.pt/viewer/14650/?offset=#page=8&amp;viewer=picture&amp;o=info&amp;n=0&amp;q=</v>
      </c>
      <c r="P621">
        <v>381504</v>
      </c>
      <c r="Q621" t="s">
        <v>456</v>
      </c>
      <c r="R621" t="s">
        <v>3042</v>
      </c>
      <c r="S621" t="s">
        <v>1178</v>
      </c>
      <c r="T621" t="s">
        <v>1502</v>
      </c>
      <c r="U621" t="s">
        <v>1192</v>
      </c>
      <c r="V621" t="s">
        <v>3043</v>
      </c>
      <c r="W621" t="s">
        <v>3044</v>
      </c>
      <c r="X621" t="s">
        <v>599</v>
      </c>
      <c r="Y621" t="s">
        <v>1182</v>
      </c>
      <c r="Z621" t="s">
        <v>3045</v>
      </c>
      <c r="AA621">
        <v>1655</v>
      </c>
      <c r="AB621">
        <v>1655</v>
      </c>
      <c r="AC621" t="s">
        <v>3046</v>
      </c>
      <c r="AD621" t="s">
        <v>1185</v>
      </c>
      <c r="AE621" t="s">
        <v>599</v>
      </c>
      <c r="AF621" t="s">
        <v>599</v>
      </c>
      <c r="AG621" t="s">
        <v>3047</v>
      </c>
      <c r="AH621" t="s">
        <v>599</v>
      </c>
      <c r="AI621" t="s">
        <v>599</v>
      </c>
      <c r="AJ621" t="s">
        <v>3048</v>
      </c>
      <c r="AK621" t="s">
        <v>1702</v>
      </c>
      <c r="AL621" t="s">
        <v>3049</v>
      </c>
      <c r="AM621" t="s">
        <v>1190</v>
      </c>
      <c r="AN621" t="s">
        <v>599</v>
      </c>
      <c r="AO621" t="s">
        <v>599</v>
      </c>
      <c r="AP621" t="s">
        <v>599</v>
      </c>
      <c r="AQ621" t="s">
        <v>599</v>
      </c>
      <c r="AR621" t="s">
        <v>599</v>
      </c>
      <c r="AS621" t="s">
        <v>599</v>
      </c>
      <c r="AT621" t="s">
        <v>599</v>
      </c>
    </row>
    <row r="622" spans="1:46" ht="30" x14ac:dyDescent="0.25">
      <c r="A622" s="2">
        <v>11490</v>
      </c>
      <c r="B622" s="10">
        <v>381504</v>
      </c>
      <c r="C622" s="10">
        <v>1</v>
      </c>
      <c r="D622" s="9">
        <v>30</v>
      </c>
      <c r="E622" s="11" t="s">
        <v>456</v>
      </c>
      <c r="F622" s="12" t="s">
        <v>457</v>
      </c>
      <c r="G622" s="9" t="s">
        <v>458</v>
      </c>
      <c r="H622" s="34"/>
      <c r="I622" s="55" t="str">
        <f t="shared" si="19"/>
        <v>https://permalinkbnd.bnportugal.gov.pt/viewer/14650/?offset=#page=30&amp;viewer=picture&amp;o=info&amp;n=0&amp;q=</v>
      </c>
      <c r="J622" s="45"/>
      <c r="K622" s="45"/>
      <c r="L622" s="45"/>
      <c r="M622" t="s">
        <v>456</v>
      </c>
      <c r="N622">
        <v>14650</v>
      </c>
      <c r="O622" t="str">
        <f t="shared" si="18"/>
        <v>https://permalinkbnd.bnportugal.gov.pt/viewer/14650/?offset=#page=30&amp;viewer=picture&amp;o=info&amp;n=0&amp;q=</v>
      </c>
      <c r="P622">
        <v>381504</v>
      </c>
      <c r="Q622" t="s">
        <v>456</v>
      </c>
      <c r="R622" t="s">
        <v>3042</v>
      </c>
      <c r="S622" t="s">
        <v>1178</v>
      </c>
      <c r="T622" t="s">
        <v>1502</v>
      </c>
      <c r="U622" t="s">
        <v>1192</v>
      </c>
      <c r="V622" t="s">
        <v>3043</v>
      </c>
      <c r="W622" t="s">
        <v>3044</v>
      </c>
      <c r="X622" t="s">
        <v>599</v>
      </c>
      <c r="Y622" t="s">
        <v>1182</v>
      </c>
      <c r="Z622" t="s">
        <v>3045</v>
      </c>
      <c r="AA622">
        <v>1655</v>
      </c>
      <c r="AB622">
        <v>1655</v>
      </c>
      <c r="AC622" t="s">
        <v>3046</v>
      </c>
      <c r="AD622" t="s">
        <v>1185</v>
      </c>
      <c r="AE622" t="s">
        <v>599</v>
      </c>
      <c r="AF622" t="s">
        <v>599</v>
      </c>
      <c r="AG622" t="s">
        <v>3047</v>
      </c>
      <c r="AH622" t="s">
        <v>599</v>
      </c>
      <c r="AI622" t="s">
        <v>599</v>
      </c>
      <c r="AJ622" t="s">
        <v>3048</v>
      </c>
      <c r="AK622" t="s">
        <v>1702</v>
      </c>
      <c r="AL622" t="s">
        <v>3049</v>
      </c>
      <c r="AM622" t="s">
        <v>1190</v>
      </c>
      <c r="AN622" t="s">
        <v>599</v>
      </c>
      <c r="AO622" t="s">
        <v>599</v>
      </c>
      <c r="AP622" t="s">
        <v>599</v>
      </c>
      <c r="AQ622" t="s">
        <v>599</v>
      </c>
      <c r="AR622" t="s">
        <v>599</v>
      </c>
      <c r="AS622" t="s">
        <v>599</v>
      </c>
      <c r="AT622" t="s">
        <v>599</v>
      </c>
    </row>
    <row r="623" spans="1:46" ht="30" x14ac:dyDescent="0.25">
      <c r="A623" s="2">
        <v>11491</v>
      </c>
      <c r="B623" s="10">
        <v>381504</v>
      </c>
      <c r="C623" s="10">
        <v>1</v>
      </c>
      <c r="D623" s="9">
        <v>31</v>
      </c>
      <c r="E623" s="11" t="s">
        <v>456</v>
      </c>
      <c r="F623" s="12" t="s">
        <v>457</v>
      </c>
      <c r="G623" s="9" t="s">
        <v>458</v>
      </c>
      <c r="H623" s="34"/>
      <c r="I623" s="55" t="str">
        <f t="shared" si="19"/>
        <v>https://permalinkbnd.bnportugal.gov.pt/viewer/14650/?offset=#page=31&amp;viewer=picture&amp;o=info&amp;n=0&amp;q=</v>
      </c>
      <c r="J623" s="45"/>
      <c r="K623" s="45"/>
      <c r="L623" s="45"/>
      <c r="M623" t="s">
        <v>456</v>
      </c>
      <c r="N623">
        <v>14650</v>
      </c>
      <c r="O623" t="str">
        <f t="shared" si="18"/>
        <v>https://permalinkbnd.bnportugal.gov.pt/viewer/14650/?offset=#page=31&amp;viewer=picture&amp;o=info&amp;n=0&amp;q=</v>
      </c>
      <c r="P623">
        <v>381504</v>
      </c>
      <c r="Q623" t="s">
        <v>456</v>
      </c>
      <c r="R623" t="s">
        <v>3042</v>
      </c>
      <c r="S623" t="s">
        <v>1178</v>
      </c>
      <c r="T623" t="s">
        <v>1502</v>
      </c>
      <c r="U623" t="s">
        <v>1192</v>
      </c>
      <c r="V623" t="s">
        <v>3043</v>
      </c>
      <c r="W623" t="s">
        <v>3044</v>
      </c>
      <c r="X623" t="s">
        <v>599</v>
      </c>
      <c r="Y623" t="s">
        <v>1182</v>
      </c>
      <c r="Z623" t="s">
        <v>3045</v>
      </c>
      <c r="AA623">
        <v>1655</v>
      </c>
      <c r="AB623">
        <v>1655</v>
      </c>
      <c r="AC623" t="s">
        <v>3046</v>
      </c>
      <c r="AD623" t="s">
        <v>1185</v>
      </c>
      <c r="AE623" t="s">
        <v>599</v>
      </c>
      <c r="AF623" t="s">
        <v>599</v>
      </c>
      <c r="AG623" t="s">
        <v>3047</v>
      </c>
      <c r="AH623" t="s">
        <v>599</v>
      </c>
      <c r="AI623" t="s">
        <v>599</v>
      </c>
      <c r="AJ623" t="s">
        <v>3048</v>
      </c>
      <c r="AK623" t="s">
        <v>1702</v>
      </c>
      <c r="AL623" t="s">
        <v>3049</v>
      </c>
      <c r="AM623" t="s">
        <v>1190</v>
      </c>
      <c r="AN623" t="s">
        <v>599</v>
      </c>
      <c r="AO623" t="s">
        <v>599</v>
      </c>
      <c r="AP623" t="s">
        <v>599</v>
      </c>
      <c r="AQ623" t="s">
        <v>599</v>
      </c>
      <c r="AR623" t="s">
        <v>599</v>
      </c>
      <c r="AS623" t="s">
        <v>599</v>
      </c>
      <c r="AT623" t="s">
        <v>599</v>
      </c>
    </row>
    <row r="624" spans="1:46" ht="30" x14ac:dyDescent="0.25">
      <c r="A624" s="2">
        <v>11493</v>
      </c>
      <c r="B624" s="10">
        <v>381588</v>
      </c>
      <c r="C624" s="10">
        <v>1</v>
      </c>
      <c r="D624" s="9">
        <v>6</v>
      </c>
      <c r="E624" s="11" t="s">
        <v>459</v>
      </c>
      <c r="F624" s="12" t="s">
        <v>460</v>
      </c>
      <c r="G624" s="9" t="s">
        <v>461</v>
      </c>
      <c r="H624" s="34"/>
      <c r="I624" s="55" t="str">
        <f t="shared" si="19"/>
        <v>https://permalinkbnd.bnportugal.gov.pt/viewer/14604/?offset=#page=6&amp;viewer=picture&amp;o=info&amp;n=0&amp;q=</v>
      </c>
      <c r="J624" s="45"/>
      <c r="K624" s="45"/>
      <c r="L624" s="45"/>
      <c r="M624" t="s">
        <v>459</v>
      </c>
      <c r="N624">
        <v>14604</v>
      </c>
      <c r="O624" t="str">
        <f t="shared" si="18"/>
        <v>https://permalinkbnd.bnportugal.gov.pt/viewer/14604/?offset=#page=6&amp;viewer=picture&amp;o=info&amp;n=0&amp;q=</v>
      </c>
      <c r="P624">
        <v>381588</v>
      </c>
      <c r="Q624" t="s">
        <v>459</v>
      </c>
      <c r="R624" t="s">
        <v>3050</v>
      </c>
      <c r="S624" t="s">
        <v>1178</v>
      </c>
      <c r="T624" t="s">
        <v>1502</v>
      </c>
      <c r="U624" t="s">
        <v>1192</v>
      </c>
      <c r="V624" t="s">
        <v>3051</v>
      </c>
      <c r="W624" t="s">
        <v>1863</v>
      </c>
      <c r="X624" t="s">
        <v>599</v>
      </c>
      <c r="Y624" t="s">
        <v>3052</v>
      </c>
      <c r="Z624" t="s">
        <v>3053</v>
      </c>
      <c r="AA624">
        <v>1778</v>
      </c>
      <c r="AB624">
        <v>1778</v>
      </c>
      <c r="AC624" t="s">
        <v>3054</v>
      </c>
      <c r="AD624" t="s">
        <v>1185</v>
      </c>
      <c r="AE624" t="s">
        <v>599</v>
      </c>
      <c r="AF624" t="s">
        <v>599</v>
      </c>
      <c r="AG624" t="s">
        <v>3055</v>
      </c>
      <c r="AH624" t="s">
        <v>599</v>
      </c>
      <c r="AI624" t="s">
        <v>3056</v>
      </c>
      <c r="AJ624" t="s">
        <v>3057</v>
      </c>
      <c r="AK624" t="s">
        <v>1702</v>
      </c>
      <c r="AL624" t="s">
        <v>3058</v>
      </c>
      <c r="AM624" t="s">
        <v>1190</v>
      </c>
      <c r="AN624" t="s">
        <v>599</v>
      </c>
      <c r="AO624" t="s">
        <v>599</v>
      </c>
      <c r="AP624" t="s">
        <v>599</v>
      </c>
      <c r="AQ624" t="s">
        <v>599</v>
      </c>
      <c r="AR624" t="s">
        <v>599</v>
      </c>
      <c r="AS624" t="s">
        <v>599</v>
      </c>
      <c r="AT624" t="s">
        <v>599</v>
      </c>
    </row>
    <row r="625" spans="1:46" ht="30" x14ac:dyDescent="0.25">
      <c r="A625" s="2">
        <v>11494</v>
      </c>
      <c r="B625" s="10">
        <v>381588</v>
      </c>
      <c r="C625" s="10">
        <v>1</v>
      </c>
      <c r="D625" s="9">
        <v>35</v>
      </c>
      <c r="E625" s="11" t="s">
        <v>459</v>
      </c>
      <c r="F625" s="12" t="s">
        <v>460</v>
      </c>
      <c r="G625" s="9" t="s">
        <v>461</v>
      </c>
      <c r="H625" s="34"/>
      <c r="I625" s="55" t="str">
        <f t="shared" si="19"/>
        <v>https://permalinkbnd.bnportugal.gov.pt/viewer/14604/?offset=#page=35&amp;viewer=picture&amp;o=info&amp;n=0&amp;q=</v>
      </c>
      <c r="J625" s="45"/>
      <c r="K625" s="45"/>
      <c r="L625" s="45"/>
      <c r="M625" t="s">
        <v>459</v>
      </c>
      <c r="N625">
        <v>14604</v>
      </c>
      <c r="O625" t="str">
        <f t="shared" si="18"/>
        <v>https://permalinkbnd.bnportugal.gov.pt/viewer/14604/?offset=#page=35&amp;viewer=picture&amp;o=info&amp;n=0&amp;q=</v>
      </c>
      <c r="P625">
        <v>381588</v>
      </c>
      <c r="Q625" t="s">
        <v>459</v>
      </c>
      <c r="R625" t="s">
        <v>3050</v>
      </c>
      <c r="S625" t="s">
        <v>1178</v>
      </c>
      <c r="T625" t="s">
        <v>1502</v>
      </c>
      <c r="U625" t="s">
        <v>1192</v>
      </c>
      <c r="V625" t="s">
        <v>3051</v>
      </c>
      <c r="W625" t="s">
        <v>1863</v>
      </c>
      <c r="X625" t="s">
        <v>599</v>
      </c>
      <c r="Y625" t="s">
        <v>3052</v>
      </c>
      <c r="Z625" t="s">
        <v>3053</v>
      </c>
      <c r="AA625">
        <v>1778</v>
      </c>
      <c r="AB625">
        <v>1778</v>
      </c>
      <c r="AC625" t="s">
        <v>3054</v>
      </c>
      <c r="AD625" t="s">
        <v>1185</v>
      </c>
      <c r="AE625" t="s">
        <v>599</v>
      </c>
      <c r="AF625" t="s">
        <v>599</v>
      </c>
      <c r="AG625" t="s">
        <v>3055</v>
      </c>
      <c r="AH625" t="s">
        <v>599</v>
      </c>
      <c r="AI625" t="s">
        <v>3056</v>
      </c>
      <c r="AJ625" t="s">
        <v>3057</v>
      </c>
      <c r="AK625" t="s">
        <v>1702</v>
      </c>
      <c r="AL625" t="s">
        <v>3058</v>
      </c>
      <c r="AM625" t="s">
        <v>1190</v>
      </c>
      <c r="AN625" t="s">
        <v>599</v>
      </c>
      <c r="AO625" t="s">
        <v>599</v>
      </c>
      <c r="AP625" t="s">
        <v>599</v>
      </c>
      <c r="AQ625" t="s">
        <v>599</v>
      </c>
      <c r="AR625" t="s">
        <v>599</v>
      </c>
      <c r="AS625" t="s">
        <v>599</v>
      </c>
      <c r="AT625" t="s">
        <v>599</v>
      </c>
    </row>
    <row r="626" spans="1:46" ht="30" x14ac:dyDescent="0.25">
      <c r="A626" s="2">
        <v>11499</v>
      </c>
      <c r="B626" s="10">
        <v>397754</v>
      </c>
      <c r="C626" s="10">
        <v>1</v>
      </c>
      <c r="D626" s="9">
        <v>13</v>
      </c>
      <c r="E626" s="11" t="s">
        <v>462</v>
      </c>
      <c r="F626" s="12" t="s">
        <v>463</v>
      </c>
      <c r="G626" s="9">
        <v>13</v>
      </c>
      <c r="H626" s="34"/>
      <c r="I626" s="55" t="str">
        <f t="shared" si="19"/>
        <v>https://permalinkbnd.bnportugal.gov.pt/viewer/278482/?offset=#page=13&amp;viewer=picture&amp;o=info&amp;n=0&amp;q=</v>
      </c>
      <c r="J626" s="45"/>
      <c r="K626" s="45"/>
      <c r="L626" s="45"/>
      <c r="M626" t="s">
        <v>462</v>
      </c>
      <c r="N626">
        <v>278482</v>
      </c>
      <c r="O626" t="str">
        <f t="shared" si="18"/>
        <v>https://permalinkbnd.bnportugal.gov.pt/viewer/278482/?offset=#page=13&amp;viewer=picture&amp;o=info&amp;n=0&amp;q=</v>
      </c>
      <c r="P626">
        <v>397754</v>
      </c>
      <c r="Q626" t="s">
        <v>462</v>
      </c>
      <c r="R626" t="s">
        <v>3059</v>
      </c>
      <c r="S626" t="s">
        <v>1178</v>
      </c>
      <c r="T626" t="s">
        <v>1192</v>
      </c>
      <c r="U626" t="s">
        <v>599</v>
      </c>
      <c r="V626" t="s">
        <v>3060</v>
      </c>
      <c r="W626" t="s">
        <v>599</v>
      </c>
      <c r="X626" t="s">
        <v>599</v>
      </c>
      <c r="Y626" t="s">
        <v>1182</v>
      </c>
      <c r="Z626" t="s">
        <v>3061</v>
      </c>
      <c r="AA626">
        <v>1887</v>
      </c>
      <c r="AB626">
        <v>1887</v>
      </c>
      <c r="AC626" t="s">
        <v>3062</v>
      </c>
      <c r="AD626" t="s">
        <v>1185</v>
      </c>
      <c r="AE626" t="s">
        <v>599</v>
      </c>
      <c r="AF626" t="s">
        <v>599</v>
      </c>
      <c r="AG626" t="s">
        <v>3063</v>
      </c>
      <c r="AH626" t="s">
        <v>599</v>
      </c>
      <c r="AI626" t="s">
        <v>599</v>
      </c>
      <c r="AJ626" t="s">
        <v>3064</v>
      </c>
      <c r="AK626" t="s">
        <v>1188</v>
      </c>
      <c r="AL626" t="s">
        <v>3065</v>
      </c>
      <c r="AM626" t="s">
        <v>1190</v>
      </c>
      <c r="AN626" t="s">
        <v>3066</v>
      </c>
      <c r="AO626" t="s">
        <v>599</v>
      </c>
      <c r="AP626" t="s">
        <v>599</v>
      </c>
      <c r="AQ626" t="s">
        <v>599</v>
      </c>
      <c r="AR626" t="s">
        <v>599</v>
      </c>
      <c r="AS626" t="s">
        <v>599</v>
      </c>
      <c r="AT626" t="s">
        <v>599</v>
      </c>
    </row>
    <row r="627" spans="1:46" ht="30" x14ac:dyDescent="0.25">
      <c r="A627" s="2">
        <v>11511</v>
      </c>
      <c r="B627" s="10">
        <v>452326</v>
      </c>
      <c r="C627" s="10">
        <v>1</v>
      </c>
      <c r="D627" s="9">
        <v>12</v>
      </c>
      <c r="E627" s="11" t="s">
        <v>464</v>
      </c>
      <c r="F627" s="12" t="s">
        <v>465</v>
      </c>
      <c r="G627" s="9" t="s">
        <v>466</v>
      </c>
      <c r="H627" s="34"/>
      <c r="I627" s="55" t="str">
        <f t="shared" si="19"/>
        <v>https://permalinkbnd.bnportugal.gov.pt/viewer/14622/?offset=#page=12&amp;viewer=picture&amp;o=info&amp;n=0&amp;q=</v>
      </c>
      <c r="J627" s="45"/>
      <c r="K627" s="45"/>
      <c r="L627" s="45"/>
      <c r="M627" t="s">
        <v>464</v>
      </c>
      <c r="N627">
        <v>14622</v>
      </c>
      <c r="O627" t="str">
        <f t="shared" si="18"/>
        <v>https://permalinkbnd.bnportugal.gov.pt/viewer/14622/?offset=#page=12&amp;viewer=picture&amp;o=info&amp;n=0&amp;q=</v>
      </c>
      <c r="P627">
        <v>452326</v>
      </c>
      <c r="Q627" t="s">
        <v>464</v>
      </c>
      <c r="R627" t="s">
        <v>3067</v>
      </c>
      <c r="S627" t="s">
        <v>1178</v>
      </c>
      <c r="T627" t="s">
        <v>1362</v>
      </c>
      <c r="U627" t="s">
        <v>599</v>
      </c>
      <c r="V627" t="s">
        <v>3068</v>
      </c>
      <c r="W627" t="s">
        <v>3069</v>
      </c>
      <c r="X627" t="s">
        <v>599</v>
      </c>
      <c r="Y627" t="s">
        <v>1182</v>
      </c>
      <c r="Z627" t="s">
        <v>3070</v>
      </c>
      <c r="AA627">
        <v>1935</v>
      </c>
      <c r="AB627">
        <v>1935</v>
      </c>
      <c r="AC627" t="s">
        <v>3071</v>
      </c>
      <c r="AD627" t="s">
        <v>3072</v>
      </c>
      <c r="AE627" t="s">
        <v>599</v>
      </c>
      <c r="AF627" t="s">
        <v>599</v>
      </c>
      <c r="AG627" t="s">
        <v>3073</v>
      </c>
      <c r="AH627" t="s">
        <v>599</v>
      </c>
      <c r="AI627" t="s">
        <v>599</v>
      </c>
      <c r="AJ627" t="s">
        <v>3074</v>
      </c>
      <c r="AK627" t="s">
        <v>3075</v>
      </c>
      <c r="AL627" t="s">
        <v>3076</v>
      </c>
      <c r="AM627" t="s">
        <v>1190</v>
      </c>
      <c r="AN627" t="s">
        <v>599</v>
      </c>
      <c r="AO627" t="s">
        <v>599</v>
      </c>
      <c r="AP627" t="s">
        <v>599</v>
      </c>
      <c r="AQ627" t="s">
        <v>599</v>
      </c>
      <c r="AR627" t="s">
        <v>599</v>
      </c>
      <c r="AS627" t="s">
        <v>599</v>
      </c>
      <c r="AT627" t="s">
        <v>599</v>
      </c>
    </row>
    <row r="628" spans="1:46" ht="30" x14ac:dyDescent="0.25">
      <c r="A628" s="2">
        <v>11512</v>
      </c>
      <c r="B628" s="10">
        <v>452326</v>
      </c>
      <c r="C628" s="10">
        <v>1</v>
      </c>
      <c r="D628" s="9">
        <v>21</v>
      </c>
      <c r="E628" s="11" t="s">
        <v>464</v>
      </c>
      <c r="F628" s="12" t="s">
        <v>465</v>
      </c>
      <c r="G628" s="9" t="s">
        <v>466</v>
      </c>
      <c r="H628" s="34"/>
      <c r="I628" s="55" t="str">
        <f t="shared" si="19"/>
        <v>https://permalinkbnd.bnportugal.gov.pt/viewer/14622/?offset=#page=21&amp;viewer=picture&amp;o=info&amp;n=0&amp;q=</v>
      </c>
      <c r="J628" s="45"/>
      <c r="K628" s="45"/>
      <c r="L628" s="45"/>
      <c r="M628" t="s">
        <v>464</v>
      </c>
      <c r="N628">
        <v>14622</v>
      </c>
      <c r="O628" t="str">
        <f t="shared" si="18"/>
        <v>https://permalinkbnd.bnportugal.gov.pt/viewer/14622/?offset=#page=21&amp;viewer=picture&amp;o=info&amp;n=0&amp;q=</v>
      </c>
      <c r="P628">
        <v>452326</v>
      </c>
      <c r="Q628" t="s">
        <v>464</v>
      </c>
      <c r="R628" t="s">
        <v>3067</v>
      </c>
      <c r="S628" t="s">
        <v>1178</v>
      </c>
      <c r="T628" t="s">
        <v>1362</v>
      </c>
      <c r="U628" t="s">
        <v>599</v>
      </c>
      <c r="V628" t="s">
        <v>3068</v>
      </c>
      <c r="W628" t="s">
        <v>3069</v>
      </c>
      <c r="X628" t="s">
        <v>599</v>
      </c>
      <c r="Y628" t="s">
        <v>1182</v>
      </c>
      <c r="Z628" t="s">
        <v>3070</v>
      </c>
      <c r="AA628">
        <v>1935</v>
      </c>
      <c r="AB628">
        <v>1935</v>
      </c>
      <c r="AC628" t="s">
        <v>3071</v>
      </c>
      <c r="AD628" t="s">
        <v>3072</v>
      </c>
      <c r="AE628" t="s">
        <v>599</v>
      </c>
      <c r="AF628" t="s">
        <v>599</v>
      </c>
      <c r="AG628" t="s">
        <v>3073</v>
      </c>
      <c r="AH628" t="s">
        <v>599</v>
      </c>
      <c r="AI628" t="s">
        <v>599</v>
      </c>
      <c r="AJ628" t="s">
        <v>3074</v>
      </c>
      <c r="AK628" t="s">
        <v>3075</v>
      </c>
      <c r="AL628" t="s">
        <v>3076</v>
      </c>
      <c r="AM628" t="s">
        <v>1190</v>
      </c>
      <c r="AN628" t="s">
        <v>599</v>
      </c>
      <c r="AO628" t="s">
        <v>599</v>
      </c>
      <c r="AP628" t="s">
        <v>599</v>
      </c>
      <c r="AQ628" t="s">
        <v>599</v>
      </c>
      <c r="AR628" t="s">
        <v>599</v>
      </c>
      <c r="AS628" t="s">
        <v>599</v>
      </c>
      <c r="AT628" t="s">
        <v>599</v>
      </c>
    </row>
    <row r="629" spans="1:46" ht="30" x14ac:dyDescent="0.25">
      <c r="A629" s="2">
        <v>11513</v>
      </c>
      <c r="B629" s="10">
        <v>452326</v>
      </c>
      <c r="C629" s="10">
        <v>1</v>
      </c>
      <c r="D629" s="9">
        <v>108</v>
      </c>
      <c r="E629" s="11" t="s">
        <v>464</v>
      </c>
      <c r="F629" s="12" t="s">
        <v>465</v>
      </c>
      <c r="G629" s="9" t="s">
        <v>466</v>
      </c>
      <c r="H629" s="34"/>
      <c r="I629" s="55" t="str">
        <f t="shared" si="19"/>
        <v>https://permalinkbnd.bnportugal.gov.pt/viewer/14622/?offset=#page=108&amp;viewer=picture&amp;o=info&amp;n=0&amp;q=</v>
      </c>
      <c r="J629" s="45"/>
      <c r="K629" s="45"/>
      <c r="L629" s="45"/>
      <c r="M629" t="s">
        <v>464</v>
      </c>
      <c r="N629">
        <v>14622</v>
      </c>
      <c r="O629" t="str">
        <f t="shared" si="18"/>
        <v>https://permalinkbnd.bnportugal.gov.pt/viewer/14622/?offset=#page=108&amp;viewer=picture&amp;o=info&amp;n=0&amp;q=</v>
      </c>
      <c r="P629">
        <v>452326</v>
      </c>
      <c r="Q629" t="s">
        <v>464</v>
      </c>
      <c r="R629" t="s">
        <v>3067</v>
      </c>
      <c r="S629" t="s">
        <v>1178</v>
      </c>
      <c r="T629" t="s">
        <v>1362</v>
      </c>
      <c r="U629" t="s">
        <v>599</v>
      </c>
      <c r="V629" t="s">
        <v>3068</v>
      </c>
      <c r="W629" t="s">
        <v>3069</v>
      </c>
      <c r="X629" t="s">
        <v>599</v>
      </c>
      <c r="Y629" t="s">
        <v>1182</v>
      </c>
      <c r="Z629" t="s">
        <v>3070</v>
      </c>
      <c r="AA629">
        <v>1935</v>
      </c>
      <c r="AB629">
        <v>1935</v>
      </c>
      <c r="AC629" t="s">
        <v>3071</v>
      </c>
      <c r="AD629" t="s">
        <v>3072</v>
      </c>
      <c r="AE629" t="s">
        <v>599</v>
      </c>
      <c r="AF629" t="s">
        <v>599</v>
      </c>
      <c r="AG629" t="s">
        <v>3073</v>
      </c>
      <c r="AH629" t="s">
        <v>599</v>
      </c>
      <c r="AI629" t="s">
        <v>599</v>
      </c>
      <c r="AJ629" t="s">
        <v>3074</v>
      </c>
      <c r="AK629" t="s">
        <v>3075</v>
      </c>
      <c r="AL629" t="s">
        <v>3076</v>
      </c>
      <c r="AM629" t="s">
        <v>1190</v>
      </c>
      <c r="AN629" t="s">
        <v>599</v>
      </c>
      <c r="AO629" t="s">
        <v>599</v>
      </c>
      <c r="AP629" t="s">
        <v>599</v>
      </c>
      <c r="AQ629" t="s">
        <v>599</v>
      </c>
      <c r="AR629" t="s">
        <v>599</v>
      </c>
      <c r="AS629" t="s">
        <v>599</v>
      </c>
      <c r="AT629" t="s">
        <v>599</v>
      </c>
    </row>
    <row r="630" spans="1:46" ht="30" x14ac:dyDescent="0.25">
      <c r="A630" s="2">
        <v>11514</v>
      </c>
      <c r="B630" s="10">
        <v>452326</v>
      </c>
      <c r="C630" s="10">
        <v>1</v>
      </c>
      <c r="D630" s="9">
        <v>125</v>
      </c>
      <c r="E630" s="11" t="s">
        <v>464</v>
      </c>
      <c r="F630" s="12" t="s">
        <v>465</v>
      </c>
      <c r="G630" s="9" t="s">
        <v>466</v>
      </c>
      <c r="H630" s="34"/>
      <c r="I630" s="55" t="str">
        <f t="shared" si="19"/>
        <v>https://permalinkbnd.bnportugal.gov.pt/viewer/14622/?offset=#page=125&amp;viewer=picture&amp;o=info&amp;n=0&amp;q=</v>
      </c>
      <c r="J630" s="45"/>
      <c r="K630" s="45"/>
      <c r="L630" s="45"/>
      <c r="M630" t="s">
        <v>464</v>
      </c>
      <c r="N630">
        <v>14622</v>
      </c>
      <c r="O630" t="str">
        <f t="shared" si="18"/>
        <v>https://permalinkbnd.bnportugal.gov.pt/viewer/14622/?offset=#page=125&amp;viewer=picture&amp;o=info&amp;n=0&amp;q=</v>
      </c>
      <c r="P630">
        <v>452326</v>
      </c>
      <c r="Q630" t="s">
        <v>464</v>
      </c>
      <c r="R630" t="s">
        <v>3067</v>
      </c>
      <c r="S630" t="s">
        <v>1178</v>
      </c>
      <c r="T630" t="s">
        <v>1362</v>
      </c>
      <c r="U630" t="s">
        <v>599</v>
      </c>
      <c r="V630" t="s">
        <v>3068</v>
      </c>
      <c r="W630" t="s">
        <v>3069</v>
      </c>
      <c r="X630" t="s">
        <v>599</v>
      </c>
      <c r="Y630" t="s">
        <v>1182</v>
      </c>
      <c r="Z630" t="s">
        <v>3070</v>
      </c>
      <c r="AA630">
        <v>1935</v>
      </c>
      <c r="AB630">
        <v>1935</v>
      </c>
      <c r="AC630" t="s">
        <v>3071</v>
      </c>
      <c r="AD630" t="s">
        <v>3072</v>
      </c>
      <c r="AE630" t="s">
        <v>599</v>
      </c>
      <c r="AF630" t="s">
        <v>599</v>
      </c>
      <c r="AG630" t="s">
        <v>3073</v>
      </c>
      <c r="AH630" t="s">
        <v>599</v>
      </c>
      <c r="AI630" t="s">
        <v>599</v>
      </c>
      <c r="AJ630" t="s">
        <v>3074</v>
      </c>
      <c r="AK630" t="s">
        <v>3075</v>
      </c>
      <c r="AL630" t="s">
        <v>3076</v>
      </c>
      <c r="AM630" t="s">
        <v>1190</v>
      </c>
      <c r="AN630" t="s">
        <v>599</v>
      </c>
      <c r="AO630" t="s">
        <v>599</v>
      </c>
      <c r="AP630" t="s">
        <v>599</v>
      </c>
      <c r="AQ630" t="s">
        <v>599</v>
      </c>
      <c r="AR630" t="s">
        <v>599</v>
      </c>
      <c r="AS630" t="s">
        <v>599</v>
      </c>
      <c r="AT630" t="s">
        <v>599</v>
      </c>
    </row>
    <row r="631" spans="1:46" ht="30" x14ac:dyDescent="0.25">
      <c r="A631" s="2">
        <v>11515</v>
      </c>
      <c r="B631" s="10">
        <v>452510</v>
      </c>
      <c r="C631" s="10">
        <v>1</v>
      </c>
      <c r="D631" s="9">
        <v>6</v>
      </c>
      <c r="E631" s="11" t="s">
        <v>467</v>
      </c>
      <c r="F631" s="12" t="s">
        <v>468</v>
      </c>
      <c r="G631" s="9" t="s">
        <v>469</v>
      </c>
      <c r="H631" s="34"/>
      <c r="I631" s="55" t="str">
        <f t="shared" si="19"/>
        <v>https://permalinkbnd.bnportugal.gov.pt/viewer/86723/?offset=#page=6&amp;viewer=picture&amp;o=info&amp;n=0&amp;q=</v>
      </c>
      <c r="J631" s="45"/>
      <c r="K631" s="45"/>
      <c r="L631" s="45"/>
      <c r="M631" t="s">
        <v>467</v>
      </c>
      <c r="N631">
        <v>86723</v>
      </c>
      <c r="O631" t="str">
        <f t="shared" si="18"/>
        <v>https://permalinkbnd.bnportugal.gov.pt/viewer/86723/?offset=#page=6&amp;viewer=picture&amp;o=info&amp;n=0&amp;q=</v>
      </c>
      <c r="P631">
        <v>452510</v>
      </c>
      <c r="Q631" t="s">
        <v>467</v>
      </c>
      <c r="R631" t="s">
        <v>3077</v>
      </c>
      <c r="S631" t="s">
        <v>1178</v>
      </c>
      <c r="T631" t="s">
        <v>1192</v>
      </c>
      <c r="U631" t="s">
        <v>599</v>
      </c>
      <c r="V631" t="s">
        <v>3078</v>
      </c>
      <c r="W631" t="s">
        <v>599</v>
      </c>
      <c r="X631" t="s">
        <v>599</v>
      </c>
      <c r="Y631" t="s">
        <v>1182</v>
      </c>
      <c r="Z631" t="s">
        <v>3079</v>
      </c>
      <c r="AA631">
        <v>1897</v>
      </c>
      <c r="AB631">
        <v>1897</v>
      </c>
      <c r="AC631" t="s">
        <v>3080</v>
      </c>
      <c r="AD631" t="s">
        <v>2691</v>
      </c>
      <c r="AE631" t="s">
        <v>599</v>
      </c>
      <c r="AF631" t="s">
        <v>599</v>
      </c>
      <c r="AG631" t="s">
        <v>599</v>
      </c>
      <c r="AH631" t="s">
        <v>599</v>
      </c>
      <c r="AI631" t="s">
        <v>599</v>
      </c>
      <c r="AJ631" t="s">
        <v>3081</v>
      </c>
      <c r="AK631" t="s">
        <v>599</v>
      </c>
      <c r="AL631" t="s">
        <v>3082</v>
      </c>
      <c r="AM631" t="s">
        <v>1190</v>
      </c>
      <c r="AN631" t="s">
        <v>599</v>
      </c>
      <c r="AO631" t="s">
        <v>599</v>
      </c>
      <c r="AP631" t="s">
        <v>599</v>
      </c>
      <c r="AQ631" t="s">
        <v>599</v>
      </c>
      <c r="AR631" t="s">
        <v>599</v>
      </c>
      <c r="AS631" t="s">
        <v>599</v>
      </c>
      <c r="AT631" t="s">
        <v>599</v>
      </c>
    </row>
    <row r="632" spans="1:46" ht="30" x14ac:dyDescent="0.25">
      <c r="A632" s="2">
        <v>11516</v>
      </c>
      <c r="B632" s="10">
        <v>452510</v>
      </c>
      <c r="C632" s="10">
        <v>1</v>
      </c>
      <c r="D632" s="9">
        <v>11</v>
      </c>
      <c r="E632" s="11" t="s">
        <v>467</v>
      </c>
      <c r="F632" s="12" t="s">
        <v>468</v>
      </c>
      <c r="G632" s="9" t="s">
        <v>469</v>
      </c>
      <c r="H632" s="34"/>
      <c r="I632" s="55" t="str">
        <f t="shared" si="19"/>
        <v>https://permalinkbnd.bnportugal.gov.pt/viewer/86723/?offset=#page=11&amp;viewer=picture&amp;o=info&amp;n=0&amp;q=</v>
      </c>
      <c r="J632" s="45"/>
      <c r="K632" s="45"/>
      <c r="L632" s="45"/>
      <c r="M632" t="s">
        <v>467</v>
      </c>
      <c r="N632">
        <v>86723</v>
      </c>
      <c r="O632" t="str">
        <f t="shared" si="18"/>
        <v>https://permalinkbnd.bnportugal.gov.pt/viewer/86723/?offset=#page=11&amp;viewer=picture&amp;o=info&amp;n=0&amp;q=</v>
      </c>
      <c r="P632">
        <v>452510</v>
      </c>
      <c r="Q632" t="s">
        <v>467</v>
      </c>
      <c r="R632" t="s">
        <v>3077</v>
      </c>
      <c r="S632" t="s">
        <v>1178</v>
      </c>
      <c r="T632" t="s">
        <v>1192</v>
      </c>
      <c r="U632" t="s">
        <v>599</v>
      </c>
      <c r="V632" t="s">
        <v>3078</v>
      </c>
      <c r="W632" t="s">
        <v>599</v>
      </c>
      <c r="X632" t="s">
        <v>599</v>
      </c>
      <c r="Y632" t="s">
        <v>1182</v>
      </c>
      <c r="Z632" t="s">
        <v>3079</v>
      </c>
      <c r="AA632">
        <v>1897</v>
      </c>
      <c r="AB632">
        <v>1897</v>
      </c>
      <c r="AC632" t="s">
        <v>3080</v>
      </c>
      <c r="AD632" t="s">
        <v>2691</v>
      </c>
      <c r="AE632" t="s">
        <v>599</v>
      </c>
      <c r="AF632" t="s">
        <v>599</v>
      </c>
      <c r="AG632" t="s">
        <v>599</v>
      </c>
      <c r="AH632" t="s">
        <v>599</v>
      </c>
      <c r="AI632" t="s">
        <v>599</v>
      </c>
      <c r="AJ632" t="s">
        <v>3081</v>
      </c>
      <c r="AK632" t="s">
        <v>599</v>
      </c>
      <c r="AL632" t="s">
        <v>3082</v>
      </c>
      <c r="AM632" t="s">
        <v>1190</v>
      </c>
      <c r="AN632" t="s">
        <v>599</v>
      </c>
      <c r="AO632" t="s">
        <v>599</v>
      </c>
      <c r="AP632" t="s">
        <v>599</v>
      </c>
      <c r="AQ632" t="s">
        <v>599</v>
      </c>
      <c r="AR632" t="s">
        <v>599</v>
      </c>
      <c r="AS632" t="s">
        <v>599</v>
      </c>
      <c r="AT632" t="s">
        <v>599</v>
      </c>
    </row>
    <row r="633" spans="1:46" ht="30" x14ac:dyDescent="0.25">
      <c r="A633" s="2">
        <v>11545</v>
      </c>
      <c r="B633" s="10">
        <v>464971</v>
      </c>
      <c r="C633" s="10">
        <v>1</v>
      </c>
      <c r="D633" s="9">
        <v>17</v>
      </c>
      <c r="E633" s="11" t="s">
        <v>470</v>
      </c>
      <c r="F633" s="12" t="s">
        <v>471</v>
      </c>
      <c r="G633" s="9">
        <v>17</v>
      </c>
      <c r="H633" s="34"/>
      <c r="I633" s="55" t="str">
        <f t="shared" si="19"/>
        <v>https://permalinkbnd.bnportugal.gov.pt/viewer/278583/?offset=#page=17&amp;viewer=picture&amp;o=info&amp;n=0&amp;q=</v>
      </c>
      <c r="J633" s="45"/>
      <c r="K633" s="45"/>
      <c r="L633" s="45"/>
      <c r="M633" t="s">
        <v>470</v>
      </c>
      <c r="N633">
        <v>278583</v>
      </c>
      <c r="O633" t="str">
        <f t="shared" si="18"/>
        <v>https://permalinkbnd.bnportugal.gov.pt/viewer/278583/?offset=#page=17&amp;viewer=picture&amp;o=info&amp;n=0&amp;q=</v>
      </c>
      <c r="P633">
        <v>464971</v>
      </c>
      <c r="Q633" t="s">
        <v>470</v>
      </c>
      <c r="R633" t="s">
        <v>3083</v>
      </c>
      <c r="S633" t="s">
        <v>1178</v>
      </c>
      <c r="T633" t="s">
        <v>1192</v>
      </c>
      <c r="U633" t="s">
        <v>599</v>
      </c>
      <c r="V633" t="s">
        <v>3084</v>
      </c>
      <c r="W633" t="s">
        <v>599</v>
      </c>
      <c r="X633" t="s">
        <v>599</v>
      </c>
      <c r="Y633" t="s">
        <v>1182</v>
      </c>
      <c r="Z633" t="s">
        <v>1437</v>
      </c>
      <c r="AA633">
        <v>1879</v>
      </c>
      <c r="AB633">
        <v>1879</v>
      </c>
      <c r="AC633" t="s">
        <v>3085</v>
      </c>
      <c r="AD633" t="s">
        <v>1185</v>
      </c>
      <c r="AE633" t="s">
        <v>599</v>
      </c>
      <c r="AF633" t="s">
        <v>599</v>
      </c>
      <c r="AG633" t="s">
        <v>599</v>
      </c>
      <c r="AH633" t="s">
        <v>599</v>
      </c>
      <c r="AI633" t="s">
        <v>599</v>
      </c>
      <c r="AJ633" t="s">
        <v>3086</v>
      </c>
      <c r="AK633" t="s">
        <v>1188</v>
      </c>
      <c r="AL633" t="s">
        <v>3087</v>
      </c>
      <c r="AM633" t="s">
        <v>1190</v>
      </c>
      <c r="AN633" t="s">
        <v>599</v>
      </c>
      <c r="AO633" t="s">
        <v>599</v>
      </c>
      <c r="AP633" t="s">
        <v>599</v>
      </c>
      <c r="AQ633" t="s">
        <v>599</v>
      </c>
      <c r="AR633" t="s">
        <v>3088</v>
      </c>
      <c r="AS633" t="s">
        <v>599</v>
      </c>
      <c r="AT633" t="s">
        <v>599</v>
      </c>
    </row>
    <row r="634" spans="1:46" ht="60" x14ac:dyDescent="0.25">
      <c r="A634" s="2">
        <v>11551</v>
      </c>
      <c r="B634" s="10">
        <v>465618</v>
      </c>
      <c r="C634" s="10">
        <v>1</v>
      </c>
      <c r="D634" s="9">
        <v>8</v>
      </c>
      <c r="E634" s="11" t="s">
        <v>472</v>
      </c>
      <c r="F634" s="12" t="s">
        <v>473</v>
      </c>
      <c r="G634" s="9" t="s">
        <v>474</v>
      </c>
      <c r="H634" s="34"/>
      <c r="I634" s="55" t="str">
        <f t="shared" si="19"/>
        <v>https://permalinkbnd.bnportugal.gov.pt/viewer/274032/?offset=#page=8&amp;viewer=picture&amp;o=info&amp;n=0&amp;q=</v>
      </c>
      <c r="J634" s="45"/>
      <c r="K634" s="45"/>
      <c r="L634" s="45"/>
      <c r="M634" t="s">
        <v>472</v>
      </c>
      <c r="N634">
        <v>274032</v>
      </c>
      <c r="O634" t="str">
        <f t="shared" si="18"/>
        <v>https://permalinkbnd.bnportugal.gov.pt/viewer/274032/?offset=#page=8&amp;viewer=picture&amp;o=info&amp;n=0&amp;q=</v>
      </c>
      <c r="P634">
        <v>465618</v>
      </c>
      <c r="Q634" t="s">
        <v>472</v>
      </c>
      <c r="R634" t="s">
        <v>3089</v>
      </c>
      <c r="S634" t="s">
        <v>1178</v>
      </c>
      <c r="T634" t="s">
        <v>1192</v>
      </c>
      <c r="U634" t="s">
        <v>599</v>
      </c>
      <c r="V634" t="s">
        <v>3090</v>
      </c>
      <c r="W634" t="s">
        <v>599</v>
      </c>
      <c r="X634" t="s">
        <v>599</v>
      </c>
      <c r="Y634" t="s">
        <v>1182</v>
      </c>
      <c r="Z634" t="s">
        <v>3091</v>
      </c>
      <c r="AA634">
        <v>1860</v>
      </c>
      <c r="AB634">
        <v>1860</v>
      </c>
      <c r="AC634" t="s">
        <v>3092</v>
      </c>
      <c r="AD634" t="s">
        <v>3093</v>
      </c>
      <c r="AE634" t="s">
        <v>599</v>
      </c>
      <c r="AF634" t="s">
        <v>599</v>
      </c>
      <c r="AG634" t="s">
        <v>3094</v>
      </c>
      <c r="AH634" t="s">
        <v>599</v>
      </c>
      <c r="AI634" t="s">
        <v>599</v>
      </c>
      <c r="AJ634" t="s">
        <v>3095</v>
      </c>
      <c r="AK634" t="s">
        <v>1188</v>
      </c>
      <c r="AL634" t="s">
        <v>3096</v>
      </c>
      <c r="AM634" t="s">
        <v>1190</v>
      </c>
      <c r="AN634" t="s">
        <v>599</v>
      </c>
      <c r="AO634" t="s">
        <v>599</v>
      </c>
      <c r="AP634" t="s">
        <v>3097</v>
      </c>
      <c r="AQ634" t="s">
        <v>599</v>
      </c>
      <c r="AR634" t="s">
        <v>599</v>
      </c>
      <c r="AS634" t="s">
        <v>599</v>
      </c>
      <c r="AT634" t="s">
        <v>599</v>
      </c>
    </row>
    <row r="635" spans="1:46" ht="60" x14ac:dyDescent="0.25">
      <c r="A635" s="2">
        <v>11552</v>
      </c>
      <c r="B635" s="10">
        <v>465618</v>
      </c>
      <c r="C635" s="10">
        <v>1</v>
      </c>
      <c r="D635" s="9">
        <v>55</v>
      </c>
      <c r="E635" s="11" t="s">
        <v>472</v>
      </c>
      <c r="F635" s="12" t="s">
        <v>473</v>
      </c>
      <c r="G635" s="9" t="s">
        <v>474</v>
      </c>
      <c r="H635" s="34"/>
      <c r="I635" s="55" t="str">
        <f t="shared" si="19"/>
        <v>https://permalinkbnd.bnportugal.gov.pt/viewer/274032/?offset=#page=55&amp;viewer=picture&amp;o=info&amp;n=0&amp;q=</v>
      </c>
      <c r="J635" s="45"/>
      <c r="K635" s="45"/>
      <c r="L635" s="45"/>
      <c r="M635" t="s">
        <v>472</v>
      </c>
      <c r="N635">
        <v>274032</v>
      </c>
      <c r="O635" t="str">
        <f t="shared" si="18"/>
        <v>https://permalinkbnd.bnportugal.gov.pt/viewer/274032/?offset=#page=55&amp;viewer=picture&amp;o=info&amp;n=0&amp;q=</v>
      </c>
      <c r="P635">
        <v>465618</v>
      </c>
      <c r="Q635" t="s">
        <v>472</v>
      </c>
      <c r="R635" t="s">
        <v>3089</v>
      </c>
      <c r="S635" t="s">
        <v>1178</v>
      </c>
      <c r="T635" t="s">
        <v>1192</v>
      </c>
      <c r="U635" t="s">
        <v>599</v>
      </c>
      <c r="V635" t="s">
        <v>3090</v>
      </c>
      <c r="W635" t="s">
        <v>599</v>
      </c>
      <c r="X635" t="s">
        <v>599</v>
      </c>
      <c r="Y635" t="s">
        <v>1182</v>
      </c>
      <c r="Z635" t="s">
        <v>3091</v>
      </c>
      <c r="AA635">
        <v>1860</v>
      </c>
      <c r="AB635">
        <v>1860</v>
      </c>
      <c r="AC635" t="s">
        <v>3092</v>
      </c>
      <c r="AD635" t="s">
        <v>3093</v>
      </c>
      <c r="AE635" t="s">
        <v>599</v>
      </c>
      <c r="AF635" t="s">
        <v>599</v>
      </c>
      <c r="AG635" t="s">
        <v>3094</v>
      </c>
      <c r="AH635" t="s">
        <v>599</v>
      </c>
      <c r="AI635" t="s">
        <v>599</v>
      </c>
      <c r="AJ635" t="s">
        <v>3095</v>
      </c>
      <c r="AK635" t="s">
        <v>1188</v>
      </c>
      <c r="AL635" t="s">
        <v>3096</v>
      </c>
      <c r="AM635" t="s">
        <v>1190</v>
      </c>
      <c r="AN635" t="s">
        <v>599</v>
      </c>
      <c r="AO635" t="s">
        <v>599</v>
      </c>
      <c r="AP635" t="s">
        <v>3097</v>
      </c>
      <c r="AQ635" t="s">
        <v>599</v>
      </c>
      <c r="AR635" t="s">
        <v>599</v>
      </c>
      <c r="AS635" t="s">
        <v>599</v>
      </c>
      <c r="AT635" t="s">
        <v>599</v>
      </c>
    </row>
    <row r="636" spans="1:46" ht="60" x14ac:dyDescent="0.25">
      <c r="A636" s="2">
        <v>11553</v>
      </c>
      <c r="B636" s="10">
        <v>465618</v>
      </c>
      <c r="C636" s="10">
        <v>1</v>
      </c>
      <c r="D636" s="9">
        <v>81</v>
      </c>
      <c r="E636" s="11" t="s">
        <v>472</v>
      </c>
      <c r="F636" s="12" t="s">
        <v>473</v>
      </c>
      <c r="G636" s="9" t="s">
        <v>474</v>
      </c>
      <c r="H636" s="34"/>
      <c r="I636" s="55" t="str">
        <f t="shared" si="19"/>
        <v>https://permalinkbnd.bnportugal.gov.pt/viewer/274032/?offset=#page=81&amp;viewer=picture&amp;o=info&amp;n=0&amp;q=</v>
      </c>
      <c r="J636" s="45"/>
      <c r="K636" s="45"/>
      <c r="L636" s="45"/>
      <c r="M636" t="s">
        <v>472</v>
      </c>
      <c r="N636">
        <v>274032</v>
      </c>
      <c r="O636" t="str">
        <f t="shared" si="18"/>
        <v>https://permalinkbnd.bnportugal.gov.pt/viewer/274032/?offset=#page=81&amp;viewer=picture&amp;o=info&amp;n=0&amp;q=</v>
      </c>
      <c r="P636">
        <v>465618</v>
      </c>
      <c r="Q636" t="s">
        <v>472</v>
      </c>
      <c r="R636" t="s">
        <v>3089</v>
      </c>
      <c r="S636" t="s">
        <v>1178</v>
      </c>
      <c r="T636" t="s">
        <v>1192</v>
      </c>
      <c r="U636" t="s">
        <v>599</v>
      </c>
      <c r="V636" t="s">
        <v>3090</v>
      </c>
      <c r="W636" t="s">
        <v>599</v>
      </c>
      <c r="X636" t="s">
        <v>599</v>
      </c>
      <c r="Y636" t="s">
        <v>1182</v>
      </c>
      <c r="Z636" t="s">
        <v>3091</v>
      </c>
      <c r="AA636">
        <v>1860</v>
      </c>
      <c r="AB636">
        <v>1860</v>
      </c>
      <c r="AC636" t="s">
        <v>3092</v>
      </c>
      <c r="AD636" t="s">
        <v>3093</v>
      </c>
      <c r="AE636" t="s">
        <v>599</v>
      </c>
      <c r="AF636" t="s">
        <v>599</v>
      </c>
      <c r="AG636" t="s">
        <v>3094</v>
      </c>
      <c r="AH636" t="s">
        <v>599</v>
      </c>
      <c r="AI636" t="s">
        <v>599</v>
      </c>
      <c r="AJ636" t="s">
        <v>3095</v>
      </c>
      <c r="AK636" t="s">
        <v>1188</v>
      </c>
      <c r="AL636" t="s">
        <v>3096</v>
      </c>
      <c r="AM636" t="s">
        <v>1190</v>
      </c>
      <c r="AN636" t="s">
        <v>599</v>
      </c>
      <c r="AO636" t="s">
        <v>599</v>
      </c>
      <c r="AP636" t="s">
        <v>3097</v>
      </c>
      <c r="AQ636" t="s">
        <v>599</v>
      </c>
      <c r="AR636" t="s">
        <v>599</v>
      </c>
      <c r="AS636" t="s">
        <v>599</v>
      </c>
      <c r="AT636" t="s">
        <v>599</v>
      </c>
    </row>
    <row r="637" spans="1:46" ht="60" x14ac:dyDescent="0.25">
      <c r="A637" s="2">
        <v>11554</v>
      </c>
      <c r="B637" s="10">
        <v>465618</v>
      </c>
      <c r="C637" s="10">
        <v>1</v>
      </c>
      <c r="D637" s="9">
        <v>198</v>
      </c>
      <c r="E637" s="11" t="s">
        <v>472</v>
      </c>
      <c r="F637" s="12" t="s">
        <v>473</v>
      </c>
      <c r="G637" s="9" t="s">
        <v>474</v>
      </c>
      <c r="H637" s="34"/>
      <c r="I637" s="55" t="str">
        <f t="shared" si="19"/>
        <v>https://permalinkbnd.bnportugal.gov.pt/viewer/274032/?offset=#page=198&amp;viewer=picture&amp;o=info&amp;n=0&amp;q=</v>
      </c>
      <c r="J637" s="45"/>
      <c r="K637" s="45"/>
      <c r="L637" s="45"/>
      <c r="M637" t="s">
        <v>472</v>
      </c>
      <c r="N637">
        <v>274032</v>
      </c>
      <c r="O637" t="str">
        <f t="shared" si="18"/>
        <v>https://permalinkbnd.bnportugal.gov.pt/viewer/274032/?offset=#page=198&amp;viewer=picture&amp;o=info&amp;n=0&amp;q=</v>
      </c>
      <c r="P637">
        <v>465618</v>
      </c>
      <c r="Q637" t="s">
        <v>472</v>
      </c>
      <c r="R637" t="s">
        <v>3089</v>
      </c>
      <c r="S637" t="s">
        <v>1178</v>
      </c>
      <c r="T637" t="s">
        <v>1192</v>
      </c>
      <c r="U637" t="s">
        <v>599</v>
      </c>
      <c r="V637" t="s">
        <v>3090</v>
      </c>
      <c r="W637" t="s">
        <v>599</v>
      </c>
      <c r="X637" t="s">
        <v>599</v>
      </c>
      <c r="Y637" t="s">
        <v>1182</v>
      </c>
      <c r="Z637" t="s">
        <v>3091</v>
      </c>
      <c r="AA637">
        <v>1860</v>
      </c>
      <c r="AB637">
        <v>1860</v>
      </c>
      <c r="AC637" t="s">
        <v>3092</v>
      </c>
      <c r="AD637" t="s">
        <v>3093</v>
      </c>
      <c r="AE637" t="s">
        <v>599</v>
      </c>
      <c r="AF637" t="s">
        <v>599</v>
      </c>
      <c r="AG637" t="s">
        <v>3094</v>
      </c>
      <c r="AH637" t="s">
        <v>599</v>
      </c>
      <c r="AI637" t="s">
        <v>599</v>
      </c>
      <c r="AJ637" t="s">
        <v>3095</v>
      </c>
      <c r="AK637" t="s">
        <v>1188</v>
      </c>
      <c r="AL637" t="s">
        <v>3096</v>
      </c>
      <c r="AM637" t="s">
        <v>1190</v>
      </c>
      <c r="AN637" t="s">
        <v>599</v>
      </c>
      <c r="AO637" t="s">
        <v>599</v>
      </c>
      <c r="AP637" t="s">
        <v>3097</v>
      </c>
      <c r="AQ637" t="s">
        <v>599</v>
      </c>
      <c r="AR637" t="s">
        <v>599</v>
      </c>
      <c r="AS637" t="s">
        <v>599</v>
      </c>
      <c r="AT637" t="s">
        <v>599</v>
      </c>
    </row>
    <row r="638" spans="1:46" ht="60" x14ac:dyDescent="0.25">
      <c r="A638" s="2">
        <v>11555</v>
      </c>
      <c r="B638" s="10">
        <v>465618</v>
      </c>
      <c r="C638" s="10">
        <v>1</v>
      </c>
      <c r="D638" s="9">
        <v>307</v>
      </c>
      <c r="E638" s="11" t="s">
        <v>472</v>
      </c>
      <c r="F638" s="12" t="s">
        <v>473</v>
      </c>
      <c r="G638" s="9" t="s">
        <v>474</v>
      </c>
      <c r="H638" s="34"/>
      <c r="I638" s="55" t="str">
        <f t="shared" si="19"/>
        <v>https://permalinkbnd.bnportugal.gov.pt/viewer/274032/?offset=#page=307&amp;viewer=picture&amp;o=info&amp;n=0&amp;q=</v>
      </c>
      <c r="J638" s="45"/>
      <c r="K638" s="45"/>
      <c r="L638" s="45"/>
      <c r="M638" t="s">
        <v>472</v>
      </c>
      <c r="N638">
        <v>274032</v>
      </c>
      <c r="O638" t="str">
        <f t="shared" si="18"/>
        <v>https://permalinkbnd.bnportugal.gov.pt/viewer/274032/?offset=#page=307&amp;viewer=picture&amp;o=info&amp;n=0&amp;q=</v>
      </c>
      <c r="P638">
        <v>465618</v>
      </c>
      <c r="Q638" t="s">
        <v>472</v>
      </c>
      <c r="R638" t="s">
        <v>3089</v>
      </c>
      <c r="S638" t="s">
        <v>1178</v>
      </c>
      <c r="T638" t="s">
        <v>1192</v>
      </c>
      <c r="U638" t="s">
        <v>599</v>
      </c>
      <c r="V638" t="s">
        <v>3090</v>
      </c>
      <c r="W638" t="s">
        <v>599</v>
      </c>
      <c r="X638" t="s">
        <v>599</v>
      </c>
      <c r="Y638" t="s">
        <v>1182</v>
      </c>
      <c r="Z638" t="s">
        <v>3091</v>
      </c>
      <c r="AA638">
        <v>1860</v>
      </c>
      <c r="AB638">
        <v>1860</v>
      </c>
      <c r="AC638" t="s">
        <v>3092</v>
      </c>
      <c r="AD638" t="s">
        <v>3093</v>
      </c>
      <c r="AE638" t="s">
        <v>599</v>
      </c>
      <c r="AF638" t="s">
        <v>599</v>
      </c>
      <c r="AG638" t="s">
        <v>3094</v>
      </c>
      <c r="AH638" t="s">
        <v>599</v>
      </c>
      <c r="AI638" t="s">
        <v>599</v>
      </c>
      <c r="AJ638" t="s">
        <v>3095</v>
      </c>
      <c r="AK638" t="s">
        <v>1188</v>
      </c>
      <c r="AL638" t="s">
        <v>3096</v>
      </c>
      <c r="AM638" t="s">
        <v>1190</v>
      </c>
      <c r="AN638" t="s">
        <v>599</v>
      </c>
      <c r="AO638" t="s">
        <v>599</v>
      </c>
      <c r="AP638" t="s">
        <v>3097</v>
      </c>
      <c r="AQ638" t="s">
        <v>599</v>
      </c>
      <c r="AR638" t="s">
        <v>599</v>
      </c>
      <c r="AS638" t="s">
        <v>599</v>
      </c>
      <c r="AT638" t="s">
        <v>599</v>
      </c>
    </row>
    <row r="639" spans="1:46" ht="60" x14ac:dyDescent="0.25">
      <c r="A639" s="2">
        <v>11556</v>
      </c>
      <c r="B639" s="10">
        <v>465618</v>
      </c>
      <c r="C639" s="10">
        <v>1</v>
      </c>
      <c r="D639" s="9">
        <v>369</v>
      </c>
      <c r="E639" s="11" t="s">
        <v>472</v>
      </c>
      <c r="F639" s="12" t="s">
        <v>473</v>
      </c>
      <c r="G639" s="9" t="s">
        <v>474</v>
      </c>
      <c r="H639" s="34"/>
      <c r="I639" s="55" t="str">
        <f t="shared" si="19"/>
        <v>https://permalinkbnd.bnportugal.gov.pt/viewer/274032/?offset=#page=369&amp;viewer=picture&amp;o=info&amp;n=0&amp;q=</v>
      </c>
      <c r="J639" s="45"/>
      <c r="K639" s="45"/>
      <c r="L639" s="45"/>
      <c r="M639" t="s">
        <v>472</v>
      </c>
      <c r="N639">
        <v>274032</v>
      </c>
      <c r="O639" t="str">
        <f t="shared" si="18"/>
        <v>https://permalinkbnd.bnportugal.gov.pt/viewer/274032/?offset=#page=369&amp;viewer=picture&amp;o=info&amp;n=0&amp;q=</v>
      </c>
      <c r="P639">
        <v>465618</v>
      </c>
      <c r="Q639" t="s">
        <v>472</v>
      </c>
      <c r="R639" t="s">
        <v>3089</v>
      </c>
      <c r="S639" t="s">
        <v>1178</v>
      </c>
      <c r="T639" t="s">
        <v>1192</v>
      </c>
      <c r="U639" t="s">
        <v>599</v>
      </c>
      <c r="V639" t="s">
        <v>3090</v>
      </c>
      <c r="W639" t="s">
        <v>599</v>
      </c>
      <c r="X639" t="s">
        <v>599</v>
      </c>
      <c r="Y639" t="s">
        <v>1182</v>
      </c>
      <c r="Z639" t="s">
        <v>3091</v>
      </c>
      <c r="AA639">
        <v>1860</v>
      </c>
      <c r="AB639">
        <v>1860</v>
      </c>
      <c r="AC639" t="s">
        <v>3092</v>
      </c>
      <c r="AD639" t="s">
        <v>3093</v>
      </c>
      <c r="AE639" t="s">
        <v>599</v>
      </c>
      <c r="AF639" t="s">
        <v>599</v>
      </c>
      <c r="AG639" t="s">
        <v>3094</v>
      </c>
      <c r="AH639" t="s">
        <v>599</v>
      </c>
      <c r="AI639" t="s">
        <v>599</v>
      </c>
      <c r="AJ639" t="s">
        <v>3095</v>
      </c>
      <c r="AK639" t="s">
        <v>1188</v>
      </c>
      <c r="AL639" t="s">
        <v>3096</v>
      </c>
      <c r="AM639" t="s">
        <v>1190</v>
      </c>
      <c r="AN639" t="s">
        <v>599</v>
      </c>
      <c r="AO639" t="s">
        <v>599</v>
      </c>
      <c r="AP639" t="s">
        <v>3097</v>
      </c>
      <c r="AQ639" t="s">
        <v>599</v>
      </c>
      <c r="AR639" t="s">
        <v>599</v>
      </c>
      <c r="AS639" t="s">
        <v>599</v>
      </c>
      <c r="AT639" t="s">
        <v>599</v>
      </c>
    </row>
    <row r="640" spans="1:46" ht="75" x14ac:dyDescent="0.25">
      <c r="A640" s="2">
        <v>11589</v>
      </c>
      <c r="B640" s="10">
        <v>478277</v>
      </c>
      <c r="C640" s="10">
        <v>1</v>
      </c>
      <c r="D640" s="9">
        <v>1</v>
      </c>
      <c r="E640" s="11" t="s">
        <v>475</v>
      </c>
      <c r="F640" s="12" t="s">
        <v>476</v>
      </c>
      <c r="G640" s="9" t="s">
        <v>477</v>
      </c>
      <c r="H640" s="34"/>
      <c r="I640" s="55" t="str">
        <f t="shared" si="19"/>
        <v>https://permalinkbnd.bnportugal.gov.pt/viewer/6839/?offset=#page=1&amp;viewer=picture&amp;o=info&amp;n=0&amp;q=</v>
      </c>
      <c r="J640" s="45"/>
      <c r="K640" s="45"/>
      <c r="L640" s="45"/>
      <c r="M640" t="s">
        <v>475</v>
      </c>
      <c r="N640">
        <v>6839</v>
      </c>
      <c r="O640" t="str">
        <f t="shared" si="18"/>
        <v>https://permalinkbnd.bnportugal.gov.pt/viewer/6839/?offset=#page=1&amp;viewer=picture&amp;o=info&amp;n=0&amp;q=</v>
      </c>
      <c r="P640">
        <v>478277</v>
      </c>
      <c r="Q640" t="s">
        <v>475</v>
      </c>
      <c r="R640" t="s">
        <v>3098</v>
      </c>
      <c r="S640" t="s">
        <v>1226</v>
      </c>
      <c r="T640" t="s">
        <v>1192</v>
      </c>
      <c r="U640" t="s">
        <v>599</v>
      </c>
      <c r="V640" t="s">
        <v>3099</v>
      </c>
      <c r="W640" t="s">
        <v>3100</v>
      </c>
      <c r="X640" t="s">
        <v>599</v>
      </c>
      <c r="Y640" t="s">
        <v>1182</v>
      </c>
      <c r="Z640" t="s">
        <v>3101</v>
      </c>
      <c r="AA640">
        <v>1880</v>
      </c>
      <c r="AB640">
        <v>1880</v>
      </c>
      <c r="AC640" t="s">
        <v>599</v>
      </c>
      <c r="AD640" t="s">
        <v>599</v>
      </c>
      <c r="AE640" t="s">
        <v>599</v>
      </c>
      <c r="AF640" t="s">
        <v>599</v>
      </c>
      <c r="AG640" t="s">
        <v>3102</v>
      </c>
      <c r="AH640" t="s">
        <v>599</v>
      </c>
      <c r="AI640" t="s">
        <v>599</v>
      </c>
      <c r="AJ640" t="s">
        <v>3103</v>
      </c>
      <c r="AK640" t="s">
        <v>599</v>
      </c>
      <c r="AL640" t="s">
        <v>3104</v>
      </c>
      <c r="AM640" t="s">
        <v>1190</v>
      </c>
      <c r="AN640" t="s">
        <v>599</v>
      </c>
      <c r="AO640" t="s">
        <v>599</v>
      </c>
      <c r="AP640" t="s">
        <v>599</v>
      </c>
      <c r="AQ640" t="s">
        <v>599</v>
      </c>
      <c r="AR640" t="s">
        <v>599</v>
      </c>
      <c r="AS640" t="s">
        <v>599</v>
      </c>
      <c r="AT640" t="s">
        <v>599</v>
      </c>
    </row>
    <row r="641" spans="1:46" ht="75" x14ac:dyDescent="0.25">
      <c r="A641" s="2">
        <v>11590</v>
      </c>
      <c r="B641" s="10">
        <v>478277</v>
      </c>
      <c r="C641" s="10">
        <v>1</v>
      </c>
      <c r="D641" s="9">
        <v>10</v>
      </c>
      <c r="E641" s="11" t="s">
        <v>475</v>
      </c>
      <c r="F641" s="12" t="s">
        <v>476</v>
      </c>
      <c r="G641" s="9" t="s">
        <v>477</v>
      </c>
      <c r="H641" s="34"/>
      <c r="I641" s="55" t="str">
        <f t="shared" si="19"/>
        <v>https://permalinkbnd.bnportugal.gov.pt/viewer/6839/?offset=#page=10&amp;viewer=picture&amp;o=info&amp;n=0&amp;q=</v>
      </c>
      <c r="J641" s="45"/>
      <c r="K641" s="45"/>
      <c r="L641" s="45"/>
      <c r="M641" t="s">
        <v>475</v>
      </c>
      <c r="N641">
        <v>6839</v>
      </c>
      <c r="O641" t="str">
        <f t="shared" si="18"/>
        <v>https://permalinkbnd.bnportugal.gov.pt/viewer/6839/?offset=#page=10&amp;viewer=picture&amp;o=info&amp;n=0&amp;q=</v>
      </c>
      <c r="P641">
        <v>478277</v>
      </c>
      <c r="Q641" t="s">
        <v>475</v>
      </c>
      <c r="R641" t="s">
        <v>3098</v>
      </c>
      <c r="S641" t="s">
        <v>1226</v>
      </c>
      <c r="T641" t="s">
        <v>1192</v>
      </c>
      <c r="U641" t="s">
        <v>599</v>
      </c>
      <c r="V641" t="s">
        <v>3099</v>
      </c>
      <c r="W641" t="s">
        <v>3100</v>
      </c>
      <c r="X641" t="s">
        <v>599</v>
      </c>
      <c r="Y641" t="s">
        <v>1182</v>
      </c>
      <c r="Z641" t="s">
        <v>3101</v>
      </c>
      <c r="AA641">
        <v>1880</v>
      </c>
      <c r="AB641">
        <v>1880</v>
      </c>
      <c r="AC641" t="s">
        <v>599</v>
      </c>
      <c r="AD641" t="s">
        <v>599</v>
      </c>
      <c r="AE641" t="s">
        <v>599</v>
      </c>
      <c r="AF641" t="s">
        <v>599</v>
      </c>
      <c r="AG641" t="s">
        <v>3102</v>
      </c>
      <c r="AH641" t="s">
        <v>599</v>
      </c>
      <c r="AI641" t="s">
        <v>599</v>
      </c>
      <c r="AJ641" t="s">
        <v>3103</v>
      </c>
      <c r="AK641" t="s">
        <v>599</v>
      </c>
      <c r="AL641" t="s">
        <v>3104</v>
      </c>
      <c r="AM641" t="s">
        <v>1190</v>
      </c>
      <c r="AN641" t="s">
        <v>599</v>
      </c>
      <c r="AO641" t="s">
        <v>599</v>
      </c>
      <c r="AP641" t="s">
        <v>599</v>
      </c>
      <c r="AQ641" t="s">
        <v>599</v>
      </c>
      <c r="AR641" t="s">
        <v>599</v>
      </c>
      <c r="AS641" t="s">
        <v>599</v>
      </c>
      <c r="AT641" t="s">
        <v>599</v>
      </c>
    </row>
    <row r="642" spans="1:46" ht="75" x14ac:dyDescent="0.25">
      <c r="A642" s="2">
        <v>11591</v>
      </c>
      <c r="B642" s="10">
        <v>478277</v>
      </c>
      <c r="C642" s="10">
        <v>1</v>
      </c>
      <c r="D642" s="9">
        <v>11</v>
      </c>
      <c r="E642" s="11" t="s">
        <v>475</v>
      </c>
      <c r="F642" s="12" t="s">
        <v>476</v>
      </c>
      <c r="G642" s="9" t="s">
        <v>477</v>
      </c>
      <c r="H642" s="34"/>
      <c r="I642" s="55" t="str">
        <f t="shared" si="19"/>
        <v>https://permalinkbnd.bnportugal.gov.pt/viewer/6839/?offset=#page=11&amp;viewer=picture&amp;o=info&amp;n=0&amp;q=</v>
      </c>
      <c r="J642" s="45"/>
      <c r="K642" s="45"/>
      <c r="L642" s="45"/>
      <c r="M642" t="s">
        <v>475</v>
      </c>
      <c r="N642">
        <v>6839</v>
      </c>
      <c r="O642" t="str">
        <f t="shared" ref="O642:O705" si="20">CONCATENATE("https://permalinkbnd.bnportugal.gov.pt/viewer/",N642,"/?offset=#page=",D642,"&amp;viewer=picture&amp;o=info&amp;n=0&amp;q=")</f>
        <v>https://permalinkbnd.bnportugal.gov.pt/viewer/6839/?offset=#page=11&amp;viewer=picture&amp;o=info&amp;n=0&amp;q=</v>
      </c>
      <c r="P642">
        <v>478277</v>
      </c>
      <c r="Q642" t="s">
        <v>475</v>
      </c>
      <c r="R642" t="s">
        <v>3098</v>
      </c>
      <c r="S642" t="s">
        <v>1226</v>
      </c>
      <c r="T642" t="s">
        <v>1192</v>
      </c>
      <c r="U642" t="s">
        <v>599</v>
      </c>
      <c r="V642" t="s">
        <v>3099</v>
      </c>
      <c r="W642" t="s">
        <v>3100</v>
      </c>
      <c r="X642" t="s">
        <v>599</v>
      </c>
      <c r="Y642" t="s">
        <v>1182</v>
      </c>
      <c r="Z642" t="s">
        <v>3101</v>
      </c>
      <c r="AA642">
        <v>1880</v>
      </c>
      <c r="AB642">
        <v>1880</v>
      </c>
      <c r="AC642" t="s">
        <v>599</v>
      </c>
      <c r="AD642" t="s">
        <v>599</v>
      </c>
      <c r="AE642" t="s">
        <v>599</v>
      </c>
      <c r="AF642" t="s">
        <v>599</v>
      </c>
      <c r="AG642" t="s">
        <v>3102</v>
      </c>
      <c r="AH642" t="s">
        <v>599</v>
      </c>
      <c r="AI642" t="s">
        <v>599</v>
      </c>
      <c r="AJ642" t="s">
        <v>3103</v>
      </c>
      <c r="AK642" t="s">
        <v>599</v>
      </c>
      <c r="AL642" t="s">
        <v>3104</v>
      </c>
      <c r="AM642" t="s">
        <v>1190</v>
      </c>
      <c r="AN642" t="s">
        <v>599</v>
      </c>
      <c r="AO642" t="s">
        <v>599</v>
      </c>
      <c r="AP642" t="s">
        <v>599</v>
      </c>
      <c r="AQ642" t="s">
        <v>599</v>
      </c>
      <c r="AR642" t="s">
        <v>599</v>
      </c>
      <c r="AS642" t="s">
        <v>599</v>
      </c>
      <c r="AT642" t="s">
        <v>599</v>
      </c>
    </row>
    <row r="643" spans="1:46" ht="75" x14ac:dyDescent="0.25">
      <c r="A643" s="2">
        <v>11592</v>
      </c>
      <c r="B643" s="10">
        <v>478277</v>
      </c>
      <c r="C643" s="10">
        <v>1</v>
      </c>
      <c r="D643" s="9">
        <v>14</v>
      </c>
      <c r="E643" s="11" t="s">
        <v>475</v>
      </c>
      <c r="F643" s="12" t="s">
        <v>476</v>
      </c>
      <c r="G643" s="9" t="s">
        <v>477</v>
      </c>
      <c r="H643" s="34"/>
      <c r="I643" s="55" t="str">
        <f t="shared" ref="I643:I706" si="21">HYPERLINK(O643)</f>
        <v>https://permalinkbnd.bnportugal.gov.pt/viewer/6839/?offset=#page=14&amp;viewer=picture&amp;o=info&amp;n=0&amp;q=</v>
      </c>
      <c r="J643" s="45"/>
      <c r="K643" s="45"/>
      <c r="L643" s="45"/>
      <c r="M643" t="s">
        <v>475</v>
      </c>
      <c r="N643">
        <v>6839</v>
      </c>
      <c r="O643" t="str">
        <f t="shared" si="20"/>
        <v>https://permalinkbnd.bnportugal.gov.pt/viewer/6839/?offset=#page=14&amp;viewer=picture&amp;o=info&amp;n=0&amp;q=</v>
      </c>
      <c r="P643">
        <v>478277</v>
      </c>
      <c r="Q643" t="s">
        <v>475</v>
      </c>
      <c r="R643" t="s">
        <v>3098</v>
      </c>
      <c r="S643" t="s">
        <v>1226</v>
      </c>
      <c r="T643" t="s">
        <v>1192</v>
      </c>
      <c r="U643" t="s">
        <v>599</v>
      </c>
      <c r="V643" t="s">
        <v>3099</v>
      </c>
      <c r="W643" t="s">
        <v>3100</v>
      </c>
      <c r="X643" t="s">
        <v>599</v>
      </c>
      <c r="Y643" t="s">
        <v>1182</v>
      </c>
      <c r="Z643" t="s">
        <v>3101</v>
      </c>
      <c r="AA643">
        <v>1880</v>
      </c>
      <c r="AB643">
        <v>1880</v>
      </c>
      <c r="AC643" t="s">
        <v>599</v>
      </c>
      <c r="AD643" t="s">
        <v>599</v>
      </c>
      <c r="AE643" t="s">
        <v>599</v>
      </c>
      <c r="AF643" t="s">
        <v>599</v>
      </c>
      <c r="AG643" t="s">
        <v>3102</v>
      </c>
      <c r="AH643" t="s">
        <v>599</v>
      </c>
      <c r="AI643" t="s">
        <v>599</v>
      </c>
      <c r="AJ643" t="s">
        <v>3103</v>
      </c>
      <c r="AK643" t="s">
        <v>599</v>
      </c>
      <c r="AL643" t="s">
        <v>3104</v>
      </c>
      <c r="AM643" t="s">
        <v>1190</v>
      </c>
      <c r="AN643" t="s">
        <v>599</v>
      </c>
      <c r="AO643" t="s">
        <v>599</v>
      </c>
      <c r="AP643" t="s">
        <v>599</v>
      </c>
      <c r="AQ643" t="s">
        <v>599</v>
      </c>
      <c r="AR643" t="s">
        <v>599</v>
      </c>
      <c r="AS643" t="s">
        <v>599</v>
      </c>
      <c r="AT643" t="s">
        <v>599</v>
      </c>
    </row>
    <row r="644" spans="1:46" ht="75" x14ac:dyDescent="0.25">
      <c r="A644" s="2">
        <v>11593</v>
      </c>
      <c r="B644" s="10">
        <v>478277</v>
      </c>
      <c r="C644" s="10">
        <v>1</v>
      </c>
      <c r="D644" s="9">
        <v>16</v>
      </c>
      <c r="E644" s="11" t="s">
        <v>475</v>
      </c>
      <c r="F644" s="12" t="s">
        <v>476</v>
      </c>
      <c r="G644" s="9" t="s">
        <v>477</v>
      </c>
      <c r="H644" s="34"/>
      <c r="I644" s="55" t="str">
        <f t="shared" si="21"/>
        <v>https://permalinkbnd.bnportugal.gov.pt/viewer/6839/?offset=#page=16&amp;viewer=picture&amp;o=info&amp;n=0&amp;q=</v>
      </c>
      <c r="J644" s="45"/>
      <c r="K644" s="45"/>
      <c r="L644" s="45"/>
      <c r="M644" t="s">
        <v>475</v>
      </c>
      <c r="N644">
        <v>6839</v>
      </c>
      <c r="O644" t="str">
        <f t="shared" si="20"/>
        <v>https://permalinkbnd.bnportugal.gov.pt/viewer/6839/?offset=#page=16&amp;viewer=picture&amp;o=info&amp;n=0&amp;q=</v>
      </c>
      <c r="P644">
        <v>478277</v>
      </c>
      <c r="Q644" t="s">
        <v>475</v>
      </c>
      <c r="R644" t="s">
        <v>3098</v>
      </c>
      <c r="S644" t="s">
        <v>1226</v>
      </c>
      <c r="T644" t="s">
        <v>1192</v>
      </c>
      <c r="U644" t="s">
        <v>599</v>
      </c>
      <c r="V644" t="s">
        <v>3099</v>
      </c>
      <c r="W644" t="s">
        <v>3100</v>
      </c>
      <c r="X644" t="s">
        <v>599</v>
      </c>
      <c r="Y644" t="s">
        <v>1182</v>
      </c>
      <c r="Z644" t="s">
        <v>3101</v>
      </c>
      <c r="AA644">
        <v>1880</v>
      </c>
      <c r="AB644">
        <v>1880</v>
      </c>
      <c r="AC644" t="s">
        <v>599</v>
      </c>
      <c r="AD644" t="s">
        <v>599</v>
      </c>
      <c r="AE644" t="s">
        <v>599</v>
      </c>
      <c r="AF644" t="s">
        <v>599</v>
      </c>
      <c r="AG644" t="s">
        <v>3102</v>
      </c>
      <c r="AH644" t="s">
        <v>599</v>
      </c>
      <c r="AI644" t="s">
        <v>599</v>
      </c>
      <c r="AJ644" t="s">
        <v>3103</v>
      </c>
      <c r="AK644" t="s">
        <v>599</v>
      </c>
      <c r="AL644" t="s">
        <v>3104</v>
      </c>
      <c r="AM644" t="s">
        <v>1190</v>
      </c>
      <c r="AN644" t="s">
        <v>599</v>
      </c>
      <c r="AO644" t="s">
        <v>599</v>
      </c>
      <c r="AP644" t="s">
        <v>599</v>
      </c>
      <c r="AQ644" t="s">
        <v>599</v>
      </c>
      <c r="AR644" t="s">
        <v>599</v>
      </c>
      <c r="AS644" t="s">
        <v>599</v>
      </c>
      <c r="AT644" t="s">
        <v>599</v>
      </c>
    </row>
    <row r="645" spans="1:46" ht="75" x14ac:dyDescent="0.25">
      <c r="A645" s="2">
        <v>11594</v>
      </c>
      <c r="B645" s="10">
        <v>478277</v>
      </c>
      <c r="C645" s="10">
        <v>1</v>
      </c>
      <c r="D645" s="9">
        <v>20</v>
      </c>
      <c r="E645" s="11" t="s">
        <v>475</v>
      </c>
      <c r="F645" s="12" t="s">
        <v>476</v>
      </c>
      <c r="G645" s="9" t="s">
        <v>477</v>
      </c>
      <c r="H645" s="34"/>
      <c r="I645" s="55" t="str">
        <f t="shared" si="21"/>
        <v>https://permalinkbnd.bnportugal.gov.pt/viewer/6839/?offset=#page=20&amp;viewer=picture&amp;o=info&amp;n=0&amp;q=</v>
      </c>
      <c r="J645" s="45"/>
      <c r="K645" s="45"/>
      <c r="L645" s="45"/>
      <c r="M645" t="s">
        <v>475</v>
      </c>
      <c r="N645">
        <v>6839</v>
      </c>
      <c r="O645" t="str">
        <f t="shared" si="20"/>
        <v>https://permalinkbnd.bnportugal.gov.pt/viewer/6839/?offset=#page=20&amp;viewer=picture&amp;o=info&amp;n=0&amp;q=</v>
      </c>
      <c r="P645">
        <v>478277</v>
      </c>
      <c r="Q645" t="s">
        <v>475</v>
      </c>
      <c r="R645" t="s">
        <v>3098</v>
      </c>
      <c r="S645" t="s">
        <v>1226</v>
      </c>
      <c r="T645" t="s">
        <v>1192</v>
      </c>
      <c r="U645" t="s">
        <v>599</v>
      </c>
      <c r="V645" t="s">
        <v>3099</v>
      </c>
      <c r="W645" t="s">
        <v>3100</v>
      </c>
      <c r="X645" t="s">
        <v>599</v>
      </c>
      <c r="Y645" t="s">
        <v>1182</v>
      </c>
      <c r="Z645" t="s">
        <v>3101</v>
      </c>
      <c r="AA645">
        <v>1880</v>
      </c>
      <c r="AB645">
        <v>1880</v>
      </c>
      <c r="AC645" t="s">
        <v>599</v>
      </c>
      <c r="AD645" t="s">
        <v>599</v>
      </c>
      <c r="AE645" t="s">
        <v>599</v>
      </c>
      <c r="AF645" t="s">
        <v>599</v>
      </c>
      <c r="AG645" t="s">
        <v>3102</v>
      </c>
      <c r="AH645" t="s">
        <v>599</v>
      </c>
      <c r="AI645" t="s">
        <v>599</v>
      </c>
      <c r="AJ645" t="s">
        <v>3103</v>
      </c>
      <c r="AK645" t="s">
        <v>599</v>
      </c>
      <c r="AL645" t="s">
        <v>3104</v>
      </c>
      <c r="AM645" t="s">
        <v>1190</v>
      </c>
      <c r="AN645" t="s">
        <v>599</v>
      </c>
      <c r="AO645" t="s">
        <v>599</v>
      </c>
      <c r="AP645" t="s">
        <v>599</v>
      </c>
      <c r="AQ645" t="s">
        <v>599</v>
      </c>
      <c r="AR645" t="s">
        <v>599</v>
      </c>
      <c r="AS645" t="s">
        <v>599</v>
      </c>
      <c r="AT645" t="s">
        <v>599</v>
      </c>
    </row>
    <row r="646" spans="1:46" ht="30" x14ac:dyDescent="0.25">
      <c r="A646" s="2">
        <v>11622</v>
      </c>
      <c r="B646" s="10">
        <v>709123</v>
      </c>
      <c r="C646" s="10">
        <v>1</v>
      </c>
      <c r="D646" s="9">
        <v>1</v>
      </c>
      <c r="E646" s="11" t="s">
        <v>478</v>
      </c>
      <c r="F646" s="12">
        <v>1</v>
      </c>
      <c r="G646" s="9">
        <v>1</v>
      </c>
      <c r="H646" s="34"/>
      <c r="I646" s="55" t="str">
        <f t="shared" si="21"/>
        <v>https://permalinkbnd.bnportugal.gov.pt/viewer/36391/?offset=#page=1&amp;viewer=picture&amp;o=info&amp;n=0&amp;q=</v>
      </c>
      <c r="J646" s="45"/>
      <c r="K646" s="45"/>
      <c r="L646" s="45"/>
      <c r="M646" t="s">
        <v>478</v>
      </c>
      <c r="N646">
        <v>36391</v>
      </c>
      <c r="O646" t="str">
        <f t="shared" si="20"/>
        <v>https://permalinkbnd.bnportugal.gov.pt/viewer/36391/?offset=#page=1&amp;viewer=picture&amp;o=info&amp;n=0&amp;q=</v>
      </c>
      <c r="P646">
        <v>709123</v>
      </c>
      <c r="Q646" t="s">
        <v>478</v>
      </c>
      <c r="R646" t="s">
        <v>3105</v>
      </c>
      <c r="S646" t="s">
        <v>1312</v>
      </c>
      <c r="T646" t="s">
        <v>1192</v>
      </c>
      <c r="U646" t="s">
        <v>599</v>
      </c>
      <c r="V646" t="s">
        <v>3106</v>
      </c>
      <c r="W646" t="s">
        <v>3107</v>
      </c>
      <c r="X646" t="s">
        <v>599</v>
      </c>
      <c r="Y646" t="s">
        <v>1182</v>
      </c>
      <c r="Z646" t="s">
        <v>3108</v>
      </c>
      <c r="AA646">
        <v>1890</v>
      </c>
      <c r="AB646">
        <v>1890</v>
      </c>
      <c r="AC646" t="s">
        <v>1315</v>
      </c>
      <c r="AD646" t="s">
        <v>599</v>
      </c>
      <c r="AE646" t="s">
        <v>599</v>
      </c>
      <c r="AF646" t="s">
        <v>599</v>
      </c>
      <c r="AG646" t="s">
        <v>1683</v>
      </c>
      <c r="AH646" t="s">
        <v>599</v>
      </c>
      <c r="AI646" t="s">
        <v>599</v>
      </c>
      <c r="AJ646" t="s">
        <v>3109</v>
      </c>
      <c r="AK646" t="s">
        <v>599</v>
      </c>
      <c r="AL646" t="s">
        <v>3110</v>
      </c>
      <c r="AM646" t="s">
        <v>1190</v>
      </c>
      <c r="AN646" t="s">
        <v>3111</v>
      </c>
      <c r="AO646" t="s">
        <v>599</v>
      </c>
      <c r="AP646" t="s">
        <v>599</v>
      </c>
      <c r="AQ646" t="s">
        <v>599</v>
      </c>
      <c r="AR646" t="s">
        <v>599</v>
      </c>
      <c r="AS646" t="s">
        <v>599</v>
      </c>
      <c r="AT646" t="s">
        <v>599</v>
      </c>
    </row>
    <row r="647" spans="1:46" ht="30" x14ac:dyDescent="0.25">
      <c r="A647" s="2">
        <v>11646</v>
      </c>
      <c r="B647" s="29">
        <v>766189</v>
      </c>
      <c r="C647" s="29">
        <v>1</v>
      </c>
      <c r="D647" s="28">
        <v>1</v>
      </c>
      <c r="E647" s="30" t="s">
        <v>479</v>
      </c>
      <c r="F647" s="31" t="s">
        <v>480</v>
      </c>
      <c r="G647" s="28"/>
      <c r="H647" s="35" t="s">
        <v>1138</v>
      </c>
      <c r="I647" s="55" t="str">
        <f t="shared" si="21"/>
        <v>https://permalinkbnd.bnportugal.gov.pt/viewer/14630/?offset=#page=1&amp;viewer=picture&amp;o=info&amp;n=0&amp;q=</v>
      </c>
      <c r="J647" s="45"/>
      <c r="K647" s="45"/>
      <c r="L647" s="45"/>
      <c r="M647" t="s">
        <v>479</v>
      </c>
      <c r="N647">
        <v>14630</v>
      </c>
      <c r="O647" t="str">
        <f t="shared" si="20"/>
        <v>https://permalinkbnd.bnportugal.gov.pt/viewer/14630/?offset=#page=1&amp;viewer=picture&amp;o=info&amp;n=0&amp;q=</v>
      </c>
      <c r="P647">
        <v>766189</v>
      </c>
      <c r="Q647" t="s">
        <v>479</v>
      </c>
      <c r="R647" t="s">
        <v>3112</v>
      </c>
      <c r="S647" t="s">
        <v>1178</v>
      </c>
      <c r="T647" t="s">
        <v>1192</v>
      </c>
      <c r="U647" t="s">
        <v>599</v>
      </c>
      <c r="V647" t="s">
        <v>1551</v>
      </c>
      <c r="W647" t="s">
        <v>599</v>
      </c>
      <c r="X647" t="s">
        <v>599</v>
      </c>
      <c r="Y647" t="s">
        <v>1182</v>
      </c>
      <c r="Z647" t="s">
        <v>3113</v>
      </c>
      <c r="AA647">
        <v>1644</v>
      </c>
      <c r="AB647">
        <v>1644</v>
      </c>
      <c r="AC647" t="s">
        <v>3114</v>
      </c>
      <c r="AD647" t="s">
        <v>1185</v>
      </c>
      <c r="AE647" t="s">
        <v>599</v>
      </c>
      <c r="AF647" t="s">
        <v>599</v>
      </c>
      <c r="AG647" t="s">
        <v>3115</v>
      </c>
      <c r="AH647" t="s">
        <v>599</v>
      </c>
      <c r="AI647" t="s">
        <v>599</v>
      </c>
      <c r="AJ647" t="s">
        <v>3116</v>
      </c>
      <c r="AK647" t="s">
        <v>2967</v>
      </c>
      <c r="AL647" t="s">
        <v>3117</v>
      </c>
      <c r="AM647" t="s">
        <v>1190</v>
      </c>
      <c r="AN647" t="s">
        <v>3118</v>
      </c>
      <c r="AO647" t="s">
        <v>599</v>
      </c>
      <c r="AP647" t="s">
        <v>3119</v>
      </c>
      <c r="AQ647" t="s">
        <v>599</v>
      </c>
      <c r="AR647" t="s">
        <v>599</v>
      </c>
      <c r="AS647" t="s">
        <v>599</v>
      </c>
      <c r="AT647" t="s">
        <v>599</v>
      </c>
    </row>
    <row r="648" spans="1:46" ht="30" x14ac:dyDescent="0.25">
      <c r="A648" s="2">
        <v>11669</v>
      </c>
      <c r="B648" s="10">
        <v>782735</v>
      </c>
      <c r="C648" s="10">
        <v>1</v>
      </c>
      <c r="D648" s="9">
        <v>10</v>
      </c>
      <c r="E648" s="11" t="s">
        <v>481</v>
      </c>
      <c r="F648" s="12" t="s">
        <v>482</v>
      </c>
      <c r="G648" s="9">
        <v>10</v>
      </c>
      <c r="H648" s="34"/>
      <c r="I648" s="55" t="str">
        <f t="shared" si="21"/>
        <v>https://permalinkbnd.bnportugal.gov.pt/viewer/278664/?offset=#page=10&amp;viewer=picture&amp;o=info&amp;n=0&amp;q=</v>
      </c>
      <c r="J648" s="45"/>
      <c r="K648" s="45"/>
      <c r="L648" s="45"/>
      <c r="M648" t="s">
        <v>481</v>
      </c>
      <c r="N648">
        <v>278664</v>
      </c>
      <c r="O648" t="str">
        <f t="shared" si="20"/>
        <v>https://permalinkbnd.bnportugal.gov.pt/viewer/278664/?offset=#page=10&amp;viewer=picture&amp;o=info&amp;n=0&amp;q=</v>
      </c>
      <c r="P648">
        <v>782735</v>
      </c>
      <c r="Q648" t="s">
        <v>481</v>
      </c>
      <c r="R648" t="s">
        <v>3120</v>
      </c>
      <c r="S648" t="s">
        <v>1178</v>
      </c>
      <c r="T648" t="s">
        <v>1192</v>
      </c>
      <c r="U648" t="s">
        <v>599</v>
      </c>
      <c r="V648" t="s">
        <v>3121</v>
      </c>
      <c r="W648" t="s">
        <v>599</v>
      </c>
      <c r="X648" t="s">
        <v>599</v>
      </c>
      <c r="Y648" t="s">
        <v>1182</v>
      </c>
      <c r="Z648" t="s">
        <v>2268</v>
      </c>
      <c r="AA648">
        <v>1860</v>
      </c>
      <c r="AB648">
        <v>1860</v>
      </c>
      <c r="AC648" t="s">
        <v>3122</v>
      </c>
      <c r="AD648" t="s">
        <v>3123</v>
      </c>
      <c r="AE648" t="s">
        <v>599</v>
      </c>
      <c r="AF648" t="s">
        <v>599</v>
      </c>
      <c r="AG648" t="s">
        <v>599</v>
      </c>
      <c r="AH648" t="s">
        <v>599</v>
      </c>
      <c r="AI648" t="s">
        <v>599</v>
      </c>
      <c r="AJ648" t="s">
        <v>3124</v>
      </c>
      <c r="AK648" t="s">
        <v>1188</v>
      </c>
      <c r="AL648" t="s">
        <v>3125</v>
      </c>
      <c r="AM648" t="s">
        <v>1190</v>
      </c>
      <c r="AN648" t="s">
        <v>599</v>
      </c>
      <c r="AO648" t="s">
        <v>599</v>
      </c>
      <c r="AP648" t="s">
        <v>599</v>
      </c>
      <c r="AQ648" t="s">
        <v>599</v>
      </c>
      <c r="AR648" t="s">
        <v>599</v>
      </c>
      <c r="AS648" t="s">
        <v>599</v>
      </c>
      <c r="AT648" t="s">
        <v>599</v>
      </c>
    </row>
    <row r="649" spans="1:46" ht="30" x14ac:dyDescent="0.25">
      <c r="A649" s="2">
        <v>11670</v>
      </c>
      <c r="B649" s="10">
        <v>782740</v>
      </c>
      <c r="C649" s="10">
        <v>1</v>
      </c>
      <c r="D649" s="9">
        <v>8</v>
      </c>
      <c r="E649" s="11" t="s">
        <v>483</v>
      </c>
      <c r="F649" s="12" t="s">
        <v>484</v>
      </c>
      <c r="G649" s="9">
        <v>8</v>
      </c>
      <c r="H649" s="34"/>
      <c r="I649" s="55" t="str">
        <f t="shared" si="21"/>
        <v>https://permalinkbnd.bnportugal.gov.pt/viewer/278660/?offset=#page=8&amp;viewer=picture&amp;o=info&amp;n=0&amp;q=</v>
      </c>
      <c r="J649" s="45"/>
      <c r="K649" s="45"/>
      <c r="L649" s="45"/>
      <c r="M649" t="s">
        <v>483</v>
      </c>
      <c r="N649">
        <v>278660</v>
      </c>
      <c r="O649" t="str">
        <f t="shared" si="20"/>
        <v>https://permalinkbnd.bnportugal.gov.pt/viewer/278660/?offset=#page=8&amp;viewer=picture&amp;o=info&amp;n=0&amp;q=</v>
      </c>
      <c r="P649">
        <v>782740</v>
      </c>
      <c r="Q649" t="s">
        <v>483</v>
      </c>
      <c r="R649" t="s">
        <v>3126</v>
      </c>
      <c r="S649" t="s">
        <v>1178</v>
      </c>
      <c r="T649" t="s">
        <v>1192</v>
      </c>
      <c r="U649" t="s">
        <v>599</v>
      </c>
      <c r="V649" t="s">
        <v>1551</v>
      </c>
      <c r="W649" t="s">
        <v>1330</v>
      </c>
      <c r="X649" t="s">
        <v>599</v>
      </c>
      <c r="Y649" t="s">
        <v>3127</v>
      </c>
      <c r="Z649" t="s">
        <v>3128</v>
      </c>
      <c r="AA649">
        <v>1871</v>
      </c>
      <c r="AB649">
        <v>1871</v>
      </c>
      <c r="AC649" t="s">
        <v>3129</v>
      </c>
      <c r="AD649" t="s">
        <v>1185</v>
      </c>
      <c r="AE649" t="s">
        <v>599</v>
      </c>
      <c r="AF649" t="s">
        <v>599</v>
      </c>
      <c r="AG649" t="s">
        <v>599</v>
      </c>
      <c r="AH649" t="s">
        <v>599</v>
      </c>
      <c r="AI649" t="s">
        <v>599</v>
      </c>
      <c r="AJ649" t="s">
        <v>3130</v>
      </c>
      <c r="AK649" t="s">
        <v>1188</v>
      </c>
      <c r="AL649" t="s">
        <v>3131</v>
      </c>
      <c r="AM649" t="s">
        <v>1190</v>
      </c>
      <c r="AN649" t="s">
        <v>599</v>
      </c>
      <c r="AO649" t="s">
        <v>599</v>
      </c>
      <c r="AP649" t="s">
        <v>599</v>
      </c>
      <c r="AQ649" t="s">
        <v>599</v>
      </c>
      <c r="AR649" t="s">
        <v>599</v>
      </c>
      <c r="AS649" t="s">
        <v>599</v>
      </c>
      <c r="AT649" t="s">
        <v>599</v>
      </c>
    </row>
    <row r="650" spans="1:46" ht="30" x14ac:dyDescent="0.25">
      <c r="A650" s="2">
        <v>11671</v>
      </c>
      <c r="B650" s="10">
        <v>782742</v>
      </c>
      <c r="C650" s="10">
        <v>1</v>
      </c>
      <c r="D650" s="9">
        <v>6</v>
      </c>
      <c r="E650" s="11" t="s">
        <v>485</v>
      </c>
      <c r="F650" s="12" t="s">
        <v>408</v>
      </c>
      <c r="G650" s="9">
        <v>6</v>
      </c>
      <c r="H650" s="34"/>
      <c r="I650" s="55" t="str">
        <f t="shared" si="21"/>
        <v>https://permalinkbnd.bnportugal.gov.pt/viewer/278669/?offset=#page=6&amp;viewer=picture&amp;o=info&amp;n=0&amp;q=</v>
      </c>
      <c r="J650" s="45"/>
      <c r="K650" s="45"/>
      <c r="L650" s="45"/>
      <c r="M650" t="s">
        <v>485</v>
      </c>
      <c r="N650">
        <v>278669</v>
      </c>
      <c r="O650" t="str">
        <f t="shared" si="20"/>
        <v>https://permalinkbnd.bnportugal.gov.pt/viewer/278669/?offset=#page=6&amp;viewer=picture&amp;o=info&amp;n=0&amp;q=</v>
      </c>
      <c r="P650">
        <v>782742</v>
      </c>
      <c r="Q650" t="s">
        <v>485</v>
      </c>
      <c r="R650" t="s">
        <v>3132</v>
      </c>
      <c r="S650" t="s">
        <v>1178</v>
      </c>
      <c r="T650" t="s">
        <v>1192</v>
      </c>
      <c r="U650" t="s">
        <v>599</v>
      </c>
      <c r="V650" t="s">
        <v>1551</v>
      </c>
      <c r="W650" t="s">
        <v>1330</v>
      </c>
      <c r="X650" t="s">
        <v>599</v>
      </c>
      <c r="Y650" t="s">
        <v>3133</v>
      </c>
      <c r="Z650" t="s">
        <v>3134</v>
      </c>
      <c r="AA650">
        <v>1874</v>
      </c>
      <c r="AB650">
        <v>1874</v>
      </c>
      <c r="AC650" t="s">
        <v>3135</v>
      </c>
      <c r="AD650" t="s">
        <v>1185</v>
      </c>
      <c r="AE650" t="s">
        <v>599</v>
      </c>
      <c r="AF650" t="s">
        <v>599</v>
      </c>
      <c r="AG650" t="s">
        <v>599</v>
      </c>
      <c r="AH650" t="s">
        <v>599</v>
      </c>
      <c r="AI650" t="s">
        <v>599</v>
      </c>
      <c r="AJ650" t="s">
        <v>3136</v>
      </c>
      <c r="AK650" t="s">
        <v>1188</v>
      </c>
      <c r="AL650" t="s">
        <v>3137</v>
      </c>
      <c r="AM650" t="s">
        <v>1190</v>
      </c>
      <c r="AN650" t="s">
        <v>599</v>
      </c>
      <c r="AO650" t="s">
        <v>599</v>
      </c>
      <c r="AP650" t="s">
        <v>599</v>
      </c>
      <c r="AQ650" t="s">
        <v>599</v>
      </c>
      <c r="AR650" t="s">
        <v>599</v>
      </c>
      <c r="AS650" t="s">
        <v>599</v>
      </c>
      <c r="AT650" t="s">
        <v>599</v>
      </c>
    </row>
    <row r="651" spans="1:46" ht="30" x14ac:dyDescent="0.25">
      <c r="A651" s="2">
        <v>11672</v>
      </c>
      <c r="B651" s="10">
        <v>782743</v>
      </c>
      <c r="C651" s="10">
        <v>1</v>
      </c>
      <c r="D651" s="9">
        <v>6</v>
      </c>
      <c r="E651" s="11" t="s">
        <v>486</v>
      </c>
      <c r="F651" s="12" t="s">
        <v>408</v>
      </c>
      <c r="G651" s="9">
        <v>6</v>
      </c>
      <c r="H651" s="34"/>
      <c r="I651" s="55" t="str">
        <f t="shared" si="21"/>
        <v>https://permalinkbnd.bnportugal.gov.pt/viewer/278783/?offset=#page=6&amp;viewer=picture&amp;o=info&amp;n=0&amp;q=</v>
      </c>
      <c r="J651" s="45"/>
      <c r="K651" s="45"/>
      <c r="L651" s="45"/>
      <c r="M651" t="s">
        <v>486</v>
      </c>
      <c r="N651">
        <v>278783</v>
      </c>
      <c r="O651" t="str">
        <f t="shared" si="20"/>
        <v>https://permalinkbnd.bnportugal.gov.pt/viewer/278783/?offset=#page=6&amp;viewer=picture&amp;o=info&amp;n=0&amp;q=</v>
      </c>
      <c r="P651">
        <v>782743</v>
      </c>
      <c r="Q651" t="s">
        <v>486</v>
      </c>
      <c r="R651" t="s">
        <v>3138</v>
      </c>
      <c r="S651" t="s">
        <v>1178</v>
      </c>
      <c r="T651" t="s">
        <v>1192</v>
      </c>
      <c r="U651" t="s">
        <v>599</v>
      </c>
      <c r="V651" t="s">
        <v>1551</v>
      </c>
      <c r="W651" t="s">
        <v>1330</v>
      </c>
      <c r="X651" t="s">
        <v>599</v>
      </c>
      <c r="Y651" t="s">
        <v>1731</v>
      </c>
      <c r="Z651" t="s">
        <v>3139</v>
      </c>
      <c r="AA651">
        <v>1897</v>
      </c>
      <c r="AB651">
        <v>1897</v>
      </c>
      <c r="AC651" t="s">
        <v>3140</v>
      </c>
      <c r="AD651" t="s">
        <v>1185</v>
      </c>
      <c r="AE651" t="s">
        <v>599</v>
      </c>
      <c r="AF651" t="s">
        <v>599</v>
      </c>
      <c r="AG651" t="s">
        <v>599</v>
      </c>
      <c r="AH651" t="s">
        <v>599</v>
      </c>
      <c r="AI651" t="s">
        <v>599</v>
      </c>
      <c r="AJ651" t="s">
        <v>3141</v>
      </c>
      <c r="AK651" t="s">
        <v>1188</v>
      </c>
      <c r="AL651" t="s">
        <v>3142</v>
      </c>
      <c r="AM651" t="s">
        <v>1190</v>
      </c>
      <c r="AN651" t="s">
        <v>599</v>
      </c>
      <c r="AO651" t="s">
        <v>599</v>
      </c>
      <c r="AP651" t="s">
        <v>599</v>
      </c>
      <c r="AQ651" t="s">
        <v>599</v>
      </c>
      <c r="AR651" t="s">
        <v>599</v>
      </c>
      <c r="AS651" t="s">
        <v>599</v>
      </c>
      <c r="AT651" t="s">
        <v>599</v>
      </c>
    </row>
    <row r="652" spans="1:46" ht="30" x14ac:dyDescent="0.25">
      <c r="A652" s="2">
        <v>11674</v>
      </c>
      <c r="B652" s="10">
        <v>783484</v>
      </c>
      <c r="C652" s="10">
        <v>1</v>
      </c>
      <c r="D652" s="9">
        <v>10</v>
      </c>
      <c r="E652" s="11" t="s">
        <v>487</v>
      </c>
      <c r="F652" s="12" t="s">
        <v>178</v>
      </c>
      <c r="G652" s="9">
        <v>10</v>
      </c>
      <c r="H652" s="34"/>
      <c r="I652" s="55" t="str">
        <f t="shared" si="21"/>
        <v>https://permalinkbnd.bnportugal.gov.pt/viewer/278786/?offset=#page=10&amp;viewer=picture&amp;o=info&amp;n=0&amp;q=</v>
      </c>
      <c r="J652" s="45"/>
      <c r="K652" s="45"/>
      <c r="L652" s="45"/>
      <c r="M652" t="s">
        <v>487</v>
      </c>
      <c r="N652">
        <v>278786</v>
      </c>
      <c r="O652" t="str">
        <f t="shared" si="20"/>
        <v>https://permalinkbnd.bnportugal.gov.pt/viewer/278786/?offset=#page=10&amp;viewer=picture&amp;o=info&amp;n=0&amp;q=</v>
      </c>
      <c r="P652">
        <v>783484</v>
      </c>
      <c r="Q652" t="s">
        <v>487</v>
      </c>
      <c r="R652" t="s">
        <v>3143</v>
      </c>
      <c r="S652" t="s">
        <v>1178</v>
      </c>
      <c r="T652" t="s">
        <v>1502</v>
      </c>
      <c r="U652" t="s">
        <v>1192</v>
      </c>
      <c r="V652" t="s">
        <v>1742</v>
      </c>
      <c r="W652" t="s">
        <v>599</v>
      </c>
      <c r="X652" t="s">
        <v>599</v>
      </c>
      <c r="Y652" t="s">
        <v>3144</v>
      </c>
      <c r="Z652" t="s">
        <v>2680</v>
      </c>
      <c r="AA652">
        <v>1805</v>
      </c>
      <c r="AB652">
        <v>1805</v>
      </c>
      <c r="AC652" t="s">
        <v>3145</v>
      </c>
      <c r="AD652" t="s">
        <v>1185</v>
      </c>
      <c r="AE652" t="s">
        <v>599</v>
      </c>
      <c r="AF652" t="s">
        <v>599</v>
      </c>
      <c r="AG652" t="s">
        <v>3146</v>
      </c>
      <c r="AH652" t="s">
        <v>599</v>
      </c>
      <c r="AI652" t="s">
        <v>599</v>
      </c>
      <c r="AJ652" t="s">
        <v>3147</v>
      </c>
      <c r="AK652" t="s">
        <v>1188</v>
      </c>
      <c r="AL652" t="s">
        <v>3148</v>
      </c>
      <c r="AM652" t="s">
        <v>1190</v>
      </c>
      <c r="AN652" t="s">
        <v>599</v>
      </c>
      <c r="AO652" t="s">
        <v>599</v>
      </c>
      <c r="AP652" t="s">
        <v>599</v>
      </c>
      <c r="AQ652" t="s">
        <v>599</v>
      </c>
      <c r="AR652" t="s">
        <v>599</v>
      </c>
      <c r="AS652" t="s">
        <v>599</v>
      </c>
      <c r="AT652" t="s">
        <v>599</v>
      </c>
    </row>
    <row r="653" spans="1:46" ht="30" x14ac:dyDescent="0.25">
      <c r="A653" s="2">
        <v>11675</v>
      </c>
      <c r="B653" s="10">
        <v>783488</v>
      </c>
      <c r="C653" s="10">
        <v>1</v>
      </c>
      <c r="D653" s="9">
        <v>8</v>
      </c>
      <c r="E653" s="11" t="s">
        <v>488</v>
      </c>
      <c r="F653" s="12" t="s">
        <v>484</v>
      </c>
      <c r="G653" s="9">
        <v>8</v>
      </c>
      <c r="H653" s="34"/>
      <c r="I653" s="55" t="str">
        <f t="shared" si="21"/>
        <v>https://permalinkbnd.bnportugal.gov.pt/viewer/278784/?offset=#page=8&amp;viewer=picture&amp;o=info&amp;n=0&amp;q=</v>
      </c>
      <c r="J653" s="45"/>
      <c r="K653" s="45"/>
      <c r="L653" s="45"/>
      <c r="M653" t="s">
        <v>488</v>
      </c>
      <c r="N653">
        <v>278784</v>
      </c>
      <c r="O653" t="str">
        <f t="shared" si="20"/>
        <v>https://permalinkbnd.bnportugal.gov.pt/viewer/278784/?offset=#page=8&amp;viewer=picture&amp;o=info&amp;n=0&amp;q=</v>
      </c>
      <c r="P653">
        <v>783488</v>
      </c>
      <c r="Q653" t="s">
        <v>488</v>
      </c>
      <c r="R653" t="s">
        <v>3149</v>
      </c>
      <c r="S653" t="s">
        <v>1178</v>
      </c>
      <c r="T653" t="s">
        <v>1502</v>
      </c>
      <c r="U653" t="s">
        <v>1192</v>
      </c>
      <c r="V653" t="s">
        <v>3150</v>
      </c>
      <c r="W653" t="s">
        <v>599</v>
      </c>
      <c r="X653" t="s">
        <v>599</v>
      </c>
      <c r="Y653" t="s">
        <v>3151</v>
      </c>
      <c r="Z653" t="s">
        <v>2680</v>
      </c>
      <c r="AA653">
        <v>1804</v>
      </c>
      <c r="AB653">
        <v>1804</v>
      </c>
      <c r="AC653" t="s">
        <v>3152</v>
      </c>
      <c r="AD653" t="s">
        <v>1185</v>
      </c>
      <c r="AE653" t="s">
        <v>599</v>
      </c>
      <c r="AF653" t="s">
        <v>599</v>
      </c>
      <c r="AG653" t="s">
        <v>3146</v>
      </c>
      <c r="AH653" t="s">
        <v>599</v>
      </c>
      <c r="AI653" t="s">
        <v>599</v>
      </c>
      <c r="AJ653" t="s">
        <v>3153</v>
      </c>
      <c r="AK653" t="s">
        <v>1188</v>
      </c>
      <c r="AL653" t="s">
        <v>3154</v>
      </c>
      <c r="AM653" t="s">
        <v>1190</v>
      </c>
      <c r="AN653" t="s">
        <v>599</v>
      </c>
      <c r="AO653" t="s">
        <v>599</v>
      </c>
      <c r="AP653" t="s">
        <v>599</v>
      </c>
      <c r="AQ653" t="s">
        <v>599</v>
      </c>
      <c r="AR653" t="s">
        <v>599</v>
      </c>
      <c r="AS653" t="s">
        <v>599</v>
      </c>
      <c r="AT653" t="s">
        <v>599</v>
      </c>
    </row>
    <row r="654" spans="1:46" ht="30" x14ac:dyDescent="0.25">
      <c r="A654" s="2">
        <v>11676</v>
      </c>
      <c r="B654" s="10">
        <v>784526</v>
      </c>
      <c r="C654" s="10">
        <v>1</v>
      </c>
      <c r="D654" s="9">
        <v>6</v>
      </c>
      <c r="E654" s="11" t="s">
        <v>489</v>
      </c>
      <c r="F654" s="12" t="s">
        <v>408</v>
      </c>
      <c r="G654" s="9">
        <v>6</v>
      </c>
      <c r="H654" s="34"/>
      <c r="I654" s="55" t="str">
        <f t="shared" si="21"/>
        <v>https://permalinkbnd.bnportugal.gov.pt/viewer/278793/?offset=#page=6&amp;viewer=picture&amp;o=info&amp;n=0&amp;q=</v>
      </c>
      <c r="J654" s="45"/>
      <c r="K654" s="45"/>
      <c r="L654" s="45"/>
      <c r="M654" t="s">
        <v>489</v>
      </c>
      <c r="N654">
        <v>278793</v>
      </c>
      <c r="O654" t="str">
        <f t="shared" si="20"/>
        <v>https://permalinkbnd.bnportugal.gov.pt/viewer/278793/?offset=#page=6&amp;viewer=picture&amp;o=info&amp;n=0&amp;q=</v>
      </c>
      <c r="P654">
        <v>784526</v>
      </c>
      <c r="Q654" t="s">
        <v>489</v>
      </c>
      <c r="R654" t="s">
        <v>3155</v>
      </c>
      <c r="S654" t="s">
        <v>1178</v>
      </c>
      <c r="T654" t="s">
        <v>1502</v>
      </c>
      <c r="U654" t="s">
        <v>1192</v>
      </c>
      <c r="V654" t="s">
        <v>1742</v>
      </c>
      <c r="W654" t="s">
        <v>599</v>
      </c>
      <c r="X654" t="s">
        <v>599</v>
      </c>
      <c r="Y654" t="s">
        <v>2370</v>
      </c>
      <c r="Z654" t="s">
        <v>2680</v>
      </c>
      <c r="AA654">
        <v>1808</v>
      </c>
      <c r="AB654">
        <v>1808</v>
      </c>
      <c r="AC654" t="s">
        <v>3156</v>
      </c>
      <c r="AD654" t="s">
        <v>1185</v>
      </c>
      <c r="AE654" t="s">
        <v>599</v>
      </c>
      <c r="AF654" t="s">
        <v>599</v>
      </c>
      <c r="AG654" t="s">
        <v>3146</v>
      </c>
      <c r="AH654" t="s">
        <v>599</v>
      </c>
      <c r="AI654" t="s">
        <v>599</v>
      </c>
      <c r="AJ654" t="s">
        <v>3157</v>
      </c>
      <c r="AK654" t="s">
        <v>1188</v>
      </c>
      <c r="AL654" t="s">
        <v>3158</v>
      </c>
      <c r="AM654" t="s">
        <v>1190</v>
      </c>
      <c r="AN654" t="s">
        <v>599</v>
      </c>
      <c r="AO654" t="s">
        <v>599</v>
      </c>
      <c r="AP654" t="s">
        <v>599</v>
      </c>
      <c r="AQ654" t="s">
        <v>599</v>
      </c>
      <c r="AR654" t="s">
        <v>599</v>
      </c>
      <c r="AS654" t="s">
        <v>599</v>
      </c>
      <c r="AT654" t="s">
        <v>599</v>
      </c>
    </row>
    <row r="655" spans="1:46" ht="30" x14ac:dyDescent="0.25">
      <c r="A655" s="2">
        <v>11678</v>
      </c>
      <c r="B655" s="10">
        <v>784628</v>
      </c>
      <c r="C655" s="10">
        <v>1</v>
      </c>
      <c r="D655" s="9">
        <v>6</v>
      </c>
      <c r="E655" s="11" t="s">
        <v>490</v>
      </c>
      <c r="F655" s="12" t="s">
        <v>491</v>
      </c>
      <c r="G655" s="9">
        <v>6</v>
      </c>
      <c r="H655" s="34"/>
      <c r="I655" s="55" t="str">
        <f t="shared" si="21"/>
        <v>https://permalinkbnd.bnportugal.gov.pt/viewer/278782/?offset=#page=6&amp;viewer=picture&amp;o=info&amp;n=0&amp;q=</v>
      </c>
      <c r="J655" s="45"/>
      <c r="K655" s="45"/>
      <c r="L655" s="45"/>
      <c r="M655" t="s">
        <v>490</v>
      </c>
      <c r="N655">
        <v>278782</v>
      </c>
      <c r="O655" t="str">
        <f t="shared" si="20"/>
        <v>https://permalinkbnd.bnportugal.gov.pt/viewer/278782/?offset=#page=6&amp;viewer=picture&amp;o=info&amp;n=0&amp;q=</v>
      </c>
      <c r="P655">
        <v>784628</v>
      </c>
      <c r="Q655" t="s">
        <v>490</v>
      </c>
      <c r="R655" t="s">
        <v>3159</v>
      </c>
      <c r="S655" t="s">
        <v>1178</v>
      </c>
      <c r="T655" t="s">
        <v>1403</v>
      </c>
      <c r="U655" t="s">
        <v>1192</v>
      </c>
      <c r="V655" t="s">
        <v>2638</v>
      </c>
      <c r="W655" t="s">
        <v>599</v>
      </c>
      <c r="X655" t="s">
        <v>599</v>
      </c>
      <c r="Y655" t="s">
        <v>1182</v>
      </c>
      <c r="Z655" t="s">
        <v>3160</v>
      </c>
      <c r="AA655">
        <v>1800</v>
      </c>
      <c r="AB655">
        <v>1800</v>
      </c>
      <c r="AC655" t="s">
        <v>3161</v>
      </c>
      <c r="AD655" t="s">
        <v>1185</v>
      </c>
      <c r="AE655" t="s">
        <v>599</v>
      </c>
      <c r="AF655" t="s">
        <v>599</v>
      </c>
      <c r="AG655" t="s">
        <v>3162</v>
      </c>
      <c r="AH655" t="s">
        <v>599</v>
      </c>
      <c r="AI655" t="s">
        <v>599</v>
      </c>
      <c r="AJ655" t="s">
        <v>3163</v>
      </c>
      <c r="AK655" t="s">
        <v>1188</v>
      </c>
      <c r="AL655" t="s">
        <v>3164</v>
      </c>
      <c r="AM655" t="s">
        <v>1190</v>
      </c>
      <c r="AN655" t="s">
        <v>599</v>
      </c>
      <c r="AO655" t="s">
        <v>599</v>
      </c>
      <c r="AP655" t="s">
        <v>599</v>
      </c>
      <c r="AQ655" t="s">
        <v>599</v>
      </c>
      <c r="AR655" t="s">
        <v>599</v>
      </c>
      <c r="AS655" t="s">
        <v>599</v>
      </c>
      <c r="AT655" t="s">
        <v>599</v>
      </c>
    </row>
    <row r="656" spans="1:46" ht="150" x14ac:dyDescent="0.25">
      <c r="A656" s="2">
        <v>11704</v>
      </c>
      <c r="B656" s="10">
        <v>788999</v>
      </c>
      <c r="C656" s="10">
        <v>1</v>
      </c>
      <c r="D656" s="9">
        <v>1</v>
      </c>
      <c r="E656" s="11" t="s">
        <v>492</v>
      </c>
      <c r="F656" s="12" t="s">
        <v>493</v>
      </c>
      <c r="G656" s="9" t="s">
        <v>494</v>
      </c>
      <c r="H656" s="34"/>
      <c r="I656" s="55" t="str">
        <f t="shared" si="21"/>
        <v>https://permalinkbnd.bnportugal.gov.pt/viewer/272640/?offset=#page=1&amp;viewer=picture&amp;o=info&amp;n=0&amp;q=</v>
      </c>
      <c r="J656" s="45"/>
      <c r="K656" s="45"/>
      <c r="L656" s="45"/>
      <c r="M656" t="s">
        <v>492</v>
      </c>
      <c r="N656">
        <v>272640</v>
      </c>
      <c r="O656" t="str">
        <f t="shared" si="20"/>
        <v>https://permalinkbnd.bnportugal.gov.pt/viewer/272640/?offset=#page=1&amp;viewer=picture&amp;o=info&amp;n=0&amp;q=</v>
      </c>
      <c r="P656">
        <v>788999</v>
      </c>
      <c r="Q656" t="s">
        <v>492</v>
      </c>
      <c r="R656" t="s">
        <v>3165</v>
      </c>
      <c r="S656" t="s">
        <v>1178</v>
      </c>
      <c r="T656" t="s">
        <v>1192</v>
      </c>
      <c r="U656" t="s">
        <v>599</v>
      </c>
      <c r="V656" t="s">
        <v>3166</v>
      </c>
      <c r="W656" t="s">
        <v>3167</v>
      </c>
      <c r="X656" t="s">
        <v>599</v>
      </c>
      <c r="Y656" t="s">
        <v>1182</v>
      </c>
      <c r="Z656" t="s">
        <v>3168</v>
      </c>
      <c r="AA656">
        <v>1916</v>
      </c>
      <c r="AB656">
        <v>1916</v>
      </c>
      <c r="AC656" t="s">
        <v>3169</v>
      </c>
      <c r="AD656" t="s">
        <v>1185</v>
      </c>
      <c r="AE656" t="s">
        <v>599</v>
      </c>
      <c r="AF656" t="s">
        <v>599</v>
      </c>
      <c r="AG656" t="s">
        <v>3170</v>
      </c>
      <c r="AH656" t="s">
        <v>599</v>
      </c>
      <c r="AI656" t="s">
        <v>599</v>
      </c>
      <c r="AJ656" t="s">
        <v>3171</v>
      </c>
      <c r="AK656" t="s">
        <v>1188</v>
      </c>
      <c r="AL656" t="s">
        <v>3172</v>
      </c>
      <c r="AM656" t="s">
        <v>1190</v>
      </c>
      <c r="AN656" t="s">
        <v>599</v>
      </c>
      <c r="AO656" t="s">
        <v>599</v>
      </c>
      <c r="AP656" t="s">
        <v>599</v>
      </c>
      <c r="AQ656" t="s">
        <v>599</v>
      </c>
      <c r="AR656" t="s">
        <v>1193</v>
      </c>
      <c r="AS656" t="s">
        <v>599</v>
      </c>
      <c r="AT656" t="s">
        <v>599</v>
      </c>
    </row>
    <row r="657" spans="1:46" ht="150" x14ac:dyDescent="0.25">
      <c r="A657" s="2">
        <v>11705</v>
      </c>
      <c r="B657" s="10">
        <v>788999</v>
      </c>
      <c r="C657" s="10">
        <v>1</v>
      </c>
      <c r="D657" s="9">
        <v>8</v>
      </c>
      <c r="E657" s="11" t="s">
        <v>492</v>
      </c>
      <c r="F657" s="12" t="s">
        <v>493</v>
      </c>
      <c r="G657" s="9" t="s">
        <v>494</v>
      </c>
      <c r="H657" s="34"/>
      <c r="I657" s="55" t="str">
        <f t="shared" si="21"/>
        <v>https://permalinkbnd.bnportugal.gov.pt/viewer/272640/?offset=#page=8&amp;viewer=picture&amp;o=info&amp;n=0&amp;q=</v>
      </c>
      <c r="J657" s="45"/>
      <c r="K657" s="45"/>
      <c r="L657" s="45"/>
      <c r="M657" t="s">
        <v>492</v>
      </c>
      <c r="N657">
        <v>272640</v>
      </c>
      <c r="O657" t="str">
        <f t="shared" si="20"/>
        <v>https://permalinkbnd.bnportugal.gov.pt/viewer/272640/?offset=#page=8&amp;viewer=picture&amp;o=info&amp;n=0&amp;q=</v>
      </c>
      <c r="P657">
        <v>788999</v>
      </c>
      <c r="Q657" t="s">
        <v>492</v>
      </c>
      <c r="R657" t="s">
        <v>3165</v>
      </c>
      <c r="S657" t="s">
        <v>1178</v>
      </c>
      <c r="T657" t="s">
        <v>1192</v>
      </c>
      <c r="U657" t="s">
        <v>599</v>
      </c>
      <c r="V657" t="s">
        <v>3166</v>
      </c>
      <c r="W657" t="s">
        <v>3167</v>
      </c>
      <c r="X657" t="s">
        <v>599</v>
      </c>
      <c r="Y657" t="s">
        <v>1182</v>
      </c>
      <c r="Z657" t="s">
        <v>3168</v>
      </c>
      <c r="AA657">
        <v>1916</v>
      </c>
      <c r="AB657">
        <v>1916</v>
      </c>
      <c r="AC657" t="s">
        <v>3169</v>
      </c>
      <c r="AD657" t="s">
        <v>1185</v>
      </c>
      <c r="AE657" t="s">
        <v>599</v>
      </c>
      <c r="AF657" t="s">
        <v>599</v>
      </c>
      <c r="AG657" t="s">
        <v>3170</v>
      </c>
      <c r="AH657" t="s">
        <v>599</v>
      </c>
      <c r="AI657" t="s">
        <v>599</v>
      </c>
      <c r="AJ657" t="s">
        <v>3171</v>
      </c>
      <c r="AK657" t="s">
        <v>1188</v>
      </c>
      <c r="AL657" t="s">
        <v>3172</v>
      </c>
      <c r="AM657" t="s">
        <v>1190</v>
      </c>
      <c r="AN657" t="s">
        <v>599</v>
      </c>
      <c r="AO657" t="s">
        <v>599</v>
      </c>
      <c r="AP657" t="s">
        <v>599</v>
      </c>
      <c r="AQ657" t="s">
        <v>599</v>
      </c>
      <c r="AR657" t="s">
        <v>1193</v>
      </c>
      <c r="AS657" t="s">
        <v>599</v>
      </c>
      <c r="AT657" t="s">
        <v>599</v>
      </c>
    </row>
    <row r="658" spans="1:46" ht="150" x14ac:dyDescent="0.25">
      <c r="A658" s="2">
        <v>11706</v>
      </c>
      <c r="B658" s="10">
        <v>788999</v>
      </c>
      <c r="C658" s="10">
        <v>1</v>
      </c>
      <c r="D658" s="9">
        <v>9</v>
      </c>
      <c r="E658" s="11" t="s">
        <v>492</v>
      </c>
      <c r="F658" s="12" t="s">
        <v>493</v>
      </c>
      <c r="G658" s="9" t="s">
        <v>494</v>
      </c>
      <c r="H658" s="34"/>
      <c r="I658" s="55" t="str">
        <f t="shared" si="21"/>
        <v>https://permalinkbnd.bnportugal.gov.pt/viewer/272640/?offset=#page=9&amp;viewer=picture&amp;o=info&amp;n=0&amp;q=</v>
      </c>
      <c r="J658" s="45"/>
      <c r="K658" s="45"/>
      <c r="L658" s="45"/>
      <c r="M658" t="s">
        <v>492</v>
      </c>
      <c r="N658">
        <v>272640</v>
      </c>
      <c r="O658" t="str">
        <f t="shared" si="20"/>
        <v>https://permalinkbnd.bnportugal.gov.pt/viewer/272640/?offset=#page=9&amp;viewer=picture&amp;o=info&amp;n=0&amp;q=</v>
      </c>
      <c r="P658">
        <v>788999</v>
      </c>
      <c r="Q658" t="s">
        <v>492</v>
      </c>
      <c r="R658" t="s">
        <v>3165</v>
      </c>
      <c r="S658" t="s">
        <v>1178</v>
      </c>
      <c r="T658" t="s">
        <v>1192</v>
      </c>
      <c r="U658" t="s">
        <v>599</v>
      </c>
      <c r="V658" t="s">
        <v>3166</v>
      </c>
      <c r="W658" t="s">
        <v>3167</v>
      </c>
      <c r="X658" t="s">
        <v>599</v>
      </c>
      <c r="Y658" t="s">
        <v>1182</v>
      </c>
      <c r="Z658" t="s">
        <v>3168</v>
      </c>
      <c r="AA658">
        <v>1916</v>
      </c>
      <c r="AB658">
        <v>1916</v>
      </c>
      <c r="AC658" t="s">
        <v>3169</v>
      </c>
      <c r="AD658" t="s">
        <v>1185</v>
      </c>
      <c r="AE658" t="s">
        <v>599</v>
      </c>
      <c r="AF658" t="s">
        <v>599</v>
      </c>
      <c r="AG658" t="s">
        <v>3170</v>
      </c>
      <c r="AH658" t="s">
        <v>599</v>
      </c>
      <c r="AI658" t="s">
        <v>599</v>
      </c>
      <c r="AJ658" t="s">
        <v>3171</v>
      </c>
      <c r="AK658" t="s">
        <v>1188</v>
      </c>
      <c r="AL658" t="s">
        <v>3172</v>
      </c>
      <c r="AM658" t="s">
        <v>1190</v>
      </c>
      <c r="AN658" t="s">
        <v>599</v>
      </c>
      <c r="AO658" t="s">
        <v>599</v>
      </c>
      <c r="AP658" t="s">
        <v>599</v>
      </c>
      <c r="AQ658" t="s">
        <v>599</v>
      </c>
      <c r="AR658" t="s">
        <v>1193</v>
      </c>
      <c r="AS658" t="s">
        <v>599</v>
      </c>
      <c r="AT658" t="s">
        <v>599</v>
      </c>
    </row>
    <row r="659" spans="1:46" ht="150" x14ac:dyDescent="0.25">
      <c r="A659" s="2">
        <v>11707</v>
      </c>
      <c r="B659" s="10">
        <v>788999</v>
      </c>
      <c r="C659" s="10">
        <v>1</v>
      </c>
      <c r="D659" s="9">
        <v>25</v>
      </c>
      <c r="E659" s="11" t="s">
        <v>492</v>
      </c>
      <c r="F659" s="12" t="s">
        <v>493</v>
      </c>
      <c r="G659" s="9" t="s">
        <v>494</v>
      </c>
      <c r="H659" s="34"/>
      <c r="I659" s="55" t="str">
        <f t="shared" si="21"/>
        <v>https://permalinkbnd.bnportugal.gov.pt/viewer/272640/?offset=#page=25&amp;viewer=picture&amp;o=info&amp;n=0&amp;q=</v>
      </c>
      <c r="J659" s="45"/>
      <c r="K659" s="45"/>
      <c r="L659" s="45"/>
      <c r="M659" t="s">
        <v>492</v>
      </c>
      <c r="N659">
        <v>272640</v>
      </c>
      <c r="O659" t="str">
        <f t="shared" si="20"/>
        <v>https://permalinkbnd.bnportugal.gov.pt/viewer/272640/?offset=#page=25&amp;viewer=picture&amp;o=info&amp;n=0&amp;q=</v>
      </c>
      <c r="P659">
        <v>788999</v>
      </c>
      <c r="Q659" t="s">
        <v>492</v>
      </c>
      <c r="R659" t="s">
        <v>3165</v>
      </c>
      <c r="S659" t="s">
        <v>1178</v>
      </c>
      <c r="T659" t="s">
        <v>1192</v>
      </c>
      <c r="U659" t="s">
        <v>599</v>
      </c>
      <c r="V659" t="s">
        <v>3166</v>
      </c>
      <c r="W659" t="s">
        <v>3167</v>
      </c>
      <c r="X659" t="s">
        <v>599</v>
      </c>
      <c r="Y659" t="s">
        <v>1182</v>
      </c>
      <c r="Z659" t="s">
        <v>3168</v>
      </c>
      <c r="AA659">
        <v>1916</v>
      </c>
      <c r="AB659">
        <v>1916</v>
      </c>
      <c r="AC659" t="s">
        <v>3169</v>
      </c>
      <c r="AD659" t="s">
        <v>1185</v>
      </c>
      <c r="AE659" t="s">
        <v>599</v>
      </c>
      <c r="AF659" t="s">
        <v>599</v>
      </c>
      <c r="AG659" t="s">
        <v>3170</v>
      </c>
      <c r="AH659" t="s">
        <v>599</v>
      </c>
      <c r="AI659" t="s">
        <v>599</v>
      </c>
      <c r="AJ659" t="s">
        <v>3171</v>
      </c>
      <c r="AK659" t="s">
        <v>1188</v>
      </c>
      <c r="AL659" t="s">
        <v>3172</v>
      </c>
      <c r="AM659" t="s">
        <v>1190</v>
      </c>
      <c r="AN659" t="s">
        <v>599</v>
      </c>
      <c r="AO659" t="s">
        <v>599</v>
      </c>
      <c r="AP659" t="s">
        <v>599</v>
      </c>
      <c r="AQ659" t="s">
        <v>599</v>
      </c>
      <c r="AR659" t="s">
        <v>1193</v>
      </c>
      <c r="AS659" t="s">
        <v>599</v>
      </c>
      <c r="AT659" t="s">
        <v>599</v>
      </c>
    </row>
    <row r="660" spans="1:46" ht="150" x14ac:dyDescent="0.25">
      <c r="A660" s="2">
        <v>11708</v>
      </c>
      <c r="B660" s="10">
        <v>788999</v>
      </c>
      <c r="C660" s="10">
        <v>1</v>
      </c>
      <c r="D660" s="9">
        <v>27</v>
      </c>
      <c r="E660" s="11" t="s">
        <v>492</v>
      </c>
      <c r="F660" s="12" t="s">
        <v>493</v>
      </c>
      <c r="G660" s="9" t="s">
        <v>494</v>
      </c>
      <c r="H660" s="34"/>
      <c r="I660" s="55" t="str">
        <f t="shared" si="21"/>
        <v>https://permalinkbnd.bnportugal.gov.pt/viewer/272640/?offset=#page=27&amp;viewer=picture&amp;o=info&amp;n=0&amp;q=</v>
      </c>
      <c r="J660" s="45"/>
      <c r="K660" s="45"/>
      <c r="L660" s="45"/>
      <c r="M660" t="s">
        <v>492</v>
      </c>
      <c r="N660">
        <v>272640</v>
      </c>
      <c r="O660" t="str">
        <f t="shared" si="20"/>
        <v>https://permalinkbnd.bnportugal.gov.pt/viewer/272640/?offset=#page=27&amp;viewer=picture&amp;o=info&amp;n=0&amp;q=</v>
      </c>
      <c r="P660">
        <v>788999</v>
      </c>
      <c r="Q660" t="s">
        <v>492</v>
      </c>
      <c r="R660" t="s">
        <v>3165</v>
      </c>
      <c r="S660" t="s">
        <v>1178</v>
      </c>
      <c r="T660" t="s">
        <v>1192</v>
      </c>
      <c r="U660" t="s">
        <v>599</v>
      </c>
      <c r="V660" t="s">
        <v>3166</v>
      </c>
      <c r="W660" t="s">
        <v>3167</v>
      </c>
      <c r="X660" t="s">
        <v>599</v>
      </c>
      <c r="Y660" t="s">
        <v>1182</v>
      </c>
      <c r="Z660" t="s">
        <v>3168</v>
      </c>
      <c r="AA660">
        <v>1916</v>
      </c>
      <c r="AB660">
        <v>1916</v>
      </c>
      <c r="AC660" t="s">
        <v>3169</v>
      </c>
      <c r="AD660" t="s">
        <v>1185</v>
      </c>
      <c r="AE660" t="s">
        <v>599</v>
      </c>
      <c r="AF660" t="s">
        <v>599</v>
      </c>
      <c r="AG660" t="s">
        <v>3170</v>
      </c>
      <c r="AH660" t="s">
        <v>599</v>
      </c>
      <c r="AI660" t="s">
        <v>599</v>
      </c>
      <c r="AJ660" t="s">
        <v>3171</v>
      </c>
      <c r="AK660" t="s">
        <v>1188</v>
      </c>
      <c r="AL660" t="s">
        <v>3172</v>
      </c>
      <c r="AM660" t="s">
        <v>1190</v>
      </c>
      <c r="AN660" t="s">
        <v>599</v>
      </c>
      <c r="AO660" t="s">
        <v>599</v>
      </c>
      <c r="AP660" t="s">
        <v>599</v>
      </c>
      <c r="AQ660" t="s">
        <v>599</v>
      </c>
      <c r="AR660" t="s">
        <v>1193</v>
      </c>
      <c r="AS660" t="s">
        <v>599</v>
      </c>
      <c r="AT660" t="s">
        <v>599</v>
      </c>
    </row>
    <row r="661" spans="1:46" ht="150" x14ac:dyDescent="0.25">
      <c r="A661" s="2">
        <v>11709</v>
      </c>
      <c r="B661" s="10">
        <v>788999</v>
      </c>
      <c r="C661" s="10">
        <v>1</v>
      </c>
      <c r="D661" s="9">
        <v>29</v>
      </c>
      <c r="E661" s="11" t="s">
        <v>492</v>
      </c>
      <c r="F661" s="12" t="s">
        <v>493</v>
      </c>
      <c r="G661" s="9" t="s">
        <v>494</v>
      </c>
      <c r="H661" s="34"/>
      <c r="I661" s="55" t="str">
        <f t="shared" si="21"/>
        <v>https://permalinkbnd.bnportugal.gov.pt/viewer/272640/?offset=#page=29&amp;viewer=picture&amp;o=info&amp;n=0&amp;q=</v>
      </c>
      <c r="J661" s="45"/>
      <c r="K661" s="45"/>
      <c r="L661" s="45"/>
      <c r="M661" t="s">
        <v>492</v>
      </c>
      <c r="N661">
        <v>272640</v>
      </c>
      <c r="O661" t="str">
        <f t="shared" si="20"/>
        <v>https://permalinkbnd.bnportugal.gov.pt/viewer/272640/?offset=#page=29&amp;viewer=picture&amp;o=info&amp;n=0&amp;q=</v>
      </c>
      <c r="P661">
        <v>788999</v>
      </c>
      <c r="Q661" t="s">
        <v>492</v>
      </c>
      <c r="R661" t="s">
        <v>3165</v>
      </c>
      <c r="S661" t="s">
        <v>1178</v>
      </c>
      <c r="T661" t="s">
        <v>1192</v>
      </c>
      <c r="U661" t="s">
        <v>599</v>
      </c>
      <c r="V661" t="s">
        <v>3166</v>
      </c>
      <c r="W661" t="s">
        <v>3167</v>
      </c>
      <c r="X661" t="s">
        <v>599</v>
      </c>
      <c r="Y661" t="s">
        <v>1182</v>
      </c>
      <c r="Z661" t="s">
        <v>3168</v>
      </c>
      <c r="AA661">
        <v>1916</v>
      </c>
      <c r="AB661">
        <v>1916</v>
      </c>
      <c r="AC661" t="s">
        <v>3169</v>
      </c>
      <c r="AD661" t="s">
        <v>1185</v>
      </c>
      <c r="AE661" t="s">
        <v>599</v>
      </c>
      <c r="AF661" t="s">
        <v>599</v>
      </c>
      <c r="AG661" t="s">
        <v>3170</v>
      </c>
      <c r="AH661" t="s">
        <v>599</v>
      </c>
      <c r="AI661" t="s">
        <v>599</v>
      </c>
      <c r="AJ661" t="s">
        <v>3171</v>
      </c>
      <c r="AK661" t="s">
        <v>1188</v>
      </c>
      <c r="AL661" t="s">
        <v>3172</v>
      </c>
      <c r="AM661" t="s">
        <v>1190</v>
      </c>
      <c r="AN661" t="s">
        <v>599</v>
      </c>
      <c r="AO661" t="s">
        <v>599</v>
      </c>
      <c r="AP661" t="s">
        <v>599</v>
      </c>
      <c r="AQ661" t="s">
        <v>599</v>
      </c>
      <c r="AR661" t="s">
        <v>1193</v>
      </c>
      <c r="AS661" t="s">
        <v>599</v>
      </c>
      <c r="AT661" t="s">
        <v>599</v>
      </c>
    </row>
    <row r="662" spans="1:46" ht="150" x14ac:dyDescent="0.25">
      <c r="A662" s="2">
        <v>11710</v>
      </c>
      <c r="B662" s="10">
        <v>788999</v>
      </c>
      <c r="C662" s="10">
        <v>1</v>
      </c>
      <c r="D662" s="9">
        <v>31</v>
      </c>
      <c r="E662" s="11" t="s">
        <v>492</v>
      </c>
      <c r="F662" s="12" t="s">
        <v>493</v>
      </c>
      <c r="G662" s="9" t="s">
        <v>494</v>
      </c>
      <c r="H662" s="34"/>
      <c r="I662" s="55" t="str">
        <f t="shared" si="21"/>
        <v>https://permalinkbnd.bnportugal.gov.pt/viewer/272640/?offset=#page=31&amp;viewer=picture&amp;o=info&amp;n=0&amp;q=</v>
      </c>
      <c r="J662" s="45"/>
      <c r="K662" s="45"/>
      <c r="L662" s="45"/>
      <c r="M662" t="s">
        <v>492</v>
      </c>
      <c r="N662">
        <v>272640</v>
      </c>
      <c r="O662" t="str">
        <f t="shared" si="20"/>
        <v>https://permalinkbnd.bnportugal.gov.pt/viewer/272640/?offset=#page=31&amp;viewer=picture&amp;o=info&amp;n=0&amp;q=</v>
      </c>
      <c r="P662">
        <v>788999</v>
      </c>
      <c r="Q662" t="s">
        <v>492</v>
      </c>
      <c r="R662" t="s">
        <v>3165</v>
      </c>
      <c r="S662" t="s">
        <v>1178</v>
      </c>
      <c r="T662" t="s">
        <v>1192</v>
      </c>
      <c r="U662" t="s">
        <v>599</v>
      </c>
      <c r="V662" t="s">
        <v>3166</v>
      </c>
      <c r="W662" t="s">
        <v>3167</v>
      </c>
      <c r="X662" t="s">
        <v>599</v>
      </c>
      <c r="Y662" t="s">
        <v>1182</v>
      </c>
      <c r="Z662" t="s">
        <v>3168</v>
      </c>
      <c r="AA662">
        <v>1916</v>
      </c>
      <c r="AB662">
        <v>1916</v>
      </c>
      <c r="AC662" t="s">
        <v>3169</v>
      </c>
      <c r="AD662" t="s">
        <v>1185</v>
      </c>
      <c r="AE662" t="s">
        <v>599</v>
      </c>
      <c r="AF662" t="s">
        <v>599</v>
      </c>
      <c r="AG662" t="s">
        <v>3170</v>
      </c>
      <c r="AH662" t="s">
        <v>599</v>
      </c>
      <c r="AI662" t="s">
        <v>599</v>
      </c>
      <c r="AJ662" t="s">
        <v>3171</v>
      </c>
      <c r="AK662" t="s">
        <v>1188</v>
      </c>
      <c r="AL662" t="s">
        <v>3172</v>
      </c>
      <c r="AM662" t="s">
        <v>1190</v>
      </c>
      <c r="AN662" t="s">
        <v>599</v>
      </c>
      <c r="AO662" t="s">
        <v>599</v>
      </c>
      <c r="AP662" t="s">
        <v>599</v>
      </c>
      <c r="AQ662" t="s">
        <v>599</v>
      </c>
      <c r="AR662" t="s">
        <v>1193</v>
      </c>
      <c r="AS662" t="s">
        <v>599</v>
      </c>
      <c r="AT662" t="s">
        <v>599</v>
      </c>
    </row>
    <row r="663" spans="1:46" ht="150" x14ac:dyDescent="0.25">
      <c r="A663" s="2">
        <v>11711</v>
      </c>
      <c r="B663" s="10">
        <v>788999</v>
      </c>
      <c r="C663" s="10">
        <v>1</v>
      </c>
      <c r="D663" s="9">
        <v>59</v>
      </c>
      <c r="E663" s="11" t="s">
        <v>492</v>
      </c>
      <c r="F663" s="12" t="s">
        <v>493</v>
      </c>
      <c r="G663" s="9" t="s">
        <v>494</v>
      </c>
      <c r="H663" s="34"/>
      <c r="I663" s="55" t="str">
        <f t="shared" si="21"/>
        <v>https://permalinkbnd.bnportugal.gov.pt/viewer/272640/?offset=#page=59&amp;viewer=picture&amp;o=info&amp;n=0&amp;q=</v>
      </c>
      <c r="J663" s="45"/>
      <c r="K663" s="45"/>
      <c r="L663" s="45"/>
      <c r="M663" t="s">
        <v>492</v>
      </c>
      <c r="N663">
        <v>272640</v>
      </c>
      <c r="O663" t="str">
        <f t="shared" si="20"/>
        <v>https://permalinkbnd.bnportugal.gov.pt/viewer/272640/?offset=#page=59&amp;viewer=picture&amp;o=info&amp;n=0&amp;q=</v>
      </c>
      <c r="P663">
        <v>788999</v>
      </c>
      <c r="Q663" t="s">
        <v>492</v>
      </c>
      <c r="R663" t="s">
        <v>3165</v>
      </c>
      <c r="S663" t="s">
        <v>1178</v>
      </c>
      <c r="T663" t="s">
        <v>1192</v>
      </c>
      <c r="U663" t="s">
        <v>599</v>
      </c>
      <c r="V663" t="s">
        <v>3166</v>
      </c>
      <c r="W663" t="s">
        <v>3167</v>
      </c>
      <c r="X663" t="s">
        <v>599</v>
      </c>
      <c r="Y663" t="s">
        <v>1182</v>
      </c>
      <c r="Z663" t="s">
        <v>3168</v>
      </c>
      <c r="AA663">
        <v>1916</v>
      </c>
      <c r="AB663">
        <v>1916</v>
      </c>
      <c r="AC663" t="s">
        <v>3169</v>
      </c>
      <c r="AD663" t="s">
        <v>1185</v>
      </c>
      <c r="AE663" t="s">
        <v>599</v>
      </c>
      <c r="AF663" t="s">
        <v>599</v>
      </c>
      <c r="AG663" t="s">
        <v>3170</v>
      </c>
      <c r="AH663" t="s">
        <v>599</v>
      </c>
      <c r="AI663" t="s">
        <v>599</v>
      </c>
      <c r="AJ663" t="s">
        <v>3171</v>
      </c>
      <c r="AK663" t="s">
        <v>1188</v>
      </c>
      <c r="AL663" t="s">
        <v>3172</v>
      </c>
      <c r="AM663" t="s">
        <v>1190</v>
      </c>
      <c r="AN663" t="s">
        <v>599</v>
      </c>
      <c r="AO663" t="s">
        <v>599</v>
      </c>
      <c r="AP663" t="s">
        <v>599</v>
      </c>
      <c r="AQ663" t="s">
        <v>599</v>
      </c>
      <c r="AR663" t="s">
        <v>1193</v>
      </c>
      <c r="AS663" t="s">
        <v>599</v>
      </c>
      <c r="AT663" t="s">
        <v>599</v>
      </c>
    </row>
    <row r="664" spans="1:46" ht="150" x14ac:dyDescent="0.25">
      <c r="A664" s="2">
        <v>11712</v>
      </c>
      <c r="B664" s="10">
        <v>788999</v>
      </c>
      <c r="C664" s="10">
        <v>1</v>
      </c>
      <c r="D664" s="9">
        <v>71</v>
      </c>
      <c r="E664" s="11" t="s">
        <v>492</v>
      </c>
      <c r="F664" s="12" t="s">
        <v>493</v>
      </c>
      <c r="G664" s="9" t="s">
        <v>494</v>
      </c>
      <c r="H664" s="34"/>
      <c r="I664" s="55" t="str">
        <f t="shared" si="21"/>
        <v>https://permalinkbnd.bnportugal.gov.pt/viewer/272640/?offset=#page=71&amp;viewer=picture&amp;o=info&amp;n=0&amp;q=</v>
      </c>
      <c r="J664" s="45"/>
      <c r="K664" s="45"/>
      <c r="L664" s="45"/>
      <c r="M664" t="s">
        <v>492</v>
      </c>
      <c r="N664">
        <v>272640</v>
      </c>
      <c r="O664" t="str">
        <f t="shared" si="20"/>
        <v>https://permalinkbnd.bnportugal.gov.pt/viewer/272640/?offset=#page=71&amp;viewer=picture&amp;o=info&amp;n=0&amp;q=</v>
      </c>
      <c r="P664">
        <v>788999</v>
      </c>
      <c r="Q664" t="s">
        <v>492</v>
      </c>
      <c r="R664" t="s">
        <v>3165</v>
      </c>
      <c r="S664" t="s">
        <v>1178</v>
      </c>
      <c r="T664" t="s">
        <v>1192</v>
      </c>
      <c r="U664" t="s">
        <v>599</v>
      </c>
      <c r="V664" t="s">
        <v>3166</v>
      </c>
      <c r="W664" t="s">
        <v>3167</v>
      </c>
      <c r="X664" t="s">
        <v>599</v>
      </c>
      <c r="Y664" t="s">
        <v>1182</v>
      </c>
      <c r="Z664" t="s">
        <v>3168</v>
      </c>
      <c r="AA664">
        <v>1916</v>
      </c>
      <c r="AB664">
        <v>1916</v>
      </c>
      <c r="AC664" t="s">
        <v>3169</v>
      </c>
      <c r="AD664" t="s">
        <v>1185</v>
      </c>
      <c r="AE664" t="s">
        <v>599</v>
      </c>
      <c r="AF664" t="s">
        <v>599</v>
      </c>
      <c r="AG664" t="s">
        <v>3170</v>
      </c>
      <c r="AH664" t="s">
        <v>599</v>
      </c>
      <c r="AI664" t="s">
        <v>599</v>
      </c>
      <c r="AJ664" t="s">
        <v>3171</v>
      </c>
      <c r="AK664" t="s">
        <v>1188</v>
      </c>
      <c r="AL664" t="s">
        <v>3172</v>
      </c>
      <c r="AM664" t="s">
        <v>1190</v>
      </c>
      <c r="AN664" t="s">
        <v>599</v>
      </c>
      <c r="AO664" t="s">
        <v>599</v>
      </c>
      <c r="AP664" t="s">
        <v>599</v>
      </c>
      <c r="AQ664" t="s">
        <v>599</v>
      </c>
      <c r="AR664" t="s">
        <v>1193</v>
      </c>
      <c r="AS664" t="s">
        <v>599</v>
      </c>
      <c r="AT664" t="s">
        <v>599</v>
      </c>
    </row>
    <row r="665" spans="1:46" ht="150" x14ac:dyDescent="0.25">
      <c r="A665" s="2">
        <v>11713</v>
      </c>
      <c r="B665" s="10">
        <v>788999</v>
      </c>
      <c r="C665" s="10">
        <v>1</v>
      </c>
      <c r="D665" s="9">
        <v>89</v>
      </c>
      <c r="E665" s="11" t="s">
        <v>492</v>
      </c>
      <c r="F665" s="12" t="s">
        <v>493</v>
      </c>
      <c r="G665" s="9" t="s">
        <v>494</v>
      </c>
      <c r="H665" s="34"/>
      <c r="I665" s="55" t="str">
        <f t="shared" si="21"/>
        <v>https://permalinkbnd.bnportugal.gov.pt/viewer/272640/?offset=#page=89&amp;viewer=picture&amp;o=info&amp;n=0&amp;q=</v>
      </c>
      <c r="J665" s="45"/>
      <c r="K665" s="45"/>
      <c r="L665" s="45"/>
      <c r="M665" t="s">
        <v>492</v>
      </c>
      <c r="N665">
        <v>272640</v>
      </c>
      <c r="O665" t="str">
        <f t="shared" si="20"/>
        <v>https://permalinkbnd.bnportugal.gov.pt/viewer/272640/?offset=#page=89&amp;viewer=picture&amp;o=info&amp;n=0&amp;q=</v>
      </c>
      <c r="P665">
        <v>788999</v>
      </c>
      <c r="Q665" t="s">
        <v>492</v>
      </c>
      <c r="R665" t="s">
        <v>3165</v>
      </c>
      <c r="S665" t="s">
        <v>1178</v>
      </c>
      <c r="T665" t="s">
        <v>1192</v>
      </c>
      <c r="U665" t="s">
        <v>599</v>
      </c>
      <c r="V665" t="s">
        <v>3166</v>
      </c>
      <c r="W665" t="s">
        <v>3167</v>
      </c>
      <c r="X665" t="s">
        <v>599</v>
      </c>
      <c r="Y665" t="s">
        <v>1182</v>
      </c>
      <c r="Z665" t="s">
        <v>3168</v>
      </c>
      <c r="AA665">
        <v>1916</v>
      </c>
      <c r="AB665">
        <v>1916</v>
      </c>
      <c r="AC665" t="s">
        <v>3169</v>
      </c>
      <c r="AD665" t="s">
        <v>1185</v>
      </c>
      <c r="AE665" t="s">
        <v>599</v>
      </c>
      <c r="AF665" t="s">
        <v>599</v>
      </c>
      <c r="AG665" t="s">
        <v>3170</v>
      </c>
      <c r="AH665" t="s">
        <v>599</v>
      </c>
      <c r="AI665" t="s">
        <v>599</v>
      </c>
      <c r="AJ665" t="s">
        <v>3171</v>
      </c>
      <c r="AK665" t="s">
        <v>1188</v>
      </c>
      <c r="AL665" t="s">
        <v>3172</v>
      </c>
      <c r="AM665" t="s">
        <v>1190</v>
      </c>
      <c r="AN665" t="s">
        <v>599</v>
      </c>
      <c r="AO665" t="s">
        <v>599</v>
      </c>
      <c r="AP665" t="s">
        <v>599</v>
      </c>
      <c r="AQ665" t="s">
        <v>599</v>
      </c>
      <c r="AR665" t="s">
        <v>1193</v>
      </c>
      <c r="AS665" t="s">
        <v>599</v>
      </c>
      <c r="AT665" t="s">
        <v>599</v>
      </c>
    </row>
    <row r="666" spans="1:46" ht="150" x14ac:dyDescent="0.25">
      <c r="A666" s="2">
        <v>11714</v>
      </c>
      <c r="B666" s="10">
        <v>788999</v>
      </c>
      <c r="C666" s="10">
        <v>1</v>
      </c>
      <c r="D666" s="9">
        <v>95</v>
      </c>
      <c r="E666" s="11" t="s">
        <v>492</v>
      </c>
      <c r="F666" s="12" t="s">
        <v>493</v>
      </c>
      <c r="G666" s="9" t="s">
        <v>494</v>
      </c>
      <c r="H666" s="34"/>
      <c r="I666" s="55" t="str">
        <f t="shared" si="21"/>
        <v>https://permalinkbnd.bnportugal.gov.pt/viewer/272640/?offset=#page=95&amp;viewer=picture&amp;o=info&amp;n=0&amp;q=</v>
      </c>
      <c r="J666" s="45"/>
      <c r="K666" s="45"/>
      <c r="L666" s="45"/>
      <c r="M666" t="s">
        <v>492</v>
      </c>
      <c r="N666">
        <v>272640</v>
      </c>
      <c r="O666" t="str">
        <f t="shared" si="20"/>
        <v>https://permalinkbnd.bnportugal.gov.pt/viewer/272640/?offset=#page=95&amp;viewer=picture&amp;o=info&amp;n=0&amp;q=</v>
      </c>
      <c r="P666">
        <v>788999</v>
      </c>
      <c r="Q666" t="s">
        <v>492</v>
      </c>
      <c r="R666" t="s">
        <v>3165</v>
      </c>
      <c r="S666" t="s">
        <v>1178</v>
      </c>
      <c r="T666" t="s">
        <v>1192</v>
      </c>
      <c r="U666" t="s">
        <v>599</v>
      </c>
      <c r="V666" t="s">
        <v>3166</v>
      </c>
      <c r="W666" t="s">
        <v>3167</v>
      </c>
      <c r="X666" t="s">
        <v>599</v>
      </c>
      <c r="Y666" t="s">
        <v>1182</v>
      </c>
      <c r="Z666" t="s">
        <v>3168</v>
      </c>
      <c r="AA666">
        <v>1916</v>
      </c>
      <c r="AB666">
        <v>1916</v>
      </c>
      <c r="AC666" t="s">
        <v>3169</v>
      </c>
      <c r="AD666" t="s">
        <v>1185</v>
      </c>
      <c r="AE666" t="s">
        <v>599</v>
      </c>
      <c r="AF666" t="s">
        <v>599</v>
      </c>
      <c r="AG666" t="s">
        <v>3170</v>
      </c>
      <c r="AH666" t="s">
        <v>599</v>
      </c>
      <c r="AI666" t="s">
        <v>599</v>
      </c>
      <c r="AJ666" t="s">
        <v>3171</v>
      </c>
      <c r="AK666" t="s">
        <v>1188</v>
      </c>
      <c r="AL666" t="s">
        <v>3172</v>
      </c>
      <c r="AM666" t="s">
        <v>1190</v>
      </c>
      <c r="AN666" t="s">
        <v>599</v>
      </c>
      <c r="AO666" t="s">
        <v>599</v>
      </c>
      <c r="AP666" t="s">
        <v>599</v>
      </c>
      <c r="AQ666" t="s">
        <v>599</v>
      </c>
      <c r="AR666" t="s">
        <v>1193</v>
      </c>
      <c r="AS666" t="s">
        <v>599</v>
      </c>
      <c r="AT666" t="s">
        <v>599</v>
      </c>
    </row>
    <row r="667" spans="1:46" ht="150" x14ac:dyDescent="0.25">
      <c r="A667" s="2">
        <v>11715</v>
      </c>
      <c r="B667" s="10">
        <v>788999</v>
      </c>
      <c r="C667" s="10">
        <v>1</v>
      </c>
      <c r="D667" s="9">
        <v>127</v>
      </c>
      <c r="E667" s="11" t="s">
        <v>492</v>
      </c>
      <c r="F667" s="12" t="s">
        <v>493</v>
      </c>
      <c r="G667" s="9" t="s">
        <v>494</v>
      </c>
      <c r="H667" s="34"/>
      <c r="I667" s="55" t="str">
        <f t="shared" si="21"/>
        <v>https://permalinkbnd.bnportugal.gov.pt/viewer/272640/?offset=#page=127&amp;viewer=picture&amp;o=info&amp;n=0&amp;q=</v>
      </c>
      <c r="J667" s="45"/>
      <c r="K667" s="45"/>
      <c r="L667" s="45"/>
      <c r="M667" t="s">
        <v>492</v>
      </c>
      <c r="N667">
        <v>272640</v>
      </c>
      <c r="O667" t="str">
        <f t="shared" si="20"/>
        <v>https://permalinkbnd.bnportugal.gov.pt/viewer/272640/?offset=#page=127&amp;viewer=picture&amp;o=info&amp;n=0&amp;q=</v>
      </c>
      <c r="P667">
        <v>788999</v>
      </c>
      <c r="Q667" t="s">
        <v>492</v>
      </c>
      <c r="R667" t="s">
        <v>3165</v>
      </c>
      <c r="S667" t="s">
        <v>1178</v>
      </c>
      <c r="T667" t="s">
        <v>1192</v>
      </c>
      <c r="U667" t="s">
        <v>599</v>
      </c>
      <c r="V667" t="s">
        <v>3166</v>
      </c>
      <c r="W667" t="s">
        <v>3167</v>
      </c>
      <c r="X667" t="s">
        <v>599</v>
      </c>
      <c r="Y667" t="s">
        <v>1182</v>
      </c>
      <c r="Z667" t="s">
        <v>3168</v>
      </c>
      <c r="AA667">
        <v>1916</v>
      </c>
      <c r="AB667">
        <v>1916</v>
      </c>
      <c r="AC667" t="s">
        <v>3169</v>
      </c>
      <c r="AD667" t="s">
        <v>1185</v>
      </c>
      <c r="AE667" t="s">
        <v>599</v>
      </c>
      <c r="AF667" t="s">
        <v>599</v>
      </c>
      <c r="AG667" t="s">
        <v>3170</v>
      </c>
      <c r="AH667" t="s">
        <v>599</v>
      </c>
      <c r="AI667" t="s">
        <v>599</v>
      </c>
      <c r="AJ667" t="s">
        <v>3171</v>
      </c>
      <c r="AK667" t="s">
        <v>1188</v>
      </c>
      <c r="AL667" t="s">
        <v>3172</v>
      </c>
      <c r="AM667" t="s">
        <v>1190</v>
      </c>
      <c r="AN667" t="s">
        <v>599</v>
      </c>
      <c r="AO667" t="s">
        <v>599</v>
      </c>
      <c r="AP667" t="s">
        <v>599</v>
      </c>
      <c r="AQ667" t="s">
        <v>599</v>
      </c>
      <c r="AR667" t="s">
        <v>1193</v>
      </c>
      <c r="AS667" t="s">
        <v>599</v>
      </c>
      <c r="AT667" t="s">
        <v>599</v>
      </c>
    </row>
    <row r="668" spans="1:46" ht="150" x14ac:dyDescent="0.25">
      <c r="A668" s="2">
        <v>11716</v>
      </c>
      <c r="B668" s="10">
        <v>788999</v>
      </c>
      <c r="C668" s="10">
        <v>1</v>
      </c>
      <c r="D668" s="9">
        <v>135</v>
      </c>
      <c r="E668" s="11" t="s">
        <v>492</v>
      </c>
      <c r="F668" s="12" t="s">
        <v>493</v>
      </c>
      <c r="G668" s="9" t="s">
        <v>494</v>
      </c>
      <c r="H668" s="34"/>
      <c r="I668" s="55" t="str">
        <f t="shared" si="21"/>
        <v>https://permalinkbnd.bnportugal.gov.pt/viewer/272640/?offset=#page=135&amp;viewer=picture&amp;o=info&amp;n=0&amp;q=</v>
      </c>
      <c r="J668" s="45"/>
      <c r="K668" s="45"/>
      <c r="L668" s="45"/>
      <c r="M668" t="s">
        <v>492</v>
      </c>
      <c r="N668">
        <v>272640</v>
      </c>
      <c r="O668" t="str">
        <f t="shared" si="20"/>
        <v>https://permalinkbnd.bnportugal.gov.pt/viewer/272640/?offset=#page=135&amp;viewer=picture&amp;o=info&amp;n=0&amp;q=</v>
      </c>
      <c r="P668">
        <v>788999</v>
      </c>
      <c r="Q668" t="s">
        <v>492</v>
      </c>
      <c r="R668" t="s">
        <v>3165</v>
      </c>
      <c r="S668" t="s">
        <v>1178</v>
      </c>
      <c r="T668" t="s">
        <v>1192</v>
      </c>
      <c r="U668" t="s">
        <v>599</v>
      </c>
      <c r="V668" t="s">
        <v>3166</v>
      </c>
      <c r="W668" t="s">
        <v>3167</v>
      </c>
      <c r="X668" t="s">
        <v>599</v>
      </c>
      <c r="Y668" t="s">
        <v>1182</v>
      </c>
      <c r="Z668" t="s">
        <v>3168</v>
      </c>
      <c r="AA668">
        <v>1916</v>
      </c>
      <c r="AB668">
        <v>1916</v>
      </c>
      <c r="AC668" t="s">
        <v>3169</v>
      </c>
      <c r="AD668" t="s">
        <v>1185</v>
      </c>
      <c r="AE668" t="s">
        <v>599</v>
      </c>
      <c r="AF668" t="s">
        <v>599</v>
      </c>
      <c r="AG668" t="s">
        <v>3170</v>
      </c>
      <c r="AH668" t="s">
        <v>599</v>
      </c>
      <c r="AI668" t="s">
        <v>599</v>
      </c>
      <c r="AJ668" t="s">
        <v>3171</v>
      </c>
      <c r="AK668" t="s">
        <v>1188</v>
      </c>
      <c r="AL668" t="s">
        <v>3172</v>
      </c>
      <c r="AM668" t="s">
        <v>1190</v>
      </c>
      <c r="AN668" t="s">
        <v>599</v>
      </c>
      <c r="AO668" t="s">
        <v>599</v>
      </c>
      <c r="AP668" t="s">
        <v>599</v>
      </c>
      <c r="AQ668" t="s">
        <v>599</v>
      </c>
      <c r="AR668" t="s">
        <v>1193</v>
      </c>
      <c r="AS668" t="s">
        <v>599</v>
      </c>
      <c r="AT668" t="s">
        <v>599</v>
      </c>
    </row>
    <row r="669" spans="1:46" ht="150" x14ac:dyDescent="0.25">
      <c r="A669" s="2">
        <v>11717</v>
      </c>
      <c r="B669" s="10">
        <v>788999</v>
      </c>
      <c r="C669" s="10">
        <v>1</v>
      </c>
      <c r="D669" s="9">
        <v>161</v>
      </c>
      <c r="E669" s="11" t="s">
        <v>492</v>
      </c>
      <c r="F669" s="12" t="s">
        <v>493</v>
      </c>
      <c r="G669" s="9" t="s">
        <v>494</v>
      </c>
      <c r="H669" s="34"/>
      <c r="I669" s="55" t="str">
        <f t="shared" si="21"/>
        <v>https://permalinkbnd.bnportugal.gov.pt/viewer/272640/?offset=#page=161&amp;viewer=picture&amp;o=info&amp;n=0&amp;q=</v>
      </c>
      <c r="J669" s="45"/>
      <c r="K669" s="45"/>
      <c r="L669" s="45"/>
      <c r="M669" t="s">
        <v>492</v>
      </c>
      <c r="N669">
        <v>272640</v>
      </c>
      <c r="O669" t="str">
        <f t="shared" si="20"/>
        <v>https://permalinkbnd.bnportugal.gov.pt/viewer/272640/?offset=#page=161&amp;viewer=picture&amp;o=info&amp;n=0&amp;q=</v>
      </c>
      <c r="P669">
        <v>788999</v>
      </c>
      <c r="Q669" t="s">
        <v>492</v>
      </c>
      <c r="R669" t="s">
        <v>3165</v>
      </c>
      <c r="S669" t="s">
        <v>1178</v>
      </c>
      <c r="T669" t="s">
        <v>1192</v>
      </c>
      <c r="U669" t="s">
        <v>599</v>
      </c>
      <c r="V669" t="s">
        <v>3166</v>
      </c>
      <c r="W669" t="s">
        <v>3167</v>
      </c>
      <c r="X669" t="s">
        <v>599</v>
      </c>
      <c r="Y669" t="s">
        <v>1182</v>
      </c>
      <c r="Z669" t="s">
        <v>3168</v>
      </c>
      <c r="AA669">
        <v>1916</v>
      </c>
      <c r="AB669">
        <v>1916</v>
      </c>
      <c r="AC669" t="s">
        <v>3169</v>
      </c>
      <c r="AD669" t="s">
        <v>1185</v>
      </c>
      <c r="AE669" t="s">
        <v>599</v>
      </c>
      <c r="AF669" t="s">
        <v>599</v>
      </c>
      <c r="AG669" t="s">
        <v>3170</v>
      </c>
      <c r="AH669" t="s">
        <v>599</v>
      </c>
      <c r="AI669" t="s">
        <v>599</v>
      </c>
      <c r="AJ669" t="s">
        <v>3171</v>
      </c>
      <c r="AK669" t="s">
        <v>1188</v>
      </c>
      <c r="AL669" t="s">
        <v>3172</v>
      </c>
      <c r="AM669" t="s">
        <v>1190</v>
      </c>
      <c r="AN669" t="s">
        <v>599</v>
      </c>
      <c r="AO669" t="s">
        <v>599</v>
      </c>
      <c r="AP669" t="s">
        <v>599</v>
      </c>
      <c r="AQ669" t="s">
        <v>599</v>
      </c>
      <c r="AR669" t="s">
        <v>1193</v>
      </c>
      <c r="AS669" t="s">
        <v>599</v>
      </c>
      <c r="AT669" t="s">
        <v>599</v>
      </c>
    </row>
    <row r="670" spans="1:46" ht="150" x14ac:dyDescent="0.25">
      <c r="A670" s="2">
        <v>11718</v>
      </c>
      <c r="B670" s="10">
        <v>788999</v>
      </c>
      <c r="C670" s="10">
        <v>1</v>
      </c>
      <c r="D670" s="9">
        <v>167</v>
      </c>
      <c r="E670" s="11" t="s">
        <v>492</v>
      </c>
      <c r="F670" s="12" t="s">
        <v>493</v>
      </c>
      <c r="G670" s="9" t="s">
        <v>494</v>
      </c>
      <c r="H670" s="34"/>
      <c r="I670" s="55" t="str">
        <f t="shared" si="21"/>
        <v>https://permalinkbnd.bnportugal.gov.pt/viewer/272640/?offset=#page=167&amp;viewer=picture&amp;o=info&amp;n=0&amp;q=</v>
      </c>
      <c r="J670" s="45"/>
      <c r="K670" s="45"/>
      <c r="L670" s="45"/>
      <c r="M670" t="s">
        <v>492</v>
      </c>
      <c r="N670">
        <v>272640</v>
      </c>
      <c r="O670" t="str">
        <f t="shared" si="20"/>
        <v>https://permalinkbnd.bnportugal.gov.pt/viewer/272640/?offset=#page=167&amp;viewer=picture&amp;o=info&amp;n=0&amp;q=</v>
      </c>
      <c r="P670">
        <v>788999</v>
      </c>
      <c r="Q670" t="s">
        <v>492</v>
      </c>
      <c r="R670" t="s">
        <v>3165</v>
      </c>
      <c r="S670" t="s">
        <v>1178</v>
      </c>
      <c r="T670" t="s">
        <v>1192</v>
      </c>
      <c r="U670" t="s">
        <v>599</v>
      </c>
      <c r="V670" t="s">
        <v>3166</v>
      </c>
      <c r="W670" t="s">
        <v>3167</v>
      </c>
      <c r="X670" t="s">
        <v>599</v>
      </c>
      <c r="Y670" t="s">
        <v>1182</v>
      </c>
      <c r="Z670" t="s">
        <v>3168</v>
      </c>
      <c r="AA670">
        <v>1916</v>
      </c>
      <c r="AB670">
        <v>1916</v>
      </c>
      <c r="AC670" t="s">
        <v>3169</v>
      </c>
      <c r="AD670" t="s">
        <v>1185</v>
      </c>
      <c r="AE670" t="s">
        <v>599</v>
      </c>
      <c r="AF670" t="s">
        <v>599</v>
      </c>
      <c r="AG670" t="s">
        <v>3170</v>
      </c>
      <c r="AH670" t="s">
        <v>599</v>
      </c>
      <c r="AI670" t="s">
        <v>599</v>
      </c>
      <c r="AJ670" t="s">
        <v>3171</v>
      </c>
      <c r="AK670" t="s">
        <v>1188</v>
      </c>
      <c r="AL670" t="s">
        <v>3172</v>
      </c>
      <c r="AM670" t="s">
        <v>1190</v>
      </c>
      <c r="AN670" t="s">
        <v>599</v>
      </c>
      <c r="AO670" t="s">
        <v>599</v>
      </c>
      <c r="AP670" t="s">
        <v>599</v>
      </c>
      <c r="AQ670" t="s">
        <v>599</v>
      </c>
      <c r="AR670" t="s">
        <v>1193</v>
      </c>
      <c r="AS670" t="s">
        <v>599</v>
      </c>
      <c r="AT670" t="s">
        <v>599</v>
      </c>
    </row>
    <row r="671" spans="1:46" ht="150" x14ac:dyDescent="0.25">
      <c r="A671" s="2">
        <v>11719</v>
      </c>
      <c r="B671" s="10">
        <v>788999</v>
      </c>
      <c r="C671" s="10">
        <v>1</v>
      </c>
      <c r="D671" s="9">
        <v>181</v>
      </c>
      <c r="E671" s="11" t="s">
        <v>492</v>
      </c>
      <c r="F671" s="12" t="s">
        <v>493</v>
      </c>
      <c r="G671" s="9" t="s">
        <v>494</v>
      </c>
      <c r="H671" s="34"/>
      <c r="I671" s="55" t="str">
        <f t="shared" si="21"/>
        <v>https://permalinkbnd.bnportugal.gov.pt/viewer/272640/?offset=#page=181&amp;viewer=picture&amp;o=info&amp;n=0&amp;q=</v>
      </c>
      <c r="J671" s="45"/>
      <c r="K671" s="45"/>
      <c r="L671" s="45"/>
      <c r="M671" t="s">
        <v>492</v>
      </c>
      <c r="N671">
        <v>272640</v>
      </c>
      <c r="O671" t="str">
        <f t="shared" si="20"/>
        <v>https://permalinkbnd.bnportugal.gov.pt/viewer/272640/?offset=#page=181&amp;viewer=picture&amp;o=info&amp;n=0&amp;q=</v>
      </c>
      <c r="P671">
        <v>788999</v>
      </c>
      <c r="Q671" t="s">
        <v>492</v>
      </c>
      <c r="R671" t="s">
        <v>3165</v>
      </c>
      <c r="S671" t="s">
        <v>1178</v>
      </c>
      <c r="T671" t="s">
        <v>1192</v>
      </c>
      <c r="U671" t="s">
        <v>599</v>
      </c>
      <c r="V671" t="s">
        <v>3166</v>
      </c>
      <c r="W671" t="s">
        <v>3167</v>
      </c>
      <c r="X671" t="s">
        <v>599</v>
      </c>
      <c r="Y671" t="s">
        <v>1182</v>
      </c>
      <c r="Z671" t="s">
        <v>3168</v>
      </c>
      <c r="AA671">
        <v>1916</v>
      </c>
      <c r="AB671">
        <v>1916</v>
      </c>
      <c r="AC671" t="s">
        <v>3169</v>
      </c>
      <c r="AD671" t="s">
        <v>1185</v>
      </c>
      <c r="AE671" t="s">
        <v>599</v>
      </c>
      <c r="AF671" t="s">
        <v>599</v>
      </c>
      <c r="AG671" t="s">
        <v>3170</v>
      </c>
      <c r="AH671" t="s">
        <v>599</v>
      </c>
      <c r="AI671" t="s">
        <v>599</v>
      </c>
      <c r="AJ671" t="s">
        <v>3171</v>
      </c>
      <c r="AK671" t="s">
        <v>1188</v>
      </c>
      <c r="AL671" t="s">
        <v>3172</v>
      </c>
      <c r="AM671" t="s">
        <v>1190</v>
      </c>
      <c r="AN671" t="s">
        <v>599</v>
      </c>
      <c r="AO671" t="s">
        <v>599</v>
      </c>
      <c r="AP671" t="s">
        <v>599</v>
      </c>
      <c r="AQ671" t="s">
        <v>599</v>
      </c>
      <c r="AR671" t="s">
        <v>1193</v>
      </c>
      <c r="AS671" t="s">
        <v>599</v>
      </c>
      <c r="AT671" t="s">
        <v>599</v>
      </c>
    </row>
    <row r="672" spans="1:46" ht="150" x14ac:dyDescent="0.25">
      <c r="A672" s="2">
        <v>11720</v>
      </c>
      <c r="B672" s="10">
        <v>788999</v>
      </c>
      <c r="C672" s="10">
        <v>1</v>
      </c>
      <c r="D672" s="9">
        <v>197</v>
      </c>
      <c r="E672" s="11" t="s">
        <v>492</v>
      </c>
      <c r="F672" s="12" t="s">
        <v>493</v>
      </c>
      <c r="G672" s="9" t="s">
        <v>494</v>
      </c>
      <c r="H672" s="34"/>
      <c r="I672" s="55" t="str">
        <f t="shared" si="21"/>
        <v>https://permalinkbnd.bnportugal.gov.pt/viewer/272640/?offset=#page=197&amp;viewer=picture&amp;o=info&amp;n=0&amp;q=</v>
      </c>
      <c r="J672" s="45"/>
      <c r="K672" s="45"/>
      <c r="L672" s="45"/>
      <c r="M672" t="s">
        <v>492</v>
      </c>
      <c r="N672">
        <v>272640</v>
      </c>
      <c r="O672" t="str">
        <f t="shared" si="20"/>
        <v>https://permalinkbnd.bnportugal.gov.pt/viewer/272640/?offset=#page=197&amp;viewer=picture&amp;o=info&amp;n=0&amp;q=</v>
      </c>
      <c r="P672">
        <v>788999</v>
      </c>
      <c r="Q672" t="s">
        <v>492</v>
      </c>
      <c r="R672" t="s">
        <v>3165</v>
      </c>
      <c r="S672" t="s">
        <v>1178</v>
      </c>
      <c r="T672" t="s">
        <v>1192</v>
      </c>
      <c r="U672" t="s">
        <v>599</v>
      </c>
      <c r="V672" t="s">
        <v>3166</v>
      </c>
      <c r="W672" t="s">
        <v>3167</v>
      </c>
      <c r="X672" t="s">
        <v>599</v>
      </c>
      <c r="Y672" t="s">
        <v>1182</v>
      </c>
      <c r="Z672" t="s">
        <v>3168</v>
      </c>
      <c r="AA672">
        <v>1916</v>
      </c>
      <c r="AB672">
        <v>1916</v>
      </c>
      <c r="AC672" t="s">
        <v>3169</v>
      </c>
      <c r="AD672" t="s">
        <v>1185</v>
      </c>
      <c r="AE672" t="s">
        <v>599</v>
      </c>
      <c r="AF672" t="s">
        <v>599</v>
      </c>
      <c r="AG672" t="s">
        <v>3170</v>
      </c>
      <c r="AH672" t="s">
        <v>599</v>
      </c>
      <c r="AI672" t="s">
        <v>599</v>
      </c>
      <c r="AJ672" t="s">
        <v>3171</v>
      </c>
      <c r="AK672" t="s">
        <v>1188</v>
      </c>
      <c r="AL672" t="s">
        <v>3172</v>
      </c>
      <c r="AM672" t="s">
        <v>1190</v>
      </c>
      <c r="AN672" t="s">
        <v>599</v>
      </c>
      <c r="AO672" t="s">
        <v>599</v>
      </c>
      <c r="AP672" t="s">
        <v>599</v>
      </c>
      <c r="AQ672" t="s">
        <v>599</v>
      </c>
      <c r="AR672" t="s">
        <v>1193</v>
      </c>
      <c r="AS672" t="s">
        <v>599</v>
      </c>
      <c r="AT672" t="s">
        <v>599</v>
      </c>
    </row>
    <row r="673" spans="1:46" ht="150" x14ac:dyDescent="0.25">
      <c r="A673" s="2">
        <v>11721</v>
      </c>
      <c r="B673" s="10">
        <v>788999</v>
      </c>
      <c r="C673" s="10">
        <v>1</v>
      </c>
      <c r="D673" s="9">
        <v>207</v>
      </c>
      <c r="E673" s="11" t="s">
        <v>492</v>
      </c>
      <c r="F673" s="12" t="s">
        <v>493</v>
      </c>
      <c r="G673" s="9" t="s">
        <v>494</v>
      </c>
      <c r="H673" s="34"/>
      <c r="I673" s="55" t="str">
        <f t="shared" si="21"/>
        <v>https://permalinkbnd.bnportugal.gov.pt/viewer/272640/?offset=#page=207&amp;viewer=picture&amp;o=info&amp;n=0&amp;q=</v>
      </c>
      <c r="J673" s="45"/>
      <c r="K673" s="45"/>
      <c r="L673" s="45"/>
      <c r="M673" t="s">
        <v>492</v>
      </c>
      <c r="N673">
        <v>272640</v>
      </c>
      <c r="O673" t="str">
        <f t="shared" si="20"/>
        <v>https://permalinkbnd.bnportugal.gov.pt/viewer/272640/?offset=#page=207&amp;viewer=picture&amp;o=info&amp;n=0&amp;q=</v>
      </c>
      <c r="P673">
        <v>788999</v>
      </c>
      <c r="Q673" t="s">
        <v>492</v>
      </c>
      <c r="R673" t="s">
        <v>3165</v>
      </c>
      <c r="S673" t="s">
        <v>1178</v>
      </c>
      <c r="T673" t="s">
        <v>1192</v>
      </c>
      <c r="U673" t="s">
        <v>599</v>
      </c>
      <c r="V673" t="s">
        <v>3166</v>
      </c>
      <c r="W673" t="s">
        <v>3167</v>
      </c>
      <c r="X673" t="s">
        <v>599</v>
      </c>
      <c r="Y673" t="s">
        <v>1182</v>
      </c>
      <c r="Z673" t="s">
        <v>3168</v>
      </c>
      <c r="AA673">
        <v>1916</v>
      </c>
      <c r="AB673">
        <v>1916</v>
      </c>
      <c r="AC673" t="s">
        <v>3169</v>
      </c>
      <c r="AD673" t="s">
        <v>1185</v>
      </c>
      <c r="AE673" t="s">
        <v>599</v>
      </c>
      <c r="AF673" t="s">
        <v>599</v>
      </c>
      <c r="AG673" t="s">
        <v>3170</v>
      </c>
      <c r="AH673" t="s">
        <v>599</v>
      </c>
      <c r="AI673" t="s">
        <v>599</v>
      </c>
      <c r="AJ673" t="s">
        <v>3171</v>
      </c>
      <c r="AK673" t="s">
        <v>1188</v>
      </c>
      <c r="AL673" t="s">
        <v>3172</v>
      </c>
      <c r="AM673" t="s">
        <v>1190</v>
      </c>
      <c r="AN673" t="s">
        <v>599</v>
      </c>
      <c r="AO673" t="s">
        <v>599</v>
      </c>
      <c r="AP673" t="s">
        <v>599</v>
      </c>
      <c r="AQ673" t="s">
        <v>599</v>
      </c>
      <c r="AR673" t="s">
        <v>1193</v>
      </c>
      <c r="AS673" t="s">
        <v>599</v>
      </c>
      <c r="AT673" t="s">
        <v>599</v>
      </c>
    </row>
    <row r="674" spans="1:46" ht="150" x14ac:dyDescent="0.25">
      <c r="A674" s="2">
        <v>11722</v>
      </c>
      <c r="B674" s="10">
        <v>788999</v>
      </c>
      <c r="C674" s="10">
        <v>1</v>
      </c>
      <c r="D674" s="9">
        <v>227</v>
      </c>
      <c r="E674" s="11" t="s">
        <v>492</v>
      </c>
      <c r="F674" s="12" t="s">
        <v>493</v>
      </c>
      <c r="G674" s="9" t="s">
        <v>494</v>
      </c>
      <c r="H674" s="34"/>
      <c r="I674" s="55" t="str">
        <f t="shared" si="21"/>
        <v>https://permalinkbnd.bnportugal.gov.pt/viewer/272640/?offset=#page=227&amp;viewer=picture&amp;o=info&amp;n=0&amp;q=</v>
      </c>
      <c r="J674" s="45"/>
      <c r="K674" s="45"/>
      <c r="L674" s="45"/>
      <c r="M674" t="s">
        <v>492</v>
      </c>
      <c r="N674">
        <v>272640</v>
      </c>
      <c r="O674" t="str">
        <f t="shared" si="20"/>
        <v>https://permalinkbnd.bnportugal.gov.pt/viewer/272640/?offset=#page=227&amp;viewer=picture&amp;o=info&amp;n=0&amp;q=</v>
      </c>
      <c r="P674">
        <v>788999</v>
      </c>
      <c r="Q674" t="s">
        <v>492</v>
      </c>
      <c r="R674" t="s">
        <v>3165</v>
      </c>
      <c r="S674" t="s">
        <v>1178</v>
      </c>
      <c r="T674" t="s">
        <v>1192</v>
      </c>
      <c r="U674" t="s">
        <v>599</v>
      </c>
      <c r="V674" t="s">
        <v>3166</v>
      </c>
      <c r="W674" t="s">
        <v>3167</v>
      </c>
      <c r="X674" t="s">
        <v>599</v>
      </c>
      <c r="Y674" t="s">
        <v>1182</v>
      </c>
      <c r="Z674" t="s">
        <v>3168</v>
      </c>
      <c r="AA674">
        <v>1916</v>
      </c>
      <c r="AB674">
        <v>1916</v>
      </c>
      <c r="AC674" t="s">
        <v>3169</v>
      </c>
      <c r="AD674" t="s">
        <v>1185</v>
      </c>
      <c r="AE674" t="s">
        <v>599</v>
      </c>
      <c r="AF674" t="s">
        <v>599</v>
      </c>
      <c r="AG674" t="s">
        <v>3170</v>
      </c>
      <c r="AH674" t="s">
        <v>599</v>
      </c>
      <c r="AI674" t="s">
        <v>599</v>
      </c>
      <c r="AJ674" t="s">
        <v>3171</v>
      </c>
      <c r="AK674" t="s">
        <v>1188</v>
      </c>
      <c r="AL674" t="s">
        <v>3172</v>
      </c>
      <c r="AM674" t="s">
        <v>1190</v>
      </c>
      <c r="AN674" t="s">
        <v>599</v>
      </c>
      <c r="AO674" t="s">
        <v>599</v>
      </c>
      <c r="AP674" t="s">
        <v>599</v>
      </c>
      <c r="AQ674" t="s">
        <v>599</v>
      </c>
      <c r="AR674" t="s">
        <v>1193</v>
      </c>
      <c r="AS674" t="s">
        <v>599</v>
      </c>
      <c r="AT674" t="s">
        <v>599</v>
      </c>
    </row>
    <row r="675" spans="1:46" ht="150" x14ac:dyDescent="0.25">
      <c r="A675" s="2">
        <v>11723</v>
      </c>
      <c r="B675" s="10">
        <v>788999</v>
      </c>
      <c r="C675" s="10">
        <v>1</v>
      </c>
      <c r="D675" s="9">
        <v>241</v>
      </c>
      <c r="E675" s="11" t="s">
        <v>492</v>
      </c>
      <c r="F675" s="12" t="s">
        <v>493</v>
      </c>
      <c r="G675" s="9" t="s">
        <v>494</v>
      </c>
      <c r="H675" s="34"/>
      <c r="I675" s="55" t="str">
        <f t="shared" si="21"/>
        <v>https://permalinkbnd.bnportugal.gov.pt/viewer/272640/?offset=#page=241&amp;viewer=picture&amp;o=info&amp;n=0&amp;q=</v>
      </c>
      <c r="J675" s="45"/>
      <c r="K675" s="45"/>
      <c r="L675" s="45"/>
      <c r="M675" t="s">
        <v>492</v>
      </c>
      <c r="N675">
        <v>272640</v>
      </c>
      <c r="O675" t="str">
        <f t="shared" si="20"/>
        <v>https://permalinkbnd.bnportugal.gov.pt/viewer/272640/?offset=#page=241&amp;viewer=picture&amp;o=info&amp;n=0&amp;q=</v>
      </c>
      <c r="P675">
        <v>788999</v>
      </c>
      <c r="Q675" t="s">
        <v>492</v>
      </c>
      <c r="R675" t="s">
        <v>3165</v>
      </c>
      <c r="S675" t="s">
        <v>1178</v>
      </c>
      <c r="T675" t="s">
        <v>1192</v>
      </c>
      <c r="U675" t="s">
        <v>599</v>
      </c>
      <c r="V675" t="s">
        <v>3166</v>
      </c>
      <c r="W675" t="s">
        <v>3167</v>
      </c>
      <c r="X675" t="s">
        <v>599</v>
      </c>
      <c r="Y675" t="s">
        <v>1182</v>
      </c>
      <c r="Z675" t="s">
        <v>3168</v>
      </c>
      <c r="AA675">
        <v>1916</v>
      </c>
      <c r="AB675">
        <v>1916</v>
      </c>
      <c r="AC675" t="s">
        <v>3169</v>
      </c>
      <c r="AD675" t="s">
        <v>1185</v>
      </c>
      <c r="AE675" t="s">
        <v>599</v>
      </c>
      <c r="AF675" t="s">
        <v>599</v>
      </c>
      <c r="AG675" t="s">
        <v>3170</v>
      </c>
      <c r="AH675" t="s">
        <v>599</v>
      </c>
      <c r="AI675" t="s">
        <v>599</v>
      </c>
      <c r="AJ675" t="s">
        <v>3171</v>
      </c>
      <c r="AK675" t="s">
        <v>1188</v>
      </c>
      <c r="AL675" t="s">
        <v>3172</v>
      </c>
      <c r="AM675" t="s">
        <v>1190</v>
      </c>
      <c r="AN675" t="s">
        <v>599</v>
      </c>
      <c r="AO675" t="s">
        <v>599</v>
      </c>
      <c r="AP675" t="s">
        <v>599</v>
      </c>
      <c r="AQ675" t="s">
        <v>599</v>
      </c>
      <c r="AR675" t="s">
        <v>1193</v>
      </c>
      <c r="AS675" t="s">
        <v>599</v>
      </c>
      <c r="AT675" t="s">
        <v>599</v>
      </c>
    </row>
    <row r="676" spans="1:46" ht="150" x14ac:dyDescent="0.25">
      <c r="A676" s="2">
        <v>11724</v>
      </c>
      <c r="B676" s="10">
        <v>788999</v>
      </c>
      <c r="C676" s="10">
        <v>1</v>
      </c>
      <c r="D676" s="9">
        <v>253</v>
      </c>
      <c r="E676" s="11" t="s">
        <v>492</v>
      </c>
      <c r="F676" s="12" t="s">
        <v>493</v>
      </c>
      <c r="G676" s="9" t="s">
        <v>494</v>
      </c>
      <c r="H676" s="34"/>
      <c r="I676" s="55" t="str">
        <f t="shared" si="21"/>
        <v>https://permalinkbnd.bnportugal.gov.pt/viewer/272640/?offset=#page=253&amp;viewer=picture&amp;o=info&amp;n=0&amp;q=</v>
      </c>
      <c r="J676" s="45"/>
      <c r="K676" s="45"/>
      <c r="L676" s="45"/>
      <c r="M676" t="s">
        <v>492</v>
      </c>
      <c r="N676">
        <v>272640</v>
      </c>
      <c r="O676" t="str">
        <f t="shared" si="20"/>
        <v>https://permalinkbnd.bnportugal.gov.pt/viewer/272640/?offset=#page=253&amp;viewer=picture&amp;o=info&amp;n=0&amp;q=</v>
      </c>
      <c r="P676">
        <v>788999</v>
      </c>
      <c r="Q676" t="s">
        <v>492</v>
      </c>
      <c r="R676" t="s">
        <v>3165</v>
      </c>
      <c r="S676" t="s">
        <v>1178</v>
      </c>
      <c r="T676" t="s">
        <v>1192</v>
      </c>
      <c r="U676" t="s">
        <v>599</v>
      </c>
      <c r="V676" t="s">
        <v>3166</v>
      </c>
      <c r="W676" t="s">
        <v>3167</v>
      </c>
      <c r="X676" t="s">
        <v>599</v>
      </c>
      <c r="Y676" t="s">
        <v>1182</v>
      </c>
      <c r="Z676" t="s">
        <v>3168</v>
      </c>
      <c r="AA676">
        <v>1916</v>
      </c>
      <c r="AB676">
        <v>1916</v>
      </c>
      <c r="AC676" t="s">
        <v>3169</v>
      </c>
      <c r="AD676" t="s">
        <v>1185</v>
      </c>
      <c r="AE676" t="s">
        <v>599</v>
      </c>
      <c r="AF676" t="s">
        <v>599</v>
      </c>
      <c r="AG676" t="s">
        <v>3170</v>
      </c>
      <c r="AH676" t="s">
        <v>599</v>
      </c>
      <c r="AI676" t="s">
        <v>599</v>
      </c>
      <c r="AJ676" t="s">
        <v>3171</v>
      </c>
      <c r="AK676" t="s">
        <v>1188</v>
      </c>
      <c r="AL676" t="s">
        <v>3172</v>
      </c>
      <c r="AM676" t="s">
        <v>1190</v>
      </c>
      <c r="AN676" t="s">
        <v>599</v>
      </c>
      <c r="AO676" t="s">
        <v>599</v>
      </c>
      <c r="AP676" t="s">
        <v>599</v>
      </c>
      <c r="AQ676" t="s">
        <v>599</v>
      </c>
      <c r="AR676" t="s">
        <v>1193</v>
      </c>
      <c r="AS676" t="s">
        <v>599</v>
      </c>
      <c r="AT676" t="s">
        <v>599</v>
      </c>
    </row>
    <row r="677" spans="1:46" ht="150" x14ac:dyDescent="0.25">
      <c r="A677" s="2">
        <v>11725</v>
      </c>
      <c r="B677" s="10">
        <v>788999</v>
      </c>
      <c r="C677" s="10">
        <v>1</v>
      </c>
      <c r="D677" s="9">
        <v>271</v>
      </c>
      <c r="E677" s="11" t="s">
        <v>492</v>
      </c>
      <c r="F677" s="12" t="s">
        <v>493</v>
      </c>
      <c r="G677" s="9" t="s">
        <v>494</v>
      </c>
      <c r="H677" s="34"/>
      <c r="I677" s="55" t="str">
        <f t="shared" si="21"/>
        <v>https://permalinkbnd.bnportugal.gov.pt/viewer/272640/?offset=#page=271&amp;viewer=picture&amp;o=info&amp;n=0&amp;q=</v>
      </c>
      <c r="J677" s="45"/>
      <c r="K677" s="45"/>
      <c r="L677" s="45"/>
      <c r="M677" t="s">
        <v>492</v>
      </c>
      <c r="N677">
        <v>272640</v>
      </c>
      <c r="O677" t="str">
        <f t="shared" si="20"/>
        <v>https://permalinkbnd.bnportugal.gov.pt/viewer/272640/?offset=#page=271&amp;viewer=picture&amp;o=info&amp;n=0&amp;q=</v>
      </c>
      <c r="P677">
        <v>788999</v>
      </c>
      <c r="Q677" t="s">
        <v>492</v>
      </c>
      <c r="R677" t="s">
        <v>3165</v>
      </c>
      <c r="S677" t="s">
        <v>1178</v>
      </c>
      <c r="T677" t="s">
        <v>1192</v>
      </c>
      <c r="U677" t="s">
        <v>599</v>
      </c>
      <c r="V677" t="s">
        <v>3166</v>
      </c>
      <c r="W677" t="s">
        <v>3167</v>
      </c>
      <c r="X677" t="s">
        <v>599</v>
      </c>
      <c r="Y677" t="s">
        <v>1182</v>
      </c>
      <c r="Z677" t="s">
        <v>3168</v>
      </c>
      <c r="AA677">
        <v>1916</v>
      </c>
      <c r="AB677">
        <v>1916</v>
      </c>
      <c r="AC677" t="s">
        <v>3169</v>
      </c>
      <c r="AD677" t="s">
        <v>1185</v>
      </c>
      <c r="AE677" t="s">
        <v>599</v>
      </c>
      <c r="AF677" t="s">
        <v>599</v>
      </c>
      <c r="AG677" t="s">
        <v>3170</v>
      </c>
      <c r="AH677" t="s">
        <v>599</v>
      </c>
      <c r="AI677" t="s">
        <v>599</v>
      </c>
      <c r="AJ677" t="s">
        <v>3171</v>
      </c>
      <c r="AK677" t="s">
        <v>1188</v>
      </c>
      <c r="AL677" t="s">
        <v>3172</v>
      </c>
      <c r="AM677" t="s">
        <v>1190</v>
      </c>
      <c r="AN677" t="s">
        <v>599</v>
      </c>
      <c r="AO677" t="s">
        <v>599</v>
      </c>
      <c r="AP677" t="s">
        <v>599</v>
      </c>
      <c r="AQ677" t="s">
        <v>599</v>
      </c>
      <c r="AR677" t="s">
        <v>1193</v>
      </c>
      <c r="AS677" t="s">
        <v>599</v>
      </c>
      <c r="AT677" t="s">
        <v>599</v>
      </c>
    </row>
    <row r="678" spans="1:46" ht="150" x14ac:dyDescent="0.25">
      <c r="A678" s="2">
        <v>11726</v>
      </c>
      <c r="B678" s="10">
        <v>788999</v>
      </c>
      <c r="C678" s="10">
        <v>1</v>
      </c>
      <c r="D678" s="9">
        <v>283</v>
      </c>
      <c r="E678" s="11" t="s">
        <v>492</v>
      </c>
      <c r="F678" s="12" t="s">
        <v>493</v>
      </c>
      <c r="G678" s="9" t="s">
        <v>494</v>
      </c>
      <c r="H678" s="34"/>
      <c r="I678" s="55" t="str">
        <f t="shared" si="21"/>
        <v>https://permalinkbnd.bnportugal.gov.pt/viewer/272640/?offset=#page=283&amp;viewer=picture&amp;o=info&amp;n=0&amp;q=</v>
      </c>
      <c r="J678" s="45"/>
      <c r="K678" s="45"/>
      <c r="L678" s="45"/>
      <c r="M678" t="s">
        <v>492</v>
      </c>
      <c r="N678">
        <v>272640</v>
      </c>
      <c r="O678" t="str">
        <f t="shared" si="20"/>
        <v>https://permalinkbnd.bnportugal.gov.pt/viewer/272640/?offset=#page=283&amp;viewer=picture&amp;o=info&amp;n=0&amp;q=</v>
      </c>
      <c r="P678">
        <v>788999</v>
      </c>
      <c r="Q678" t="s">
        <v>492</v>
      </c>
      <c r="R678" t="s">
        <v>3165</v>
      </c>
      <c r="S678" t="s">
        <v>1178</v>
      </c>
      <c r="T678" t="s">
        <v>1192</v>
      </c>
      <c r="U678" t="s">
        <v>599</v>
      </c>
      <c r="V678" t="s">
        <v>3166</v>
      </c>
      <c r="W678" t="s">
        <v>3167</v>
      </c>
      <c r="X678" t="s">
        <v>599</v>
      </c>
      <c r="Y678" t="s">
        <v>1182</v>
      </c>
      <c r="Z678" t="s">
        <v>3168</v>
      </c>
      <c r="AA678">
        <v>1916</v>
      </c>
      <c r="AB678">
        <v>1916</v>
      </c>
      <c r="AC678" t="s">
        <v>3169</v>
      </c>
      <c r="AD678" t="s">
        <v>1185</v>
      </c>
      <c r="AE678" t="s">
        <v>599</v>
      </c>
      <c r="AF678" t="s">
        <v>599</v>
      </c>
      <c r="AG678" t="s">
        <v>3170</v>
      </c>
      <c r="AH678" t="s">
        <v>599</v>
      </c>
      <c r="AI678" t="s">
        <v>599</v>
      </c>
      <c r="AJ678" t="s">
        <v>3171</v>
      </c>
      <c r="AK678" t="s">
        <v>1188</v>
      </c>
      <c r="AL678" t="s">
        <v>3172</v>
      </c>
      <c r="AM678" t="s">
        <v>1190</v>
      </c>
      <c r="AN678" t="s">
        <v>599</v>
      </c>
      <c r="AO678" t="s">
        <v>599</v>
      </c>
      <c r="AP678" t="s">
        <v>599</v>
      </c>
      <c r="AQ678" t="s">
        <v>599</v>
      </c>
      <c r="AR678" t="s">
        <v>1193</v>
      </c>
      <c r="AS678" t="s">
        <v>599</v>
      </c>
      <c r="AT678" t="s">
        <v>599</v>
      </c>
    </row>
    <row r="679" spans="1:46" ht="150" x14ac:dyDescent="0.25">
      <c r="A679" s="2">
        <v>11727</v>
      </c>
      <c r="B679" s="10">
        <v>788999</v>
      </c>
      <c r="C679" s="10">
        <v>1</v>
      </c>
      <c r="D679" s="9">
        <v>307</v>
      </c>
      <c r="E679" s="11" t="s">
        <v>492</v>
      </c>
      <c r="F679" s="12" t="s">
        <v>493</v>
      </c>
      <c r="G679" s="9" t="s">
        <v>494</v>
      </c>
      <c r="H679" s="34"/>
      <c r="I679" s="55" t="str">
        <f t="shared" si="21"/>
        <v>https://permalinkbnd.bnportugal.gov.pt/viewer/272640/?offset=#page=307&amp;viewer=picture&amp;o=info&amp;n=0&amp;q=</v>
      </c>
      <c r="J679" s="45"/>
      <c r="K679" s="45"/>
      <c r="L679" s="45"/>
      <c r="M679" t="s">
        <v>492</v>
      </c>
      <c r="N679">
        <v>272640</v>
      </c>
      <c r="O679" t="str">
        <f t="shared" si="20"/>
        <v>https://permalinkbnd.bnportugal.gov.pt/viewer/272640/?offset=#page=307&amp;viewer=picture&amp;o=info&amp;n=0&amp;q=</v>
      </c>
      <c r="P679">
        <v>788999</v>
      </c>
      <c r="Q679" t="s">
        <v>492</v>
      </c>
      <c r="R679" t="s">
        <v>3165</v>
      </c>
      <c r="S679" t="s">
        <v>1178</v>
      </c>
      <c r="T679" t="s">
        <v>1192</v>
      </c>
      <c r="U679" t="s">
        <v>599</v>
      </c>
      <c r="V679" t="s">
        <v>3166</v>
      </c>
      <c r="W679" t="s">
        <v>3167</v>
      </c>
      <c r="X679" t="s">
        <v>599</v>
      </c>
      <c r="Y679" t="s">
        <v>1182</v>
      </c>
      <c r="Z679" t="s">
        <v>3168</v>
      </c>
      <c r="AA679">
        <v>1916</v>
      </c>
      <c r="AB679">
        <v>1916</v>
      </c>
      <c r="AC679" t="s">
        <v>3169</v>
      </c>
      <c r="AD679" t="s">
        <v>1185</v>
      </c>
      <c r="AE679" t="s">
        <v>599</v>
      </c>
      <c r="AF679" t="s">
        <v>599</v>
      </c>
      <c r="AG679" t="s">
        <v>3170</v>
      </c>
      <c r="AH679" t="s">
        <v>599</v>
      </c>
      <c r="AI679" t="s">
        <v>599</v>
      </c>
      <c r="AJ679" t="s">
        <v>3171</v>
      </c>
      <c r="AK679" t="s">
        <v>1188</v>
      </c>
      <c r="AL679" t="s">
        <v>3172</v>
      </c>
      <c r="AM679" t="s">
        <v>1190</v>
      </c>
      <c r="AN679" t="s">
        <v>599</v>
      </c>
      <c r="AO679" t="s">
        <v>599</v>
      </c>
      <c r="AP679" t="s">
        <v>599</v>
      </c>
      <c r="AQ679" t="s">
        <v>599</v>
      </c>
      <c r="AR679" t="s">
        <v>1193</v>
      </c>
      <c r="AS679" t="s">
        <v>599</v>
      </c>
      <c r="AT679" t="s">
        <v>599</v>
      </c>
    </row>
    <row r="680" spans="1:46" ht="150" x14ac:dyDescent="0.25">
      <c r="A680" s="2">
        <v>11728</v>
      </c>
      <c r="B680" s="10">
        <v>788999</v>
      </c>
      <c r="C680" s="10">
        <v>1</v>
      </c>
      <c r="D680" s="9">
        <v>311</v>
      </c>
      <c r="E680" s="11" t="s">
        <v>492</v>
      </c>
      <c r="F680" s="12" t="s">
        <v>493</v>
      </c>
      <c r="G680" s="9" t="s">
        <v>494</v>
      </c>
      <c r="H680" s="34"/>
      <c r="I680" s="55" t="str">
        <f t="shared" si="21"/>
        <v>https://permalinkbnd.bnportugal.gov.pt/viewer/272640/?offset=#page=311&amp;viewer=picture&amp;o=info&amp;n=0&amp;q=</v>
      </c>
      <c r="J680" s="45"/>
      <c r="K680" s="45"/>
      <c r="L680" s="45"/>
      <c r="M680" t="s">
        <v>492</v>
      </c>
      <c r="N680">
        <v>272640</v>
      </c>
      <c r="O680" t="str">
        <f t="shared" si="20"/>
        <v>https://permalinkbnd.bnportugal.gov.pt/viewer/272640/?offset=#page=311&amp;viewer=picture&amp;o=info&amp;n=0&amp;q=</v>
      </c>
      <c r="P680">
        <v>788999</v>
      </c>
      <c r="Q680" t="s">
        <v>492</v>
      </c>
      <c r="R680" t="s">
        <v>3165</v>
      </c>
      <c r="S680" t="s">
        <v>1178</v>
      </c>
      <c r="T680" t="s">
        <v>1192</v>
      </c>
      <c r="U680" t="s">
        <v>599</v>
      </c>
      <c r="V680" t="s">
        <v>3166</v>
      </c>
      <c r="W680" t="s">
        <v>3167</v>
      </c>
      <c r="X680" t="s">
        <v>599</v>
      </c>
      <c r="Y680" t="s">
        <v>1182</v>
      </c>
      <c r="Z680" t="s">
        <v>3168</v>
      </c>
      <c r="AA680">
        <v>1916</v>
      </c>
      <c r="AB680">
        <v>1916</v>
      </c>
      <c r="AC680" t="s">
        <v>3169</v>
      </c>
      <c r="AD680" t="s">
        <v>1185</v>
      </c>
      <c r="AE680" t="s">
        <v>599</v>
      </c>
      <c r="AF680" t="s">
        <v>599</v>
      </c>
      <c r="AG680" t="s">
        <v>3170</v>
      </c>
      <c r="AH680" t="s">
        <v>599</v>
      </c>
      <c r="AI680" t="s">
        <v>599</v>
      </c>
      <c r="AJ680" t="s">
        <v>3171</v>
      </c>
      <c r="AK680" t="s">
        <v>1188</v>
      </c>
      <c r="AL680" t="s">
        <v>3172</v>
      </c>
      <c r="AM680" t="s">
        <v>1190</v>
      </c>
      <c r="AN680" t="s">
        <v>599</v>
      </c>
      <c r="AO680" t="s">
        <v>599</v>
      </c>
      <c r="AP680" t="s">
        <v>599</v>
      </c>
      <c r="AQ680" t="s">
        <v>599</v>
      </c>
      <c r="AR680" t="s">
        <v>1193</v>
      </c>
      <c r="AS680" t="s">
        <v>599</v>
      </c>
      <c r="AT680" t="s">
        <v>599</v>
      </c>
    </row>
    <row r="681" spans="1:46" ht="150" x14ac:dyDescent="0.25">
      <c r="A681" s="2">
        <v>11729</v>
      </c>
      <c r="B681" s="10">
        <v>788999</v>
      </c>
      <c r="C681" s="10">
        <v>1</v>
      </c>
      <c r="D681" s="9">
        <v>349</v>
      </c>
      <c r="E681" s="11" t="s">
        <v>492</v>
      </c>
      <c r="F681" s="12" t="s">
        <v>493</v>
      </c>
      <c r="G681" s="9" t="s">
        <v>494</v>
      </c>
      <c r="H681" s="34"/>
      <c r="I681" s="55" t="str">
        <f t="shared" si="21"/>
        <v>https://permalinkbnd.bnportugal.gov.pt/viewer/272640/?offset=#page=349&amp;viewer=picture&amp;o=info&amp;n=0&amp;q=</v>
      </c>
      <c r="J681" s="45"/>
      <c r="K681" s="45"/>
      <c r="L681" s="45"/>
      <c r="M681" t="s">
        <v>492</v>
      </c>
      <c r="N681">
        <v>272640</v>
      </c>
      <c r="O681" t="str">
        <f t="shared" si="20"/>
        <v>https://permalinkbnd.bnportugal.gov.pt/viewer/272640/?offset=#page=349&amp;viewer=picture&amp;o=info&amp;n=0&amp;q=</v>
      </c>
      <c r="P681">
        <v>788999</v>
      </c>
      <c r="Q681" t="s">
        <v>492</v>
      </c>
      <c r="R681" t="s">
        <v>3165</v>
      </c>
      <c r="S681" t="s">
        <v>1178</v>
      </c>
      <c r="T681" t="s">
        <v>1192</v>
      </c>
      <c r="U681" t="s">
        <v>599</v>
      </c>
      <c r="V681" t="s">
        <v>3166</v>
      </c>
      <c r="W681" t="s">
        <v>3167</v>
      </c>
      <c r="X681" t="s">
        <v>599</v>
      </c>
      <c r="Y681" t="s">
        <v>1182</v>
      </c>
      <c r="Z681" t="s">
        <v>3168</v>
      </c>
      <c r="AA681">
        <v>1916</v>
      </c>
      <c r="AB681">
        <v>1916</v>
      </c>
      <c r="AC681" t="s">
        <v>3169</v>
      </c>
      <c r="AD681" t="s">
        <v>1185</v>
      </c>
      <c r="AE681" t="s">
        <v>599</v>
      </c>
      <c r="AF681" t="s">
        <v>599</v>
      </c>
      <c r="AG681" t="s">
        <v>3170</v>
      </c>
      <c r="AH681" t="s">
        <v>599</v>
      </c>
      <c r="AI681" t="s">
        <v>599</v>
      </c>
      <c r="AJ681" t="s">
        <v>3171</v>
      </c>
      <c r="AK681" t="s">
        <v>1188</v>
      </c>
      <c r="AL681" t="s">
        <v>3172</v>
      </c>
      <c r="AM681" t="s">
        <v>1190</v>
      </c>
      <c r="AN681" t="s">
        <v>599</v>
      </c>
      <c r="AO681" t="s">
        <v>599</v>
      </c>
      <c r="AP681" t="s">
        <v>599</v>
      </c>
      <c r="AQ681" t="s">
        <v>599</v>
      </c>
      <c r="AR681" t="s">
        <v>1193</v>
      </c>
      <c r="AS681" t="s">
        <v>599</v>
      </c>
      <c r="AT681" t="s">
        <v>599</v>
      </c>
    </row>
    <row r="682" spans="1:46" ht="30" x14ac:dyDescent="0.25">
      <c r="A682" s="2">
        <v>11739</v>
      </c>
      <c r="B682" s="10">
        <v>796045</v>
      </c>
      <c r="C682" s="10">
        <v>1</v>
      </c>
      <c r="D682" s="9">
        <v>5</v>
      </c>
      <c r="E682" s="11" t="s">
        <v>495</v>
      </c>
      <c r="F682" s="12" t="s">
        <v>496</v>
      </c>
      <c r="G682" s="9" t="s">
        <v>497</v>
      </c>
      <c r="H682" s="34"/>
      <c r="I682" s="55" t="str">
        <f t="shared" si="21"/>
        <v>https://permalinkbnd.bnportugal.gov.pt/viewer/279630/?offset=#page=5&amp;viewer=picture&amp;o=info&amp;n=0&amp;q=</v>
      </c>
      <c r="J682" s="45"/>
      <c r="K682" s="45"/>
      <c r="L682" s="45"/>
      <c r="M682" t="s">
        <v>495</v>
      </c>
      <c r="N682">
        <v>279630</v>
      </c>
      <c r="O682" t="str">
        <f t="shared" si="20"/>
        <v>https://permalinkbnd.bnportugal.gov.pt/viewer/279630/?offset=#page=5&amp;viewer=picture&amp;o=info&amp;n=0&amp;q=</v>
      </c>
      <c r="P682">
        <v>796045</v>
      </c>
      <c r="Q682" t="s">
        <v>495</v>
      </c>
      <c r="R682" t="s">
        <v>3173</v>
      </c>
      <c r="S682" t="s">
        <v>1178</v>
      </c>
      <c r="T682" t="s">
        <v>1192</v>
      </c>
      <c r="U682" t="s">
        <v>599</v>
      </c>
      <c r="V682" t="s">
        <v>1551</v>
      </c>
      <c r="W682" t="s">
        <v>599</v>
      </c>
      <c r="X682" t="s">
        <v>599</v>
      </c>
      <c r="Y682" t="s">
        <v>1182</v>
      </c>
      <c r="Z682" t="s">
        <v>3174</v>
      </c>
      <c r="AA682">
        <v>1800</v>
      </c>
      <c r="AB682">
        <v>1800</v>
      </c>
      <c r="AC682" t="s">
        <v>3175</v>
      </c>
      <c r="AD682" t="s">
        <v>1185</v>
      </c>
      <c r="AE682" t="s">
        <v>599</v>
      </c>
      <c r="AF682" t="s">
        <v>599</v>
      </c>
      <c r="AG682" t="s">
        <v>599</v>
      </c>
      <c r="AH682" t="s">
        <v>599</v>
      </c>
      <c r="AI682" t="s">
        <v>599</v>
      </c>
      <c r="AJ682" t="s">
        <v>3176</v>
      </c>
      <c r="AK682" t="s">
        <v>1188</v>
      </c>
      <c r="AL682" t="s">
        <v>3177</v>
      </c>
      <c r="AM682" t="s">
        <v>1190</v>
      </c>
      <c r="AN682" t="s">
        <v>599</v>
      </c>
      <c r="AO682" t="s">
        <v>599</v>
      </c>
      <c r="AP682" t="s">
        <v>599</v>
      </c>
      <c r="AQ682" t="s">
        <v>599</v>
      </c>
      <c r="AR682" t="s">
        <v>599</v>
      </c>
      <c r="AS682" t="s">
        <v>599</v>
      </c>
      <c r="AT682" t="s">
        <v>599</v>
      </c>
    </row>
    <row r="683" spans="1:46" ht="30" x14ac:dyDescent="0.25">
      <c r="A683" s="2">
        <v>11740</v>
      </c>
      <c r="B683" s="10">
        <v>796045</v>
      </c>
      <c r="C683" s="10">
        <v>1</v>
      </c>
      <c r="D683" s="9">
        <v>7</v>
      </c>
      <c r="E683" s="11" t="s">
        <v>495</v>
      </c>
      <c r="F683" s="12" t="s">
        <v>496</v>
      </c>
      <c r="G683" s="9" t="s">
        <v>497</v>
      </c>
      <c r="H683" s="34"/>
      <c r="I683" s="55" t="str">
        <f t="shared" si="21"/>
        <v>https://permalinkbnd.bnportugal.gov.pt/viewer/279630/?offset=#page=7&amp;viewer=picture&amp;o=info&amp;n=0&amp;q=</v>
      </c>
      <c r="J683" s="45"/>
      <c r="K683" s="45"/>
      <c r="L683" s="45"/>
      <c r="M683" t="s">
        <v>495</v>
      </c>
      <c r="N683">
        <v>279630</v>
      </c>
      <c r="O683" t="str">
        <f t="shared" si="20"/>
        <v>https://permalinkbnd.bnportugal.gov.pt/viewer/279630/?offset=#page=7&amp;viewer=picture&amp;o=info&amp;n=0&amp;q=</v>
      </c>
      <c r="P683">
        <v>796045</v>
      </c>
      <c r="Q683" t="s">
        <v>495</v>
      </c>
      <c r="R683" t="s">
        <v>3173</v>
      </c>
      <c r="S683" t="s">
        <v>1178</v>
      </c>
      <c r="T683" t="s">
        <v>1192</v>
      </c>
      <c r="U683" t="s">
        <v>599</v>
      </c>
      <c r="V683" t="s">
        <v>1551</v>
      </c>
      <c r="W683" t="s">
        <v>599</v>
      </c>
      <c r="X683" t="s">
        <v>599</v>
      </c>
      <c r="Y683" t="s">
        <v>1182</v>
      </c>
      <c r="Z683" t="s">
        <v>3174</v>
      </c>
      <c r="AA683">
        <v>1800</v>
      </c>
      <c r="AB683">
        <v>1800</v>
      </c>
      <c r="AC683" t="s">
        <v>3175</v>
      </c>
      <c r="AD683" t="s">
        <v>1185</v>
      </c>
      <c r="AE683" t="s">
        <v>599</v>
      </c>
      <c r="AF683" t="s">
        <v>599</v>
      </c>
      <c r="AG683" t="s">
        <v>599</v>
      </c>
      <c r="AH683" t="s">
        <v>599</v>
      </c>
      <c r="AI683" t="s">
        <v>599</v>
      </c>
      <c r="AJ683" t="s">
        <v>3176</v>
      </c>
      <c r="AK683" t="s">
        <v>1188</v>
      </c>
      <c r="AL683" t="s">
        <v>3177</v>
      </c>
      <c r="AM683" t="s">
        <v>1190</v>
      </c>
      <c r="AN683" t="s">
        <v>599</v>
      </c>
      <c r="AO683" t="s">
        <v>599</v>
      </c>
      <c r="AP683" t="s">
        <v>599</v>
      </c>
      <c r="AQ683" t="s">
        <v>599</v>
      </c>
      <c r="AR683" t="s">
        <v>599</v>
      </c>
      <c r="AS683" t="s">
        <v>599</v>
      </c>
      <c r="AT683" t="s">
        <v>599</v>
      </c>
    </row>
    <row r="684" spans="1:46" ht="30" x14ac:dyDescent="0.25">
      <c r="A684" s="2">
        <v>11743</v>
      </c>
      <c r="B684" s="10">
        <v>798858</v>
      </c>
      <c r="C684" s="10">
        <v>1</v>
      </c>
      <c r="D684" s="9">
        <v>4</v>
      </c>
      <c r="E684" s="11" t="s">
        <v>498</v>
      </c>
      <c r="F684" s="12" t="s">
        <v>499</v>
      </c>
      <c r="G684" s="9">
        <v>4</v>
      </c>
      <c r="H684" s="34"/>
      <c r="I684" s="55" t="str">
        <f t="shared" si="21"/>
        <v>https://permalinkbnd.bnportugal.gov.pt/viewer/279634/?offset=#page=4&amp;viewer=picture&amp;o=info&amp;n=0&amp;q=</v>
      </c>
      <c r="J684" s="45"/>
      <c r="K684" s="45"/>
      <c r="L684" s="45"/>
      <c r="M684" t="s">
        <v>498</v>
      </c>
      <c r="N684">
        <v>279634</v>
      </c>
      <c r="O684" t="str">
        <f t="shared" si="20"/>
        <v>https://permalinkbnd.bnportugal.gov.pt/viewer/279634/?offset=#page=4&amp;viewer=picture&amp;o=info&amp;n=0&amp;q=</v>
      </c>
      <c r="P684">
        <v>798858</v>
      </c>
      <c r="Q684" t="s">
        <v>498</v>
      </c>
      <c r="R684" t="s">
        <v>3178</v>
      </c>
      <c r="S684" t="s">
        <v>1178</v>
      </c>
      <c r="T684" t="s">
        <v>1192</v>
      </c>
      <c r="U684" t="s">
        <v>599</v>
      </c>
      <c r="V684" t="s">
        <v>1551</v>
      </c>
      <c r="W684" t="s">
        <v>1778</v>
      </c>
      <c r="X684" t="s">
        <v>599</v>
      </c>
      <c r="Y684" t="s">
        <v>3179</v>
      </c>
      <c r="Z684" t="s">
        <v>3180</v>
      </c>
      <c r="AA684">
        <v>1898</v>
      </c>
      <c r="AB684">
        <v>1898</v>
      </c>
      <c r="AC684" t="s">
        <v>3135</v>
      </c>
      <c r="AD684" t="s">
        <v>1185</v>
      </c>
      <c r="AE684" t="s">
        <v>599</v>
      </c>
      <c r="AF684" t="s">
        <v>599</v>
      </c>
      <c r="AG684" t="s">
        <v>1334</v>
      </c>
      <c r="AH684" t="s">
        <v>599</v>
      </c>
      <c r="AI684" t="s">
        <v>599</v>
      </c>
      <c r="AJ684" t="s">
        <v>3181</v>
      </c>
      <c r="AK684" t="s">
        <v>1188</v>
      </c>
      <c r="AL684" t="s">
        <v>3182</v>
      </c>
      <c r="AM684" t="s">
        <v>1190</v>
      </c>
      <c r="AN684" t="s">
        <v>599</v>
      </c>
      <c r="AO684" t="s">
        <v>599</v>
      </c>
      <c r="AP684" t="s">
        <v>599</v>
      </c>
      <c r="AQ684" t="s">
        <v>599</v>
      </c>
      <c r="AR684" t="s">
        <v>599</v>
      </c>
      <c r="AS684" t="s">
        <v>599</v>
      </c>
      <c r="AT684" t="s">
        <v>599</v>
      </c>
    </row>
    <row r="685" spans="1:46" ht="30" x14ac:dyDescent="0.25">
      <c r="A685" s="2">
        <v>11745</v>
      </c>
      <c r="B685" s="10">
        <v>798866</v>
      </c>
      <c r="C685" s="10">
        <v>1</v>
      </c>
      <c r="D685" s="9">
        <v>1</v>
      </c>
      <c r="E685" s="11" t="s">
        <v>500</v>
      </c>
      <c r="F685" s="12" t="s">
        <v>501</v>
      </c>
      <c r="G685" s="9">
        <v>1</v>
      </c>
      <c r="H685" s="34"/>
      <c r="I685" s="55" t="str">
        <f t="shared" si="21"/>
        <v>https://permalinkbnd.bnportugal.gov.pt/viewer/279104/?offset=#page=1&amp;viewer=picture&amp;o=info&amp;n=0&amp;q=</v>
      </c>
      <c r="J685" s="45"/>
      <c r="K685" s="45"/>
      <c r="L685" s="45"/>
      <c r="M685" t="s">
        <v>500</v>
      </c>
      <c r="N685">
        <v>279104</v>
      </c>
      <c r="O685" t="str">
        <f t="shared" si="20"/>
        <v>https://permalinkbnd.bnportugal.gov.pt/viewer/279104/?offset=#page=1&amp;viewer=picture&amp;o=info&amp;n=0&amp;q=</v>
      </c>
      <c r="P685">
        <v>798866</v>
      </c>
      <c r="Q685" t="s">
        <v>500</v>
      </c>
      <c r="R685" t="s">
        <v>3183</v>
      </c>
      <c r="S685" t="s">
        <v>1178</v>
      </c>
      <c r="T685" t="s">
        <v>1502</v>
      </c>
      <c r="U685" t="s">
        <v>1192</v>
      </c>
      <c r="V685" t="s">
        <v>3184</v>
      </c>
      <c r="W685" t="s">
        <v>599</v>
      </c>
      <c r="X685" t="s">
        <v>599</v>
      </c>
      <c r="Y685" t="s">
        <v>1182</v>
      </c>
      <c r="Z685" t="s">
        <v>3185</v>
      </c>
      <c r="AA685">
        <v>1883</v>
      </c>
      <c r="AB685">
        <v>1883</v>
      </c>
      <c r="AC685" t="s">
        <v>3186</v>
      </c>
      <c r="AD685" t="s">
        <v>1185</v>
      </c>
      <c r="AE685" t="s">
        <v>599</v>
      </c>
      <c r="AF685" t="s">
        <v>3187</v>
      </c>
      <c r="AG685" t="s">
        <v>3024</v>
      </c>
      <c r="AH685" t="s">
        <v>599</v>
      </c>
      <c r="AI685" t="s">
        <v>599</v>
      </c>
      <c r="AJ685" t="s">
        <v>3188</v>
      </c>
      <c r="AK685" t="s">
        <v>1188</v>
      </c>
      <c r="AL685" t="s">
        <v>3189</v>
      </c>
      <c r="AM685" t="s">
        <v>1190</v>
      </c>
      <c r="AN685" t="s">
        <v>599</v>
      </c>
      <c r="AO685" t="s">
        <v>599</v>
      </c>
      <c r="AP685" t="s">
        <v>599</v>
      </c>
      <c r="AQ685" t="s">
        <v>599</v>
      </c>
      <c r="AR685" t="s">
        <v>599</v>
      </c>
      <c r="AS685" t="s">
        <v>599</v>
      </c>
      <c r="AT685" t="s">
        <v>599</v>
      </c>
    </row>
    <row r="686" spans="1:46" ht="30" x14ac:dyDescent="0.25">
      <c r="A686" s="2">
        <v>11802</v>
      </c>
      <c r="B686" s="10">
        <v>993818</v>
      </c>
      <c r="C686" s="10">
        <v>1</v>
      </c>
      <c r="D686" s="9">
        <v>1</v>
      </c>
      <c r="E686" s="11" t="s">
        <v>502</v>
      </c>
      <c r="F686" s="12" t="s">
        <v>503</v>
      </c>
      <c r="G686" s="9">
        <v>1</v>
      </c>
      <c r="H686" s="34"/>
      <c r="I686" s="55" t="str">
        <f t="shared" si="21"/>
        <v>https://permalinkbnd.bnportugal.gov.pt/viewer/20471/?offset=#page=1&amp;viewer=picture&amp;o=info&amp;n=0&amp;q=</v>
      </c>
      <c r="J686" s="45"/>
      <c r="K686" s="45"/>
      <c r="L686" s="45"/>
      <c r="M686" t="s">
        <v>502</v>
      </c>
      <c r="N686">
        <v>20471</v>
      </c>
      <c r="O686" t="str">
        <f t="shared" si="20"/>
        <v>https://permalinkbnd.bnportugal.gov.pt/viewer/20471/?offset=#page=1&amp;viewer=picture&amp;o=info&amp;n=0&amp;q=</v>
      </c>
      <c r="P686">
        <v>993818</v>
      </c>
      <c r="Q686" t="s">
        <v>502</v>
      </c>
      <c r="R686" t="s">
        <v>3190</v>
      </c>
      <c r="S686" t="s">
        <v>1312</v>
      </c>
      <c r="T686" t="s">
        <v>1362</v>
      </c>
      <c r="U686" t="s">
        <v>599</v>
      </c>
      <c r="V686" t="s">
        <v>3191</v>
      </c>
      <c r="W686" t="s">
        <v>3192</v>
      </c>
      <c r="X686" t="s">
        <v>599</v>
      </c>
      <c r="Y686" t="s">
        <v>1182</v>
      </c>
      <c r="Z686" t="s">
        <v>3193</v>
      </c>
      <c r="AA686">
        <v>1972</v>
      </c>
      <c r="AB686">
        <v>1972</v>
      </c>
      <c r="AC686" t="s">
        <v>2007</v>
      </c>
      <c r="AD686" t="s">
        <v>599</v>
      </c>
      <c r="AE686" t="s">
        <v>3194</v>
      </c>
      <c r="AF686" t="s">
        <v>599</v>
      </c>
      <c r="AG686" t="s">
        <v>3195</v>
      </c>
      <c r="AH686" t="s">
        <v>599</v>
      </c>
      <c r="AI686" t="s">
        <v>599</v>
      </c>
      <c r="AJ686" t="s">
        <v>3196</v>
      </c>
      <c r="AK686" t="s">
        <v>599</v>
      </c>
      <c r="AL686" t="s">
        <v>3197</v>
      </c>
      <c r="AM686" t="s">
        <v>1319</v>
      </c>
      <c r="AN686" t="s">
        <v>599</v>
      </c>
      <c r="AO686" t="s">
        <v>599</v>
      </c>
      <c r="AP686" t="s">
        <v>599</v>
      </c>
      <c r="AQ686" t="s">
        <v>599</v>
      </c>
      <c r="AR686" t="s">
        <v>599</v>
      </c>
      <c r="AS686" t="s">
        <v>599</v>
      </c>
      <c r="AT686" t="s">
        <v>599</v>
      </c>
    </row>
    <row r="687" spans="1:46" ht="30" x14ac:dyDescent="0.25">
      <c r="A687" s="2">
        <v>11804</v>
      </c>
      <c r="B687" s="10">
        <v>1001679</v>
      </c>
      <c r="C687" s="10">
        <v>1</v>
      </c>
      <c r="D687" s="9">
        <v>1</v>
      </c>
      <c r="E687" s="11" t="s">
        <v>504</v>
      </c>
      <c r="F687" s="12" t="s">
        <v>505</v>
      </c>
      <c r="G687" s="9">
        <v>1</v>
      </c>
      <c r="H687" s="34"/>
      <c r="I687" s="55" t="str">
        <f t="shared" si="21"/>
        <v>https://permalinkbnd.bnportugal.gov.pt/viewer/17516/?offset=#page=1&amp;viewer=picture&amp;o=info&amp;n=0&amp;q=</v>
      </c>
      <c r="J687" s="45"/>
      <c r="K687" s="45"/>
      <c r="L687" s="45"/>
      <c r="M687" t="s">
        <v>504</v>
      </c>
      <c r="N687">
        <v>17516</v>
      </c>
      <c r="O687" t="str">
        <f t="shared" si="20"/>
        <v>https://permalinkbnd.bnportugal.gov.pt/viewer/17516/?offset=#page=1&amp;viewer=picture&amp;o=info&amp;n=0&amp;q=</v>
      </c>
      <c r="P687">
        <v>1001679</v>
      </c>
      <c r="Q687" t="s">
        <v>504</v>
      </c>
      <c r="R687" t="s">
        <v>3198</v>
      </c>
      <c r="S687" t="s">
        <v>1312</v>
      </c>
      <c r="T687" t="s">
        <v>1192</v>
      </c>
      <c r="U687" t="s">
        <v>599</v>
      </c>
      <c r="V687" t="s">
        <v>3199</v>
      </c>
      <c r="W687" t="s">
        <v>3200</v>
      </c>
      <c r="X687" t="s">
        <v>599</v>
      </c>
      <c r="Y687" t="s">
        <v>1182</v>
      </c>
      <c r="Z687" t="s">
        <v>3201</v>
      </c>
      <c r="AA687">
        <v>1977</v>
      </c>
      <c r="AB687">
        <v>1977</v>
      </c>
      <c r="AC687" t="s">
        <v>2007</v>
      </c>
      <c r="AD687" t="s">
        <v>599</v>
      </c>
      <c r="AE687" t="s">
        <v>599</v>
      </c>
      <c r="AF687" t="s">
        <v>599</v>
      </c>
      <c r="AG687" t="s">
        <v>599</v>
      </c>
      <c r="AH687" t="s">
        <v>599</v>
      </c>
      <c r="AI687" t="s">
        <v>599</v>
      </c>
      <c r="AJ687" t="s">
        <v>3202</v>
      </c>
      <c r="AK687" t="s">
        <v>599</v>
      </c>
      <c r="AL687" t="s">
        <v>3203</v>
      </c>
      <c r="AM687" t="s">
        <v>1319</v>
      </c>
      <c r="AN687" t="s">
        <v>599</v>
      </c>
      <c r="AO687" t="s">
        <v>599</v>
      </c>
      <c r="AP687" t="s">
        <v>599</v>
      </c>
      <c r="AQ687" t="s">
        <v>599</v>
      </c>
      <c r="AR687" t="s">
        <v>599</v>
      </c>
      <c r="AS687" t="s">
        <v>599</v>
      </c>
      <c r="AT687" t="s">
        <v>599</v>
      </c>
    </row>
    <row r="688" spans="1:46" ht="135" x14ac:dyDescent="0.25">
      <c r="A688" s="2">
        <v>11866</v>
      </c>
      <c r="B688" s="10">
        <v>1366577</v>
      </c>
      <c r="C688" s="10">
        <v>1</v>
      </c>
      <c r="D688" s="9">
        <v>13</v>
      </c>
      <c r="E688" s="11" t="s">
        <v>506</v>
      </c>
      <c r="F688" s="12" t="s">
        <v>507</v>
      </c>
      <c r="G688" s="9" t="s">
        <v>508</v>
      </c>
      <c r="H688" s="34"/>
      <c r="I688" s="55" t="str">
        <f t="shared" si="21"/>
        <v>https://permalinkbnd.bnportugal.gov.pt/viewer/14594/?offset=#page=13&amp;viewer=picture&amp;o=info&amp;n=0&amp;q=</v>
      </c>
      <c r="J688" s="45"/>
      <c r="K688" s="45"/>
      <c r="L688" s="45"/>
      <c r="M688" t="s">
        <v>506</v>
      </c>
      <c r="N688">
        <v>14594</v>
      </c>
      <c r="O688" t="str">
        <f t="shared" si="20"/>
        <v>https://permalinkbnd.bnportugal.gov.pt/viewer/14594/?offset=#page=13&amp;viewer=picture&amp;o=info&amp;n=0&amp;q=</v>
      </c>
      <c r="P688">
        <v>1366577</v>
      </c>
      <c r="Q688" t="s">
        <v>506</v>
      </c>
      <c r="R688" t="s">
        <v>3204</v>
      </c>
      <c r="S688" t="s">
        <v>1178</v>
      </c>
      <c r="T688" t="s">
        <v>1362</v>
      </c>
      <c r="U688" t="s">
        <v>1192</v>
      </c>
      <c r="V688" t="s">
        <v>3205</v>
      </c>
      <c r="W688" t="s">
        <v>599</v>
      </c>
      <c r="X688" t="s">
        <v>599</v>
      </c>
      <c r="Y688" t="s">
        <v>1182</v>
      </c>
      <c r="Z688" t="s">
        <v>3206</v>
      </c>
      <c r="AA688">
        <v>1931</v>
      </c>
      <c r="AB688">
        <v>1931</v>
      </c>
      <c r="AC688" t="s">
        <v>3207</v>
      </c>
      <c r="AD688" t="s">
        <v>1185</v>
      </c>
      <c r="AE688" t="s">
        <v>599</v>
      </c>
      <c r="AF688" t="s">
        <v>599</v>
      </c>
      <c r="AG688" t="s">
        <v>3208</v>
      </c>
      <c r="AH688" t="s">
        <v>599</v>
      </c>
      <c r="AI688" t="s">
        <v>599</v>
      </c>
      <c r="AJ688" t="s">
        <v>3209</v>
      </c>
      <c r="AK688" t="s">
        <v>599</v>
      </c>
      <c r="AL688" t="s">
        <v>3210</v>
      </c>
      <c r="AM688" t="s">
        <v>1190</v>
      </c>
      <c r="AN688" t="s">
        <v>599</v>
      </c>
      <c r="AO688" t="s">
        <v>599</v>
      </c>
      <c r="AP688" t="s">
        <v>599</v>
      </c>
      <c r="AQ688" t="s">
        <v>599</v>
      </c>
      <c r="AR688" t="s">
        <v>599</v>
      </c>
      <c r="AS688" t="s">
        <v>599</v>
      </c>
      <c r="AT688" t="s">
        <v>599</v>
      </c>
    </row>
    <row r="689" spans="1:46" ht="135" x14ac:dyDescent="0.25">
      <c r="A689" s="2">
        <v>11867</v>
      </c>
      <c r="B689" s="10">
        <v>1366577</v>
      </c>
      <c r="C689" s="10">
        <v>1</v>
      </c>
      <c r="D689" s="9">
        <v>30</v>
      </c>
      <c r="E689" s="11" t="s">
        <v>506</v>
      </c>
      <c r="F689" s="12" t="s">
        <v>507</v>
      </c>
      <c r="G689" s="9" t="s">
        <v>508</v>
      </c>
      <c r="H689" s="34"/>
      <c r="I689" s="55" t="str">
        <f t="shared" si="21"/>
        <v>https://permalinkbnd.bnportugal.gov.pt/viewer/14594/?offset=#page=30&amp;viewer=picture&amp;o=info&amp;n=0&amp;q=</v>
      </c>
      <c r="J689" s="45"/>
      <c r="K689" s="45"/>
      <c r="L689" s="45"/>
      <c r="M689" t="s">
        <v>506</v>
      </c>
      <c r="N689">
        <v>14594</v>
      </c>
      <c r="O689" t="str">
        <f t="shared" si="20"/>
        <v>https://permalinkbnd.bnportugal.gov.pt/viewer/14594/?offset=#page=30&amp;viewer=picture&amp;o=info&amp;n=0&amp;q=</v>
      </c>
      <c r="P689">
        <v>1366577</v>
      </c>
      <c r="Q689" t="s">
        <v>506</v>
      </c>
      <c r="R689" t="s">
        <v>3204</v>
      </c>
      <c r="S689" t="s">
        <v>1178</v>
      </c>
      <c r="T689" t="s">
        <v>1362</v>
      </c>
      <c r="U689" t="s">
        <v>1192</v>
      </c>
      <c r="V689" t="s">
        <v>3205</v>
      </c>
      <c r="W689" t="s">
        <v>599</v>
      </c>
      <c r="X689" t="s">
        <v>599</v>
      </c>
      <c r="Y689" t="s">
        <v>1182</v>
      </c>
      <c r="Z689" t="s">
        <v>3206</v>
      </c>
      <c r="AA689">
        <v>1931</v>
      </c>
      <c r="AB689">
        <v>1931</v>
      </c>
      <c r="AC689" t="s">
        <v>3207</v>
      </c>
      <c r="AD689" t="s">
        <v>1185</v>
      </c>
      <c r="AE689" t="s">
        <v>599</v>
      </c>
      <c r="AF689" t="s">
        <v>599</v>
      </c>
      <c r="AG689" t="s">
        <v>3208</v>
      </c>
      <c r="AH689" t="s">
        <v>599</v>
      </c>
      <c r="AI689" t="s">
        <v>599</v>
      </c>
      <c r="AJ689" t="s">
        <v>3209</v>
      </c>
      <c r="AK689" t="s">
        <v>599</v>
      </c>
      <c r="AL689" t="s">
        <v>3210</v>
      </c>
      <c r="AM689" t="s">
        <v>1190</v>
      </c>
      <c r="AN689" t="s">
        <v>599</v>
      </c>
      <c r="AO689" t="s">
        <v>599</v>
      </c>
      <c r="AP689" t="s">
        <v>599</v>
      </c>
      <c r="AQ689" t="s">
        <v>599</v>
      </c>
      <c r="AR689" t="s">
        <v>599</v>
      </c>
      <c r="AS689" t="s">
        <v>599</v>
      </c>
      <c r="AT689" t="s">
        <v>599</v>
      </c>
    </row>
    <row r="690" spans="1:46" ht="135" x14ac:dyDescent="0.25">
      <c r="A690" s="2">
        <v>11868</v>
      </c>
      <c r="B690" s="10">
        <v>1366577</v>
      </c>
      <c r="C690" s="10">
        <v>1</v>
      </c>
      <c r="D690" s="9">
        <v>32</v>
      </c>
      <c r="E690" s="11" t="s">
        <v>506</v>
      </c>
      <c r="F690" s="12" t="s">
        <v>507</v>
      </c>
      <c r="G690" s="9" t="s">
        <v>508</v>
      </c>
      <c r="H690" s="34"/>
      <c r="I690" s="55" t="str">
        <f t="shared" si="21"/>
        <v>https://permalinkbnd.bnportugal.gov.pt/viewer/14594/?offset=#page=32&amp;viewer=picture&amp;o=info&amp;n=0&amp;q=</v>
      </c>
      <c r="J690" s="45"/>
      <c r="K690" s="45"/>
      <c r="L690" s="45"/>
      <c r="M690" t="s">
        <v>506</v>
      </c>
      <c r="N690">
        <v>14594</v>
      </c>
      <c r="O690" t="str">
        <f t="shared" si="20"/>
        <v>https://permalinkbnd.bnportugal.gov.pt/viewer/14594/?offset=#page=32&amp;viewer=picture&amp;o=info&amp;n=0&amp;q=</v>
      </c>
      <c r="P690">
        <v>1366577</v>
      </c>
      <c r="Q690" t="s">
        <v>506</v>
      </c>
      <c r="R690" t="s">
        <v>3204</v>
      </c>
      <c r="S690" t="s">
        <v>1178</v>
      </c>
      <c r="T690" t="s">
        <v>1362</v>
      </c>
      <c r="U690" t="s">
        <v>1192</v>
      </c>
      <c r="V690" t="s">
        <v>3205</v>
      </c>
      <c r="W690" t="s">
        <v>599</v>
      </c>
      <c r="X690" t="s">
        <v>599</v>
      </c>
      <c r="Y690" t="s">
        <v>1182</v>
      </c>
      <c r="Z690" t="s">
        <v>3206</v>
      </c>
      <c r="AA690">
        <v>1931</v>
      </c>
      <c r="AB690">
        <v>1931</v>
      </c>
      <c r="AC690" t="s">
        <v>3207</v>
      </c>
      <c r="AD690" t="s">
        <v>1185</v>
      </c>
      <c r="AE690" t="s">
        <v>599</v>
      </c>
      <c r="AF690" t="s">
        <v>599</v>
      </c>
      <c r="AG690" t="s">
        <v>3208</v>
      </c>
      <c r="AH690" t="s">
        <v>599</v>
      </c>
      <c r="AI690" t="s">
        <v>599</v>
      </c>
      <c r="AJ690" t="s">
        <v>3209</v>
      </c>
      <c r="AK690" t="s">
        <v>599</v>
      </c>
      <c r="AL690" t="s">
        <v>3210</v>
      </c>
      <c r="AM690" t="s">
        <v>1190</v>
      </c>
      <c r="AN690" t="s">
        <v>599</v>
      </c>
      <c r="AO690" t="s">
        <v>599</v>
      </c>
      <c r="AP690" t="s">
        <v>599</v>
      </c>
      <c r="AQ690" t="s">
        <v>599</v>
      </c>
      <c r="AR690" t="s">
        <v>599</v>
      </c>
      <c r="AS690" t="s">
        <v>599</v>
      </c>
      <c r="AT690" t="s">
        <v>599</v>
      </c>
    </row>
    <row r="691" spans="1:46" ht="135" x14ac:dyDescent="0.25">
      <c r="A691" s="2">
        <v>11869</v>
      </c>
      <c r="B691" s="10">
        <v>1366577</v>
      </c>
      <c r="C691" s="10">
        <v>1</v>
      </c>
      <c r="D691" s="9">
        <v>54</v>
      </c>
      <c r="E691" s="11" t="s">
        <v>506</v>
      </c>
      <c r="F691" s="12" t="s">
        <v>507</v>
      </c>
      <c r="G691" s="9" t="s">
        <v>508</v>
      </c>
      <c r="H691" s="34"/>
      <c r="I691" s="55" t="str">
        <f t="shared" si="21"/>
        <v>https://permalinkbnd.bnportugal.gov.pt/viewer/14594/?offset=#page=54&amp;viewer=picture&amp;o=info&amp;n=0&amp;q=</v>
      </c>
      <c r="J691" s="45"/>
      <c r="K691" s="45"/>
      <c r="L691" s="45"/>
      <c r="M691" t="s">
        <v>506</v>
      </c>
      <c r="N691">
        <v>14594</v>
      </c>
      <c r="O691" t="str">
        <f t="shared" si="20"/>
        <v>https://permalinkbnd.bnportugal.gov.pt/viewer/14594/?offset=#page=54&amp;viewer=picture&amp;o=info&amp;n=0&amp;q=</v>
      </c>
      <c r="P691">
        <v>1366577</v>
      </c>
      <c r="Q691" t="s">
        <v>506</v>
      </c>
      <c r="R691" t="s">
        <v>3204</v>
      </c>
      <c r="S691" t="s">
        <v>1178</v>
      </c>
      <c r="T691" t="s">
        <v>1362</v>
      </c>
      <c r="U691" t="s">
        <v>1192</v>
      </c>
      <c r="V691" t="s">
        <v>3205</v>
      </c>
      <c r="W691" t="s">
        <v>599</v>
      </c>
      <c r="X691" t="s">
        <v>599</v>
      </c>
      <c r="Y691" t="s">
        <v>1182</v>
      </c>
      <c r="Z691" t="s">
        <v>3206</v>
      </c>
      <c r="AA691">
        <v>1931</v>
      </c>
      <c r="AB691">
        <v>1931</v>
      </c>
      <c r="AC691" t="s">
        <v>3207</v>
      </c>
      <c r="AD691" t="s">
        <v>1185</v>
      </c>
      <c r="AE691" t="s">
        <v>599</v>
      </c>
      <c r="AF691" t="s">
        <v>599</v>
      </c>
      <c r="AG691" t="s">
        <v>3208</v>
      </c>
      <c r="AH691" t="s">
        <v>599</v>
      </c>
      <c r="AI691" t="s">
        <v>599</v>
      </c>
      <c r="AJ691" t="s">
        <v>3209</v>
      </c>
      <c r="AK691" t="s">
        <v>599</v>
      </c>
      <c r="AL691" t="s">
        <v>3210</v>
      </c>
      <c r="AM691" t="s">
        <v>1190</v>
      </c>
      <c r="AN691" t="s">
        <v>599</v>
      </c>
      <c r="AO691" t="s">
        <v>599</v>
      </c>
      <c r="AP691" t="s">
        <v>599</v>
      </c>
      <c r="AQ691" t="s">
        <v>599</v>
      </c>
      <c r="AR691" t="s">
        <v>599</v>
      </c>
      <c r="AS691" t="s">
        <v>599</v>
      </c>
      <c r="AT691" t="s">
        <v>599</v>
      </c>
    </row>
    <row r="692" spans="1:46" ht="135" x14ac:dyDescent="0.25">
      <c r="A692" s="2">
        <v>11870</v>
      </c>
      <c r="B692" s="10">
        <v>1366577</v>
      </c>
      <c r="C692" s="10">
        <v>1</v>
      </c>
      <c r="D692" s="9">
        <v>78</v>
      </c>
      <c r="E692" s="11" t="s">
        <v>506</v>
      </c>
      <c r="F692" s="12" t="s">
        <v>507</v>
      </c>
      <c r="G692" s="9" t="s">
        <v>508</v>
      </c>
      <c r="H692" s="34"/>
      <c r="I692" s="55" t="str">
        <f t="shared" si="21"/>
        <v>https://permalinkbnd.bnportugal.gov.pt/viewer/14594/?offset=#page=78&amp;viewer=picture&amp;o=info&amp;n=0&amp;q=</v>
      </c>
      <c r="J692" s="45"/>
      <c r="K692" s="45"/>
      <c r="L692" s="45"/>
      <c r="M692" t="s">
        <v>506</v>
      </c>
      <c r="N692">
        <v>14594</v>
      </c>
      <c r="O692" t="str">
        <f t="shared" si="20"/>
        <v>https://permalinkbnd.bnportugal.gov.pt/viewer/14594/?offset=#page=78&amp;viewer=picture&amp;o=info&amp;n=0&amp;q=</v>
      </c>
      <c r="P692">
        <v>1366577</v>
      </c>
      <c r="Q692" t="s">
        <v>506</v>
      </c>
      <c r="R692" t="s">
        <v>3204</v>
      </c>
      <c r="S692" t="s">
        <v>1178</v>
      </c>
      <c r="T692" t="s">
        <v>1362</v>
      </c>
      <c r="U692" t="s">
        <v>1192</v>
      </c>
      <c r="V692" t="s">
        <v>3205</v>
      </c>
      <c r="W692" t="s">
        <v>599</v>
      </c>
      <c r="X692" t="s">
        <v>599</v>
      </c>
      <c r="Y692" t="s">
        <v>1182</v>
      </c>
      <c r="Z692" t="s">
        <v>3206</v>
      </c>
      <c r="AA692">
        <v>1931</v>
      </c>
      <c r="AB692">
        <v>1931</v>
      </c>
      <c r="AC692" t="s">
        <v>3207</v>
      </c>
      <c r="AD692" t="s">
        <v>1185</v>
      </c>
      <c r="AE692" t="s">
        <v>599</v>
      </c>
      <c r="AF692" t="s">
        <v>599</v>
      </c>
      <c r="AG692" t="s">
        <v>3208</v>
      </c>
      <c r="AH692" t="s">
        <v>599</v>
      </c>
      <c r="AI692" t="s">
        <v>599</v>
      </c>
      <c r="AJ692" t="s">
        <v>3209</v>
      </c>
      <c r="AK692" t="s">
        <v>599</v>
      </c>
      <c r="AL692" t="s">
        <v>3210</v>
      </c>
      <c r="AM692" t="s">
        <v>1190</v>
      </c>
      <c r="AN692" t="s">
        <v>599</v>
      </c>
      <c r="AO692" t="s">
        <v>599</v>
      </c>
      <c r="AP692" t="s">
        <v>599</v>
      </c>
      <c r="AQ692" t="s">
        <v>599</v>
      </c>
      <c r="AR692" t="s">
        <v>599</v>
      </c>
      <c r="AS692" t="s">
        <v>599</v>
      </c>
      <c r="AT692" t="s">
        <v>599</v>
      </c>
    </row>
    <row r="693" spans="1:46" ht="135" x14ac:dyDescent="0.25">
      <c r="A693" s="2">
        <v>11871</v>
      </c>
      <c r="B693" s="10">
        <v>1366577</v>
      </c>
      <c r="C693" s="10">
        <v>1</v>
      </c>
      <c r="D693" s="9">
        <v>106</v>
      </c>
      <c r="E693" s="11" t="s">
        <v>506</v>
      </c>
      <c r="F693" s="12" t="s">
        <v>507</v>
      </c>
      <c r="G693" s="9" t="s">
        <v>508</v>
      </c>
      <c r="H693" s="34"/>
      <c r="I693" s="55" t="str">
        <f t="shared" si="21"/>
        <v>https://permalinkbnd.bnportugal.gov.pt/viewer/14594/?offset=#page=106&amp;viewer=picture&amp;o=info&amp;n=0&amp;q=</v>
      </c>
      <c r="J693" s="45"/>
      <c r="K693" s="45"/>
      <c r="L693" s="45"/>
      <c r="M693" t="s">
        <v>506</v>
      </c>
      <c r="N693">
        <v>14594</v>
      </c>
      <c r="O693" t="str">
        <f t="shared" si="20"/>
        <v>https://permalinkbnd.bnportugal.gov.pt/viewer/14594/?offset=#page=106&amp;viewer=picture&amp;o=info&amp;n=0&amp;q=</v>
      </c>
      <c r="P693">
        <v>1366577</v>
      </c>
      <c r="Q693" t="s">
        <v>506</v>
      </c>
      <c r="R693" t="s">
        <v>3204</v>
      </c>
      <c r="S693" t="s">
        <v>1178</v>
      </c>
      <c r="T693" t="s">
        <v>1362</v>
      </c>
      <c r="U693" t="s">
        <v>1192</v>
      </c>
      <c r="V693" t="s">
        <v>3205</v>
      </c>
      <c r="W693" t="s">
        <v>599</v>
      </c>
      <c r="X693" t="s">
        <v>599</v>
      </c>
      <c r="Y693" t="s">
        <v>1182</v>
      </c>
      <c r="Z693" t="s">
        <v>3206</v>
      </c>
      <c r="AA693">
        <v>1931</v>
      </c>
      <c r="AB693">
        <v>1931</v>
      </c>
      <c r="AC693" t="s">
        <v>3207</v>
      </c>
      <c r="AD693" t="s">
        <v>1185</v>
      </c>
      <c r="AE693" t="s">
        <v>599</v>
      </c>
      <c r="AF693" t="s">
        <v>599</v>
      </c>
      <c r="AG693" t="s">
        <v>3208</v>
      </c>
      <c r="AH693" t="s">
        <v>599</v>
      </c>
      <c r="AI693" t="s">
        <v>599</v>
      </c>
      <c r="AJ693" t="s">
        <v>3209</v>
      </c>
      <c r="AK693" t="s">
        <v>599</v>
      </c>
      <c r="AL693" t="s">
        <v>3210</v>
      </c>
      <c r="AM693" t="s">
        <v>1190</v>
      </c>
      <c r="AN693" t="s">
        <v>599</v>
      </c>
      <c r="AO693" t="s">
        <v>599</v>
      </c>
      <c r="AP693" t="s">
        <v>599</v>
      </c>
      <c r="AQ693" t="s">
        <v>599</v>
      </c>
      <c r="AR693" t="s">
        <v>599</v>
      </c>
      <c r="AS693" t="s">
        <v>599</v>
      </c>
      <c r="AT693" t="s">
        <v>599</v>
      </c>
    </row>
    <row r="694" spans="1:46" ht="135" x14ac:dyDescent="0.25">
      <c r="A694" s="2">
        <v>11872</v>
      </c>
      <c r="B694" s="10">
        <v>1366577</v>
      </c>
      <c r="C694" s="10">
        <v>1</v>
      </c>
      <c r="D694" s="9">
        <v>128</v>
      </c>
      <c r="E694" s="11" t="s">
        <v>506</v>
      </c>
      <c r="F694" s="12" t="s">
        <v>507</v>
      </c>
      <c r="G694" s="9" t="s">
        <v>508</v>
      </c>
      <c r="H694" s="34"/>
      <c r="I694" s="55" t="str">
        <f t="shared" si="21"/>
        <v>https://permalinkbnd.bnportugal.gov.pt/viewer/14594/?offset=#page=128&amp;viewer=picture&amp;o=info&amp;n=0&amp;q=</v>
      </c>
      <c r="J694" s="45"/>
      <c r="K694" s="45"/>
      <c r="L694" s="45"/>
      <c r="M694" t="s">
        <v>506</v>
      </c>
      <c r="N694">
        <v>14594</v>
      </c>
      <c r="O694" t="str">
        <f t="shared" si="20"/>
        <v>https://permalinkbnd.bnportugal.gov.pt/viewer/14594/?offset=#page=128&amp;viewer=picture&amp;o=info&amp;n=0&amp;q=</v>
      </c>
      <c r="P694">
        <v>1366577</v>
      </c>
      <c r="Q694" t="s">
        <v>506</v>
      </c>
      <c r="R694" t="s">
        <v>3204</v>
      </c>
      <c r="S694" t="s">
        <v>1178</v>
      </c>
      <c r="T694" t="s">
        <v>1362</v>
      </c>
      <c r="U694" t="s">
        <v>1192</v>
      </c>
      <c r="V694" t="s">
        <v>3205</v>
      </c>
      <c r="W694" t="s">
        <v>599</v>
      </c>
      <c r="X694" t="s">
        <v>599</v>
      </c>
      <c r="Y694" t="s">
        <v>1182</v>
      </c>
      <c r="Z694" t="s">
        <v>3206</v>
      </c>
      <c r="AA694">
        <v>1931</v>
      </c>
      <c r="AB694">
        <v>1931</v>
      </c>
      <c r="AC694" t="s">
        <v>3207</v>
      </c>
      <c r="AD694" t="s">
        <v>1185</v>
      </c>
      <c r="AE694" t="s">
        <v>599</v>
      </c>
      <c r="AF694" t="s">
        <v>599</v>
      </c>
      <c r="AG694" t="s">
        <v>3208</v>
      </c>
      <c r="AH694" t="s">
        <v>599</v>
      </c>
      <c r="AI694" t="s">
        <v>599</v>
      </c>
      <c r="AJ694" t="s">
        <v>3209</v>
      </c>
      <c r="AK694" t="s">
        <v>599</v>
      </c>
      <c r="AL694" t="s">
        <v>3210</v>
      </c>
      <c r="AM694" t="s">
        <v>1190</v>
      </c>
      <c r="AN694" t="s">
        <v>599</v>
      </c>
      <c r="AO694" t="s">
        <v>599</v>
      </c>
      <c r="AP694" t="s">
        <v>599</v>
      </c>
      <c r="AQ694" t="s">
        <v>599</v>
      </c>
      <c r="AR694" t="s">
        <v>599</v>
      </c>
      <c r="AS694" t="s">
        <v>599</v>
      </c>
      <c r="AT694" t="s">
        <v>599</v>
      </c>
    </row>
    <row r="695" spans="1:46" ht="135" x14ac:dyDescent="0.25">
      <c r="A695" s="2">
        <v>11873</v>
      </c>
      <c r="B695" s="10">
        <v>1366577</v>
      </c>
      <c r="C695" s="10">
        <v>1</v>
      </c>
      <c r="D695" s="9">
        <v>129</v>
      </c>
      <c r="E695" s="11" t="s">
        <v>506</v>
      </c>
      <c r="F695" s="12" t="s">
        <v>507</v>
      </c>
      <c r="G695" s="9" t="s">
        <v>508</v>
      </c>
      <c r="H695" s="34"/>
      <c r="I695" s="55" t="str">
        <f t="shared" si="21"/>
        <v>https://permalinkbnd.bnportugal.gov.pt/viewer/14594/?offset=#page=129&amp;viewer=picture&amp;o=info&amp;n=0&amp;q=</v>
      </c>
      <c r="J695" s="45"/>
      <c r="K695" s="45"/>
      <c r="L695" s="45"/>
      <c r="M695" t="s">
        <v>506</v>
      </c>
      <c r="N695">
        <v>14594</v>
      </c>
      <c r="O695" t="str">
        <f t="shared" si="20"/>
        <v>https://permalinkbnd.bnportugal.gov.pt/viewer/14594/?offset=#page=129&amp;viewer=picture&amp;o=info&amp;n=0&amp;q=</v>
      </c>
      <c r="P695">
        <v>1366577</v>
      </c>
      <c r="Q695" t="s">
        <v>506</v>
      </c>
      <c r="R695" t="s">
        <v>3204</v>
      </c>
      <c r="S695" t="s">
        <v>1178</v>
      </c>
      <c r="T695" t="s">
        <v>1362</v>
      </c>
      <c r="U695" t="s">
        <v>1192</v>
      </c>
      <c r="V695" t="s">
        <v>3205</v>
      </c>
      <c r="W695" t="s">
        <v>599</v>
      </c>
      <c r="X695" t="s">
        <v>599</v>
      </c>
      <c r="Y695" t="s">
        <v>1182</v>
      </c>
      <c r="Z695" t="s">
        <v>3206</v>
      </c>
      <c r="AA695">
        <v>1931</v>
      </c>
      <c r="AB695">
        <v>1931</v>
      </c>
      <c r="AC695" t="s">
        <v>3207</v>
      </c>
      <c r="AD695" t="s">
        <v>1185</v>
      </c>
      <c r="AE695" t="s">
        <v>599</v>
      </c>
      <c r="AF695" t="s">
        <v>599</v>
      </c>
      <c r="AG695" t="s">
        <v>3208</v>
      </c>
      <c r="AH695" t="s">
        <v>599</v>
      </c>
      <c r="AI695" t="s">
        <v>599</v>
      </c>
      <c r="AJ695" t="s">
        <v>3209</v>
      </c>
      <c r="AK695" t="s">
        <v>599</v>
      </c>
      <c r="AL695" t="s">
        <v>3210</v>
      </c>
      <c r="AM695" t="s">
        <v>1190</v>
      </c>
      <c r="AN695" t="s">
        <v>599</v>
      </c>
      <c r="AO695" t="s">
        <v>599</v>
      </c>
      <c r="AP695" t="s">
        <v>599</v>
      </c>
      <c r="AQ695" t="s">
        <v>599</v>
      </c>
      <c r="AR695" t="s">
        <v>599</v>
      </c>
      <c r="AS695" t="s">
        <v>599</v>
      </c>
      <c r="AT695" t="s">
        <v>599</v>
      </c>
    </row>
    <row r="696" spans="1:46" ht="135" x14ac:dyDescent="0.25">
      <c r="A696" s="2">
        <v>11874</v>
      </c>
      <c r="B696" s="10">
        <v>1366577</v>
      </c>
      <c r="C696" s="10">
        <v>1</v>
      </c>
      <c r="D696" s="9">
        <v>150</v>
      </c>
      <c r="E696" s="11" t="s">
        <v>506</v>
      </c>
      <c r="F696" s="12" t="s">
        <v>507</v>
      </c>
      <c r="G696" s="9" t="s">
        <v>508</v>
      </c>
      <c r="H696" s="34"/>
      <c r="I696" s="55" t="str">
        <f t="shared" si="21"/>
        <v>https://permalinkbnd.bnportugal.gov.pt/viewer/14594/?offset=#page=150&amp;viewer=picture&amp;o=info&amp;n=0&amp;q=</v>
      </c>
      <c r="J696" s="45"/>
      <c r="K696" s="45"/>
      <c r="L696" s="45"/>
      <c r="M696" t="s">
        <v>506</v>
      </c>
      <c r="N696">
        <v>14594</v>
      </c>
      <c r="O696" t="str">
        <f t="shared" si="20"/>
        <v>https://permalinkbnd.bnportugal.gov.pt/viewer/14594/?offset=#page=150&amp;viewer=picture&amp;o=info&amp;n=0&amp;q=</v>
      </c>
      <c r="P696">
        <v>1366577</v>
      </c>
      <c r="Q696" t="s">
        <v>506</v>
      </c>
      <c r="R696" t="s">
        <v>3204</v>
      </c>
      <c r="S696" t="s">
        <v>1178</v>
      </c>
      <c r="T696" t="s">
        <v>1362</v>
      </c>
      <c r="U696" t="s">
        <v>1192</v>
      </c>
      <c r="V696" t="s">
        <v>3205</v>
      </c>
      <c r="W696" t="s">
        <v>599</v>
      </c>
      <c r="X696" t="s">
        <v>599</v>
      </c>
      <c r="Y696" t="s">
        <v>1182</v>
      </c>
      <c r="Z696" t="s">
        <v>3206</v>
      </c>
      <c r="AA696">
        <v>1931</v>
      </c>
      <c r="AB696">
        <v>1931</v>
      </c>
      <c r="AC696" t="s">
        <v>3207</v>
      </c>
      <c r="AD696" t="s">
        <v>1185</v>
      </c>
      <c r="AE696" t="s">
        <v>599</v>
      </c>
      <c r="AF696" t="s">
        <v>599</v>
      </c>
      <c r="AG696" t="s">
        <v>3208</v>
      </c>
      <c r="AH696" t="s">
        <v>599</v>
      </c>
      <c r="AI696" t="s">
        <v>599</v>
      </c>
      <c r="AJ696" t="s">
        <v>3209</v>
      </c>
      <c r="AK696" t="s">
        <v>599</v>
      </c>
      <c r="AL696" t="s">
        <v>3210</v>
      </c>
      <c r="AM696" t="s">
        <v>1190</v>
      </c>
      <c r="AN696" t="s">
        <v>599</v>
      </c>
      <c r="AO696" t="s">
        <v>599</v>
      </c>
      <c r="AP696" t="s">
        <v>599</v>
      </c>
      <c r="AQ696" t="s">
        <v>599</v>
      </c>
      <c r="AR696" t="s">
        <v>599</v>
      </c>
      <c r="AS696" t="s">
        <v>599</v>
      </c>
      <c r="AT696" t="s">
        <v>599</v>
      </c>
    </row>
    <row r="697" spans="1:46" ht="135" x14ac:dyDescent="0.25">
      <c r="A697" s="2">
        <v>11875</v>
      </c>
      <c r="B697" s="10">
        <v>1366577</v>
      </c>
      <c r="C697" s="10">
        <v>1</v>
      </c>
      <c r="D697" s="9">
        <v>151</v>
      </c>
      <c r="E697" s="11" t="s">
        <v>506</v>
      </c>
      <c r="F697" s="12" t="s">
        <v>507</v>
      </c>
      <c r="G697" s="9" t="s">
        <v>508</v>
      </c>
      <c r="H697" s="34"/>
      <c r="I697" s="55" t="str">
        <f t="shared" si="21"/>
        <v>https://permalinkbnd.bnportugal.gov.pt/viewer/14594/?offset=#page=151&amp;viewer=picture&amp;o=info&amp;n=0&amp;q=</v>
      </c>
      <c r="J697" s="45"/>
      <c r="K697" s="45"/>
      <c r="L697" s="45"/>
      <c r="M697" t="s">
        <v>506</v>
      </c>
      <c r="N697">
        <v>14594</v>
      </c>
      <c r="O697" t="str">
        <f t="shared" si="20"/>
        <v>https://permalinkbnd.bnportugal.gov.pt/viewer/14594/?offset=#page=151&amp;viewer=picture&amp;o=info&amp;n=0&amp;q=</v>
      </c>
      <c r="P697">
        <v>1366577</v>
      </c>
      <c r="Q697" t="s">
        <v>506</v>
      </c>
      <c r="R697" t="s">
        <v>3204</v>
      </c>
      <c r="S697" t="s">
        <v>1178</v>
      </c>
      <c r="T697" t="s">
        <v>1362</v>
      </c>
      <c r="U697" t="s">
        <v>1192</v>
      </c>
      <c r="V697" t="s">
        <v>3205</v>
      </c>
      <c r="W697" t="s">
        <v>599</v>
      </c>
      <c r="X697" t="s">
        <v>599</v>
      </c>
      <c r="Y697" t="s">
        <v>1182</v>
      </c>
      <c r="Z697" t="s">
        <v>3206</v>
      </c>
      <c r="AA697">
        <v>1931</v>
      </c>
      <c r="AB697">
        <v>1931</v>
      </c>
      <c r="AC697" t="s">
        <v>3207</v>
      </c>
      <c r="AD697" t="s">
        <v>1185</v>
      </c>
      <c r="AE697" t="s">
        <v>599</v>
      </c>
      <c r="AF697" t="s">
        <v>599</v>
      </c>
      <c r="AG697" t="s">
        <v>3208</v>
      </c>
      <c r="AH697" t="s">
        <v>599</v>
      </c>
      <c r="AI697" t="s">
        <v>599</v>
      </c>
      <c r="AJ697" t="s">
        <v>3209</v>
      </c>
      <c r="AK697" t="s">
        <v>599</v>
      </c>
      <c r="AL697" t="s">
        <v>3210</v>
      </c>
      <c r="AM697" t="s">
        <v>1190</v>
      </c>
      <c r="AN697" t="s">
        <v>599</v>
      </c>
      <c r="AO697" t="s">
        <v>599</v>
      </c>
      <c r="AP697" t="s">
        <v>599</v>
      </c>
      <c r="AQ697" t="s">
        <v>599</v>
      </c>
      <c r="AR697" t="s">
        <v>599</v>
      </c>
      <c r="AS697" t="s">
        <v>599</v>
      </c>
      <c r="AT697" t="s">
        <v>599</v>
      </c>
    </row>
    <row r="698" spans="1:46" ht="135" x14ac:dyDescent="0.25">
      <c r="A698" s="2">
        <v>11876</v>
      </c>
      <c r="B698" s="10">
        <v>1366577</v>
      </c>
      <c r="C698" s="10">
        <v>1</v>
      </c>
      <c r="D698" s="9">
        <v>170</v>
      </c>
      <c r="E698" s="11" t="s">
        <v>506</v>
      </c>
      <c r="F698" s="12" t="s">
        <v>507</v>
      </c>
      <c r="G698" s="9" t="s">
        <v>508</v>
      </c>
      <c r="H698" s="34"/>
      <c r="I698" s="55" t="str">
        <f t="shared" si="21"/>
        <v>https://permalinkbnd.bnportugal.gov.pt/viewer/14594/?offset=#page=170&amp;viewer=picture&amp;o=info&amp;n=0&amp;q=</v>
      </c>
      <c r="J698" s="45"/>
      <c r="K698" s="45"/>
      <c r="L698" s="45"/>
      <c r="M698" t="s">
        <v>506</v>
      </c>
      <c r="N698">
        <v>14594</v>
      </c>
      <c r="O698" t="str">
        <f t="shared" si="20"/>
        <v>https://permalinkbnd.bnportugal.gov.pt/viewer/14594/?offset=#page=170&amp;viewer=picture&amp;o=info&amp;n=0&amp;q=</v>
      </c>
      <c r="P698">
        <v>1366577</v>
      </c>
      <c r="Q698" t="s">
        <v>506</v>
      </c>
      <c r="R698" t="s">
        <v>3204</v>
      </c>
      <c r="S698" t="s">
        <v>1178</v>
      </c>
      <c r="T698" t="s">
        <v>1362</v>
      </c>
      <c r="U698" t="s">
        <v>1192</v>
      </c>
      <c r="V698" t="s">
        <v>3205</v>
      </c>
      <c r="W698" t="s">
        <v>599</v>
      </c>
      <c r="X698" t="s">
        <v>599</v>
      </c>
      <c r="Y698" t="s">
        <v>1182</v>
      </c>
      <c r="Z698" t="s">
        <v>3206</v>
      </c>
      <c r="AA698">
        <v>1931</v>
      </c>
      <c r="AB698">
        <v>1931</v>
      </c>
      <c r="AC698" t="s">
        <v>3207</v>
      </c>
      <c r="AD698" t="s">
        <v>1185</v>
      </c>
      <c r="AE698" t="s">
        <v>599</v>
      </c>
      <c r="AF698" t="s">
        <v>599</v>
      </c>
      <c r="AG698" t="s">
        <v>3208</v>
      </c>
      <c r="AH698" t="s">
        <v>599</v>
      </c>
      <c r="AI698" t="s">
        <v>599</v>
      </c>
      <c r="AJ698" t="s">
        <v>3209</v>
      </c>
      <c r="AK698" t="s">
        <v>599</v>
      </c>
      <c r="AL698" t="s">
        <v>3210</v>
      </c>
      <c r="AM698" t="s">
        <v>1190</v>
      </c>
      <c r="AN698" t="s">
        <v>599</v>
      </c>
      <c r="AO698" t="s">
        <v>599</v>
      </c>
      <c r="AP698" t="s">
        <v>599</v>
      </c>
      <c r="AQ698" t="s">
        <v>599</v>
      </c>
      <c r="AR698" t="s">
        <v>599</v>
      </c>
      <c r="AS698" t="s">
        <v>599</v>
      </c>
      <c r="AT698" t="s">
        <v>599</v>
      </c>
    </row>
    <row r="699" spans="1:46" ht="135" x14ac:dyDescent="0.25">
      <c r="A699" s="2">
        <v>11877</v>
      </c>
      <c r="B699" s="10">
        <v>1366577</v>
      </c>
      <c r="C699" s="10">
        <v>1</v>
      </c>
      <c r="D699" s="9">
        <v>171</v>
      </c>
      <c r="E699" s="11" t="s">
        <v>506</v>
      </c>
      <c r="F699" s="12" t="s">
        <v>507</v>
      </c>
      <c r="G699" s="9" t="s">
        <v>508</v>
      </c>
      <c r="H699" s="34"/>
      <c r="I699" s="55" t="str">
        <f t="shared" si="21"/>
        <v>https://permalinkbnd.bnportugal.gov.pt/viewer/14594/?offset=#page=171&amp;viewer=picture&amp;o=info&amp;n=0&amp;q=</v>
      </c>
      <c r="J699" s="45"/>
      <c r="K699" s="45"/>
      <c r="L699" s="45"/>
      <c r="M699" t="s">
        <v>506</v>
      </c>
      <c r="N699">
        <v>14594</v>
      </c>
      <c r="O699" t="str">
        <f t="shared" si="20"/>
        <v>https://permalinkbnd.bnportugal.gov.pt/viewer/14594/?offset=#page=171&amp;viewer=picture&amp;o=info&amp;n=0&amp;q=</v>
      </c>
      <c r="P699">
        <v>1366577</v>
      </c>
      <c r="Q699" t="s">
        <v>506</v>
      </c>
      <c r="R699" t="s">
        <v>3204</v>
      </c>
      <c r="S699" t="s">
        <v>1178</v>
      </c>
      <c r="T699" t="s">
        <v>1362</v>
      </c>
      <c r="U699" t="s">
        <v>1192</v>
      </c>
      <c r="V699" t="s">
        <v>3205</v>
      </c>
      <c r="W699" t="s">
        <v>599</v>
      </c>
      <c r="X699" t="s">
        <v>599</v>
      </c>
      <c r="Y699" t="s">
        <v>1182</v>
      </c>
      <c r="Z699" t="s">
        <v>3206</v>
      </c>
      <c r="AA699">
        <v>1931</v>
      </c>
      <c r="AB699">
        <v>1931</v>
      </c>
      <c r="AC699" t="s">
        <v>3207</v>
      </c>
      <c r="AD699" t="s">
        <v>1185</v>
      </c>
      <c r="AE699" t="s">
        <v>599</v>
      </c>
      <c r="AF699" t="s">
        <v>599</v>
      </c>
      <c r="AG699" t="s">
        <v>3208</v>
      </c>
      <c r="AH699" t="s">
        <v>599</v>
      </c>
      <c r="AI699" t="s">
        <v>599</v>
      </c>
      <c r="AJ699" t="s">
        <v>3209</v>
      </c>
      <c r="AK699" t="s">
        <v>599</v>
      </c>
      <c r="AL699" t="s">
        <v>3210</v>
      </c>
      <c r="AM699" t="s">
        <v>1190</v>
      </c>
      <c r="AN699" t="s">
        <v>599</v>
      </c>
      <c r="AO699" t="s">
        <v>599</v>
      </c>
      <c r="AP699" t="s">
        <v>599</v>
      </c>
      <c r="AQ699" t="s">
        <v>599</v>
      </c>
      <c r="AR699" t="s">
        <v>599</v>
      </c>
      <c r="AS699" t="s">
        <v>599</v>
      </c>
      <c r="AT699" t="s">
        <v>599</v>
      </c>
    </row>
    <row r="700" spans="1:46" ht="135" x14ac:dyDescent="0.25">
      <c r="A700" s="2">
        <v>11878</v>
      </c>
      <c r="B700" s="10">
        <v>1366577</v>
      </c>
      <c r="C700" s="10">
        <v>1</v>
      </c>
      <c r="D700" s="9">
        <v>188</v>
      </c>
      <c r="E700" s="11" t="s">
        <v>506</v>
      </c>
      <c r="F700" s="12" t="s">
        <v>507</v>
      </c>
      <c r="G700" s="9" t="s">
        <v>508</v>
      </c>
      <c r="H700" s="34"/>
      <c r="I700" s="55" t="str">
        <f t="shared" si="21"/>
        <v>https://permalinkbnd.bnportugal.gov.pt/viewer/14594/?offset=#page=188&amp;viewer=picture&amp;o=info&amp;n=0&amp;q=</v>
      </c>
      <c r="J700" s="45"/>
      <c r="K700" s="45"/>
      <c r="L700" s="45"/>
      <c r="M700" t="s">
        <v>506</v>
      </c>
      <c r="N700">
        <v>14594</v>
      </c>
      <c r="O700" t="str">
        <f t="shared" si="20"/>
        <v>https://permalinkbnd.bnportugal.gov.pt/viewer/14594/?offset=#page=188&amp;viewer=picture&amp;o=info&amp;n=0&amp;q=</v>
      </c>
      <c r="P700">
        <v>1366577</v>
      </c>
      <c r="Q700" t="s">
        <v>506</v>
      </c>
      <c r="R700" t="s">
        <v>3204</v>
      </c>
      <c r="S700" t="s">
        <v>1178</v>
      </c>
      <c r="T700" t="s">
        <v>1362</v>
      </c>
      <c r="U700" t="s">
        <v>1192</v>
      </c>
      <c r="V700" t="s">
        <v>3205</v>
      </c>
      <c r="W700" t="s">
        <v>599</v>
      </c>
      <c r="X700" t="s">
        <v>599</v>
      </c>
      <c r="Y700" t="s">
        <v>1182</v>
      </c>
      <c r="Z700" t="s">
        <v>3206</v>
      </c>
      <c r="AA700">
        <v>1931</v>
      </c>
      <c r="AB700">
        <v>1931</v>
      </c>
      <c r="AC700" t="s">
        <v>3207</v>
      </c>
      <c r="AD700" t="s">
        <v>1185</v>
      </c>
      <c r="AE700" t="s">
        <v>599</v>
      </c>
      <c r="AF700" t="s">
        <v>599</v>
      </c>
      <c r="AG700" t="s">
        <v>3208</v>
      </c>
      <c r="AH700" t="s">
        <v>599</v>
      </c>
      <c r="AI700" t="s">
        <v>599</v>
      </c>
      <c r="AJ700" t="s">
        <v>3209</v>
      </c>
      <c r="AK700" t="s">
        <v>599</v>
      </c>
      <c r="AL700" t="s">
        <v>3210</v>
      </c>
      <c r="AM700" t="s">
        <v>1190</v>
      </c>
      <c r="AN700" t="s">
        <v>599</v>
      </c>
      <c r="AO700" t="s">
        <v>599</v>
      </c>
      <c r="AP700" t="s">
        <v>599</v>
      </c>
      <c r="AQ700" t="s">
        <v>599</v>
      </c>
      <c r="AR700" t="s">
        <v>599</v>
      </c>
      <c r="AS700" t="s">
        <v>599</v>
      </c>
      <c r="AT700" t="s">
        <v>599</v>
      </c>
    </row>
    <row r="701" spans="1:46" ht="135" x14ac:dyDescent="0.25">
      <c r="A701" s="2">
        <v>11879</v>
      </c>
      <c r="B701" s="10">
        <v>1366577</v>
      </c>
      <c r="C701" s="10">
        <v>1</v>
      </c>
      <c r="D701" s="9">
        <v>189</v>
      </c>
      <c r="E701" s="11" t="s">
        <v>506</v>
      </c>
      <c r="F701" s="12" t="s">
        <v>507</v>
      </c>
      <c r="G701" s="9" t="s">
        <v>508</v>
      </c>
      <c r="H701" s="34"/>
      <c r="I701" s="55" t="str">
        <f t="shared" si="21"/>
        <v>https://permalinkbnd.bnportugal.gov.pt/viewer/14594/?offset=#page=189&amp;viewer=picture&amp;o=info&amp;n=0&amp;q=</v>
      </c>
      <c r="J701" s="45"/>
      <c r="K701" s="45"/>
      <c r="L701" s="45"/>
      <c r="M701" t="s">
        <v>506</v>
      </c>
      <c r="N701">
        <v>14594</v>
      </c>
      <c r="O701" t="str">
        <f t="shared" si="20"/>
        <v>https://permalinkbnd.bnportugal.gov.pt/viewer/14594/?offset=#page=189&amp;viewer=picture&amp;o=info&amp;n=0&amp;q=</v>
      </c>
      <c r="P701">
        <v>1366577</v>
      </c>
      <c r="Q701" t="s">
        <v>506</v>
      </c>
      <c r="R701" t="s">
        <v>3204</v>
      </c>
      <c r="S701" t="s">
        <v>1178</v>
      </c>
      <c r="T701" t="s">
        <v>1362</v>
      </c>
      <c r="U701" t="s">
        <v>1192</v>
      </c>
      <c r="V701" t="s">
        <v>3205</v>
      </c>
      <c r="W701" t="s">
        <v>599</v>
      </c>
      <c r="X701" t="s">
        <v>599</v>
      </c>
      <c r="Y701" t="s">
        <v>1182</v>
      </c>
      <c r="Z701" t="s">
        <v>3206</v>
      </c>
      <c r="AA701">
        <v>1931</v>
      </c>
      <c r="AB701">
        <v>1931</v>
      </c>
      <c r="AC701" t="s">
        <v>3207</v>
      </c>
      <c r="AD701" t="s">
        <v>1185</v>
      </c>
      <c r="AE701" t="s">
        <v>599</v>
      </c>
      <c r="AF701" t="s">
        <v>599</v>
      </c>
      <c r="AG701" t="s">
        <v>3208</v>
      </c>
      <c r="AH701" t="s">
        <v>599</v>
      </c>
      <c r="AI701" t="s">
        <v>599</v>
      </c>
      <c r="AJ701" t="s">
        <v>3209</v>
      </c>
      <c r="AK701" t="s">
        <v>599</v>
      </c>
      <c r="AL701" t="s">
        <v>3210</v>
      </c>
      <c r="AM701" t="s">
        <v>1190</v>
      </c>
      <c r="AN701" t="s">
        <v>599</v>
      </c>
      <c r="AO701" t="s">
        <v>599</v>
      </c>
      <c r="AP701" t="s">
        <v>599</v>
      </c>
      <c r="AQ701" t="s">
        <v>599</v>
      </c>
      <c r="AR701" t="s">
        <v>599</v>
      </c>
      <c r="AS701" t="s">
        <v>599</v>
      </c>
      <c r="AT701" t="s">
        <v>599</v>
      </c>
    </row>
    <row r="702" spans="1:46" ht="135" x14ac:dyDescent="0.25">
      <c r="A702" s="2">
        <v>11880</v>
      </c>
      <c r="B702" s="10">
        <v>1366577</v>
      </c>
      <c r="C702" s="10">
        <v>1</v>
      </c>
      <c r="D702" s="9">
        <v>208</v>
      </c>
      <c r="E702" s="11" t="s">
        <v>506</v>
      </c>
      <c r="F702" s="12" t="s">
        <v>507</v>
      </c>
      <c r="G702" s="9" t="s">
        <v>508</v>
      </c>
      <c r="H702" s="34"/>
      <c r="I702" s="55" t="str">
        <f t="shared" si="21"/>
        <v>https://permalinkbnd.bnportugal.gov.pt/viewer/14594/?offset=#page=208&amp;viewer=picture&amp;o=info&amp;n=0&amp;q=</v>
      </c>
      <c r="J702" s="45"/>
      <c r="K702" s="45"/>
      <c r="L702" s="45"/>
      <c r="M702" t="s">
        <v>506</v>
      </c>
      <c r="N702">
        <v>14594</v>
      </c>
      <c r="O702" t="str">
        <f t="shared" si="20"/>
        <v>https://permalinkbnd.bnportugal.gov.pt/viewer/14594/?offset=#page=208&amp;viewer=picture&amp;o=info&amp;n=0&amp;q=</v>
      </c>
      <c r="P702">
        <v>1366577</v>
      </c>
      <c r="Q702" t="s">
        <v>506</v>
      </c>
      <c r="R702" t="s">
        <v>3204</v>
      </c>
      <c r="S702" t="s">
        <v>1178</v>
      </c>
      <c r="T702" t="s">
        <v>1362</v>
      </c>
      <c r="U702" t="s">
        <v>1192</v>
      </c>
      <c r="V702" t="s">
        <v>3205</v>
      </c>
      <c r="W702" t="s">
        <v>599</v>
      </c>
      <c r="X702" t="s">
        <v>599</v>
      </c>
      <c r="Y702" t="s">
        <v>1182</v>
      </c>
      <c r="Z702" t="s">
        <v>3206</v>
      </c>
      <c r="AA702">
        <v>1931</v>
      </c>
      <c r="AB702">
        <v>1931</v>
      </c>
      <c r="AC702" t="s">
        <v>3207</v>
      </c>
      <c r="AD702" t="s">
        <v>1185</v>
      </c>
      <c r="AE702" t="s">
        <v>599</v>
      </c>
      <c r="AF702" t="s">
        <v>599</v>
      </c>
      <c r="AG702" t="s">
        <v>3208</v>
      </c>
      <c r="AH702" t="s">
        <v>599</v>
      </c>
      <c r="AI702" t="s">
        <v>599</v>
      </c>
      <c r="AJ702" t="s">
        <v>3209</v>
      </c>
      <c r="AK702" t="s">
        <v>599</v>
      </c>
      <c r="AL702" t="s">
        <v>3210</v>
      </c>
      <c r="AM702" t="s">
        <v>1190</v>
      </c>
      <c r="AN702" t="s">
        <v>599</v>
      </c>
      <c r="AO702" t="s">
        <v>599</v>
      </c>
      <c r="AP702" t="s">
        <v>599</v>
      </c>
      <c r="AQ702" t="s">
        <v>599</v>
      </c>
      <c r="AR702" t="s">
        <v>599</v>
      </c>
      <c r="AS702" t="s">
        <v>599</v>
      </c>
      <c r="AT702" t="s">
        <v>599</v>
      </c>
    </row>
    <row r="703" spans="1:46" ht="135" x14ac:dyDescent="0.25">
      <c r="A703" s="2">
        <v>11881</v>
      </c>
      <c r="B703" s="10">
        <v>1366577</v>
      </c>
      <c r="C703" s="10">
        <v>1</v>
      </c>
      <c r="D703" s="9">
        <v>209</v>
      </c>
      <c r="E703" s="11" t="s">
        <v>506</v>
      </c>
      <c r="F703" s="12" t="s">
        <v>507</v>
      </c>
      <c r="G703" s="9" t="s">
        <v>508</v>
      </c>
      <c r="H703" s="34"/>
      <c r="I703" s="55" t="str">
        <f t="shared" si="21"/>
        <v>https://permalinkbnd.bnportugal.gov.pt/viewer/14594/?offset=#page=209&amp;viewer=picture&amp;o=info&amp;n=0&amp;q=</v>
      </c>
      <c r="J703" s="45"/>
      <c r="K703" s="45"/>
      <c r="L703" s="45"/>
      <c r="M703" t="s">
        <v>506</v>
      </c>
      <c r="N703">
        <v>14594</v>
      </c>
      <c r="O703" t="str">
        <f t="shared" si="20"/>
        <v>https://permalinkbnd.bnportugal.gov.pt/viewer/14594/?offset=#page=209&amp;viewer=picture&amp;o=info&amp;n=0&amp;q=</v>
      </c>
      <c r="P703">
        <v>1366577</v>
      </c>
      <c r="Q703" t="s">
        <v>506</v>
      </c>
      <c r="R703" t="s">
        <v>3204</v>
      </c>
      <c r="S703" t="s">
        <v>1178</v>
      </c>
      <c r="T703" t="s">
        <v>1362</v>
      </c>
      <c r="U703" t="s">
        <v>1192</v>
      </c>
      <c r="V703" t="s">
        <v>3205</v>
      </c>
      <c r="W703" t="s">
        <v>599</v>
      </c>
      <c r="X703" t="s">
        <v>599</v>
      </c>
      <c r="Y703" t="s">
        <v>1182</v>
      </c>
      <c r="Z703" t="s">
        <v>3206</v>
      </c>
      <c r="AA703">
        <v>1931</v>
      </c>
      <c r="AB703">
        <v>1931</v>
      </c>
      <c r="AC703" t="s">
        <v>3207</v>
      </c>
      <c r="AD703" t="s">
        <v>1185</v>
      </c>
      <c r="AE703" t="s">
        <v>599</v>
      </c>
      <c r="AF703" t="s">
        <v>599</v>
      </c>
      <c r="AG703" t="s">
        <v>3208</v>
      </c>
      <c r="AH703" t="s">
        <v>599</v>
      </c>
      <c r="AI703" t="s">
        <v>599</v>
      </c>
      <c r="AJ703" t="s">
        <v>3209</v>
      </c>
      <c r="AK703" t="s">
        <v>599</v>
      </c>
      <c r="AL703" t="s">
        <v>3210</v>
      </c>
      <c r="AM703" t="s">
        <v>1190</v>
      </c>
      <c r="AN703" t="s">
        <v>599</v>
      </c>
      <c r="AO703" t="s">
        <v>599</v>
      </c>
      <c r="AP703" t="s">
        <v>599</v>
      </c>
      <c r="AQ703" t="s">
        <v>599</v>
      </c>
      <c r="AR703" t="s">
        <v>599</v>
      </c>
      <c r="AS703" t="s">
        <v>599</v>
      </c>
      <c r="AT703" t="s">
        <v>599</v>
      </c>
    </row>
    <row r="704" spans="1:46" ht="135" x14ac:dyDescent="0.25">
      <c r="A704" s="2">
        <v>11882</v>
      </c>
      <c r="B704" s="10">
        <v>1366577</v>
      </c>
      <c r="C704" s="10">
        <v>1</v>
      </c>
      <c r="D704" s="9">
        <v>228</v>
      </c>
      <c r="E704" s="11" t="s">
        <v>506</v>
      </c>
      <c r="F704" s="12" t="s">
        <v>507</v>
      </c>
      <c r="G704" s="9" t="s">
        <v>508</v>
      </c>
      <c r="H704" s="34"/>
      <c r="I704" s="55" t="str">
        <f t="shared" si="21"/>
        <v>https://permalinkbnd.bnportugal.gov.pt/viewer/14594/?offset=#page=228&amp;viewer=picture&amp;o=info&amp;n=0&amp;q=</v>
      </c>
      <c r="J704" s="45"/>
      <c r="K704" s="45"/>
      <c r="L704" s="45"/>
      <c r="M704" t="s">
        <v>506</v>
      </c>
      <c r="N704">
        <v>14594</v>
      </c>
      <c r="O704" t="str">
        <f t="shared" si="20"/>
        <v>https://permalinkbnd.bnportugal.gov.pt/viewer/14594/?offset=#page=228&amp;viewer=picture&amp;o=info&amp;n=0&amp;q=</v>
      </c>
      <c r="P704">
        <v>1366577</v>
      </c>
      <c r="Q704" t="s">
        <v>506</v>
      </c>
      <c r="R704" t="s">
        <v>3204</v>
      </c>
      <c r="S704" t="s">
        <v>1178</v>
      </c>
      <c r="T704" t="s">
        <v>1362</v>
      </c>
      <c r="U704" t="s">
        <v>1192</v>
      </c>
      <c r="V704" t="s">
        <v>3205</v>
      </c>
      <c r="W704" t="s">
        <v>599</v>
      </c>
      <c r="X704" t="s">
        <v>599</v>
      </c>
      <c r="Y704" t="s">
        <v>1182</v>
      </c>
      <c r="Z704" t="s">
        <v>3206</v>
      </c>
      <c r="AA704">
        <v>1931</v>
      </c>
      <c r="AB704">
        <v>1931</v>
      </c>
      <c r="AC704" t="s">
        <v>3207</v>
      </c>
      <c r="AD704" t="s">
        <v>1185</v>
      </c>
      <c r="AE704" t="s">
        <v>599</v>
      </c>
      <c r="AF704" t="s">
        <v>599</v>
      </c>
      <c r="AG704" t="s">
        <v>3208</v>
      </c>
      <c r="AH704" t="s">
        <v>599</v>
      </c>
      <c r="AI704" t="s">
        <v>599</v>
      </c>
      <c r="AJ704" t="s">
        <v>3209</v>
      </c>
      <c r="AK704" t="s">
        <v>599</v>
      </c>
      <c r="AL704" t="s">
        <v>3210</v>
      </c>
      <c r="AM704" t="s">
        <v>1190</v>
      </c>
      <c r="AN704" t="s">
        <v>599</v>
      </c>
      <c r="AO704" t="s">
        <v>599</v>
      </c>
      <c r="AP704" t="s">
        <v>599</v>
      </c>
      <c r="AQ704" t="s">
        <v>599</v>
      </c>
      <c r="AR704" t="s">
        <v>599</v>
      </c>
      <c r="AS704" t="s">
        <v>599</v>
      </c>
      <c r="AT704" t="s">
        <v>599</v>
      </c>
    </row>
    <row r="705" spans="1:46" ht="135" x14ac:dyDescent="0.25">
      <c r="A705" s="2">
        <v>11883</v>
      </c>
      <c r="B705" s="10">
        <v>1366577</v>
      </c>
      <c r="C705" s="10">
        <v>1</v>
      </c>
      <c r="D705" s="9">
        <v>229</v>
      </c>
      <c r="E705" s="11" t="s">
        <v>506</v>
      </c>
      <c r="F705" s="12" t="s">
        <v>507</v>
      </c>
      <c r="G705" s="9" t="s">
        <v>508</v>
      </c>
      <c r="H705" s="34"/>
      <c r="I705" s="55" t="str">
        <f t="shared" si="21"/>
        <v>https://permalinkbnd.bnportugal.gov.pt/viewer/14594/?offset=#page=229&amp;viewer=picture&amp;o=info&amp;n=0&amp;q=</v>
      </c>
      <c r="J705" s="45"/>
      <c r="K705" s="45"/>
      <c r="L705" s="45"/>
      <c r="M705" t="s">
        <v>506</v>
      </c>
      <c r="N705">
        <v>14594</v>
      </c>
      <c r="O705" t="str">
        <f t="shared" si="20"/>
        <v>https://permalinkbnd.bnportugal.gov.pt/viewer/14594/?offset=#page=229&amp;viewer=picture&amp;o=info&amp;n=0&amp;q=</v>
      </c>
      <c r="P705">
        <v>1366577</v>
      </c>
      <c r="Q705" t="s">
        <v>506</v>
      </c>
      <c r="R705" t="s">
        <v>3204</v>
      </c>
      <c r="S705" t="s">
        <v>1178</v>
      </c>
      <c r="T705" t="s">
        <v>1362</v>
      </c>
      <c r="U705" t="s">
        <v>1192</v>
      </c>
      <c r="V705" t="s">
        <v>3205</v>
      </c>
      <c r="W705" t="s">
        <v>599</v>
      </c>
      <c r="X705" t="s">
        <v>599</v>
      </c>
      <c r="Y705" t="s">
        <v>1182</v>
      </c>
      <c r="Z705" t="s">
        <v>3206</v>
      </c>
      <c r="AA705">
        <v>1931</v>
      </c>
      <c r="AB705">
        <v>1931</v>
      </c>
      <c r="AC705" t="s">
        <v>3207</v>
      </c>
      <c r="AD705" t="s">
        <v>1185</v>
      </c>
      <c r="AE705" t="s">
        <v>599</v>
      </c>
      <c r="AF705" t="s">
        <v>599</v>
      </c>
      <c r="AG705" t="s">
        <v>3208</v>
      </c>
      <c r="AH705" t="s">
        <v>599</v>
      </c>
      <c r="AI705" t="s">
        <v>599</v>
      </c>
      <c r="AJ705" t="s">
        <v>3209</v>
      </c>
      <c r="AK705" t="s">
        <v>599</v>
      </c>
      <c r="AL705" t="s">
        <v>3210</v>
      </c>
      <c r="AM705" t="s">
        <v>1190</v>
      </c>
      <c r="AN705" t="s">
        <v>599</v>
      </c>
      <c r="AO705" t="s">
        <v>599</v>
      </c>
      <c r="AP705" t="s">
        <v>599</v>
      </c>
      <c r="AQ705" t="s">
        <v>599</v>
      </c>
      <c r="AR705" t="s">
        <v>599</v>
      </c>
      <c r="AS705" t="s">
        <v>599</v>
      </c>
      <c r="AT705" t="s">
        <v>599</v>
      </c>
    </row>
    <row r="706" spans="1:46" ht="30" x14ac:dyDescent="0.25">
      <c r="A706" s="2">
        <v>11935</v>
      </c>
      <c r="B706" s="10">
        <v>1917811</v>
      </c>
      <c r="C706" s="10">
        <v>1</v>
      </c>
      <c r="D706" s="9">
        <v>1</v>
      </c>
      <c r="E706" s="11" t="s">
        <v>509</v>
      </c>
      <c r="F706" s="12">
        <v>1</v>
      </c>
      <c r="G706" s="9">
        <v>1</v>
      </c>
      <c r="H706" s="34"/>
      <c r="I706" s="55" t="str">
        <f t="shared" si="21"/>
        <v>https://permalinkbnd.bnportugal.gov.pt/viewer/89062/?offset=#page=1&amp;viewer=picture&amp;o=info&amp;n=0&amp;q=</v>
      </c>
      <c r="J706" s="45"/>
      <c r="K706" s="45"/>
      <c r="L706" s="45"/>
      <c r="M706" t="s">
        <v>509</v>
      </c>
      <c r="N706">
        <v>89062</v>
      </c>
      <c r="O706" t="str">
        <f t="shared" ref="O706:O769" si="22">CONCATENATE("https://permalinkbnd.bnportugal.gov.pt/viewer/",N706,"/?offset=#page=",D706,"&amp;viewer=picture&amp;o=info&amp;n=0&amp;q=")</f>
        <v>https://permalinkbnd.bnportugal.gov.pt/viewer/89062/?offset=#page=1&amp;viewer=picture&amp;o=info&amp;n=0&amp;q=</v>
      </c>
      <c r="P706">
        <v>1917811</v>
      </c>
      <c r="Q706" t="s">
        <v>509</v>
      </c>
      <c r="R706" t="s">
        <v>3211</v>
      </c>
      <c r="S706" t="s">
        <v>1312</v>
      </c>
      <c r="T706" t="s">
        <v>1502</v>
      </c>
      <c r="U706" t="s">
        <v>599</v>
      </c>
      <c r="V706" t="s">
        <v>3212</v>
      </c>
      <c r="W706" t="s">
        <v>3213</v>
      </c>
      <c r="X706" t="s">
        <v>599</v>
      </c>
      <c r="Y706" t="s">
        <v>1182</v>
      </c>
      <c r="Z706" t="s">
        <v>3214</v>
      </c>
      <c r="AA706">
        <v>1980</v>
      </c>
      <c r="AB706">
        <v>1980</v>
      </c>
      <c r="AC706" t="s">
        <v>2056</v>
      </c>
      <c r="AD706" t="s">
        <v>599</v>
      </c>
      <c r="AE706" t="s">
        <v>599</v>
      </c>
      <c r="AF706" t="s">
        <v>599</v>
      </c>
      <c r="AG706" t="s">
        <v>599</v>
      </c>
      <c r="AH706" t="s">
        <v>599</v>
      </c>
      <c r="AI706" t="s">
        <v>599</v>
      </c>
      <c r="AJ706" t="s">
        <v>3215</v>
      </c>
      <c r="AK706" t="s">
        <v>599</v>
      </c>
      <c r="AL706" t="s">
        <v>3216</v>
      </c>
      <c r="AM706" t="s">
        <v>1190</v>
      </c>
      <c r="AN706" t="s">
        <v>599</v>
      </c>
      <c r="AO706" t="s">
        <v>599</v>
      </c>
      <c r="AP706" t="s">
        <v>599</v>
      </c>
      <c r="AQ706" t="s">
        <v>3217</v>
      </c>
      <c r="AR706" t="s">
        <v>599</v>
      </c>
      <c r="AS706" t="s">
        <v>599</v>
      </c>
      <c r="AT706" t="s">
        <v>599</v>
      </c>
    </row>
    <row r="707" spans="1:46" ht="30" x14ac:dyDescent="0.25">
      <c r="A707" s="2">
        <v>11981</v>
      </c>
      <c r="B707" s="10">
        <v>2186705</v>
      </c>
      <c r="C707" s="10">
        <v>1</v>
      </c>
      <c r="D707" s="9">
        <v>4</v>
      </c>
      <c r="E707" s="11" t="s">
        <v>510</v>
      </c>
      <c r="F707" s="12" t="s">
        <v>511</v>
      </c>
      <c r="G707" s="9">
        <v>4</v>
      </c>
      <c r="H707" s="34"/>
      <c r="I707" s="55" t="str">
        <f t="shared" ref="I707:I770" si="23">HYPERLINK(O707)</f>
        <v>https://permalinkbnd.bnportugal.gov.pt/viewer/272813/?offset=#page=4&amp;viewer=picture&amp;o=info&amp;n=0&amp;q=</v>
      </c>
      <c r="J707" s="45"/>
      <c r="K707" s="45"/>
      <c r="L707" s="45"/>
      <c r="M707" t="s">
        <v>510</v>
      </c>
      <c r="N707">
        <v>272813</v>
      </c>
      <c r="O707" t="str">
        <f t="shared" si="22"/>
        <v>https://permalinkbnd.bnportugal.gov.pt/viewer/272813/?offset=#page=4&amp;viewer=picture&amp;o=info&amp;n=0&amp;q=</v>
      </c>
      <c r="P707">
        <v>2186705</v>
      </c>
      <c r="Q707" t="s">
        <v>510</v>
      </c>
      <c r="R707" t="s">
        <v>3218</v>
      </c>
      <c r="S707" t="s">
        <v>1178</v>
      </c>
      <c r="T707" t="s">
        <v>1192</v>
      </c>
      <c r="U707" t="s">
        <v>599</v>
      </c>
      <c r="V707" t="s">
        <v>3219</v>
      </c>
      <c r="W707" t="s">
        <v>3220</v>
      </c>
      <c r="X707" t="s">
        <v>599</v>
      </c>
      <c r="Y707" t="s">
        <v>1182</v>
      </c>
      <c r="Z707" t="s">
        <v>3221</v>
      </c>
      <c r="AA707">
        <v>1867</v>
      </c>
      <c r="AB707">
        <v>1867</v>
      </c>
      <c r="AC707" t="s">
        <v>3222</v>
      </c>
      <c r="AD707" t="s">
        <v>599</v>
      </c>
      <c r="AE707" t="s">
        <v>599</v>
      </c>
      <c r="AF707" t="s">
        <v>599</v>
      </c>
      <c r="AG707" t="s">
        <v>599</v>
      </c>
      <c r="AH707" t="s">
        <v>599</v>
      </c>
      <c r="AI707" t="s">
        <v>599</v>
      </c>
      <c r="AJ707" t="s">
        <v>3223</v>
      </c>
      <c r="AK707" t="s">
        <v>599</v>
      </c>
      <c r="AL707" t="s">
        <v>3224</v>
      </c>
      <c r="AM707" t="s">
        <v>1190</v>
      </c>
      <c r="AN707" t="s">
        <v>599</v>
      </c>
      <c r="AO707" t="s">
        <v>599</v>
      </c>
      <c r="AP707" t="s">
        <v>3225</v>
      </c>
      <c r="AQ707" t="s">
        <v>599</v>
      </c>
      <c r="AR707" t="s">
        <v>599</v>
      </c>
      <c r="AS707" t="s">
        <v>599</v>
      </c>
      <c r="AT707" t="s">
        <v>599</v>
      </c>
    </row>
    <row r="708" spans="1:46" ht="30" x14ac:dyDescent="0.25">
      <c r="A708" s="2">
        <v>12013</v>
      </c>
      <c r="B708" s="10">
        <v>252584</v>
      </c>
      <c r="C708" s="10">
        <v>1</v>
      </c>
      <c r="D708" s="9">
        <v>13</v>
      </c>
      <c r="E708" s="11" t="s">
        <v>512</v>
      </c>
      <c r="F708" s="12" t="s">
        <v>152</v>
      </c>
      <c r="G708" s="9">
        <v>13</v>
      </c>
      <c r="H708" s="34"/>
      <c r="I708" s="55" t="str">
        <f t="shared" si="23"/>
        <v>https://permalinkbnd.bnportugal.gov.pt/viewer/279095/?offset=#page=13&amp;viewer=picture&amp;o=info&amp;n=0&amp;q=</v>
      </c>
      <c r="J708" s="45"/>
      <c r="K708" s="45"/>
      <c r="L708" s="45"/>
      <c r="M708" t="s">
        <v>512</v>
      </c>
      <c r="N708">
        <v>279095</v>
      </c>
      <c r="O708" t="str">
        <f t="shared" si="22"/>
        <v>https://permalinkbnd.bnportugal.gov.pt/viewer/279095/?offset=#page=13&amp;viewer=picture&amp;o=info&amp;n=0&amp;q=</v>
      </c>
      <c r="P708">
        <v>252584</v>
      </c>
      <c r="Q708" t="s">
        <v>512</v>
      </c>
      <c r="R708" t="s">
        <v>3226</v>
      </c>
      <c r="S708" t="s">
        <v>1178</v>
      </c>
      <c r="T708" t="s">
        <v>1192</v>
      </c>
      <c r="U708" t="s">
        <v>599</v>
      </c>
      <c r="V708" t="s">
        <v>3227</v>
      </c>
      <c r="W708" t="s">
        <v>599</v>
      </c>
      <c r="X708" t="s">
        <v>599</v>
      </c>
      <c r="Y708" t="s">
        <v>1182</v>
      </c>
      <c r="Z708" t="s">
        <v>3228</v>
      </c>
      <c r="AA708">
        <v>1880</v>
      </c>
      <c r="AB708">
        <v>1880</v>
      </c>
      <c r="AC708" t="s">
        <v>1935</v>
      </c>
      <c r="AD708" t="s">
        <v>1185</v>
      </c>
      <c r="AE708" t="s">
        <v>599</v>
      </c>
      <c r="AF708" t="s">
        <v>599</v>
      </c>
      <c r="AG708" t="s">
        <v>3229</v>
      </c>
      <c r="AH708" t="s">
        <v>599</v>
      </c>
      <c r="AI708" t="s">
        <v>599</v>
      </c>
      <c r="AJ708" t="s">
        <v>3230</v>
      </c>
      <c r="AK708" t="s">
        <v>1188</v>
      </c>
      <c r="AL708" t="s">
        <v>3231</v>
      </c>
      <c r="AM708" t="s">
        <v>1190</v>
      </c>
      <c r="AN708" t="s">
        <v>599</v>
      </c>
      <c r="AO708" t="s">
        <v>599</v>
      </c>
      <c r="AP708" t="s">
        <v>599</v>
      </c>
      <c r="AQ708" t="s">
        <v>599</v>
      </c>
      <c r="AR708" t="s">
        <v>599</v>
      </c>
      <c r="AS708" t="s">
        <v>599</v>
      </c>
      <c r="AT708" t="s">
        <v>599</v>
      </c>
    </row>
    <row r="709" spans="1:46" ht="30" x14ac:dyDescent="0.25">
      <c r="A709" s="2">
        <v>12019</v>
      </c>
      <c r="B709" s="10">
        <v>370691</v>
      </c>
      <c r="C709" s="10">
        <v>1</v>
      </c>
      <c r="D709" s="9">
        <v>15</v>
      </c>
      <c r="E709" s="11" t="s">
        <v>513</v>
      </c>
      <c r="F709" s="12" t="s">
        <v>514</v>
      </c>
      <c r="G709" s="9"/>
      <c r="H709" s="34"/>
      <c r="I709" s="55" t="str">
        <f t="shared" si="23"/>
        <v>https://permalinkbnd.bnportugal.gov.pt/viewer/278400/?offset=#page=15&amp;viewer=picture&amp;o=info&amp;n=0&amp;q=</v>
      </c>
      <c r="J709" s="45"/>
      <c r="K709" s="45"/>
      <c r="L709" s="45"/>
      <c r="M709" t="s">
        <v>513</v>
      </c>
      <c r="N709">
        <v>278400</v>
      </c>
      <c r="O709" t="str">
        <f t="shared" si="22"/>
        <v>https://permalinkbnd.bnportugal.gov.pt/viewer/278400/?offset=#page=15&amp;viewer=picture&amp;o=info&amp;n=0&amp;q=</v>
      </c>
      <c r="P709">
        <v>370691</v>
      </c>
      <c r="Q709" t="s">
        <v>513</v>
      </c>
      <c r="R709" t="s">
        <v>3232</v>
      </c>
      <c r="S709" t="s">
        <v>1178</v>
      </c>
      <c r="T709" t="s">
        <v>1192</v>
      </c>
      <c r="U709" t="s">
        <v>599</v>
      </c>
      <c r="V709" t="s">
        <v>3233</v>
      </c>
      <c r="W709" t="s">
        <v>599</v>
      </c>
      <c r="X709" t="s">
        <v>599</v>
      </c>
      <c r="Y709" t="s">
        <v>1182</v>
      </c>
      <c r="Z709" t="s">
        <v>1571</v>
      </c>
      <c r="AA709">
        <v>1880</v>
      </c>
      <c r="AB709">
        <v>1880</v>
      </c>
      <c r="AC709" t="s">
        <v>1774</v>
      </c>
      <c r="AD709" t="s">
        <v>1185</v>
      </c>
      <c r="AE709" t="s">
        <v>599</v>
      </c>
      <c r="AF709" t="s">
        <v>599</v>
      </c>
      <c r="AG709" t="s">
        <v>599</v>
      </c>
      <c r="AH709" t="s">
        <v>599</v>
      </c>
      <c r="AI709" t="s">
        <v>599</v>
      </c>
      <c r="AJ709" t="s">
        <v>3234</v>
      </c>
      <c r="AK709" t="s">
        <v>1188</v>
      </c>
      <c r="AL709" t="s">
        <v>3235</v>
      </c>
      <c r="AM709" t="s">
        <v>1190</v>
      </c>
      <c r="AN709" t="s">
        <v>599</v>
      </c>
      <c r="AO709" t="s">
        <v>599</v>
      </c>
      <c r="AP709" t="s">
        <v>599</v>
      </c>
      <c r="AQ709" t="s">
        <v>599</v>
      </c>
      <c r="AR709" t="s">
        <v>599</v>
      </c>
      <c r="AS709" t="s">
        <v>599</v>
      </c>
      <c r="AT709" t="s">
        <v>599</v>
      </c>
    </row>
    <row r="710" spans="1:46" ht="30" x14ac:dyDescent="0.25">
      <c r="A710" s="2"/>
      <c r="B710" s="23">
        <v>370691</v>
      </c>
      <c r="C710" s="23">
        <v>1</v>
      </c>
      <c r="D710" s="27" t="s">
        <v>1135</v>
      </c>
      <c r="E710" s="24" t="s">
        <v>513</v>
      </c>
      <c r="F710" s="25" t="s">
        <v>514</v>
      </c>
      <c r="G710" s="22"/>
      <c r="H710" s="27" t="s">
        <v>1139</v>
      </c>
      <c r="I710" s="55" t="str">
        <f t="shared" si="23"/>
        <v>https://permalinkbnd.bnportugal.gov.pt/viewer/278400/?offset=#page=117 vs. 109&amp;viewer=picture&amp;o=info&amp;n=0&amp;q=</v>
      </c>
      <c r="J710" s="45"/>
      <c r="K710" s="45"/>
      <c r="L710" s="45"/>
      <c r="M710" t="s">
        <v>513</v>
      </c>
      <c r="N710">
        <v>278400</v>
      </c>
      <c r="O710" t="str">
        <f t="shared" si="22"/>
        <v>https://permalinkbnd.bnportugal.gov.pt/viewer/278400/?offset=#page=117 vs. 109&amp;viewer=picture&amp;o=info&amp;n=0&amp;q=</v>
      </c>
      <c r="P710">
        <v>370691</v>
      </c>
      <c r="Q710" t="s">
        <v>513</v>
      </c>
      <c r="R710" t="s">
        <v>3232</v>
      </c>
      <c r="S710" t="s">
        <v>1178</v>
      </c>
      <c r="T710" t="s">
        <v>1192</v>
      </c>
      <c r="U710" t="s">
        <v>599</v>
      </c>
      <c r="V710" t="s">
        <v>3233</v>
      </c>
      <c r="W710" t="s">
        <v>599</v>
      </c>
      <c r="X710" t="s">
        <v>599</v>
      </c>
      <c r="Y710" t="s">
        <v>1182</v>
      </c>
      <c r="Z710" t="s">
        <v>1571</v>
      </c>
      <c r="AA710">
        <v>1880</v>
      </c>
      <c r="AB710">
        <v>1880</v>
      </c>
      <c r="AC710" t="s">
        <v>1774</v>
      </c>
      <c r="AD710" t="s">
        <v>1185</v>
      </c>
      <c r="AE710" t="s">
        <v>599</v>
      </c>
      <c r="AF710" t="s">
        <v>599</v>
      </c>
      <c r="AG710" t="s">
        <v>599</v>
      </c>
      <c r="AH710" t="s">
        <v>599</v>
      </c>
      <c r="AI710" t="s">
        <v>599</v>
      </c>
      <c r="AJ710" t="s">
        <v>3234</v>
      </c>
      <c r="AK710" t="s">
        <v>1188</v>
      </c>
      <c r="AL710" t="s">
        <v>3235</v>
      </c>
      <c r="AM710" t="s">
        <v>1190</v>
      </c>
      <c r="AN710" t="s">
        <v>599</v>
      </c>
      <c r="AO710" t="s">
        <v>599</v>
      </c>
      <c r="AP710" t="s">
        <v>599</v>
      </c>
      <c r="AQ710" t="s">
        <v>599</v>
      </c>
      <c r="AR710" t="s">
        <v>599</v>
      </c>
      <c r="AS710" t="s">
        <v>599</v>
      </c>
      <c r="AT710" t="s">
        <v>599</v>
      </c>
    </row>
    <row r="711" spans="1:46" ht="30" x14ac:dyDescent="0.25">
      <c r="A711" s="2"/>
      <c r="B711" s="10">
        <v>370691</v>
      </c>
      <c r="C711" s="10">
        <v>1</v>
      </c>
      <c r="D711" s="9">
        <v>121</v>
      </c>
      <c r="E711" s="11" t="s">
        <v>513</v>
      </c>
      <c r="F711" s="12" t="s">
        <v>514</v>
      </c>
      <c r="G711" s="9"/>
      <c r="H711" s="34"/>
      <c r="I711" s="55" t="str">
        <f t="shared" si="23"/>
        <v>https://permalinkbnd.bnportugal.gov.pt/viewer/278400/?offset=#page=121&amp;viewer=picture&amp;o=info&amp;n=0&amp;q=</v>
      </c>
      <c r="J711" s="45"/>
      <c r="K711" s="45"/>
      <c r="L711" s="45"/>
      <c r="M711" t="s">
        <v>513</v>
      </c>
      <c r="N711">
        <v>278400</v>
      </c>
      <c r="O711" t="str">
        <f t="shared" si="22"/>
        <v>https://permalinkbnd.bnportugal.gov.pt/viewer/278400/?offset=#page=121&amp;viewer=picture&amp;o=info&amp;n=0&amp;q=</v>
      </c>
      <c r="P711">
        <v>370691</v>
      </c>
      <c r="Q711" t="s">
        <v>513</v>
      </c>
      <c r="R711" t="s">
        <v>3232</v>
      </c>
      <c r="S711" t="s">
        <v>1178</v>
      </c>
      <c r="T711" t="s">
        <v>1192</v>
      </c>
      <c r="U711" t="s">
        <v>599</v>
      </c>
      <c r="V711" t="s">
        <v>3233</v>
      </c>
      <c r="W711" t="s">
        <v>599</v>
      </c>
      <c r="X711" t="s">
        <v>599</v>
      </c>
      <c r="Y711" t="s">
        <v>1182</v>
      </c>
      <c r="Z711" t="s">
        <v>1571</v>
      </c>
      <c r="AA711">
        <v>1880</v>
      </c>
      <c r="AB711">
        <v>1880</v>
      </c>
      <c r="AC711" t="s">
        <v>1774</v>
      </c>
      <c r="AD711" t="s">
        <v>1185</v>
      </c>
      <c r="AE711" t="s">
        <v>599</v>
      </c>
      <c r="AF711" t="s">
        <v>599</v>
      </c>
      <c r="AG711" t="s">
        <v>599</v>
      </c>
      <c r="AH711" t="s">
        <v>599</v>
      </c>
      <c r="AI711" t="s">
        <v>599</v>
      </c>
      <c r="AJ711" t="s">
        <v>3234</v>
      </c>
      <c r="AK711" t="s">
        <v>1188</v>
      </c>
      <c r="AL711" t="s">
        <v>3235</v>
      </c>
      <c r="AM711" t="s">
        <v>1190</v>
      </c>
      <c r="AN711" t="s">
        <v>599</v>
      </c>
      <c r="AO711" t="s">
        <v>599</v>
      </c>
      <c r="AP711" t="s">
        <v>599</v>
      </c>
      <c r="AQ711" t="s">
        <v>599</v>
      </c>
      <c r="AR711" t="s">
        <v>599</v>
      </c>
      <c r="AS711" t="s">
        <v>599</v>
      </c>
      <c r="AT711" t="s">
        <v>599</v>
      </c>
    </row>
    <row r="712" spans="1:46" ht="30" x14ac:dyDescent="0.25">
      <c r="A712" s="2"/>
      <c r="B712" s="23">
        <v>370691</v>
      </c>
      <c r="C712" s="23">
        <v>1</v>
      </c>
      <c r="D712" s="27" t="s">
        <v>1136</v>
      </c>
      <c r="E712" s="24" t="s">
        <v>513</v>
      </c>
      <c r="F712" s="25" t="s">
        <v>514</v>
      </c>
      <c r="G712" s="22"/>
      <c r="H712" s="27" t="s">
        <v>1140</v>
      </c>
      <c r="I712" s="55" t="str">
        <f t="shared" si="23"/>
        <v>https://permalinkbnd.bnportugal.gov.pt/viewer/278400/?offset=#page=153 vs. 135&amp;viewer=picture&amp;o=info&amp;n=0&amp;q=</v>
      </c>
      <c r="J712" s="45"/>
      <c r="K712" s="45"/>
      <c r="L712" s="45"/>
      <c r="M712" t="s">
        <v>513</v>
      </c>
      <c r="N712">
        <v>278400</v>
      </c>
      <c r="O712" t="str">
        <f t="shared" si="22"/>
        <v>https://permalinkbnd.bnportugal.gov.pt/viewer/278400/?offset=#page=153 vs. 135&amp;viewer=picture&amp;o=info&amp;n=0&amp;q=</v>
      </c>
      <c r="P712">
        <v>370691</v>
      </c>
      <c r="Q712" t="s">
        <v>513</v>
      </c>
      <c r="R712" t="s">
        <v>3232</v>
      </c>
      <c r="S712" t="s">
        <v>1178</v>
      </c>
      <c r="T712" t="s">
        <v>1192</v>
      </c>
      <c r="U712" t="s">
        <v>599</v>
      </c>
      <c r="V712" t="s">
        <v>3233</v>
      </c>
      <c r="W712" t="s">
        <v>599</v>
      </c>
      <c r="X712" t="s">
        <v>599</v>
      </c>
      <c r="Y712" t="s">
        <v>1182</v>
      </c>
      <c r="Z712" t="s">
        <v>1571</v>
      </c>
      <c r="AA712">
        <v>1880</v>
      </c>
      <c r="AB712">
        <v>1880</v>
      </c>
      <c r="AC712" t="s">
        <v>1774</v>
      </c>
      <c r="AD712" t="s">
        <v>1185</v>
      </c>
      <c r="AE712" t="s">
        <v>599</v>
      </c>
      <c r="AF712" t="s">
        <v>599</v>
      </c>
      <c r="AG712" t="s">
        <v>599</v>
      </c>
      <c r="AH712" t="s">
        <v>599</v>
      </c>
      <c r="AI712" t="s">
        <v>599</v>
      </c>
      <c r="AJ712" t="s">
        <v>3234</v>
      </c>
      <c r="AK712" t="s">
        <v>1188</v>
      </c>
      <c r="AL712" t="s">
        <v>3235</v>
      </c>
      <c r="AM712" t="s">
        <v>1190</v>
      </c>
      <c r="AN712" t="s">
        <v>599</v>
      </c>
      <c r="AO712" t="s">
        <v>599</v>
      </c>
      <c r="AP712" t="s">
        <v>599</v>
      </c>
      <c r="AQ712" t="s">
        <v>599</v>
      </c>
      <c r="AR712" t="s">
        <v>599</v>
      </c>
      <c r="AS712" t="s">
        <v>599</v>
      </c>
      <c r="AT712" t="s">
        <v>599</v>
      </c>
    </row>
    <row r="713" spans="1:46" ht="30" x14ac:dyDescent="0.25">
      <c r="A713" s="2"/>
      <c r="B713" s="29">
        <v>370691</v>
      </c>
      <c r="C713" s="29">
        <v>1</v>
      </c>
      <c r="D713" s="28">
        <v>145</v>
      </c>
      <c r="E713" s="30" t="s">
        <v>513</v>
      </c>
      <c r="F713" s="31" t="s">
        <v>514</v>
      </c>
      <c r="G713" s="28"/>
      <c r="H713" s="35" t="s">
        <v>613</v>
      </c>
      <c r="I713" s="55" t="str">
        <f t="shared" si="23"/>
        <v>https://permalinkbnd.bnportugal.gov.pt/viewer/278400/?offset=#page=145&amp;viewer=picture&amp;o=info&amp;n=0&amp;q=</v>
      </c>
      <c r="J713" s="45"/>
      <c r="K713" s="45"/>
      <c r="L713" s="45"/>
      <c r="M713" t="s">
        <v>513</v>
      </c>
      <c r="N713">
        <v>278400</v>
      </c>
      <c r="O713" t="str">
        <f t="shared" si="22"/>
        <v>https://permalinkbnd.bnportugal.gov.pt/viewer/278400/?offset=#page=145&amp;viewer=picture&amp;o=info&amp;n=0&amp;q=</v>
      </c>
      <c r="P713">
        <v>370691</v>
      </c>
      <c r="Q713" t="s">
        <v>513</v>
      </c>
      <c r="R713" t="s">
        <v>3232</v>
      </c>
      <c r="S713" t="s">
        <v>1178</v>
      </c>
      <c r="T713" t="s">
        <v>1192</v>
      </c>
      <c r="U713" t="s">
        <v>599</v>
      </c>
      <c r="V713" t="s">
        <v>3233</v>
      </c>
      <c r="W713" t="s">
        <v>599</v>
      </c>
      <c r="X713" t="s">
        <v>599</v>
      </c>
      <c r="Y713" t="s">
        <v>1182</v>
      </c>
      <c r="Z713" t="s">
        <v>1571</v>
      </c>
      <c r="AA713">
        <v>1880</v>
      </c>
      <c r="AB713">
        <v>1880</v>
      </c>
      <c r="AC713" t="s">
        <v>1774</v>
      </c>
      <c r="AD713" t="s">
        <v>1185</v>
      </c>
      <c r="AE713" t="s">
        <v>599</v>
      </c>
      <c r="AF713" t="s">
        <v>599</v>
      </c>
      <c r="AG713" t="s">
        <v>599</v>
      </c>
      <c r="AH713" t="s">
        <v>599</v>
      </c>
      <c r="AI713" t="s">
        <v>599</v>
      </c>
      <c r="AJ713" t="s">
        <v>3234</v>
      </c>
      <c r="AK713" t="s">
        <v>1188</v>
      </c>
      <c r="AL713" t="s">
        <v>3235</v>
      </c>
      <c r="AM713" t="s">
        <v>1190</v>
      </c>
      <c r="AN713" t="s">
        <v>599</v>
      </c>
      <c r="AO713" t="s">
        <v>599</v>
      </c>
      <c r="AP713" t="s">
        <v>599</v>
      </c>
      <c r="AQ713" t="s">
        <v>599</v>
      </c>
      <c r="AR713" t="s">
        <v>599</v>
      </c>
      <c r="AS713" t="s">
        <v>599</v>
      </c>
      <c r="AT713" t="s">
        <v>599</v>
      </c>
    </row>
    <row r="714" spans="1:46" ht="30" x14ac:dyDescent="0.25">
      <c r="A714" s="2"/>
      <c r="B714" s="10">
        <v>370691</v>
      </c>
      <c r="C714" s="10">
        <v>1</v>
      </c>
      <c r="D714" s="9">
        <v>165</v>
      </c>
      <c r="E714" s="11" t="s">
        <v>513</v>
      </c>
      <c r="F714" s="12" t="s">
        <v>514</v>
      </c>
      <c r="G714" s="9"/>
      <c r="H714" s="34"/>
      <c r="I714" s="55" t="str">
        <f t="shared" si="23"/>
        <v>https://permalinkbnd.bnportugal.gov.pt/viewer/278400/?offset=#page=165&amp;viewer=picture&amp;o=info&amp;n=0&amp;q=</v>
      </c>
      <c r="J714" s="45"/>
      <c r="K714" s="45"/>
      <c r="L714" s="45"/>
      <c r="M714" t="s">
        <v>513</v>
      </c>
      <c r="N714">
        <v>278400</v>
      </c>
      <c r="O714" t="str">
        <f t="shared" si="22"/>
        <v>https://permalinkbnd.bnportugal.gov.pt/viewer/278400/?offset=#page=165&amp;viewer=picture&amp;o=info&amp;n=0&amp;q=</v>
      </c>
      <c r="P714">
        <v>370691</v>
      </c>
      <c r="Q714" t="s">
        <v>513</v>
      </c>
      <c r="R714" t="s">
        <v>3232</v>
      </c>
      <c r="S714" t="s">
        <v>1178</v>
      </c>
      <c r="T714" t="s">
        <v>1192</v>
      </c>
      <c r="U714" t="s">
        <v>599</v>
      </c>
      <c r="V714" t="s">
        <v>3233</v>
      </c>
      <c r="W714" t="s">
        <v>599</v>
      </c>
      <c r="X714" t="s">
        <v>599</v>
      </c>
      <c r="Y714" t="s">
        <v>1182</v>
      </c>
      <c r="Z714" t="s">
        <v>1571</v>
      </c>
      <c r="AA714">
        <v>1880</v>
      </c>
      <c r="AB714">
        <v>1880</v>
      </c>
      <c r="AC714" t="s">
        <v>1774</v>
      </c>
      <c r="AD714" t="s">
        <v>1185</v>
      </c>
      <c r="AE714" t="s">
        <v>599</v>
      </c>
      <c r="AF714" t="s">
        <v>599</v>
      </c>
      <c r="AG714" t="s">
        <v>599</v>
      </c>
      <c r="AH714" t="s">
        <v>599</v>
      </c>
      <c r="AI714" t="s">
        <v>599</v>
      </c>
      <c r="AJ714" t="s">
        <v>3234</v>
      </c>
      <c r="AK714" t="s">
        <v>1188</v>
      </c>
      <c r="AL714" t="s">
        <v>3235</v>
      </c>
      <c r="AM714" t="s">
        <v>1190</v>
      </c>
      <c r="AN714" t="s">
        <v>599</v>
      </c>
      <c r="AO714" t="s">
        <v>599</v>
      </c>
      <c r="AP714" t="s">
        <v>599</v>
      </c>
      <c r="AQ714" t="s">
        <v>599</v>
      </c>
      <c r="AR714" t="s">
        <v>599</v>
      </c>
      <c r="AS714" t="s">
        <v>599</v>
      </c>
      <c r="AT714" t="s">
        <v>599</v>
      </c>
    </row>
    <row r="715" spans="1:46" ht="30" x14ac:dyDescent="0.25">
      <c r="A715" s="2">
        <v>12026</v>
      </c>
      <c r="B715" s="10">
        <v>397797</v>
      </c>
      <c r="C715" s="10">
        <v>1</v>
      </c>
      <c r="D715" s="9">
        <v>5</v>
      </c>
      <c r="E715" s="11" t="s">
        <v>515</v>
      </c>
      <c r="F715" s="12" t="s">
        <v>516</v>
      </c>
      <c r="G715" s="9"/>
      <c r="H715" s="34"/>
      <c r="I715" s="55" t="str">
        <f t="shared" si="23"/>
        <v>https://permalinkbnd.bnportugal.gov.pt/viewer/278662/?offset=#page=5&amp;viewer=picture&amp;o=info&amp;n=0&amp;q=</v>
      </c>
      <c r="J715" s="45"/>
      <c r="K715" s="45"/>
      <c r="L715" s="45"/>
      <c r="M715" t="s">
        <v>515</v>
      </c>
      <c r="N715">
        <v>278662</v>
      </c>
      <c r="O715" t="str">
        <f t="shared" si="22"/>
        <v>https://permalinkbnd.bnportugal.gov.pt/viewer/278662/?offset=#page=5&amp;viewer=picture&amp;o=info&amp;n=0&amp;q=</v>
      </c>
      <c r="P715">
        <v>397797</v>
      </c>
      <c r="Q715" t="s">
        <v>515</v>
      </c>
      <c r="R715" t="s">
        <v>3236</v>
      </c>
      <c r="S715" t="s">
        <v>1178</v>
      </c>
      <c r="T715" t="s">
        <v>1192</v>
      </c>
      <c r="U715" t="s">
        <v>599</v>
      </c>
      <c r="V715" t="s">
        <v>1193</v>
      </c>
      <c r="W715" t="s">
        <v>3237</v>
      </c>
      <c r="X715" t="s">
        <v>599</v>
      </c>
      <c r="Y715" t="s">
        <v>1731</v>
      </c>
      <c r="Z715" t="s">
        <v>3238</v>
      </c>
      <c r="AA715">
        <v>1868</v>
      </c>
      <c r="AB715">
        <v>1868</v>
      </c>
      <c r="AC715" t="s">
        <v>3239</v>
      </c>
      <c r="AD715" t="s">
        <v>1185</v>
      </c>
      <c r="AE715" t="s">
        <v>599</v>
      </c>
      <c r="AF715" t="s">
        <v>599</v>
      </c>
      <c r="AG715" t="s">
        <v>599</v>
      </c>
      <c r="AH715" t="s">
        <v>599</v>
      </c>
      <c r="AI715" t="s">
        <v>599</v>
      </c>
      <c r="AJ715" t="s">
        <v>3240</v>
      </c>
      <c r="AK715" t="s">
        <v>1188</v>
      </c>
      <c r="AL715" t="s">
        <v>3241</v>
      </c>
      <c r="AM715" t="s">
        <v>1190</v>
      </c>
      <c r="AN715" t="s">
        <v>599</v>
      </c>
      <c r="AO715" t="s">
        <v>599</v>
      </c>
      <c r="AP715" t="s">
        <v>599</v>
      </c>
      <c r="AQ715" t="s">
        <v>599</v>
      </c>
      <c r="AR715" t="s">
        <v>599</v>
      </c>
      <c r="AS715" t="s">
        <v>599</v>
      </c>
      <c r="AT715" t="s">
        <v>599</v>
      </c>
    </row>
    <row r="716" spans="1:46" ht="30" x14ac:dyDescent="0.25">
      <c r="A716" s="2"/>
      <c r="B716" s="10">
        <v>397797</v>
      </c>
      <c r="C716" s="10">
        <v>1</v>
      </c>
      <c r="D716" s="9">
        <v>8</v>
      </c>
      <c r="E716" s="11" t="s">
        <v>515</v>
      </c>
      <c r="F716" s="12" t="s">
        <v>516</v>
      </c>
      <c r="G716" s="9"/>
      <c r="H716" s="34"/>
      <c r="I716" s="55" t="str">
        <f t="shared" si="23"/>
        <v>https://permalinkbnd.bnportugal.gov.pt/viewer/278662/?offset=#page=8&amp;viewer=picture&amp;o=info&amp;n=0&amp;q=</v>
      </c>
      <c r="J716" s="45"/>
      <c r="K716" s="45"/>
      <c r="L716" s="45"/>
      <c r="M716" t="s">
        <v>515</v>
      </c>
      <c r="N716">
        <v>278662</v>
      </c>
      <c r="O716" t="str">
        <f t="shared" si="22"/>
        <v>https://permalinkbnd.bnportugal.gov.pt/viewer/278662/?offset=#page=8&amp;viewer=picture&amp;o=info&amp;n=0&amp;q=</v>
      </c>
      <c r="P716">
        <v>397797</v>
      </c>
      <c r="Q716" t="s">
        <v>515</v>
      </c>
      <c r="R716" t="s">
        <v>3236</v>
      </c>
      <c r="S716" t="s">
        <v>1178</v>
      </c>
      <c r="T716" t="s">
        <v>1192</v>
      </c>
      <c r="U716" t="s">
        <v>599</v>
      </c>
      <c r="V716" t="s">
        <v>1193</v>
      </c>
      <c r="W716" t="s">
        <v>3237</v>
      </c>
      <c r="X716" t="s">
        <v>599</v>
      </c>
      <c r="Y716" t="s">
        <v>1731</v>
      </c>
      <c r="Z716" t="s">
        <v>3238</v>
      </c>
      <c r="AA716">
        <v>1868</v>
      </c>
      <c r="AB716">
        <v>1868</v>
      </c>
      <c r="AC716" t="s">
        <v>3239</v>
      </c>
      <c r="AD716" t="s">
        <v>1185</v>
      </c>
      <c r="AE716" t="s">
        <v>599</v>
      </c>
      <c r="AF716" t="s">
        <v>599</v>
      </c>
      <c r="AG716" t="s">
        <v>599</v>
      </c>
      <c r="AH716" t="s">
        <v>599</v>
      </c>
      <c r="AI716" t="s">
        <v>599</v>
      </c>
      <c r="AJ716" t="s">
        <v>3240</v>
      </c>
      <c r="AK716" t="s">
        <v>1188</v>
      </c>
      <c r="AL716" t="s">
        <v>3241</v>
      </c>
      <c r="AM716" t="s">
        <v>1190</v>
      </c>
      <c r="AN716" t="s">
        <v>599</v>
      </c>
      <c r="AO716" t="s">
        <v>599</v>
      </c>
      <c r="AP716" t="s">
        <v>599</v>
      </c>
      <c r="AQ716" t="s">
        <v>599</v>
      </c>
      <c r="AR716" t="s">
        <v>599</v>
      </c>
      <c r="AS716" t="s">
        <v>599</v>
      </c>
      <c r="AT716" t="s">
        <v>599</v>
      </c>
    </row>
    <row r="717" spans="1:46" ht="30" x14ac:dyDescent="0.25">
      <c r="A717" s="2">
        <v>12027</v>
      </c>
      <c r="B717" s="10">
        <v>397855</v>
      </c>
      <c r="C717" s="10">
        <v>1</v>
      </c>
      <c r="D717" s="9">
        <v>5</v>
      </c>
      <c r="E717" s="11" t="s">
        <v>517</v>
      </c>
      <c r="F717" s="12" t="s">
        <v>143</v>
      </c>
      <c r="G717" s="9"/>
      <c r="H717" s="34"/>
      <c r="I717" s="55" t="str">
        <f t="shared" si="23"/>
        <v>https://permalinkbnd.bnportugal.gov.pt/viewer/278491/?offset=#page=5&amp;viewer=picture&amp;o=info&amp;n=0&amp;q=</v>
      </c>
      <c r="J717" s="45"/>
      <c r="K717" s="45"/>
      <c r="L717" s="45"/>
      <c r="M717" t="s">
        <v>517</v>
      </c>
      <c r="N717">
        <v>278491</v>
      </c>
      <c r="O717" t="str">
        <f t="shared" si="22"/>
        <v>https://permalinkbnd.bnportugal.gov.pt/viewer/278491/?offset=#page=5&amp;viewer=picture&amp;o=info&amp;n=0&amp;q=</v>
      </c>
      <c r="P717">
        <v>397855</v>
      </c>
      <c r="Q717" t="s">
        <v>517</v>
      </c>
      <c r="R717" t="s">
        <v>3242</v>
      </c>
      <c r="S717" t="s">
        <v>1178</v>
      </c>
      <c r="T717" t="s">
        <v>1192</v>
      </c>
      <c r="U717" t="s">
        <v>599</v>
      </c>
      <c r="V717" t="s">
        <v>3243</v>
      </c>
      <c r="W717" t="s">
        <v>599</v>
      </c>
      <c r="X717" t="s">
        <v>599</v>
      </c>
      <c r="Y717" t="s">
        <v>1182</v>
      </c>
      <c r="Z717" t="s">
        <v>3244</v>
      </c>
      <c r="AA717">
        <v>1890</v>
      </c>
      <c r="AB717">
        <v>1890</v>
      </c>
      <c r="AC717" t="s">
        <v>3245</v>
      </c>
      <c r="AD717" t="s">
        <v>1185</v>
      </c>
      <c r="AE717" t="s">
        <v>599</v>
      </c>
      <c r="AF717" t="s">
        <v>599</v>
      </c>
      <c r="AG717" t="s">
        <v>3246</v>
      </c>
      <c r="AH717" t="s">
        <v>599</v>
      </c>
      <c r="AI717" t="s">
        <v>599</v>
      </c>
      <c r="AJ717" t="s">
        <v>3247</v>
      </c>
      <c r="AK717" t="s">
        <v>1188</v>
      </c>
      <c r="AL717" t="s">
        <v>3248</v>
      </c>
      <c r="AM717" t="s">
        <v>1190</v>
      </c>
      <c r="AN717" t="s">
        <v>599</v>
      </c>
      <c r="AO717" t="s">
        <v>599</v>
      </c>
      <c r="AP717" t="s">
        <v>599</v>
      </c>
      <c r="AQ717" t="s">
        <v>599</v>
      </c>
      <c r="AR717" t="s">
        <v>599</v>
      </c>
      <c r="AS717" t="s">
        <v>599</v>
      </c>
      <c r="AT717" t="s">
        <v>599</v>
      </c>
    </row>
    <row r="718" spans="1:46" ht="30" x14ac:dyDescent="0.25">
      <c r="A718" s="2">
        <v>12029</v>
      </c>
      <c r="B718" s="10">
        <v>397878</v>
      </c>
      <c r="C718" s="10">
        <v>1</v>
      </c>
      <c r="D718" s="9">
        <v>4</v>
      </c>
      <c r="E718" s="11" t="s">
        <v>518</v>
      </c>
      <c r="F718" s="12" t="s">
        <v>519</v>
      </c>
      <c r="G718" s="9">
        <v>4</v>
      </c>
      <c r="H718" s="34"/>
      <c r="I718" s="55" t="str">
        <f t="shared" si="23"/>
        <v>https://permalinkbnd.bnportugal.gov.pt/viewer/278670/?offset=#page=4&amp;viewer=picture&amp;o=info&amp;n=0&amp;q=</v>
      </c>
      <c r="J718" s="45"/>
      <c r="K718" s="45"/>
      <c r="L718" s="45"/>
      <c r="M718" t="s">
        <v>518</v>
      </c>
      <c r="N718">
        <v>278670</v>
      </c>
      <c r="O718" t="str">
        <f t="shared" si="22"/>
        <v>https://permalinkbnd.bnportugal.gov.pt/viewer/278670/?offset=#page=4&amp;viewer=picture&amp;o=info&amp;n=0&amp;q=</v>
      </c>
      <c r="P718">
        <v>397878</v>
      </c>
      <c r="Q718" t="s">
        <v>518</v>
      </c>
      <c r="R718" t="s">
        <v>3249</v>
      </c>
      <c r="S718" t="s">
        <v>1178</v>
      </c>
      <c r="T718" t="s">
        <v>1192</v>
      </c>
      <c r="U718" t="s">
        <v>599</v>
      </c>
      <c r="V718" t="s">
        <v>3250</v>
      </c>
      <c r="W718" t="s">
        <v>599</v>
      </c>
      <c r="X718" t="s">
        <v>599</v>
      </c>
      <c r="Y718" t="s">
        <v>1182</v>
      </c>
      <c r="Z718" t="s">
        <v>3251</v>
      </c>
      <c r="AA718">
        <v>1890</v>
      </c>
      <c r="AB718">
        <v>1890</v>
      </c>
      <c r="AC718" t="s">
        <v>1276</v>
      </c>
      <c r="AD718" t="s">
        <v>1185</v>
      </c>
      <c r="AE718" t="s">
        <v>599</v>
      </c>
      <c r="AF718" t="s">
        <v>599</v>
      </c>
      <c r="AG718" t="s">
        <v>3252</v>
      </c>
      <c r="AH718" t="s">
        <v>599</v>
      </c>
      <c r="AI718" t="s">
        <v>599</v>
      </c>
      <c r="AJ718" t="s">
        <v>3253</v>
      </c>
      <c r="AK718" t="s">
        <v>1188</v>
      </c>
      <c r="AL718" t="s">
        <v>3254</v>
      </c>
      <c r="AM718" t="s">
        <v>1190</v>
      </c>
      <c r="AN718" t="s">
        <v>599</v>
      </c>
      <c r="AO718" t="s">
        <v>599</v>
      </c>
      <c r="AP718" t="s">
        <v>599</v>
      </c>
      <c r="AQ718" t="s">
        <v>599</v>
      </c>
      <c r="AR718" t="s">
        <v>599</v>
      </c>
      <c r="AS718" t="s">
        <v>599</v>
      </c>
      <c r="AT718" t="s">
        <v>599</v>
      </c>
    </row>
    <row r="719" spans="1:46" ht="30" x14ac:dyDescent="0.25">
      <c r="A719" s="2">
        <v>12030</v>
      </c>
      <c r="B719" s="10">
        <v>397880</v>
      </c>
      <c r="C719" s="10">
        <v>1</v>
      </c>
      <c r="D719" s="9">
        <v>3</v>
      </c>
      <c r="E719" s="11" t="s">
        <v>520</v>
      </c>
      <c r="F719" s="12" t="s">
        <v>521</v>
      </c>
      <c r="G719" s="9"/>
      <c r="H719" s="34"/>
      <c r="I719" s="55" t="str">
        <f t="shared" si="23"/>
        <v>https://permalinkbnd.bnportugal.gov.pt/viewer/279637/?offset=#page=3&amp;viewer=picture&amp;o=info&amp;n=0&amp;q=</v>
      </c>
      <c r="J719" s="45"/>
      <c r="K719" s="45"/>
      <c r="L719" s="45"/>
      <c r="M719" t="s">
        <v>520</v>
      </c>
      <c r="N719">
        <v>279637</v>
      </c>
      <c r="O719" t="str">
        <f t="shared" si="22"/>
        <v>https://permalinkbnd.bnportugal.gov.pt/viewer/279637/?offset=#page=3&amp;viewer=picture&amp;o=info&amp;n=0&amp;q=</v>
      </c>
      <c r="P719">
        <v>397880</v>
      </c>
      <c r="Q719" t="s">
        <v>520</v>
      </c>
      <c r="R719" t="s">
        <v>3255</v>
      </c>
      <c r="S719" t="s">
        <v>1178</v>
      </c>
      <c r="T719" t="s">
        <v>3256</v>
      </c>
      <c r="U719" t="s">
        <v>1192</v>
      </c>
      <c r="V719" t="s">
        <v>3257</v>
      </c>
      <c r="W719" t="s">
        <v>599</v>
      </c>
      <c r="X719" t="s">
        <v>599</v>
      </c>
      <c r="Y719" t="s">
        <v>1182</v>
      </c>
      <c r="Z719" t="s">
        <v>3258</v>
      </c>
      <c r="AA719">
        <v>1898</v>
      </c>
      <c r="AB719">
        <v>1898</v>
      </c>
      <c r="AC719" t="s">
        <v>1276</v>
      </c>
      <c r="AD719" t="s">
        <v>1185</v>
      </c>
      <c r="AE719" t="s">
        <v>599</v>
      </c>
      <c r="AF719" t="s">
        <v>599</v>
      </c>
      <c r="AG719" t="s">
        <v>3259</v>
      </c>
      <c r="AH719" t="s">
        <v>599</v>
      </c>
      <c r="AI719" t="s">
        <v>599</v>
      </c>
      <c r="AJ719" t="s">
        <v>3260</v>
      </c>
      <c r="AK719" t="s">
        <v>1188</v>
      </c>
      <c r="AL719" t="s">
        <v>3261</v>
      </c>
      <c r="AM719" t="s">
        <v>1190</v>
      </c>
      <c r="AN719" t="s">
        <v>599</v>
      </c>
      <c r="AO719" t="s">
        <v>599</v>
      </c>
      <c r="AP719" t="s">
        <v>599</v>
      </c>
      <c r="AQ719" t="s">
        <v>599</v>
      </c>
      <c r="AR719" t="s">
        <v>599</v>
      </c>
      <c r="AS719" t="s">
        <v>599</v>
      </c>
      <c r="AT719" t="s">
        <v>599</v>
      </c>
    </row>
    <row r="720" spans="1:46" ht="30" x14ac:dyDescent="0.25">
      <c r="A720" s="2"/>
      <c r="B720" s="10">
        <v>397880</v>
      </c>
      <c r="C720" s="10">
        <v>1</v>
      </c>
      <c r="D720" s="9">
        <v>5</v>
      </c>
      <c r="E720" s="11" t="s">
        <v>520</v>
      </c>
      <c r="F720" s="12" t="s">
        <v>609</v>
      </c>
      <c r="G720" s="9"/>
      <c r="H720" s="34"/>
      <c r="I720" s="55" t="str">
        <f t="shared" si="23"/>
        <v>https://permalinkbnd.bnportugal.gov.pt/viewer/279637/?offset=#page=5&amp;viewer=picture&amp;o=info&amp;n=0&amp;q=</v>
      </c>
      <c r="J720" s="45"/>
      <c r="K720" s="45"/>
      <c r="L720" s="45"/>
      <c r="M720" t="s">
        <v>520</v>
      </c>
      <c r="N720">
        <v>279637</v>
      </c>
      <c r="O720" t="str">
        <f t="shared" si="22"/>
        <v>https://permalinkbnd.bnportugal.gov.pt/viewer/279637/?offset=#page=5&amp;viewer=picture&amp;o=info&amp;n=0&amp;q=</v>
      </c>
      <c r="P720">
        <v>397880</v>
      </c>
      <c r="Q720" t="s">
        <v>520</v>
      </c>
      <c r="R720" t="s">
        <v>3255</v>
      </c>
      <c r="S720" t="s">
        <v>1178</v>
      </c>
      <c r="T720" t="s">
        <v>3256</v>
      </c>
      <c r="U720" t="s">
        <v>1192</v>
      </c>
      <c r="V720" t="s">
        <v>3257</v>
      </c>
      <c r="W720" t="s">
        <v>599</v>
      </c>
      <c r="X720" t="s">
        <v>599</v>
      </c>
      <c r="Y720" t="s">
        <v>1182</v>
      </c>
      <c r="Z720" t="s">
        <v>3258</v>
      </c>
      <c r="AA720">
        <v>1898</v>
      </c>
      <c r="AB720">
        <v>1898</v>
      </c>
      <c r="AC720" t="s">
        <v>1276</v>
      </c>
      <c r="AD720" t="s">
        <v>1185</v>
      </c>
      <c r="AE720" t="s">
        <v>599</v>
      </c>
      <c r="AF720" t="s">
        <v>599</v>
      </c>
      <c r="AG720" t="s">
        <v>3259</v>
      </c>
      <c r="AH720" t="s">
        <v>599</v>
      </c>
      <c r="AI720" t="s">
        <v>599</v>
      </c>
      <c r="AJ720" t="s">
        <v>3260</v>
      </c>
      <c r="AK720" t="s">
        <v>1188</v>
      </c>
      <c r="AL720" t="s">
        <v>3261</v>
      </c>
      <c r="AM720" t="s">
        <v>1190</v>
      </c>
      <c r="AN720" t="s">
        <v>599</v>
      </c>
      <c r="AO720" t="s">
        <v>599</v>
      </c>
      <c r="AP720" t="s">
        <v>599</v>
      </c>
      <c r="AQ720" t="s">
        <v>599</v>
      </c>
      <c r="AR720" t="s">
        <v>599</v>
      </c>
      <c r="AS720" t="s">
        <v>599</v>
      </c>
      <c r="AT720" t="s">
        <v>599</v>
      </c>
    </row>
    <row r="721" spans="1:46" ht="30" x14ac:dyDescent="0.25">
      <c r="A721" s="2"/>
      <c r="B721" s="10">
        <v>397880</v>
      </c>
      <c r="C721" s="10">
        <v>1</v>
      </c>
      <c r="D721" s="9">
        <v>8</v>
      </c>
      <c r="E721" s="11" t="s">
        <v>520</v>
      </c>
      <c r="F721" s="12" t="s">
        <v>610</v>
      </c>
      <c r="G721" s="9"/>
      <c r="H721" s="34"/>
      <c r="I721" s="55" t="str">
        <f t="shared" si="23"/>
        <v>https://permalinkbnd.bnportugal.gov.pt/viewer/279637/?offset=#page=8&amp;viewer=picture&amp;o=info&amp;n=0&amp;q=</v>
      </c>
      <c r="J721" s="45"/>
      <c r="K721" s="45"/>
      <c r="L721" s="45"/>
      <c r="M721" t="s">
        <v>520</v>
      </c>
      <c r="N721">
        <v>279637</v>
      </c>
      <c r="O721" t="str">
        <f t="shared" si="22"/>
        <v>https://permalinkbnd.bnportugal.gov.pt/viewer/279637/?offset=#page=8&amp;viewer=picture&amp;o=info&amp;n=0&amp;q=</v>
      </c>
      <c r="P721">
        <v>397880</v>
      </c>
      <c r="Q721" t="s">
        <v>520</v>
      </c>
      <c r="R721" t="s">
        <v>3255</v>
      </c>
      <c r="S721" t="s">
        <v>1178</v>
      </c>
      <c r="T721" t="s">
        <v>3256</v>
      </c>
      <c r="U721" t="s">
        <v>1192</v>
      </c>
      <c r="V721" t="s">
        <v>3257</v>
      </c>
      <c r="W721" t="s">
        <v>599</v>
      </c>
      <c r="X721" t="s">
        <v>599</v>
      </c>
      <c r="Y721" t="s">
        <v>1182</v>
      </c>
      <c r="Z721" t="s">
        <v>3258</v>
      </c>
      <c r="AA721">
        <v>1898</v>
      </c>
      <c r="AB721">
        <v>1898</v>
      </c>
      <c r="AC721" t="s">
        <v>1276</v>
      </c>
      <c r="AD721" t="s">
        <v>1185</v>
      </c>
      <c r="AE721" t="s">
        <v>599</v>
      </c>
      <c r="AF721" t="s">
        <v>599</v>
      </c>
      <c r="AG721" t="s">
        <v>3259</v>
      </c>
      <c r="AH721" t="s">
        <v>599</v>
      </c>
      <c r="AI721" t="s">
        <v>599</v>
      </c>
      <c r="AJ721" t="s">
        <v>3260</v>
      </c>
      <c r="AK721" t="s">
        <v>1188</v>
      </c>
      <c r="AL721" t="s">
        <v>3261</v>
      </c>
      <c r="AM721" t="s">
        <v>1190</v>
      </c>
      <c r="AN721" t="s">
        <v>599</v>
      </c>
      <c r="AO721" t="s">
        <v>599</v>
      </c>
      <c r="AP721" t="s">
        <v>599</v>
      </c>
      <c r="AQ721" t="s">
        <v>599</v>
      </c>
      <c r="AR721" t="s">
        <v>599</v>
      </c>
      <c r="AS721" t="s">
        <v>599</v>
      </c>
      <c r="AT721" t="s">
        <v>599</v>
      </c>
    </row>
    <row r="722" spans="1:46" ht="30" x14ac:dyDescent="0.25">
      <c r="A722" s="2"/>
      <c r="B722" s="10">
        <v>397880</v>
      </c>
      <c r="C722" s="10">
        <v>1</v>
      </c>
      <c r="D722" s="9">
        <v>10</v>
      </c>
      <c r="E722" s="11" t="s">
        <v>520</v>
      </c>
      <c r="F722" s="12" t="s">
        <v>611</v>
      </c>
      <c r="G722" s="9"/>
      <c r="H722" s="34"/>
      <c r="I722" s="55" t="str">
        <f t="shared" si="23"/>
        <v>https://permalinkbnd.bnportugal.gov.pt/viewer/279637/?offset=#page=10&amp;viewer=picture&amp;o=info&amp;n=0&amp;q=</v>
      </c>
      <c r="J722" s="45"/>
      <c r="K722" s="45"/>
      <c r="L722" s="45"/>
      <c r="M722" t="s">
        <v>520</v>
      </c>
      <c r="N722">
        <v>279637</v>
      </c>
      <c r="O722" t="str">
        <f t="shared" si="22"/>
        <v>https://permalinkbnd.bnportugal.gov.pt/viewer/279637/?offset=#page=10&amp;viewer=picture&amp;o=info&amp;n=0&amp;q=</v>
      </c>
      <c r="P722">
        <v>397880</v>
      </c>
      <c r="Q722" t="s">
        <v>520</v>
      </c>
      <c r="R722" t="s">
        <v>3255</v>
      </c>
      <c r="S722" t="s">
        <v>1178</v>
      </c>
      <c r="T722" t="s">
        <v>3256</v>
      </c>
      <c r="U722" t="s">
        <v>1192</v>
      </c>
      <c r="V722" t="s">
        <v>3257</v>
      </c>
      <c r="W722" t="s">
        <v>599</v>
      </c>
      <c r="X722" t="s">
        <v>599</v>
      </c>
      <c r="Y722" t="s">
        <v>1182</v>
      </c>
      <c r="Z722" t="s">
        <v>3258</v>
      </c>
      <c r="AA722">
        <v>1898</v>
      </c>
      <c r="AB722">
        <v>1898</v>
      </c>
      <c r="AC722" t="s">
        <v>1276</v>
      </c>
      <c r="AD722" t="s">
        <v>1185</v>
      </c>
      <c r="AE722" t="s">
        <v>599</v>
      </c>
      <c r="AF722" t="s">
        <v>599</v>
      </c>
      <c r="AG722" t="s">
        <v>3259</v>
      </c>
      <c r="AH722" t="s">
        <v>599</v>
      </c>
      <c r="AI722" t="s">
        <v>599</v>
      </c>
      <c r="AJ722" t="s">
        <v>3260</v>
      </c>
      <c r="AK722" t="s">
        <v>1188</v>
      </c>
      <c r="AL722" t="s">
        <v>3261</v>
      </c>
      <c r="AM722" t="s">
        <v>1190</v>
      </c>
      <c r="AN722" t="s">
        <v>599</v>
      </c>
      <c r="AO722" t="s">
        <v>599</v>
      </c>
      <c r="AP722" t="s">
        <v>599</v>
      </c>
      <c r="AQ722" t="s">
        <v>599</v>
      </c>
      <c r="AR722" t="s">
        <v>599</v>
      </c>
      <c r="AS722" t="s">
        <v>599</v>
      </c>
      <c r="AT722" t="s">
        <v>599</v>
      </c>
    </row>
    <row r="723" spans="1:46" ht="30" x14ac:dyDescent="0.25">
      <c r="A723" s="2">
        <v>12039</v>
      </c>
      <c r="B723" s="10">
        <v>458381</v>
      </c>
      <c r="C723" s="10">
        <v>1</v>
      </c>
      <c r="D723" s="9">
        <v>12</v>
      </c>
      <c r="E723" s="11" t="s">
        <v>522</v>
      </c>
      <c r="F723" s="12" t="s">
        <v>523</v>
      </c>
      <c r="G723" s="9">
        <v>12</v>
      </c>
      <c r="H723" s="34"/>
      <c r="I723" s="55" t="str">
        <f t="shared" si="23"/>
        <v>https://permalinkbnd.bnportugal.gov.pt/viewer/1880/?offset=#page=12&amp;viewer=picture&amp;o=info&amp;n=0&amp;q=</v>
      </c>
      <c r="J723" s="45"/>
      <c r="K723" s="45"/>
      <c r="L723" s="45"/>
      <c r="M723" t="s">
        <v>522</v>
      </c>
      <c r="N723">
        <v>1880</v>
      </c>
      <c r="O723" t="str">
        <f t="shared" si="22"/>
        <v>https://permalinkbnd.bnportugal.gov.pt/viewer/1880/?offset=#page=12&amp;viewer=picture&amp;o=info&amp;n=0&amp;q=</v>
      </c>
      <c r="P723">
        <v>458381</v>
      </c>
      <c r="Q723" t="s">
        <v>522</v>
      </c>
      <c r="R723" t="s">
        <v>3262</v>
      </c>
      <c r="S723" t="s">
        <v>1178</v>
      </c>
      <c r="T723" t="s">
        <v>1192</v>
      </c>
      <c r="U723" t="s">
        <v>599</v>
      </c>
      <c r="V723" t="s">
        <v>3263</v>
      </c>
      <c r="W723" t="s">
        <v>599</v>
      </c>
      <c r="X723" t="s">
        <v>599</v>
      </c>
      <c r="Y723" t="s">
        <v>1182</v>
      </c>
      <c r="Z723" t="s">
        <v>2696</v>
      </c>
      <c r="AA723">
        <v>1880</v>
      </c>
      <c r="AB723">
        <v>1880</v>
      </c>
      <c r="AC723" t="s">
        <v>3264</v>
      </c>
      <c r="AD723" t="s">
        <v>599</v>
      </c>
      <c r="AE723" t="s">
        <v>599</v>
      </c>
      <c r="AF723" t="s">
        <v>599</v>
      </c>
      <c r="AG723" t="s">
        <v>599</v>
      </c>
      <c r="AH723" t="s">
        <v>599</v>
      </c>
      <c r="AI723" t="s">
        <v>599</v>
      </c>
      <c r="AJ723" t="s">
        <v>3265</v>
      </c>
      <c r="AK723" t="s">
        <v>1188</v>
      </c>
      <c r="AL723" t="s">
        <v>3266</v>
      </c>
      <c r="AM723" t="s">
        <v>1190</v>
      </c>
      <c r="AN723" t="s">
        <v>599</v>
      </c>
      <c r="AO723" t="s">
        <v>599</v>
      </c>
      <c r="AP723" t="s">
        <v>599</v>
      </c>
      <c r="AQ723" t="s">
        <v>599</v>
      </c>
      <c r="AR723" t="s">
        <v>3267</v>
      </c>
      <c r="AS723" t="s">
        <v>599</v>
      </c>
      <c r="AT723" t="s">
        <v>599</v>
      </c>
    </row>
    <row r="724" spans="1:46" ht="30" x14ac:dyDescent="0.25">
      <c r="A724" s="2">
        <v>12060</v>
      </c>
      <c r="B724" s="10">
        <v>464811</v>
      </c>
      <c r="C724" s="10">
        <v>1</v>
      </c>
      <c r="D724" s="9">
        <v>10</v>
      </c>
      <c r="E724" s="11" t="s">
        <v>524</v>
      </c>
      <c r="F724" s="12">
        <v>10</v>
      </c>
      <c r="G724" s="9"/>
      <c r="H724" s="34"/>
      <c r="I724" s="55" t="str">
        <f t="shared" si="23"/>
        <v>https://permalinkbnd.bnportugal.gov.pt/viewer/278595/?offset=#page=10&amp;viewer=picture&amp;o=info&amp;n=0&amp;q=</v>
      </c>
      <c r="J724" s="45"/>
      <c r="K724" s="45"/>
      <c r="L724" s="45"/>
      <c r="M724" t="s">
        <v>524</v>
      </c>
      <c r="N724">
        <v>278595</v>
      </c>
      <c r="O724" t="str">
        <f t="shared" si="22"/>
        <v>https://permalinkbnd.bnportugal.gov.pt/viewer/278595/?offset=#page=10&amp;viewer=picture&amp;o=info&amp;n=0&amp;q=</v>
      </c>
      <c r="P724">
        <v>464811</v>
      </c>
      <c r="Q724" t="s">
        <v>524</v>
      </c>
      <c r="R724" t="s">
        <v>3268</v>
      </c>
      <c r="S724" t="s">
        <v>1178</v>
      </c>
      <c r="T724" t="s">
        <v>1362</v>
      </c>
      <c r="U724" t="s">
        <v>599</v>
      </c>
      <c r="V724" t="s">
        <v>3269</v>
      </c>
      <c r="W724" t="s">
        <v>599</v>
      </c>
      <c r="X724" t="s">
        <v>599</v>
      </c>
      <c r="Y724" t="s">
        <v>1182</v>
      </c>
      <c r="Z724" t="s">
        <v>3270</v>
      </c>
      <c r="AA724">
        <v>1859</v>
      </c>
      <c r="AB724">
        <v>1859</v>
      </c>
      <c r="AC724" t="s">
        <v>3271</v>
      </c>
      <c r="AD724" t="s">
        <v>3272</v>
      </c>
      <c r="AE724" t="s">
        <v>599</v>
      </c>
      <c r="AF724" t="s">
        <v>599</v>
      </c>
      <c r="AG724" t="s">
        <v>3273</v>
      </c>
      <c r="AH724" t="s">
        <v>599</v>
      </c>
      <c r="AI724" t="s">
        <v>599</v>
      </c>
      <c r="AJ724" t="s">
        <v>3274</v>
      </c>
      <c r="AK724" t="s">
        <v>1188</v>
      </c>
      <c r="AL724" t="s">
        <v>3275</v>
      </c>
      <c r="AM724" t="s">
        <v>1190</v>
      </c>
      <c r="AN724" t="s">
        <v>599</v>
      </c>
      <c r="AO724" t="s">
        <v>599</v>
      </c>
      <c r="AP724" t="s">
        <v>599</v>
      </c>
      <c r="AQ724" t="s">
        <v>599</v>
      </c>
      <c r="AR724" t="s">
        <v>599</v>
      </c>
      <c r="AS724" t="s">
        <v>599</v>
      </c>
      <c r="AT724" t="s">
        <v>599</v>
      </c>
    </row>
    <row r="725" spans="1:46" ht="30" x14ac:dyDescent="0.25">
      <c r="A725" s="2">
        <v>12063</v>
      </c>
      <c r="B725" s="10">
        <v>464977</v>
      </c>
      <c r="C725" s="10">
        <v>1</v>
      </c>
      <c r="D725" s="9">
        <v>8</v>
      </c>
      <c r="E725" s="11" t="s">
        <v>525</v>
      </c>
      <c r="F725" s="12" t="s">
        <v>526</v>
      </c>
      <c r="G725" s="9"/>
      <c r="H725" s="34"/>
      <c r="I725" s="55" t="str">
        <f t="shared" si="23"/>
        <v>https://permalinkbnd.bnportugal.gov.pt/viewer/278597/?offset=#page=8&amp;viewer=picture&amp;o=info&amp;n=0&amp;q=</v>
      </c>
      <c r="J725" s="45"/>
      <c r="K725" s="45"/>
      <c r="L725" s="45"/>
      <c r="M725" t="s">
        <v>525</v>
      </c>
      <c r="N725">
        <v>278597</v>
      </c>
      <c r="O725" t="str">
        <f t="shared" si="22"/>
        <v>https://permalinkbnd.bnportugal.gov.pt/viewer/278597/?offset=#page=8&amp;viewer=picture&amp;o=info&amp;n=0&amp;q=</v>
      </c>
      <c r="P725">
        <v>464977</v>
      </c>
      <c r="Q725" t="s">
        <v>525</v>
      </c>
      <c r="R725" t="s">
        <v>3276</v>
      </c>
      <c r="S725" t="s">
        <v>1178</v>
      </c>
      <c r="T725" t="s">
        <v>1192</v>
      </c>
      <c r="U725" t="s">
        <v>599</v>
      </c>
      <c r="V725" t="s">
        <v>3277</v>
      </c>
      <c r="W725" t="s">
        <v>599</v>
      </c>
      <c r="X725" t="s">
        <v>599</v>
      </c>
      <c r="Y725" t="s">
        <v>1182</v>
      </c>
      <c r="Z725" t="s">
        <v>3278</v>
      </c>
      <c r="AA725">
        <v>1910</v>
      </c>
      <c r="AB725">
        <v>1910</v>
      </c>
      <c r="AC725" t="s">
        <v>1463</v>
      </c>
      <c r="AD725" t="s">
        <v>3279</v>
      </c>
      <c r="AE725" t="s">
        <v>599</v>
      </c>
      <c r="AF725" t="s">
        <v>599</v>
      </c>
      <c r="AG725" t="s">
        <v>599</v>
      </c>
      <c r="AH725" t="s">
        <v>599</v>
      </c>
      <c r="AI725" t="s">
        <v>599</v>
      </c>
      <c r="AJ725" t="s">
        <v>3280</v>
      </c>
      <c r="AK725" t="s">
        <v>1188</v>
      </c>
      <c r="AL725" t="s">
        <v>3281</v>
      </c>
      <c r="AM725" t="s">
        <v>1190</v>
      </c>
      <c r="AN725" t="s">
        <v>599</v>
      </c>
      <c r="AO725" t="s">
        <v>599</v>
      </c>
      <c r="AP725" t="s">
        <v>599</v>
      </c>
      <c r="AQ725" t="s">
        <v>599</v>
      </c>
      <c r="AR725" t="s">
        <v>599</v>
      </c>
      <c r="AS725" t="s">
        <v>599</v>
      </c>
      <c r="AT725" t="s">
        <v>599</v>
      </c>
    </row>
    <row r="726" spans="1:46" ht="30" x14ac:dyDescent="0.25">
      <c r="A726" s="2">
        <v>12068</v>
      </c>
      <c r="B726" s="10">
        <v>465372</v>
      </c>
      <c r="C726" s="10">
        <v>1</v>
      </c>
      <c r="D726" s="9">
        <v>1</v>
      </c>
      <c r="E726" s="11" t="s">
        <v>527</v>
      </c>
      <c r="F726" s="12" t="s">
        <v>449</v>
      </c>
      <c r="G726" s="9">
        <v>1</v>
      </c>
      <c r="H726" s="34"/>
      <c r="I726" s="55" t="str">
        <f t="shared" si="23"/>
        <v>https://permalinkbnd.bnportugal.gov.pt/viewer/278668/?offset=#page=1&amp;viewer=picture&amp;o=info&amp;n=0&amp;q=</v>
      </c>
      <c r="J726" s="45"/>
      <c r="K726" s="45"/>
      <c r="L726" s="45"/>
      <c r="M726" t="s">
        <v>527</v>
      </c>
      <c r="N726">
        <v>278668</v>
      </c>
      <c r="O726" t="str">
        <f t="shared" si="22"/>
        <v>https://permalinkbnd.bnportugal.gov.pt/viewer/278668/?offset=#page=1&amp;viewer=picture&amp;o=info&amp;n=0&amp;q=</v>
      </c>
      <c r="P726">
        <v>465372</v>
      </c>
      <c r="Q726" t="s">
        <v>527</v>
      </c>
      <c r="R726" t="s">
        <v>3282</v>
      </c>
      <c r="S726" t="s">
        <v>1178</v>
      </c>
      <c r="T726" t="s">
        <v>1192</v>
      </c>
      <c r="U726" t="s">
        <v>599</v>
      </c>
      <c r="V726" t="s">
        <v>3283</v>
      </c>
      <c r="W726" t="s">
        <v>3284</v>
      </c>
      <c r="X726" t="s">
        <v>599</v>
      </c>
      <c r="Y726" t="s">
        <v>1182</v>
      </c>
      <c r="Z726" t="s">
        <v>3285</v>
      </c>
      <c r="AA726">
        <v>1882</v>
      </c>
      <c r="AB726">
        <v>1882</v>
      </c>
      <c r="AC726" t="s">
        <v>2868</v>
      </c>
      <c r="AD726" t="s">
        <v>599</v>
      </c>
      <c r="AE726" t="s">
        <v>599</v>
      </c>
      <c r="AF726" t="s">
        <v>599</v>
      </c>
      <c r="AG726" t="s">
        <v>599</v>
      </c>
      <c r="AH726" t="s">
        <v>599</v>
      </c>
      <c r="AI726" t="s">
        <v>599</v>
      </c>
      <c r="AJ726" t="s">
        <v>3286</v>
      </c>
      <c r="AK726" t="s">
        <v>1188</v>
      </c>
      <c r="AL726" t="s">
        <v>3287</v>
      </c>
      <c r="AM726" t="s">
        <v>1190</v>
      </c>
      <c r="AN726" t="s">
        <v>599</v>
      </c>
      <c r="AO726" t="s">
        <v>599</v>
      </c>
      <c r="AP726" t="s">
        <v>599</v>
      </c>
      <c r="AQ726" t="s">
        <v>599</v>
      </c>
      <c r="AR726" t="s">
        <v>3288</v>
      </c>
      <c r="AS726" t="s">
        <v>599</v>
      </c>
      <c r="AT726" t="s">
        <v>599</v>
      </c>
    </row>
    <row r="727" spans="1:46" ht="30" x14ac:dyDescent="0.25">
      <c r="A727" s="2">
        <v>12107</v>
      </c>
      <c r="B727" s="10">
        <v>782738</v>
      </c>
      <c r="C727" s="10">
        <v>1</v>
      </c>
      <c r="D727" s="9">
        <v>5</v>
      </c>
      <c r="E727" s="11" t="s">
        <v>528</v>
      </c>
      <c r="F727" s="12" t="s">
        <v>529</v>
      </c>
      <c r="G727" s="9">
        <v>5</v>
      </c>
      <c r="H727" s="34"/>
      <c r="I727" s="55" t="str">
        <f t="shared" si="23"/>
        <v>https://permalinkbnd.bnportugal.gov.pt/viewer/278663/?offset=#page=5&amp;viewer=picture&amp;o=info&amp;n=0&amp;q=</v>
      </c>
      <c r="J727" s="45"/>
      <c r="K727" s="45"/>
      <c r="L727" s="45"/>
      <c r="M727" t="s">
        <v>528</v>
      </c>
      <c r="N727">
        <v>278663</v>
      </c>
      <c r="O727" t="str">
        <f t="shared" si="22"/>
        <v>https://permalinkbnd.bnportugal.gov.pt/viewer/278663/?offset=#page=5&amp;viewer=picture&amp;o=info&amp;n=0&amp;q=</v>
      </c>
      <c r="P727">
        <v>782738</v>
      </c>
      <c r="Q727" t="s">
        <v>528</v>
      </c>
      <c r="R727" t="s">
        <v>3289</v>
      </c>
      <c r="S727" t="s">
        <v>1178</v>
      </c>
      <c r="T727" t="s">
        <v>1192</v>
      </c>
      <c r="U727" t="s">
        <v>599</v>
      </c>
      <c r="V727" t="s">
        <v>1193</v>
      </c>
      <c r="W727" t="s">
        <v>1330</v>
      </c>
      <c r="X727" t="s">
        <v>599</v>
      </c>
      <c r="Y727" t="s">
        <v>3127</v>
      </c>
      <c r="Z727" t="s">
        <v>3128</v>
      </c>
      <c r="AA727">
        <v>1870</v>
      </c>
      <c r="AB727">
        <v>1870</v>
      </c>
      <c r="AC727" t="s">
        <v>3290</v>
      </c>
      <c r="AD727" t="s">
        <v>1185</v>
      </c>
      <c r="AE727" t="s">
        <v>599</v>
      </c>
      <c r="AF727" t="s">
        <v>599</v>
      </c>
      <c r="AG727" t="s">
        <v>599</v>
      </c>
      <c r="AH727" t="s">
        <v>599</v>
      </c>
      <c r="AI727" t="s">
        <v>599</v>
      </c>
      <c r="AJ727" t="s">
        <v>3291</v>
      </c>
      <c r="AK727" t="s">
        <v>1188</v>
      </c>
      <c r="AL727" t="s">
        <v>3292</v>
      </c>
      <c r="AM727" t="s">
        <v>1190</v>
      </c>
      <c r="AN727" t="s">
        <v>599</v>
      </c>
      <c r="AO727" t="s">
        <v>599</v>
      </c>
      <c r="AP727" t="s">
        <v>599</v>
      </c>
      <c r="AQ727" t="s">
        <v>599</v>
      </c>
      <c r="AR727" t="s">
        <v>599</v>
      </c>
      <c r="AS727" t="s">
        <v>599</v>
      </c>
      <c r="AT727" t="s">
        <v>599</v>
      </c>
    </row>
    <row r="728" spans="1:46" ht="75" x14ac:dyDescent="0.25">
      <c r="A728" s="2">
        <v>12108</v>
      </c>
      <c r="B728" s="10">
        <v>784624</v>
      </c>
      <c r="C728" s="10">
        <v>1</v>
      </c>
      <c r="D728" s="9">
        <v>8</v>
      </c>
      <c r="E728" s="11" t="s">
        <v>530</v>
      </c>
      <c r="F728" s="12" t="s">
        <v>531</v>
      </c>
      <c r="G728" s="9" t="s">
        <v>532</v>
      </c>
      <c r="H728" s="34"/>
      <c r="I728" s="55" t="str">
        <f t="shared" si="23"/>
        <v>https://permalinkbnd.bnportugal.gov.pt/viewer/278795/?offset=#page=8&amp;viewer=picture&amp;o=info&amp;n=0&amp;q=</v>
      </c>
      <c r="J728" s="45"/>
      <c r="K728" s="45"/>
      <c r="L728" s="45"/>
      <c r="M728" t="s">
        <v>530</v>
      </c>
      <c r="N728">
        <v>278795</v>
      </c>
      <c r="O728" t="str">
        <f t="shared" si="22"/>
        <v>https://permalinkbnd.bnportugal.gov.pt/viewer/278795/?offset=#page=8&amp;viewer=picture&amp;o=info&amp;n=0&amp;q=</v>
      </c>
      <c r="P728">
        <v>784624</v>
      </c>
      <c r="Q728" t="s">
        <v>530</v>
      </c>
      <c r="R728" t="s">
        <v>3293</v>
      </c>
      <c r="S728" t="s">
        <v>1178</v>
      </c>
      <c r="T728" t="s">
        <v>1192</v>
      </c>
      <c r="U728" t="s">
        <v>599</v>
      </c>
      <c r="V728" t="s">
        <v>1193</v>
      </c>
      <c r="W728" t="s">
        <v>1330</v>
      </c>
      <c r="X728" t="s">
        <v>599</v>
      </c>
      <c r="Y728" t="s">
        <v>3294</v>
      </c>
      <c r="Z728" t="s">
        <v>3295</v>
      </c>
      <c r="AA728">
        <v>1875</v>
      </c>
      <c r="AB728">
        <v>1875</v>
      </c>
      <c r="AC728" t="s">
        <v>3296</v>
      </c>
      <c r="AD728" t="s">
        <v>1185</v>
      </c>
      <c r="AE728" t="s">
        <v>599</v>
      </c>
      <c r="AF728" t="s">
        <v>599</v>
      </c>
      <c r="AG728" t="s">
        <v>3297</v>
      </c>
      <c r="AH728" t="s">
        <v>599</v>
      </c>
      <c r="AI728" t="s">
        <v>599</v>
      </c>
      <c r="AJ728" t="s">
        <v>3298</v>
      </c>
      <c r="AK728" t="s">
        <v>1188</v>
      </c>
      <c r="AL728" t="s">
        <v>3299</v>
      </c>
      <c r="AM728" t="s">
        <v>1190</v>
      </c>
      <c r="AN728" t="s">
        <v>599</v>
      </c>
      <c r="AO728" t="s">
        <v>599</v>
      </c>
      <c r="AP728" t="s">
        <v>599</v>
      </c>
      <c r="AQ728" t="s">
        <v>599</v>
      </c>
      <c r="AR728" t="s">
        <v>599</v>
      </c>
      <c r="AS728" t="s">
        <v>599</v>
      </c>
      <c r="AT728" t="s">
        <v>599</v>
      </c>
    </row>
    <row r="729" spans="1:46" ht="75" x14ac:dyDescent="0.25">
      <c r="A729" s="2">
        <v>12109</v>
      </c>
      <c r="B729" s="10">
        <v>784624</v>
      </c>
      <c r="C729" s="10">
        <v>1</v>
      </c>
      <c r="D729" s="9">
        <v>59</v>
      </c>
      <c r="E729" s="11" t="s">
        <v>530</v>
      </c>
      <c r="F729" s="12" t="s">
        <v>531</v>
      </c>
      <c r="G729" s="9" t="s">
        <v>532</v>
      </c>
      <c r="H729" s="34"/>
      <c r="I729" s="55" t="str">
        <f t="shared" si="23"/>
        <v>https://permalinkbnd.bnportugal.gov.pt/viewer/278795/?offset=#page=59&amp;viewer=picture&amp;o=info&amp;n=0&amp;q=</v>
      </c>
      <c r="J729" s="45"/>
      <c r="K729" s="45"/>
      <c r="L729" s="45"/>
      <c r="M729" t="s">
        <v>530</v>
      </c>
      <c r="N729">
        <v>278795</v>
      </c>
      <c r="O729" t="str">
        <f t="shared" si="22"/>
        <v>https://permalinkbnd.bnportugal.gov.pt/viewer/278795/?offset=#page=59&amp;viewer=picture&amp;o=info&amp;n=0&amp;q=</v>
      </c>
      <c r="P729">
        <v>784624</v>
      </c>
      <c r="Q729" t="s">
        <v>530</v>
      </c>
      <c r="R729" t="s">
        <v>3293</v>
      </c>
      <c r="S729" t="s">
        <v>1178</v>
      </c>
      <c r="T729" t="s">
        <v>1192</v>
      </c>
      <c r="U729" t="s">
        <v>599</v>
      </c>
      <c r="V729" t="s">
        <v>1193</v>
      </c>
      <c r="W729" t="s">
        <v>1330</v>
      </c>
      <c r="X729" t="s">
        <v>599</v>
      </c>
      <c r="Y729" t="s">
        <v>3294</v>
      </c>
      <c r="Z729" t="s">
        <v>3295</v>
      </c>
      <c r="AA729">
        <v>1875</v>
      </c>
      <c r="AB729">
        <v>1875</v>
      </c>
      <c r="AC729" t="s">
        <v>3296</v>
      </c>
      <c r="AD729" t="s">
        <v>1185</v>
      </c>
      <c r="AE729" t="s">
        <v>599</v>
      </c>
      <c r="AF729" t="s">
        <v>599</v>
      </c>
      <c r="AG729" t="s">
        <v>3297</v>
      </c>
      <c r="AH729" t="s">
        <v>599</v>
      </c>
      <c r="AI729" t="s">
        <v>599</v>
      </c>
      <c r="AJ729" t="s">
        <v>3298</v>
      </c>
      <c r="AK729" t="s">
        <v>1188</v>
      </c>
      <c r="AL729" t="s">
        <v>3299</v>
      </c>
      <c r="AM729" t="s">
        <v>1190</v>
      </c>
      <c r="AN729" t="s">
        <v>599</v>
      </c>
      <c r="AO729" t="s">
        <v>599</v>
      </c>
      <c r="AP729" t="s">
        <v>599</v>
      </c>
      <c r="AQ729" t="s">
        <v>599</v>
      </c>
      <c r="AR729" t="s">
        <v>599</v>
      </c>
      <c r="AS729" t="s">
        <v>599</v>
      </c>
      <c r="AT729" t="s">
        <v>599</v>
      </c>
    </row>
    <row r="730" spans="1:46" ht="75" x14ac:dyDescent="0.25">
      <c r="A730" s="2">
        <v>12110</v>
      </c>
      <c r="B730" s="10">
        <v>784624</v>
      </c>
      <c r="C730" s="10">
        <v>1</v>
      </c>
      <c r="D730" s="9">
        <v>97</v>
      </c>
      <c r="E730" s="11" t="s">
        <v>530</v>
      </c>
      <c r="F730" s="12" t="s">
        <v>531</v>
      </c>
      <c r="G730" s="9" t="s">
        <v>532</v>
      </c>
      <c r="H730" s="34"/>
      <c r="I730" s="55" t="str">
        <f t="shared" si="23"/>
        <v>https://permalinkbnd.bnportugal.gov.pt/viewer/278795/?offset=#page=97&amp;viewer=picture&amp;o=info&amp;n=0&amp;q=</v>
      </c>
      <c r="J730" s="45"/>
      <c r="K730" s="45"/>
      <c r="L730" s="45"/>
      <c r="M730" t="s">
        <v>530</v>
      </c>
      <c r="N730">
        <v>278795</v>
      </c>
      <c r="O730" t="str">
        <f t="shared" si="22"/>
        <v>https://permalinkbnd.bnportugal.gov.pt/viewer/278795/?offset=#page=97&amp;viewer=picture&amp;o=info&amp;n=0&amp;q=</v>
      </c>
      <c r="P730">
        <v>784624</v>
      </c>
      <c r="Q730" t="s">
        <v>530</v>
      </c>
      <c r="R730" t="s">
        <v>3293</v>
      </c>
      <c r="S730" t="s">
        <v>1178</v>
      </c>
      <c r="T730" t="s">
        <v>1192</v>
      </c>
      <c r="U730" t="s">
        <v>599</v>
      </c>
      <c r="V730" t="s">
        <v>1193</v>
      </c>
      <c r="W730" t="s">
        <v>1330</v>
      </c>
      <c r="X730" t="s">
        <v>599</v>
      </c>
      <c r="Y730" t="s">
        <v>3294</v>
      </c>
      <c r="Z730" t="s">
        <v>3295</v>
      </c>
      <c r="AA730">
        <v>1875</v>
      </c>
      <c r="AB730">
        <v>1875</v>
      </c>
      <c r="AC730" t="s">
        <v>3296</v>
      </c>
      <c r="AD730" t="s">
        <v>1185</v>
      </c>
      <c r="AE730" t="s">
        <v>599</v>
      </c>
      <c r="AF730" t="s">
        <v>599</v>
      </c>
      <c r="AG730" t="s">
        <v>3297</v>
      </c>
      <c r="AH730" t="s">
        <v>599</v>
      </c>
      <c r="AI730" t="s">
        <v>599</v>
      </c>
      <c r="AJ730" t="s">
        <v>3298</v>
      </c>
      <c r="AK730" t="s">
        <v>1188</v>
      </c>
      <c r="AL730" t="s">
        <v>3299</v>
      </c>
      <c r="AM730" t="s">
        <v>1190</v>
      </c>
      <c r="AN730" t="s">
        <v>599</v>
      </c>
      <c r="AO730" t="s">
        <v>599</v>
      </c>
      <c r="AP730" t="s">
        <v>599</v>
      </c>
      <c r="AQ730" t="s">
        <v>599</v>
      </c>
      <c r="AR730" t="s">
        <v>599</v>
      </c>
      <c r="AS730" t="s">
        <v>599</v>
      </c>
      <c r="AT730" t="s">
        <v>599</v>
      </c>
    </row>
    <row r="731" spans="1:46" ht="75" x14ac:dyDescent="0.25">
      <c r="A731" s="2">
        <v>12111</v>
      </c>
      <c r="B731" s="10">
        <v>784624</v>
      </c>
      <c r="C731" s="10">
        <v>1</v>
      </c>
      <c r="D731" s="9">
        <v>139</v>
      </c>
      <c r="E731" s="11" t="s">
        <v>530</v>
      </c>
      <c r="F731" s="12" t="s">
        <v>531</v>
      </c>
      <c r="G731" s="9" t="s">
        <v>532</v>
      </c>
      <c r="H731" s="34"/>
      <c r="I731" s="55" t="str">
        <f t="shared" si="23"/>
        <v>https://permalinkbnd.bnportugal.gov.pt/viewer/278795/?offset=#page=139&amp;viewer=picture&amp;o=info&amp;n=0&amp;q=</v>
      </c>
      <c r="J731" s="45"/>
      <c r="K731" s="45"/>
      <c r="L731" s="45"/>
      <c r="M731" t="s">
        <v>530</v>
      </c>
      <c r="N731">
        <v>278795</v>
      </c>
      <c r="O731" t="str">
        <f t="shared" si="22"/>
        <v>https://permalinkbnd.bnportugal.gov.pt/viewer/278795/?offset=#page=139&amp;viewer=picture&amp;o=info&amp;n=0&amp;q=</v>
      </c>
      <c r="P731">
        <v>784624</v>
      </c>
      <c r="Q731" t="s">
        <v>530</v>
      </c>
      <c r="R731" t="s">
        <v>3293</v>
      </c>
      <c r="S731" t="s">
        <v>1178</v>
      </c>
      <c r="T731" t="s">
        <v>1192</v>
      </c>
      <c r="U731" t="s">
        <v>599</v>
      </c>
      <c r="V731" t="s">
        <v>1193</v>
      </c>
      <c r="W731" t="s">
        <v>1330</v>
      </c>
      <c r="X731" t="s">
        <v>599</v>
      </c>
      <c r="Y731" t="s">
        <v>3294</v>
      </c>
      <c r="Z731" t="s">
        <v>3295</v>
      </c>
      <c r="AA731">
        <v>1875</v>
      </c>
      <c r="AB731">
        <v>1875</v>
      </c>
      <c r="AC731" t="s">
        <v>3296</v>
      </c>
      <c r="AD731" t="s">
        <v>1185</v>
      </c>
      <c r="AE731" t="s">
        <v>599</v>
      </c>
      <c r="AF731" t="s">
        <v>599</v>
      </c>
      <c r="AG731" t="s">
        <v>3297</v>
      </c>
      <c r="AH731" t="s">
        <v>599</v>
      </c>
      <c r="AI731" t="s">
        <v>599</v>
      </c>
      <c r="AJ731" t="s">
        <v>3298</v>
      </c>
      <c r="AK731" t="s">
        <v>1188</v>
      </c>
      <c r="AL731" t="s">
        <v>3299</v>
      </c>
      <c r="AM731" t="s">
        <v>1190</v>
      </c>
      <c r="AN731" t="s">
        <v>599</v>
      </c>
      <c r="AO731" t="s">
        <v>599</v>
      </c>
      <c r="AP731" t="s">
        <v>599</v>
      </c>
      <c r="AQ731" t="s">
        <v>599</v>
      </c>
      <c r="AR731" t="s">
        <v>599</v>
      </c>
      <c r="AS731" t="s">
        <v>599</v>
      </c>
      <c r="AT731" t="s">
        <v>599</v>
      </c>
    </row>
    <row r="732" spans="1:46" ht="75" x14ac:dyDescent="0.25">
      <c r="A732" s="2">
        <v>12112</v>
      </c>
      <c r="B732" s="10">
        <v>784624</v>
      </c>
      <c r="C732" s="10">
        <v>1</v>
      </c>
      <c r="D732" s="9">
        <v>191</v>
      </c>
      <c r="E732" s="11" t="s">
        <v>530</v>
      </c>
      <c r="F732" s="12" t="s">
        <v>531</v>
      </c>
      <c r="G732" s="9" t="s">
        <v>532</v>
      </c>
      <c r="H732" s="34"/>
      <c r="I732" s="55" t="str">
        <f t="shared" si="23"/>
        <v>https://permalinkbnd.bnportugal.gov.pt/viewer/278795/?offset=#page=191&amp;viewer=picture&amp;o=info&amp;n=0&amp;q=</v>
      </c>
      <c r="J732" s="45"/>
      <c r="K732" s="45"/>
      <c r="L732" s="45"/>
      <c r="M732" t="s">
        <v>530</v>
      </c>
      <c r="N732">
        <v>278795</v>
      </c>
      <c r="O732" t="str">
        <f t="shared" si="22"/>
        <v>https://permalinkbnd.bnportugal.gov.pt/viewer/278795/?offset=#page=191&amp;viewer=picture&amp;o=info&amp;n=0&amp;q=</v>
      </c>
      <c r="P732">
        <v>784624</v>
      </c>
      <c r="Q732" t="s">
        <v>530</v>
      </c>
      <c r="R732" t="s">
        <v>3293</v>
      </c>
      <c r="S732" t="s">
        <v>1178</v>
      </c>
      <c r="T732" t="s">
        <v>1192</v>
      </c>
      <c r="U732" t="s">
        <v>599</v>
      </c>
      <c r="V732" t="s">
        <v>1193</v>
      </c>
      <c r="W732" t="s">
        <v>1330</v>
      </c>
      <c r="X732" t="s">
        <v>599</v>
      </c>
      <c r="Y732" t="s">
        <v>3294</v>
      </c>
      <c r="Z732" t="s">
        <v>3295</v>
      </c>
      <c r="AA732">
        <v>1875</v>
      </c>
      <c r="AB732">
        <v>1875</v>
      </c>
      <c r="AC732" t="s">
        <v>3296</v>
      </c>
      <c r="AD732" t="s">
        <v>1185</v>
      </c>
      <c r="AE732" t="s">
        <v>599</v>
      </c>
      <c r="AF732" t="s">
        <v>599</v>
      </c>
      <c r="AG732" t="s">
        <v>3297</v>
      </c>
      <c r="AH732" t="s">
        <v>599</v>
      </c>
      <c r="AI732" t="s">
        <v>599</v>
      </c>
      <c r="AJ732" t="s">
        <v>3298</v>
      </c>
      <c r="AK732" t="s">
        <v>1188</v>
      </c>
      <c r="AL732" t="s">
        <v>3299</v>
      </c>
      <c r="AM732" t="s">
        <v>1190</v>
      </c>
      <c r="AN732" t="s">
        <v>599</v>
      </c>
      <c r="AO732" t="s">
        <v>599</v>
      </c>
      <c r="AP732" t="s">
        <v>599</v>
      </c>
      <c r="AQ732" t="s">
        <v>599</v>
      </c>
      <c r="AR732" t="s">
        <v>599</v>
      </c>
      <c r="AS732" t="s">
        <v>599</v>
      </c>
      <c r="AT732" t="s">
        <v>599</v>
      </c>
    </row>
    <row r="733" spans="1:46" ht="75" x14ac:dyDescent="0.25">
      <c r="A733" s="2">
        <v>12113</v>
      </c>
      <c r="B733" s="10">
        <v>784624</v>
      </c>
      <c r="C733" s="10">
        <v>1</v>
      </c>
      <c r="D733" s="9">
        <v>229</v>
      </c>
      <c r="E733" s="11" t="s">
        <v>530</v>
      </c>
      <c r="F733" s="12" t="s">
        <v>531</v>
      </c>
      <c r="G733" s="9" t="s">
        <v>532</v>
      </c>
      <c r="H733" s="34"/>
      <c r="I733" s="55" t="str">
        <f t="shared" si="23"/>
        <v>https://permalinkbnd.bnportugal.gov.pt/viewer/278795/?offset=#page=229&amp;viewer=picture&amp;o=info&amp;n=0&amp;q=</v>
      </c>
      <c r="J733" s="45"/>
      <c r="K733" s="45"/>
      <c r="L733" s="45"/>
      <c r="M733" t="s">
        <v>530</v>
      </c>
      <c r="N733">
        <v>278795</v>
      </c>
      <c r="O733" t="str">
        <f t="shared" si="22"/>
        <v>https://permalinkbnd.bnportugal.gov.pt/viewer/278795/?offset=#page=229&amp;viewer=picture&amp;o=info&amp;n=0&amp;q=</v>
      </c>
      <c r="P733">
        <v>784624</v>
      </c>
      <c r="Q733" t="s">
        <v>530</v>
      </c>
      <c r="R733" t="s">
        <v>3293</v>
      </c>
      <c r="S733" t="s">
        <v>1178</v>
      </c>
      <c r="T733" t="s">
        <v>1192</v>
      </c>
      <c r="U733" t="s">
        <v>599</v>
      </c>
      <c r="V733" t="s">
        <v>1193</v>
      </c>
      <c r="W733" t="s">
        <v>1330</v>
      </c>
      <c r="X733" t="s">
        <v>599</v>
      </c>
      <c r="Y733" t="s">
        <v>3294</v>
      </c>
      <c r="Z733" t="s">
        <v>3295</v>
      </c>
      <c r="AA733">
        <v>1875</v>
      </c>
      <c r="AB733">
        <v>1875</v>
      </c>
      <c r="AC733" t="s">
        <v>3296</v>
      </c>
      <c r="AD733" t="s">
        <v>1185</v>
      </c>
      <c r="AE733" t="s">
        <v>599</v>
      </c>
      <c r="AF733" t="s">
        <v>599</v>
      </c>
      <c r="AG733" t="s">
        <v>3297</v>
      </c>
      <c r="AH733" t="s">
        <v>599</v>
      </c>
      <c r="AI733" t="s">
        <v>599</v>
      </c>
      <c r="AJ733" t="s">
        <v>3298</v>
      </c>
      <c r="AK733" t="s">
        <v>1188</v>
      </c>
      <c r="AL733" t="s">
        <v>3299</v>
      </c>
      <c r="AM733" t="s">
        <v>1190</v>
      </c>
      <c r="AN733" t="s">
        <v>599</v>
      </c>
      <c r="AO733" t="s">
        <v>599</v>
      </c>
      <c r="AP733" t="s">
        <v>599</v>
      </c>
      <c r="AQ733" t="s">
        <v>599</v>
      </c>
      <c r="AR733" t="s">
        <v>599</v>
      </c>
      <c r="AS733" t="s">
        <v>599</v>
      </c>
      <c r="AT733" t="s">
        <v>599</v>
      </c>
    </row>
    <row r="734" spans="1:46" ht="75" x14ac:dyDescent="0.25">
      <c r="A734" s="2">
        <v>12114</v>
      </c>
      <c r="B734" s="10">
        <v>784624</v>
      </c>
      <c r="C734" s="10">
        <v>1</v>
      </c>
      <c r="D734" s="9">
        <v>265</v>
      </c>
      <c r="E734" s="11" t="s">
        <v>530</v>
      </c>
      <c r="F734" s="12" t="s">
        <v>531</v>
      </c>
      <c r="G734" s="9" t="s">
        <v>532</v>
      </c>
      <c r="H734" s="34"/>
      <c r="I734" s="55" t="str">
        <f t="shared" si="23"/>
        <v>https://permalinkbnd.bnportugal.gov.pt/viewer/278795/?offset=#page=265&amp;viewer=picture&amp;o=info&amp;n=0&amp;q=</v>
      </c>
      <c r="J734" s="45"/>
      <c r="K734" s="45"/>
      <c r="L734" s="45"/>
      <c r="M734" t="s">
        <v>530</v>
      </c>
      <c r="N734">
        <v>278795</v>
      </c>
      <c r="O734" t="str">
        <f t="shared" si="22"/>
        <v>https://permalinkbnd.bnportugal.gov.pt/viewer/278795/?offset=#page=265&amp;viewer=picture&amp;o=info&amp;n=0&amp;q=</v>
      </c>
      <c r="P734">
        <v>784624</v>
      </c>
      <c r="Q734" t="s">
        <v>530</v>
      </c>
      <c r="R734" t="s">
        <v>3293</v>
      </c>
      <c r="S734" t="s">
        <v>1178</v>
      </c>
      <c r="T734" t="s">
        <v>1192</v>
      </c>
      <c r="U734" t="s">
        <v>599</v>
      </c>
      <c r="V734" t="s">
        <v>1193</v>
      </c>
      <c r="W734" t="s">
        <v>1330</v>
      </c>
      <c r="X734" t="s">
        <v>599</v>
      </c>
      <c r="Y734" t="s">
        <v>3294</v>
      </c>
      <c r="Z734" t="s">
        <v>3295</v>
      </c>
      <c r="AA734">
        <v>1875</v>
      </c>
      <c r="AB734">
        <v>1875</v>
      </c>
      <c r="AC734" t="s">
        <v>3296</v>
      </c>
      <c r="AD734" t="s">
        <v>1185</v>
      </c>
      <c r="AE734" t="s">
        <v>599</v>
      </c>
      <c r="AF734" t="s">
        <v>599</v>
      </c>
      <c r="AG734" t="s">
        <v>3297</v>
      </c>
      <c r="AH734" t="s">
        <v>599</v>
      </c>
      <c r="AI734" t="s">
        <v>599</v>
      </c>
      <c r="AJ734" t="s">
        <v>3298</v>
      </c>
      <c r="AK734" t="s">
        <v>1188</v>
      </c>
      <c r="AL734" t="s">
        <v>3299</v>
      </c>
      <c r="AM734" t="s">
        <v>1190</v>
      </c>
      <c r="AN734" t="s">
        <v>599</v>
      </c>
      <c r="AO734" t="s">
        <v>599</v>
      </c>
      <c r="AP734" t="s">
        <v>599</v>
      </c>
      <c r="AQ734" t="s">
        <v>599</v>
      </c>
      <c r="AR734" t="s">
        <v>599</v>
      </c>
      <c r="AS734" t="s">
        <v>599</v>
      </c>
      <c r="AT734" t="s">
        <v>599</v>
      </c>
    </row>
    <row r="735" spans="1:46" ht="75" x14ac:dyDescent="0.25">
      <c r="A735" s="2">
        <v>12115</v>
      </c>
      <c r="B735" s="10">
        <v>784624</v>
      </c>
      <c r="C735" s="10">
        <v>1</v>
      </c>
      <c r="D735" s="9">
        <v>301</v>
      </c>
      <c r="E735" s="11" t="s">
        <v>530</v>
      </c>
      <c r="F735" s="12" t="s">
        <v>531</v>
      </c>
      <c r="G735" s="9" t="s">
        <v>532</v>
      </c>
      <c r="H735" s="34"/>
      <c r="I735" s="55" t="str">
        <f t="shared" si="23"/>
        <v>https://permalinkbnd.bnportugal.gov.pt/viewer/278795/?offset=#page=301&amp;viewer=picture&amp;o=info&amp;n=0&amp;q=</v>
      </c>
      <c r="J735" s="45"/>
      <c r="K735" s="45"/>
      <c r="L735" s="45"/>
      <c r="M735" t="s">
        <v>530</v>
      </c>
      <c r="N735">
        <v>278795</v>
      </c>
      <c r="O735" t="str">
        <f t="shared" si="22"/>
        <v>https://permalinkbnd.bnportugal.gov.pt/viewer/278795/?offset=#page=301&amp;viewer=picture&amp;o=info&amp;n=0&amp;q=</v>
      </c>
      <c r="P735">
        <v>784624</v>
      </c>
      <c r="Q735" t="s">
        <v>530</v>
      </c>
      <c r="R735" t="s">
        <v>3293</v>
      </c>
      <c r="S735" t="s">
        <v>1178</v>
      </c>
      <c r="T735" t="s">
        <v>1192</v>
      </c>
      <c r="U735" t="s">
        <v>599</v>
      </c>
      <c r="V735" t="s">
        <v>1193</v>
      </c>
      <c r="W735" t="s">
        <v>1330</v>
      </c>
      <c r="X735" t="s">
        <v>599</v>
      </c>
      <c r="Y735" t="s">
        <v>3294</v>
      </c>
      <c r="Z735" t="s">
        <v>3295</v>
      </c>
      <c r="AA735">
        <v>1875</v>
      </c>
      <c r="AB735">
        <v>1875</v>
      </c>
      <c r="AC735" t="s">
        <v>3296</v>
      </c>
      <c r="AD735" t="s">
        <v>1185</v>
      </c>
      <c r="AE735" t="s">
        <v>599</v>
      </c>
      <c r="AF735" t="s">
        <v>599</v>
      </c>
      <c r="AG735" t="s">
        <v>3297</v>
      </c>
      <c r="AH735" t="s">
        <v>599</v>
      </c>
      <c r="AI735" t="s">
        <v>599</v>
      </c>
      <c r="AJ735" t="s">
        <v>3298</v>
      </c>
      <c r="AK735" t="s">
        <v>1188</v>
      </c>
      <c r="AL735" t="s">
        <v>3299</v>
      </c>
      <c r="AM735" t="s">
        <v>1190</v>
      </c>
      <c r="AN735" t="s">
        <v>599</v>
      </c>
      <c r="AO735" t="s">
        <v>599</v>
      </c>
      <c r="AP735" t="s">
        <v>599</v>
      </c>
      <c r="AQ735" t="s">
        <v>599</v>
      </c>
      <c r="AR735" t="s">
        <v>599</v>
      </c>
      <c r="AS735" t="s">
        <v>599</v>
      </c>
      <c r="AT735" t="s">
        <v>599</v>
      </c>
    </row>
    <row r="736" spans="1:46" ht="75" x14ac:dyDescent="0.25">
      <c r="A736" s="2">
        <v>12116</v>
      </c>
      <c r="B736" s="10">
        <v>784624</v>
      </c>
      <c r="C736" s="10">
        <v>1</v>
      </c>
      <c r="D736" s="9">
        <v>333</v>
      </c>
      <c r="E736" s="11" t="s">
        <v>530</v>
      </c>
      <c r="F736" s="12" t="s">
        <v>531</v>
      </c>
      <c r="G736" s="9" t="s">
        <v>532</v>
      </c>
      <c r="H736" s="34"/>
      <c r="I736" s="55" t="str">
        <f t="shared" si="23"/>
        <v>https://permalinkbnd.bnportugal.gov.pt/viewer/278795/?offset=#page=333&amp;viewer=picture&amp;o=info&amp;n=0&amp;q=</v>
      </c>
      <c r="J736" s="45"/>
      <c r="K736" s="45"/>
      <c r="L736" s="45"/>
      <c r="M736" t="s">
        <v>530</v>
      </c>
      <c r="N736">
        <v>278795</v>
      </c>
      <c r="O736" t="str">
        <f t="shared" si="22"/>
        <v>https://permalinkbnd.bnportugal.gov.pt/viewer/278795/?offset=#page=333&amp;viewer=picture&amp;o=info&amp;n=0&amp;q=</v>
      </c>
      <c r="P736">
        <v>784624</v>
      </c>
      <c r="Q736" t="s">
        <v>530</v>
      </c>
      <c r="R736" t="s">
        <v>3293</v>
      </c>
      <c r="S736" t="s">
        <v>1178</v>
      </c>
      <c r="T736" t="s">
        <v>1192</v>
      </c>
      <c r="U736" t="s">
        <v>599</v>
      </c>
      <c r="V736" t="s">
        <v>1193</v>
      </c>
      <c r="W736" t="s">
        <v>1330</v>
      </c>
      <c r="X736" t="s">
        <v>599</v>
      </c>
      <c r="Y736" t="s">
        <v>3294</v>
      </c>
      <c r="Z736" t="s">
        <v>3295</v>
      </c>
      <c r="AA736">
        <v>1875</v>
      </c>
      <c r="AB736">
        <v>1875</v>
      </c>
      <c r="AC736" t="s">
        <v>3296</v>
      </c>
      <c r="AD736" t="s">
        <v>1185</v>
      </c>
      <c r="AE736" t="s">
        <v>599</v>
      </c>
      <c r="AF736" t="s">
        <v>599</v>
      </c>
      <c r="AG736" t="s">
        <v>3297</v>
      </c>
      <c r="AH736" t="s">
        <v>599</v>
      </c>
      <c r="AI736" t="s">
        <v>599</v>
      </c>
      <c r="AJ736" t="s">
        <v>3298</v>
      </c>
      <c r="AK736" t="s">
        <v>1188</v>
      </c>
      <c r="AL736" t="s">
        <v>3299</v>
      </c>
      <c r="AM736" t="s">
        <v>1190</v>
      </c>
      <c r="AN736" t="s">
        <v>599</v>
      </c>
      <c r="AO736" t="s">
        <v>599</v>
      </c>
      <c r="AP736" t="s">
        <v>599</v>
      </c>
      <c r="AQ736" t="s">
        <v>599</v>
      </c>
      <c r="AR736" t="s">
        <v>599</v>
      </c>
      <c r="AS736" t="s">
        <v>599</v>
      </c>
      <c r="AT736" t="s">
        <v>599</v>
      </c>
    </row>
    <row r="737" spans="1:46" ht="75" x14ac:dyDescent="0.25">
      <c r="A737" s="2">
        <v>12117</v>
      </c>
      <c r="B737" s="10">
        <v>784624</v>
      </c>
      <c r="C737" s="10">
        <v>1</v>
      </c>
      <c r="D737" s="9">
        <v>369</v>
      </c>
      <c r="E737" s="11" t="s">
        <v>530</v>
      </c>
      <c r="F737" s="12" t="s">
        <v>531</v>
      </c>
      <c r="G737" s="9" t="s">
        <v>532</v>
      </c>
      <c r="H737" s="34"/>
      <c r="I737" s="55" t="str">
        <f t="shared" si="23"/>
        <v>https://permalinkbnd.bnportugal.gov.pt/viewer/278795/?offset=#page=369&amp;viewer=picture&amp;o=info&amp;n=0&amp;q=</v>
      </c>
      <c r="J737" s="45"/>
      <c r="K737" s="45"/>
      <c r="L737" s="45"/>
      <c r="M737" t="s">
        <v>530</v>
      </c>
      <c r="N737">
        <v>278795</v>
      </c>
      <c r="O737" t="str">
        <f t="shared" si="22"/>
        <v>https://permalinkbnd.bnportugal.gov.pt/viewer/278795/?offset=#page=369&amp;viewer=picture&amp;o=info&amp;n=0&amp;q=</v>
      </c>
      <c r="P737">
        <v>784624</v>
      </c>
      <c r="Q737" t="s">
        <v>530</v>
      </c>
      <c r="R737" t="s">
        <v>3293</v>
      </c>
      <c r="S737" t="s">
        <v>1178</v>
      </c>
      <c r="T737" t="s">
        <v>1192</v>
      </c>
      <c r="U737" t="s">
        <v>599</v>
      </c>
      <c r="V737" t="s">
        <v>1193</v>
      </c>
      <c r="W737" t="s">
        <v>1330</v>
      </c>
      <c r="X737" t="s">
        <v>599</v>
      </c>
      <c r="Y737" t="s">
        <v>3294</v>
      </c>
      <c r="Z737" t="s">
        <v>3295</v>
      </c>
      <c r="AA737">
        <v>1875</v>
      </c>
      <c r="AB737">
        <v>1875</v>
      </c>
      <c r="AC737" t="s">
        <v>3296</v>
      </c>
      <c r="AD737" t="s">
        <v>1185</v>
      </c>
      <c r="AE737" t="s">
        <v>599</v>
      </c>
      <c r="AF737" t="s">
        <v>599</v>
      </c>
      <c r="AG737" t="s">
        <v>3297</v>
      </c>
      <c r="AH737" t="s">
        <v>599</v>
      </c>
      <c r="AI737" t="s">
        <v>599</v>
      </c>
      <c r="AJ737" t="s">
        <v>3298</v>
      </c>
      <c r="AK737" t="s">
        <v>1188</v>
      </c>
      <c r="AL737" t="s">
        <v>3299</v>
      </c>
      <c r="AM737" t="s">
        <v>1190</v>
      </c>
      <c r="AN737" t="s">
        <v>599</v>
      </c>
      <c r="AO737" t="s">
        <v>599</v>
      </c>
      <c r="AP737" t="s">
        <v>599</v>
      </c>
      <c r="AQ737" t="s">
        <v>599</v>
      </c>
      <c r="AR737" t="s">
        <v>599</v>
      </c>
      <c r="AS737" t="s">
        <v>599</v>
      </c>
      <c r="AT737" t="s">
        <v>599</v>
      </c>
    </row>
    <row r="738" spans="1:46" ht="75" x14ac:dyDescent="0.25">
      <c r="A738" s="2">
        <v>12118</v>
      </c>
      <c r="B738" s="10">
        <v>784624</v>
      </c>
      <c r="C738" s="10">
        <v>1</v>
      </c>
      <c r="D738" s="9">
        <v>405</v>
      </c>
      <c r="E738" s="11" t="s">
        <v>530</v>
      </c>
      <c r="F738" s="12" t="s">
        <v>531</v>
      </c>
      <c r="G738" s="9" t="s">
        <v>532</v>
      </c>
      <c r="H738" s="34"/>
      <c r="I738" s="55" t="str">
        <f t="shared" si="23"/>
        <v>https://permalinkbnd.bnportugal.gov.pt/viewer/278795/?offset=#page=405&amp;viewer=picture&amp;o=info&amp;n=0&amp;q=</v>
      </c>
      <c r="J738" s="45"/>
      <c r="K738" s="45"/>
      <c r="L738" s="45"/>
      <c r="M738" t="s">
        <v>530</v>
      </c>
      <c r="N738">
        <v>278795</v>
      </c>
      <c r="O738" t="str">
        <f t="shared" si="22"/>
        <v>https://permalinkbnd.bnportugal.gov.pt/viewer/278795/?offset=#page=405&amp;viewer=picture&amp;o=info&amp;n=0&amp;q=</v>
      </c>
      <c r="P738">
        <v>784624</v>
      </c>
      <c r="Q738" t="s">
        <v>530</v>
      </c>
      <c r="R738" t="s">
        <v>3293</v>
      </c>
      <c r="S738" t="s">
        <v>1178</v>
      </c>
      <c r="T738" t="s">
        <v>1192</v>
      </c>
      <c r="U738" t="s">
        <v>599</v>
      </c>
      <c r="V738" t="s">
        <v>1193</v>
      </c>
      <c r="W738" t="s">
        <v>1330</v>
      </c>
      <c r="X738" t="s">
        <v>599</v>
      </c>
      <c r="Y738" t="s">
        <v>3294</v>
      </c>
      <c r="Z738" t="s">
        <v>3295</v>
      </c>
      <c r="AA738">
        <v>1875</v>
      </c>
      <c r="AB738">
        <v>1875</v>
      </c>
      <c r="AC738" t="s">
        <v>3296</v>
      </c>
      <c r="AD738" t="s">
        <v>1185</v>
      </c>
      <c r="AE738" t="s">
        <v>599</v>
      </c>
      <c r="AF738" t="s">
        <v>599</v>
      </c>
      <c r="AG738" t="s">
        <v>3297</v>
      </c>
      <c r="AH738" t="s">
        <v>599</v>
      </c>
      <c r="AI738" t="s">
        <v>599</v>
      </c>
      <c r="AJ738" t="s">
        <v>3298</v>
      </c>
      <c r="AK738" t="s">
        <v>1188</v>
      </c>
      <c r="AL738" t="s">
        <v>3299</v>
      </c>
      <c r="AM738" t="s">
        <v>1190</v>
      </c>
      <c r="AN738" t="s">
        <v>599</v>
      </c>
      <c r="AO738" t="s">
        <v>599</v>
      </c>
      <c r="AP738" t="s">
        <v>599</v>
      </c>
      <c r="AQ738" t="s">
        <v>599</v>
      </c>
      <c r="AR738" t="s">
        <v>599</v>
      </c>
      <c r="AS738" t="s">
        <v>599</v>
      </c>
      <c r="AT738" t="s">
        <v>599</v>
      </c>
    </row>
    <row r="739" spans="1:46" ht="30" x14ac:dyDescent="0.25">
      <c r="A739" s="2">
        <v>12123</v>
      </c>
      <c r="B739" s="10">
        <v>789264</v>
      </c>
      <c r="C739" s="10">
        <v>1</v>
      </c>
      <c r="D739" s="9">
        <v>22</v>
      </c>
      <c r="E739" s="11" t="s">
        <v>533</v>
      </c>
      <c r="F739" s="12" t="s">
        <v>534</v>
      </c>
      <c r="G739" s="9"/>
      <c r="H739" s="34"/>
      <c r="I739" s="55" t="str">
        <f t="shared" si="23"/>
        <v>https://permalinkbnd.bnportugal.gov.pt/viewer/279624/?offset=#page=22&amp;viewer=picture&amp;o=info&amp;n=0&amp;q=</v>
      </c>
      <c r="J739" s="45"/>
      <c r="K739" s="45"/>
      <c r="L739" s="45"/>
      <c r="M739" t="s">
        <v>533</v>
      </c>
      <c r="N739">
        <v>279624</v>
      </c>
      <c r="O739" t="str">
        <f t="shared" si="22"/>
        <v>https://permalinkbnd.bnportugal.gov.pt/viewer/279624/?offset=#page=22&amp;viewer=picture&amp;o=info&amp;n=0&amp;q=</v>
      </c>
      <c r="P739">
        <v>789264</v>
      </c>
      <c r="Q739" t="s">
        <v>533</v>
      </c>
      <c r="R739" t="s">
        <v>3300</v>
      </c>
      <c r="S739" t="s">
        <v>1178</v>
      </c>
      <c r="T739" t="s">
        <v>1192</v>
      </c>
      <c r="U739" t="s">
        <v>599</v>
      </c>
      <c r="V739" t="s">
        <v>3301</v>
      </c>
      <c r="W739" t="s">
        <v>599</v>
      </c>
      <c r="X739" t="s">
        <v>599</v>
      </c>
      <c r="Y739" t="s">
        <v>1182</v>
      </c>
      <c r="Z739" t="s">
        <v>3302</v>
      </c>
      <c r="AA739">
        <v>1885</v>
      </c>
      <c r="AB739">
        <v>1885</v>
      </c>
      <c r="AC739" t="s">
        <v>1463</v>
      </c>
      <c r="AD739" t="s">
        <v>3303</v>
      </c>
      <c r="AE739" t="s">
        <v>599</v>
      </c>
      <c r="AF739" t="s">
        <v>599</v>
      </c>
      <c r="AG739" t="s">
        <v>599</v>
      </c>
      <c r="AH739" t="s">
        <v>599</v>
      </c>
      <c r="AI739" t="s">
        <v>599</v>
      </c>
      <c r="AJ739" t="s">
        <v>3304</v>
      </c>
      <c r="AK739" t="s">
        <v>1188</v>
      </c>
      <c r="AL739" t="s">
        <v>3305</v>
      </c>
      <c r="AM739" t="s">
        <v>1190</v>
      </c>
      <c r="AN739" t="s">
        <v>599</v>
      </c>
      <c r="AO739" t="s">
        <v>599</v>
      </c>
      <c r="AP739" t="s">
        <v>599</v>
      </c>
      <c r="AQ739" t="s">
        <v>599</v>
      </c>
      <c r="AR739" t="s">
        <v>599</v>
      </c>
      <c r="AS739" t="s">
        <v>599</v>
      </c>
      <c r="AT739" t="s">
        <v>599</v>
      </c>
    </row>
    <row r="740" spans="1:46" ht="30" x14ac:dyDescent="0.25">
      <c r="A740" s="2"/>
      <c r="B740" s="10">
        <v>789264</v>
      </c>
      <c r="C740" s="10">
        <v>1</v>
      </c>
      <c r="D740" s="9">
        <v>24</v>
      </c>
      <c r="E740" s="11" t="s">
        <v>533</v>
      </c>
      <c r="F740" s="12" t="s">
        <v>534</v>
      </c>
      <c r="G740" s="9"/>
      <c r="H740" s="34"/>
      <c r="I740" s="55" t="str">
        <f t="shared" si="23"/>
        <v>https://permalinkbnd.bnportugal.gov.pt/viewer/279624/?offset=#page=24&amp;viewer=picture&amp;o=info&amp;n=0&amp;q=</v>
      </c>
      <c r="J740" s="45"/>
      <c r="K740" s="45"/>
      <c r="L740" s="45"/>
      <c r="M740" t="s">
        <v>533</v>
      </c>
      <c r="N740">
        <v>279624</v>
      </c>
      <c r="O740" t="str">
        <f t="shared" si="22"/>
        <v>https://permalinkbnd.bnportugal.gov.pt/viewer/279624/?offset=#page=24&amp;viewer=picture&amp;o=info&amp;n=0&amp;q=</v>
      </c>
      <c r="P740">
        <v>789264</v>
      </c>
      <c r="Q740" t="s">
        <v>533</v>
      </c>
      <c r="R740" t="s">
        <v>3300</v>
      </c>
      <c r="S740" t="s">
        <v>1178</v>
      </c>
      <c r="T740" t="s">
        <v>1192</v>
      </c>
      <c r="U740" t="s">
        <v>599</v>
      </c>
      <c r="V740" t="s">
        <v>3301</v>
      </c>
      <c r="W740" t="s">
        <v>599</v>
      </c>
      <c r="X740" t="s">
        <v>599</v>
      </c>
      <c r="Y740" t="s">
        <v>1182</v>
      </c>
      <c r="Z740" t="s">
        <v>3302</v>
      </c>
      <c r="AA740">
        <v>1885</v>
      </c>
      <c r="AB740">
        <v>1885</v>
      </c>
      <c r="AC740" t="s">
        <v>1463</v>
      </c>
      <c r="AD740" t="s">
        <v>3303</v>
      </c>
      <c r="AE740" t="s">
        <v>599</v>
      </c>
      <c r="AF740" t="s">
        <v>599</v>
      </c>
      <c r="AG740" t="s">
        <v>599</v>
      </c>
      <c r="AH740" t="s">
        <v>599</v>
      </c>
      <c r="AI740" t="s">
        <v>599</v>
      </c>
      <c r="AJ740" t="s">
        <v>3304</v>
      </c>
      <c r="AK740" t="s">
        <v>1188</v>
      </c>
      <c r="AL740" t="s">
        <v>3305</v>
      </c>
      <c r="AM740" t="s">
        <v>1190</v>
      </c>
      <c r="AN740" t="s">
        <v>599</v>
      </c>
      <c r="AO740" t="s">
        <v>599</v>
      </c>
      <c r="AP740" t="s">
        <v>599</v>
      </c>
      <c r="AQ740" t="s">
        <v>599</v>
      </c>
      <c r="AR740" t="s">
        <v>599</v>
      </c>
      <c r="AS740" t="s">
        <v>599</v>
      </c>
      <c r="AT740" t="s">
        <v>599</v>
      </c>
    </row>
    <row r="741" spans="1:46" ht="30" x14ac:dyDescent="0.25">
      <c r="A741" s="2">
        <v>12126</v>
      </c>
      <c r="B741" s="10">
        <v>798873</v>
      </c>
      <c r="C741" s="10">
        <v>1</v>
      </c>
      <c r="D741" s="9">
        <v>5</v>
      </c>
      <c r="E741" s="11" t="s">
        <v>535</v>
      </c>
      <c r="F741" s="12" t="s">
        <v>536</v>
      </c>
      <c r="G741" s="9" t="s">
        <v>497</v>
      </c>
      <c r="H741" s="34"/>
      <c r="I741" s="55" t="str">
        <f t="shared" si="23"/>
        <v>https://permalinkbnd.bnportugal.gov.pt/viewer/279100/?offset=#page=5&amp;viewer=picture&amp;o=info&amp;n=0&amp;q=</v>
      </c>
      <c r="J741" s="45"/>
      <c r="K741" s="45"/>
      <c r="L741" s="45"/>
      <c r="M741" t="s">
        <v>535</v>
      </c>
      <c r="N741">
        <v>279100</v>
      </c>
      <c r="O741" t="str">
        <f t="shared" si="22"/>
        <v>https://permalinkbnd.bnportugal.gov.pt/viewer/279100/?offset=#page=5&amp;viewer=picture&amp;o=info&amp;n=0&amp;q=</v>
      </c>
      <c r="P741">
        <v>798873</v>
      </c>
      <c r="Q741" t="s">
        <v>535</v>
      </c>
      <c r="R741" t="s">
        <v>3306</v>
      </c>
      <c r="S741" t="s">
        <v>1178</v>
      </c>
      <c r="T741" t="s">
        <v>1192</v>
      </c>
      <c r="U741" t="s">
        <v>599</v>
      </c>
      <c r="V741" t="s">
        <v>3307</v>
      </c>
      <c r="W741" t="s">
        <v>3308</v>
      </c>
      <c r="X741" t="s">
        <v>599</v>
      </c>
      <c r="Y741" t="s">
        <v>1182</v>
      </c>
      <c r="Z741" t="s">
        <v>3309</v>
      </c>
      <c r="AA741">
        <v>1880</v>
      </c>
      <c r="AB741">
        <v>1880</v>
      </c>
      <c r="AC741" t="s">
        <v>3310</v>
      </c>
      <c r="AD741" t="s">
        <v>3311</v>
      </c>
      <c r="AE741" t="s">
        <v>599</v>
      </c>
      <c r="AF741" t="s">
        <v>599</v>
      </c>
      <c r="AG741" t="s">
        <v>599</v>
      </c>
      <c r="AH741" t="s">
        <v>599</v>
      </c>
      <c r="AI741" t="s">
        <v>599</v>
      </c>
      <c r="AJ741" t="s">
        <v>3312</v>
      </c>
      <c r="AK741" t="s">
        <v>1188</v>
      </c>
      <c r="AL741" t="s">
        <v>3313</v>
      </c>
      <c r="AM741" t="s">
        <v>1190</v>
      </c>
      <c r="AN741" t="s">
        <v>599</v>
      </c>
      <c r="AO741" t="s">
        <v>599</v>
      </c>
      <c r="AP741" t="s">
        <v>599</v>
      </c>
      <c r="AQ741" t="s">
        <v>599</v>
      </c>
      <c r="AR741" t="s">
        <v>599</v>
      </c>
      <c r="AS741" t="s">
        <v>599</v>
      </c>
      <c r="AT741" t="s">
        <v>599</v>
      </c>
    </row>
    <row r="742" spans="1:46" ht="30" x14ac:dyDescent="0.25">
      <c r="A742" s="2">
        <v>12127</v>
      </c>
      <c r="B742" s="10">
        <v>798873</v>
      </c>
      <c r="C742" s="10">
        <v>1</v>
      </c>
      <c r="D742" s="9">
        <v>7</v>
      </c>
      <c r="E742" s="11" t="s">
        <v>535</v>
      </c>
      <c r="F742" s="12" t="s">
        <v>536</v>
      </c>
      <c r="G742" s="9" t="s">
        <v>497</v>
      </c>
      <c r="H742" s="34"/>
      <c r="I742" s="55" t="str">
        <f t="shared" si="23"/>
        <v>https://permalinkbnd.bnportugal.gov.pt/viewer/279100/?offset=#page=7&amp;viewer=picture&amp;o=info&amp;n=0&amp;q=</v>
      </c>
      <c r="J742" s="45"/>
      <c r="K742" s="45"/>
      <c r="L742" s="45"/>
      <c r="M742" t="s">
        <v>535</v>
      </c>
      <c r="N742">
        <v>279100</v>
      </c>
      <c r="O742" t="str">
        <f t="shared" si="22"/>
        <v>https://permalinkbnd.bnportugal.gov.pt/viewer/279100/?offset=#page=7&amp;viewer=picture&amp;o=info&amp;n=0&amp;q=</v>
      </c>
      <c r="P742">
        <v>798873</v>
      </c>
      <c r="Q742" t="s">
        <v>535</v>
      </c>
      <c r="R742" t="s">
        <v>3306</v>
      </c>
      <c r="S742" t="s">
        <v>1178</v>
      </c>
      <c r="T742" t="s">
        <v>1192</v>
      </c>
      <c r="U742" t="s">
        <v>599</v>
      </c>
      <c r="V742" t="s">
        <v>3307</v>
      </c>
      <c r="W742" t="s">
        <v>3308</v>
      </c>
      <c r="X742" t="s">
        <v>599</v>
      </c>
      <c r="Y742" t="s">
        <v>1182</v>
      </c>
      <c r="Z742" t="s">
        <v>3309</v>
      </c>
      <c r="AA742">
        <v>1880</v>
      </c>
      <c r="AB742">
        <v>1880</v>
      </c>
      <c r="AC742" t="s">
        <v>3310</v>
      </c>
      <c r="AD742" t="s">
        <v>3311</v>
      </c>
      <c r="AE742" t="s">
        <v>599</v>
      </c>
      <c r="AF742" t="s">
        <v>599</v>
      </c>
      <c r="AG742" t="s">
        <v>599</v>
      </c>
      <c r="AH742" t="s">
        <v>599</v>
      </c>
      <c r="AI742" t="s">
        <v>599</v>
      </c>
      <c r="AJ742" t="s">
        <v>3312</v>
      </c>
      <c r="AK742" t="s">
        <v>1188</v>
      </c>
      <c r="AL742" t="s">
        <v>3313</v>
      </c>
      <c r="AM742" t="s">
        <v>1190</v>
      </c>
      <c r="AN742" t="s">
        <v>599</v>
      </c>
      <c r="AO742" t="s">
        <v>599</v>
      </c>
      <c r="AP742" t="s">
        <v>599</v>
      </c>
      <c r="AQ742" t="s">
        <v>599</v>
      </c>
      <c r="AR742" t="s">
        <v>599</v>
      </c>
      <c r="AS742" t="s">
        <v>599</v>
      </c>
      <c r="AT742" t="s">
        <v>599</v>
      </c>
    </row>
    <row r="743" spans="1:46" ht="30" x14ac:dyDescent="0.25">
      <c r="A743" s="2">
        <v>12131</v>
      </c>
      <c r="B743" s="10">
        <v>874191</v>
      </c>
      <c r="C743" s="10">
        <v>1</v>
      </c>
      <c r="D743" s="9">
        <v>9</v>
      </c>
      <c r="E743" s="11" t="s">
        <v>537</v>
      </c>
      <c r="F743" s="12" t="s">
        <v>538</v>
      </c>
      <c r="G743" s="9">
        <v>9</v>
      </c>
      <c r="H743" s="34"/>
      <c r="I743" s="55" t="str">
        <f t="shared" si="23"/>
        <v>https://permalinkbnd.bnportugal.gov.pt/viewer/278495/?offset=#page=9&amp;viewer=picture&amp;o=info&amp;n=0&amp;q=</v>
      </c>
      <c r="J743" s="45"/>
      <c r="K743" s="45"/>
      <c r="L743" s="45"/>
      <c r="M743" t="s">
        <v>537</v>
      </c>
      <c r="N743">
        <v>278495</v>
      </c>
      <c r="O743" t="str">
        <f t="shared" si="22"/>
        <v>https://permalinkbnd.bnportugal.gov.pt/viewer/278495/?offset=#page=9&amp;viewer=picture&amp;o=info&amp;n=0&amp;q=</v>
      </c>
      <c r="P743">
        <v>874191</v>
      </c>
      <c r="Q743" t="s">
        <v>537</v>
      </c>
      <c r="R743" t="s">
        <v>3314</v>
      </c>
      <c r="S743" t="s">
        <v>1178</v>
      </c>
      <c r="T743" t="s">
        <v>1362</v>
      </c>
      <c r="U743" t="s">
        <v>599</v>
      </c>
      <c r="V743" t="s">
        <v>3315</v>
      </c>
      <c r="W743" t="s">
        <v>3316</v>
      </c>
      <c r="X743" t="s">
        <v>599</v>
      </c>
      <c r="Y743" t="s">
        <v>1182</v>
      </c>
      <c r="Z743" t="s">
        <v>3317</v>
      </c>
      <c r="AA743">
        <v>1892</v>
      </c>
      <c r="AB743">
        <v>1892</v>
      </c>
      <c r="AC743" t="s">
        <v>3318</v>
      </c>
      <c r="AD743" t="s">
        <v>3319</v>
      </c>
      <c r="AE743" t="s">
        <v>599</v>
      </c>
      <c r="AF743" t="s">
        <v>599</v>
      </c>
      <c r="AG743" t="s">
        <v>3320</v>
      </c>
      <c r="AH743" t="s">
        <v>599</v>
      </c>
      <c r="AI743" t="s">
        <v>599</v>
      </c>
      <c r="AJ743" t="s">
        <v>3321</v>
      </c>
      <c r="AK743" t="s">
        <v>1188</v>
      </c>
      <c r="AL743" t="s">
        <v>3322</v>
      </c>
      <c r="AM743" t="s">
        <v>1190</v>
      </c>
      <c r="AN743" t="s">
        <v>599</v>
      </c>
      <c r="AO743" t="s">
        <v>599</v>
      </c>
      <c r="AP743" t="s">
        <v>599</v>
      </c>
      <c r="AQ743" t="s">
        <v>599</v>
      </c>
      <c r="AR743" t="s">
        <v>599</v>
      </c>
      <c r="AS743" t="s">
        <v>599</v>
      </c>
      <c r="AT743" t="s">
        <v>599</v>
      </c>
    </row>
    <row r="744" spans="1:46" ht="30" x14ac:dyDescent="0.25">
      <c r="A744" s="2">
        <v>12179</v>
      </c>
      <c r="B744" s="10">
        <v>224027</v>
      </c>
      <c r="C744" s="10">
        <v>1</v>
      </c>
      <c r="D744" s="9">
        <v>7</v>
      </c>
      <c r="E744" s="11" t="s">
        <v>417</v>
      </c>
      <c r="F744" s="12">
        <v>7</v>
      </c>
      <c r="G744" s="9"/>
      <c r="H744" s="34"/>
      <c r="I744" s="55" t="str">
        <f t="shared" si="23"/>
        <v>https://permalinkbnd.bnportugal.gov.pt/viewer/14663/?offset=#page=7&amp;viewer=picture&amp;o=info&amp;n=0&amp;q=</v>
      </c>
      <c r="J744" s="45"/>
      <c r="K744" s="45"/>
      <c r="L744" s="45"/>
      <c r="M744" t="s">
        <v>417</v>
      </c>
      <c r="N744">
        <v>14663</v>
      </c>
      <c r="O744" t="str">
        <f t="shared" si="22"/>
        <v>https://permalinkbnd.bnportugal.gov.pt/viewer/14663/?offset=#page=7&amp;viewer=picture&amp;o=info&amp;n=0&amp;q=</v>
      </c>
      <c r="P744">
        <v>224027</v>
      </c>
      <c r="Q744" t="s">
        <v>417</v>
      </c>
      <c r="R744" t="s">
        <v>2903</v>
      </c>
      <c r="S744" t="s">
        <v>1178</v>
      </c>
      <c r="T744" t="s">
        <v>1209</v>
      </c>
      <c r="U744" t="s">
        <v>1192</v>
      </c>
      <c r="V744" t="s">
        <v>2904</v>
      </c>
      <c r="W744" t="s">
        <v>599</v>
      </c>
      <c r="X744" t="s">
        <v>599</v>
      </c>
      <c r="Y744" t="s">
        <v>1182</v>
      </c>
      <c r="Z744" t="s">
        <v>2905</v>
      </c>
      <c r="AA744">
        <v>1580</v>
      </c>
      <c r="AB744">
        <v>1580</v>
      </c>
      <c r="AC744" t="s">
        <v>2906</v>
      </c>
      <c r="AD744" t="s">
        <v>1185</v>
      </c>
      <c r="AE744" t="s">
        <v>599</v>
      </c>
      <c r="AF744" t="s">
        <v>599</v>
      </c>
      <c r="AG744" t="s">
        <v>2907</v>
      </c>
      <c r="AH744" t="s">
        <v>599</v>
      </c>
      <c r="AI744" t="s">
        <v>599</v>
      </c>
      <c r="AJ744" t="s">
        <v>2908</v>
      </c>
      <c r="AK744" t="s">
        <v>599</v>
      </c>
      <c r="AL744" t="s">
        <v>2909</v>
      </c>
      <c r="AM744" t="s">
        <v>1190</v>
      </c>
      <c r="AN744" t="s">
        <v>599</v>
      </c>
      <c r="AO744" t="s">
        <v>599</v>
      </c>
      <c r="AP744" t="s">
        <v>599</v>
      </c>
      <c r="AQ744" t="s">
        <v>599</v>
      </c>
      <c r="AR744" t="s">
        <v>599</v>
      </c>
      <c r="AS744" t="s">
        <v>599</v>
      </c>
      <c r="AT744" t="s">
        <v>599</v>
      </c>
    </row>
    <row r="745" spans="1:46" ht="120" x14ac:dyDescent="0.25">
      <c r="A745" s="2">
        <v>12181</v>
      </c>
      <c r="B745" s="10">
        <v>9413</v>
      </c>
      <c r="C745" s="10">
        <v>1</v>
      </c>
      <c r="D745" s="9">
        <v>1</v>
      </c>
      <c r="E745" s="11" t="s">
        <v>539</v>
      </c>
      <c r="F745" s="12" t="s">
        <v>540</v>
      </c>
      <c r="G745" s="9" t="s">
        <v>541</v>
      </c>
      <c r="H745" s="34"/>
      <c r="I745" s="55" t="str">
        <f t="shared" si="23"/>
        <v>https://permalinkbnd.bnportugal.gov.pt/viewer/256552/?offset=#page=1&amp;viewer=picture&amp;o=info&amp;n=0&amp;q=</v>
      </c>
      <c r="J745" s="45"/>
      <c r="K745" s="45"/>
      <c r="L745" s="45"/>
      <c r="M745" t="s">
        <v>539</v>
      </c>
      <c r="N745">
        <v>256552</v>
      </c>
      <c r="O745" t="str">
        <f t="shared" si="22"/>
        <v>https://permalinkbnd.bnportugal.gov.pt/viewer/256552/?offset=#page=1&amp;viewer=picture&amp;o=info&amp;n=0&amp;q=</v>
      </c>
      <c r="P745">
        <v>9413</v>
      </c>
      <c r="Q745" t="s">
        <v>539</v>
      </c>
      <c r="R745" t="s">
        <v>3323</v>
      </c>
      <c r="S745" t="s">
        <v>1226</v>
      </c>
      <c r="T745" t="s">
        <v>1192</v>
      </c>
      <c r="U745" t="s">
        <v>599</v>
      </c>
      <c r="V745" t="s">
        <v>1105</v>
      </c>
      <c r="W745" t="s">
        <v>599</v>
      </c>
      <c r="X745" t="s">
        <v>599</v>
      </c>
      <c r="Y745" t="s">
        <v>1182</v>
      </c>
      <c r="Z745" t="s">
        <v>3324</v>
      </c>
      <c r="AA745">
        <v>1980</v>
      </c>
      <c r="AB745">
        <v>1980</v>
      </c>
      <c r="AC745" t="s">
        <v>599</v>
      </c>
      <c r="AD745" t="s">
        <v>599</v>
      </c>
      <c r="AE745" t="s">
        <v>599</v>
      </c>
      <c r="AF745" t="s">
        <v>599</v>
      </c>
      <c r="AG745" t="s">
        <v>3325</v>
      </c>
      <c r="AH745" t="s">
        <v>599</v>
      </c>
      <c r="AI745" t="s">
        <v>599</v>
      </c>
      <c r="AJ745" t="s">
        <v>3326</v>
      </c>
      <c r="AK745" t="s">
        <v>599</v>
      </c>
      <c r="AL745" t="s">
        <v>3327</v>
      </c>
      <c r="AM745" t="s">
        <v>1319</v>
      </c>
      <c r="AN745" t="s">
        <v>599</v>
      </c>
      <c r="AO745" t="s">
        <v>599</v>
      </c>
      <c r="AP745" t="s">
        <v>599</v>
      </c>
      <c r="AQ745" t="s">
        <v>599</v>
      </c>
      <c r="AR745" t="s">
        <v>3328</v>
      </c>
      <c r="AS745" t="s">
        <v>599</v>
      </c>
      <c r="AT745" t="s">
        <v>599</v>
      </c>
    </row>
    <row r="746" spans="1:46" ht="120" x14ac:dyDescent="0.25">
      <c r="A746" s="2">
        <v>12182</v>
      </c>
      <c r="B746" s="10">
        <v>9413</v>
      </c>
      <c r="C746" s="10">
        <v>1</v>
      </c>
      <c r="D746" s="9">
        <v>9</v>
      </c>
      <c r="E746" s="11" t="s">
        <v>539</v>
      </c>
      <c r="F746" s="12" t="s">
        <v>540</v>
      </c>
      <c r="G746" s="9" t="s">
        <v>541</v>
      </c>
      <c r="H746" s="34"/>
      <c r="I746" s="55" t="str">
        <f t="shared" si="23"/>
        <v>https://permalinkbnd.bnportugal.gov.pt/viewer/256552/?offset=#page=9&amp;viewer=picture&amp;o=info&amp;n=0&amp;q=</v>
      </c>
      <c r="J746" s="45"/>
      <c r="K746" s="45"/>
      <c r="L746" s="45"/>
      <c r="M746" t="s">
        <v>539</v>
      </c>
      <c r="N746">
        <v>256552</v>
      </c>
      <c r="O746" t="str">
        <f t="shared" si="22"/>
        <v>https://permalinkbnd.bnportugal.gov.pt/viewer/256552/?offset=#page=9&amp;viewer=picture&amp;o=info&amp;n=0&amp;q=</v>
      </c>
      <c r="P746">
        <v>9413</v>
      </c>
      <c r="Q746" t="s">
        <v>539</v>
      </c>
      <c r="R746" t="s">
        <v>3323</v>
      </c>
      <c r="S746" t="s">
        <v>1226</v>
      </c>
      <c r="T746" t="s">
        <v>1192</v>
      </c>
      <c r="U746" t="s">
        <v>599</v>
      </c>
      <c r="V746" t="s">
        <v>1105</v>
      </c>
      <c r="W746" t="s">
        <v>599</v>
      </c>
      <c r="X746" t="s">
        <v>599</v>
      </c>
      <c r="Y746" t="s">
        <v>1182</v>
      </c>
      <c r="Z746" t="s">
        <v>3324</v>
      </c>
      <c r="AA746">
        <v>1980</v>
      </c>
      <c r="AB746">
        <v>1980</v>
      </c>
      <c r="AC746" t="s">
        <v>599</v>
      </c>
      <c r="AD746" t="s">
        <v>599</v>
      </c>
      <c r="AE746" t="s">
        <v>599</v>
      </c>
      <c r="AF746" t="s">
        <v>599</v>
      </c>
      <c r="AG746" t="s">
        <v>3325</v>
      </c>
      <c r="AH746" t="s">
        <v>599</v>
      </c>
      <c r="AI746" t="s">
        <v>599</v>
      </c>
      <c r="AJ746" t="s">
        <v>3326</v>
      </c>
      <c r="AK746" t="s">
        <v>599</v>
      </c>
      <c r="AL746" t="s">
        <v>3327</v>
      </c>
      <c r="AM746" t="s">
        <v>1319</v>
      </c>
      <c r="AN746" t="s">
        <v>599</v>
      </c>
      <c r="AO746" t="s">
        <v>599</v>
      </c>
      <c r="AP746" t="s">
        <v>599</v>
      </c>
      <c r="AQ746" t="s">
        <v>599</v>
      </c>
      <c r="AR746" t="s">
        <v>3328</v>
      </c>
      <c r="AS746" t="s">
        <v>599</v>
      </c>
      <c r="AT746" t="s">
        <v>599</v>
      </c>
    </row>
    <row r="747" spans="1:46" ht="120" x14ac:dyDescent="0.25">
      <c r="A747" s="2">
        <v>12183</v>
      </c>
      <c r="B747" s="10">
        <v>9413</v>
      </c>
      <c r="C747" s="10">
        <v>1</v>
      </c>
      <c r="D747" s="9">
        <v>14</v>
      </c>
      <c r="E747" s="11" t="s">
        <v>539</v>
      </c>
      <c r="F747" s="12" t="s">
        <v>540</v>
      </c>
      <c r="G747" s="9" t="s">
        <v>541</v>
      </c>
      <c r="H747" s="34"/>
      <c r="I747" s="55" t="str">
        <f t="shared" si="23"/>
        <v>https://permalinkbnd.bnportugal.gov.pt/viewer/256552/?offset=#page=14&amp;viewer=picture&amp;o=info&amp;n=0&amp;q=</v>
      </c>
      <c r="J747" s="45"/>
      <c r="K747" s="45"/>
      <c r="L747" s="45"/>
      <c r="M747" t="s">
        <v>539</v>
      </c>
      <c r="N747">
        <v>256552</v>
      </c>
      <c r="O747" t="str">
        <f t="shared" si="22"/>
        <v>https://permalinkbnd.bnportugal.gov.pt/viewer/256552/?offset=#page=14&amp;viewer=picture&amp;o=info&amp;n=0&amp;q=</v>
      </c>
      <c r="P747">
        <v>9413</v>
      </c>
      <c r="Q747" t="s">
        <v>539</v>
      </c>
      <c r="R747" t="s">
        <v>3323</v>
      </c>
      <c r="S747" t="s">
        <v>1226</v>
      </c>
      <c r="T747" t="s">
        <v>1192</v>
      </c>
      <c r="U747" t="s">
        <v>599</v>
      </c>
      <c r="V747" t="s">
        <v>1105</v>
      </c>
      <c r="W747" t="s">
        <v>599</v>
      </c>
      <c r="X747" t="s">
        <v>599</v>
      </c>
      <c r="Y747" t="s">
        <v>1182</v>
      </c>
      <c r="Z747" t="s">
        <v>3324</v>
      </c>
      <c r="AA747">
        <v>1980</v>
      </c>
      <c r="AB747">
        <v>1980</v>
      </c>
      <c r="AC747" t="s">
        <v>599</v>
      </c>
      <c r="AD747" t="s">
        <v>599</v>
      </c>
      <c r="AE747" t="s">
        <v>599</v>
      </c>
      <c r="AF747" t="s">
        <v>599</v>
      </c>
      <c r="AG747" t="s">
        <v>3325</v>
      </c>
      <c r="AH747" t="s">
        <v>599</v>
      </c>
      <c r="AI747" t="s">
        <v>599</v>
      </c>
      <c r="AJ747" t="s">
        <v>3326</v>
      </c>
      <c r="AK747" t="s">
        <v>599</v>
      </c>
      <c r="AL747" t="s">
        <v>3327</v>
      </c>
      <c r="AM747" t="s">
        <v>1319</v>
      </c>
      <c r="AN747" t="s">
        <v>599</v>
      </c>
      <c r="AO747" t="s">
        <v>599</v>
      </c>
      <c r="AP747" t="s">
        <v>599</v>
      </c>
      <c r="AQ747" t="s">
        <v>599</v>
      </c>
      <c r="AR747" t="s">
        <v>3328</v>
      </c>
      <c r="AS747" t="s">
        <v>599</v>
      </c>
      <c r="AT747" t="s">
        <v>599</v>
      </c>
    </row>
    <row r="748" spans="1:46" ht="120" x14ac:dyDescent="0.25">
      <c r="A748" s="2">
        <v>12184</v>
      </c>
      <c r="B748" s="10">
        <v>9413</v>
      </c>
      <c r="C748" s="10">
        <v>1</v>
      </c>
      <c r="D748" s="9">
        <v>19</v>
      </c>
      <c r="E748" s="11" t="s">
        <v>539</v>
      </c>
      <c r="F748" s="12" t="s">
        <v>540</v>
      </c>
      <c r="G748" s="9" t="s">
        <v>541</v>
      </c>
      <c r="H748" s="34"/>
      <c r="I748" s="55" t="str">
        <f t="shared" si="23"/>
        <v>https://permalinkbnd.bnportugal.gov.pt/viewer/256552/?offset=#page=19&amp;viewer=picture&amp;o=info&amp;n=0&amp;q=</v>
      </c>
      <c r="J748" s="45"/>
      <c r="K748" s="45"/>
      <c r="L748" s="45"/>
      <c r="M748" t="s">
        <v>539</v>
      </c>
      <c r="N748">
        <v>256552</v>
      </c>
      <c r="O748" t="str">
        <f t="shared" si="22"/>
        <v>https://permalinkbnd.bnportugal.gov.pt/viewer/256552/?offset=#page=19&amp;viewer=picture&amp;o=info&amp;n=0&amp;q=</v>
      </c>
      <c r="P748">
        <v>9413</v>
      </c>
      <c r="Q748" t="s">
        <v>539</v>
      </c>
      <c r="R748" t="s">
        <v>3323</v>
      </c>
      <c r="S748" t="s">
        <v>1226</v>
      </c>
      <c r="T748" t="s">
        <v>1192</v>
      </c>
      <c r="U748" t="s">
        <v>599</v>
      </c>
      <c r="V748" t="s">
        <v>1105</v>
      </c>
      <c r="W748" t="s">
        <v>599</v>
      </c>
      <c r="X748" t="s">
        <v>599</v>
      </c>
      <c r="Y748" t="s">
        <v>1182</v>
      </c>
      <c r="Z748" t="s">
        <v>3324</v>
      </c>
      <c r="AA748">
        <v>1980</v>
      </c>
      <c r="AB748">
        <v>1980</v>
      </c>
      <c r="AC748" t="s">
        <v>599</v>
      </c>
      <c r="AD748" t="s">
        <v>599</v>
      </c>
      <c r="AE748" t="s">
        <v>599</v>
      </c>
      <c r="AF748" t="s">
        <v>599</v>
      </c>
      <c r="AG748" t="s">
        <v>3325</v>
      </c>
      <c r="AH748" t="s">
        <v>599</v>
      </c>
      <c r="AI748" t="s">
        <v>599</v>
      </c>
      <c r="AJ748" t="s">
        <v>3326</v>
      </c>
      <c r="AK748" t="s">
        <v>599</v>
      </c>
      <c r="AL748" t="s">
        <v>3327</v>
      </c>
      <c r="AM748" t="s">
        <v>1319</v>
      </c>
      <c r="AN748" t="s">
        <v>599</v>
      </c>
      <c r="AO748" t="s">
        <v>599</v>
      </c>
      <c r="AP748" t="s">
        <v>599</v>
      </c>
      <c r="AQ748" t="s">
        <v>599</v>
      </c>
      <c r="AR748" t="s">
        <v>3328</v>
      </c>
      <c r="AS748" t="s">
        <v>599</v>
      </c>
      <c r="AT748" t="s">
        <v>599</v>
      </c>
    </row>
    <row r="749" spans="1:46" ht="120" x14ac:dyDescent="0.25">
      <c r="A749" s="2">
        <v>12185</v>
      </c>
      <c r="B749" s="10">
        <v>9413</v>
      </c>
      <c r="C749" s="10">
        <v>1</v>
      </c>
      <c r="D749" s="9">
        <v>20</v>
      </c>
      <c r="E749" s="11" t="s">
        <v>539</v>
      </c>
      <c r="F749" s="12" t="s">
        <v>540</v>
      </c>
      <c r="G749" s="9" t="s">
        <v>541</v>
      </c>
      <c r="H749" s="34"/>
      <c r="I749" s="55" t="str">
        <f t="shared" si="23"/>
        <v>https://permalinkbnd.bnportugal.gov.pt/viewer/256552/?offset=#page=20&amp;viewer=picture&amp;o=info&amp;n=0&amp;q=</v>
      </c>
      <c r="J749" s="45"/>
      <c r="K749" s="45"/>
      <c r="L749" s="45"/>
      <c r="M749" t="s">
        <v>539</v>
      </c>
      <c r="N749">
        <v>256552</v>
      </c>
      <c r="O749" t="str">
        <f t="shared" si="22"/>
        <v>https://permalinkbnd.bnportugal.gov.pt/viewer/256552/?offset=#page=20&amp;viewer=picture&amp;o=info&amp;n=0&amp;q=</v>
      </c>
      <c r="P749">
        <v>9413</v>
      </c>
      <c r="Q749" t="s">
        <v>539</v>
      </c>
      <c r="R749" t="s">
        <v>3323</v>
      </c>
      <c r="S749" t="s">
        <v>1226</v>
      </c>
      <c r="T749" t="s">
        <v>1192</v>
      </c>
      <c r="U749" t="s">
        <v>599</v>
      </c>
      <c r="V749" t="s">
        <v>1105</v>
      </c>
      <c r="W749" t="s">
        <v>599</v>
      </c>
      <c r="X749" t="s">
        <v>599</v>
      </c>
      <c r="Y749" t="s">
        <v>1182</v>
      </c>
      <c r="Z749" t="s">
        <v>3324</v>
      </c>
      <c r="AA749">
        <v>1980</v>
      </c>
      <c r="AB749">
        <v>1980</v>
      </c>
      <c r="AC749" t="s">
        <v>599</v>
      </c>
      <c r="AD749" t="s">
        <v>599</v>
      </c>
      <c r="AE749" t="s">
        <v>599</v>
      </c>
      <c r="AF749" t="s">
        <v>599</v>
      </c>
      <c r="AG749" t="s">
        <v>3325</v>
      </c>
      <c r="AH749" t="s">
        <v>599</v>
      </c>
      <c r="AI749" t="s">
        <v>599</v>
      </c>
      <c r="AJ749" t="s">
        <v>3326</v>
      </c>
      <c r="AK749" t="s">
        <v>599</v>
      </c>
      <c r="AL749" t="s">
        <v>3327</v>
      </c>
      <c r="AM749" t="s">
        <v>1319</v>
      </c>
      <c r="AN749" t="s">
        <v>599</v>
      </c>
      <c r="AO749" t="s">
        <v>599</v>
      </c>
      <c r="AP749" t="s">
        <v>599</v>
      </c>
      <c r="AQ749" t="s">
        <v>599</v>
      </c>
      <c r="AR749" t="s">
        <v>3328</v>
      </c>
      <c r="AS749" t="s">
        <v>599</v>
      </c>
      <c r="AT749" t="s">
        <v>599</v>
      </c>
    </row>
    <row r="750" spans="1:46" ht="120" x14ac:dyDescent="0.25">
      <c r="A750" s="2">
        <v>12186</v>
      </c>
      <c r="B750" s="10">
        <v>9413</v>
      </c>
      <c r="C750" s="10">
        <v>1</v>
      </c>
      <c r="D750" s="9">
        <v>39</v>
      </c>
      <c r="E750" s="11" t="s">
        <v>539</v>
      </c>
      <c r="F750" s="12" t="s">
        <v>540</v>
      </c>
      <c r="G750" s="9" t="s">
        <v>541</v>
      </c>
      <c r="H750" s="34"/>
      <c r="I750" s="55" t="str">
        <f t="shared" si="23"/>
        <v>https://permalinkbnd.bnportugal.gov.pt/viewer/256552/?offset=#page=39&amp;viewer=picture&amp;o=info&amp;n=0&amp;q=</v>
      </c>
      <c r="J750" s="45"/>
      <c r="K750" s="45"/>
      <c r="L750" s="45"/>
      <c r="M750" t="s">
        <v>539</v>
      </c>
      <c r="N750">
        <v>256552</v>
      </c>
      <c r="O750" t="str">
        <f t="shared" si="22"/>
        <v>https://permalinkbnd.bnportugal.gov.pt/viewer/256552/?offset=#page=39&amp;viewer=picture&amp;o=info&amp;n=0&amp;q=</v>
      </c>
      <c r="P750">
        <v>9413</v>
      </c>
      <c r="Q750" t="s">
        <v>539</v>
      </c>
      <c r="R750" t="s">
        <v>3323</v>
      </c>
      <c r="S750" t="s">
        <v>1226</v>
      </c>
      <c r="T750" t="s">
        <v>1192</v>
      </c>
      <c r="U750" t="s">
        <v>599</v>
      </c>
      <c r="V750" t="s">
        <v>1105</v>
      </c>
      <c r="W750" t="s">
        <v>599</v>
      </c>
      <c r="X750" t="s">
        <v>599</v>
      </c>
      <c r="Y750" t="s">
        <v>1182</v>
      </c>
      <c r="Z750" t="s">
        <v>3324</v>
      </c>
      <c r="AA750">
        <v>1980</v>
      </c>
      <c r="AB750">
        <v>1980</v>
      </c>
      <c r="AC750" t="s">
        <v>599</v>
      </c>
      <c r="AD750" t="s">
        <v>599</v>
      </c>
      <c r="AE750" t="s">
        <v>599</v>
      </c>
      <c r="AF750" t="s">
        <v>599</v>
      </c>
      <c r="AG750" t="s">
        <v>3325</v>
      </c>
      <c r="AH750" t="s">
        <v>599</v>
      </c>
      <c r="AI750" t="s">
        <v>599</v>
      </c>
      <c r="AJ750" t="s">
        <v>3326</v>
      </c>
      <c r="AK750" t="s">
        <v>599</v>
      </c>
      <c r="AL750" t="s">
        <v>3327</v>
      </c>
      <c r="AM750" t="s">
        <v>1319</v>
      </c>
      <c r="AN750" t="s">
        <v>599</v>
      </c>
      <c r="AO750" t="s">
        <v>599</v>
      </c>
      <c r="AP750" t="s">
        <v>599</v>
      </c>
      <c r="AQ750" t="s">
        <v>599</v>
      </c>
      <c r="AR750" t="s">
        <v>3328</v>
      </c>
      <c r="AS750" t="s">
        <v>599</v>
      </c>
      <c r="AT750" t="s">
        <v>599</v>
      </c>
    </row>
    <row r="751" spans="1:46" ht="120" x14ac:dyDescent="0.25">
      <c r="A751" s="2">
        <v>12187</v>
      </c>
      <c r="B751" s="10">
        <v>9413</v>
      </c>
      <c r="C751" s="10">
        <v>1</v>
      </c>
      <c r="D751" s="9">
        <v>42</v>
      </c>
      <c r="E751" s="11" t="s">
        <v>539</v>
      </c>
      <c r="F751" s="12" t="s">
        <v>540</v>
      </c>
      <c r="G751" s="9" t="s">
        <v>541</v>
      </c>
      <c r="H751" s="34"/>
      <c r="I751" s="55" t="str">
        <f t="shared" si="23"/>
        <v>https://permalinkbnd.bnportugal.gov.pt/viewer/256552/?offset=#page=42&amp;viewer=picture&amp;o=info&amp;n=0&amp;q=</v>
      </c>
      <c r="J751" s="45"/>
      <c r="K751" s="45"/>
      <c r="L751" s="45"/>
      <c r="M751" t="s">
        <v>539</v>
      </c>
      <c r="N751">
        <v>256552</v>
      </c>
      <c r="O751" t="str">
        <f t="shared" si="22"/>
        <v>https://permalinkbnd.bnportugal.gov.pt/viewer/256552/?offset=#page=42&amp;viewer=picture&amp;o=info&amp;n=0&amp;q=</v>
      </c>
      <c r="P751">
        <v>9413</v>
      </c>
      <c r="Q751" t="s">
        <v>539</v>
      </c>
      <c r="R751" t="s">
        <v>3323</v>
      </c>
      <c r="S751" t="s">
        <v>1226</v>
      </c>
      <c r="T751" t="s">
        <v>1192</v>
      </c>
      <c r="U751" t="s">
        <v>599</v>
      </c>
      <c r="V751" t="s">
        <v>1105</v>
      </c>
      <c r="W751" t="s">
        <v>599</v>
      </c>
      <c r="X751" t="s">
        <v>599</v>
      </c>
      <c r="Y751" t="s">
        <v>1182</v>
      </c>
      <c r="Z751" t="s">
        <v>3324</v>
      </c>
      <c r="AA751">
        <v>1980</v>
      </c>
      <c r="AB751">
        <v>1980</v>
      </c>
      <c r="AC751" t="s">
        <v>599</v>
      </c>
      <c r="AD751" t="s">
        <v>599</v>
      </c>
      <c r="AE751" t="s">
        <v>599</v>
      </c>
      <c r="AF751" t="s">
        <v>599</v>
      </c>
      <c r="AG751" t="s">
        <v>3325</v>
      </c>
      <c r="AH751" t="s">
        <v>599</v>
      </c>
      <c r="AI751" t="s">
        <v>599</v>
      </c>
      <c r="AJ751" t="s">
        <v>3326</v>
      </c>
      <c r="AK751" t="s">
        <v>599</v>
      </c>
      <c r="AL751" t="s">
        <v>3327</v>
      </c>
      <c r="AM751" t="s">
        <v>1319</v>
      </c>
      <c r="AN751" t="s">
        <v>599</v>
      </c>
      <c r="AO751" t="s">
        <v>599</v>
      </c>
      <c r="AP751" t="s">
        <v>599</v>
      </c>
      <c r="AQ751" t="s">
        <v>599</v>
      </c>
      <c r="AR751" t="s">
        <v>3328</v>
      </c>
      <c r="AS751" t="s">
        <v>599</v>
      </c>
      <c r="AT751" t="s">
        <v>599</v>
      </c>
    </row>
    <row r="752" spans="1:46" ht="120" x14ac:dyDescent="0.25">
      <c r="A752" s="2">
        <v>12188</v>
      </c>
      <c r="B752" s="10">
        <v>9413</v>
      </c>
      <c r="C752" s="10">
        <v>1</v>
      </c>
      <c r="D752" s="9">
        <v>45</v>
      </c>
      <c r="E752" s="11" t="s">
        <v>539</v>
      </c>
      <c r="F752" s="12" t="s">
        <v>540</v>
      </c>
      <c r="G752" s="9" t="s">
        <v>541</v>
      </c>
      <c r="H752" s="34"/>
      <c r="I752" s="55" t="str">
        <f t="shared" si="23"/>
        <v>https://permalinkbnd.bnportugal.gov.pt/viewer/256552/?offset=#page=45&amp;viewer=picture&amp;o=info&amp;n=0&amp;q=</v>
      </c>
      <c r="J752" s="45"/>
      <c r="K752" s="45"/>
      <c r="L752" s="45"/>
      <c r="M752" t="s">
        <v>539</v>
      </c>
      <c r="N752">
        <v>256552</v>
      </c>
      <c r="O752" t="str">
        <f t="shared" si="22"/>
        <v>https://permalinkbnd.bnportugal.gov.pt/viewer/256552/?offset=#page=45&amp;viewer=picture&amp;o=info&amp;n=0&amp;q=</v>
      </c>
      <c r="P752">
        <v>9413</v>
      </c>
      <c r="Q752" t="s">
        <v>539</v>
      </c>
      <c r="R752" t="s">
        <v>3323</v>
      </c>
      <c r="S752" t="s">
        <v>1226</v>
      </c>
      <c r="T752" t="s">
        <v>1192</v>
      </c>
      <c r="U752" t="s">
        <v>599</v>
      </c>
      <c r="V752" t="s">
        <v>1105</v>
      </c>
      <c r="W752" t="s">
        <v>599</v>
      </c>
      <c r="X752" t="s">
        <v>599</v>
      </c>
      <c r="Y752" t="s">
        <v>1182</v>
      </c>
      <c r="Z752" t="s">
        <v>3324</v>
      </c>
      <c r="AA752">
        <v>1980</v>
      </c>
      <c r="AB752">
        <v>1980</v>
      </c>
      <c r="AC752" t="s">
        <v>599</v>
      </c>
      <c r="AD752" t="s">
        <v>599</v>
      </c>
      <c r="AE752" t="s">
        <v>599</v>
      </c>
      <c r="AF752" t="s">
        <v>599</v>
      </c>
      <c r="AG752" t="s">
        <v>3325</v>
      </c>
      <c r="AH752" t="s">
        <v>599</v>
      </c>
      <c r="AI752" t="s">
        <v>599</v>
      </c>
      <c r="AJ752" t="s">
        <v>3326</v>
      </c>
      <c r="AK752" t="s">
        <v>599</v>
      </c>
      <c r="AL752" t="s">
        <v>3327</v>
      </c>
      <c r="AM752" t="s">
        <v>1319</v>
      </c>
      <c r="AN752" t="s">
        <v>599</v>
      </c>
      <c r="AO752" t="s">
        <v>599</v>
      </c>
      <c r="AP752" t="s">
        <v>599</v>
      </c>
      <c r="AQ752" t="s">
        <v>599</v>
      </c>
      <c r="AR752" t="s">
        <v>3328</v>
      </c>
      <c r="AS752" t="s">
        <v>599</v>
      </c>
      <c r="AT752" t="s">
        <v>599</v>
      </c>
    </row>
    <row r="753" spans="1:46" ht="120" x14ac:dyDescent="0.25">
      <c r="A753" s="2">
        <v>12189</v>
      </c>
      <c r="B753" s="10">
        <v>9413</v>
      </c>
      <c r="C753" s="10">
        <v>1</v>
      </c>
      <c r="D753" s="9">
        <v>48</v>
      </c>
      <c r="E753" s="11" t="s">
        <v>539</v>
      </c>
      <c r="F753" s="12" t="s">
        <v>540</v>
      </c>
      <c r="G753" s="9" t="s">
        <v>541</v>
      </c>
      <c r="H753" s="34"/>
      <c r="I753" s="55" t="str">
        <f t="shared" si="23"/>
        <v>https://permalinkbnd.bnportugal.gov.pt/viewer/256552/?offset=#page=48&amp;viewer=picture&amp;o=info&amp;n=0&amp;q=</v>
      </c>
      <c r="J753" s="45"/>
      <c r="K753" s="45"/>
      <c r="L753" s="45"/>
      <c r="M753" t="s">
        <v>539</v>
      </c>
      <c r="N753">
        <v>256552</v>
      </c>
      <c r="O753" t="str">
        <f t="shared" si="22"/>
        <v>https://permalinkbnd.bnportugal.gov.pt/viewer/256552/?offset=#page=48&amp;viewer=picture&amp;o=info&amp;n=0&amp;q=</v>
      </c>
      <c r="P753">
        <v>9413</v>
      </c>
      <c r="Q753" t="s">
        <v>539</v>
      </c>
      <c r="R753" t="s">
        <v>3323</v>
      </c>
      <c r="S753" t="s">
        <v>1226</v>
      </c>
      <c r="T753" t="s">
        <v>1192</v>
      </c>
      <c r="U753" t="s">
        <v>599</v>
      </c>
      <c r="V753" t="s">
        <v>1105</v>
      </c>
      <c r="W753" t="s">
        <v>599</v>
      </c>
      <c r="X753" t="s">
        <v>599</v>
      </c>
      <c r="Y753" t="s">
        <v>1182</v>
      </c>
      <c r="Z753" t="s">
        <v>3324</v>
      </c>
      <c r="AA753">
        <v>1980</v>
      </c>
      <c r="AB753">
        <v>1980</v>
      </c>
      <c r="AC753" t="s">
        <v>599</v>
      </c>
      <c r="AD753" t="s">
        <v>599</v>
      </c>
      <c r="AE753" t="s">
        <v>599</v>
      </c>
      <c r="AF753" t="s">
        <v>599</v>
      </c>
      <c r="AG753" t="s">
        <v>3325</v>
      </c>
      <c r="AH753" t="s">
        <v>599</v>
      </c>
      <c r="AI753" t="s">
        <v>599</v>
      </c>
      <c r="AJ753" t="s">
        <v>3326</v>
      </c>
      <c r="AK753" t="s">
        <v>599</v>
      </c>
      <c r="AL753" t="s">
        <v>3327</v>
      </c>
      <c r="AM753" t="s">
        <v>1319</v>
      </c>
      <c r="AN753" t="s">
        <v>599</v>
      </c>
      <c r="AO753" t="s">
        <v>599</v>
      </c>
      <c r="AP753" t="s">
        <v>599</v>
      </c>
      <c r="AQ753" t="s">
        <v>599</v>
      </c>
      <c r="AR753" t="s">
        <v>3328</v>
      </c>
      <c r="AS753" t="s">
        <v>599</v>
      </c>
      <c r="AT753" t="s">
        <v>599</v>
      </c>
    </row>
    <row r="754" spans="1:46" ht="120" x14ac:dyDescent="0.25">
      <c r="A754" s="2">
        <v>12190</v>
      </c>
      <c r="B754" s="10">
        <v>9413</v>
      </c>
      <c r="C754" s="10">
        <v>1</v>
      </c>
      <c r="D754" s="9">
        <v>59</v>
      </c>
      <c r="E754" s="11" t="s">
        <v>539</v>
      </c>
      <c r="F754" s="12" t="s">
        <v>540</v>
      </c>
      <c r="G754" s="9" t="s">
        <v>541</v>
      </c>
      <c r="H754" s="34"/>
      <c r="I754" s="55" t="str">
        <f t="shared" si="23"/>
        <v>https://permalinkbnd.bnportugal.gov.pt/viewer/256552/?offset=#page=59&amp;viewer=picture&amp;o=info&amp;n=0&amp;q=</v>
      </c>
      <c r="J754" s="45"/>
      <c r="K754" s="45"/>
      <c r="L754" s="45"/>
      <c r="M754" t="s">
        <v>539</v>
      </c>
      <c r="N754">
        <v>256552</v>
      </c>
      <c r="O754" t="str">
        <f t="shared" si="22"/>
        <v>https://permalinkbnd.bnportugal.gov.pt/viewer/256552/?offset=#page=59&amp;viewer=picture&amp;o=info&amp;n=0&amp;q=</v>
      </c>
      <c r="P754">
        <v>9413</v>
      </c>
      <c r="Q754" t="s">
        <v>539</v>
      </c>
      <c r="R754" t="s">
        <v>3323</v>
      </c>
      <c r="S754" t="s">
        <v>1226</v>
      </c>
      <c r="T754" t="s">
        <v>1192</v>
      </c>
      <c r="U754" t="s">
        <v>599</v>
      </c>
      <c r="V754" t="s">
        <v>1105</v>
      </c>
      <c r="W754" t="s">
        <v>599</v>
      </c>
      <c r="X754" t="s">
        <v>599</v>
      </c>
      <c r="Y754" t="s">
        <v>1182</v>
      </c>
      <c r="Z754" t="s">
        <v>3324</v>
      </c>
      <c r="AA754">
        <v>1980</v>
      </c>
      <c r="AB754">
        <v>1980</v>
      </c>
      <c r="AC754" t="s">
        <v>599</v>
      </c>
      <c r="AD754" t="s">
        <v>599</v>
      </c>
      <c r="AE754" t="s">
        <v>599</v>
      </c>
      <c r="AF754" t="s">
        <v>599</v>
      </c>
      <c r="AG754" t="s">
        <v>3325</v>
      </c>
      <c r="AH754" t="s">
        <v>599</v>
      </c>
      <c r="AI754" t="s">
        <v>599</v>
      </c>
      <c r="AJ754" t="s">
        <v>3326</v>
      </c>
      <c r="AK754" t="s">
        <v>599</v>
      </c>
      <c r="AL754" t="s">
        <v>3327</v>
      </c>
      <c r="AM754" t="s">
        <v>1319</v>
      </c>
      <c r="AN754" t="s">
        <v>599</v>
      </c>
      <c r="AO754" t="s">
        <v>599</v>
      </c>
      <c r="AP754" t="s">
        <v>599</v>
      </c>
      <c r="AQ754" t="s">
        <v>599</v>
      </c>
      <c r="AR754" t="s">
        <v>3328</v>
      </c>
      <c r="AS754" t="s">
        <v>599</v>
      </c>
      <c r="AT754" t="s">
        <v>599</v>
      </c>
    </row>
    <row r="755" spans="1:46" ht="120" x14ac:dyDescent="0.25">
      <c r="A755" s="2">
        <v>12191</v>
      </c>
      <c r="B755" s="10">
        <v>9413</v>
      </c>
      <c r="C755" s="10">
        <v>1</v>
      </c>
      <c r="D755" s="9">
        <v>66</v>
      </c>
      <c r="E755" s="11" t="s">
        <v>539</v>
      </c>
      <c r="F755" s="12" t="s">
        <v>540</v>
      </c>
      <c r="G755" s="9" t="s">
        <v>541</v>
      </c>
      <c r="H755" s="34"/>
      <c r="I755" s="55" t="str">
        <f t="shared" si="23"/>
        <v>https://permalinkbnd.bnportugal.gov.pt/viewer/256552/?offset=#page=66&amp;viewer=picture&amp;o=info&amp;n=0&amp;q=</v>
      </c>
      <c r="J755" s="45"/>
      <c r="K755" s="45"/>
      <c r="L755" s="45"/>
      <c r="M755" t="s">
        <v>539</v>
      </c>
      <c r="N755">
        <v>256552</v>
      </c>
      <c r="O755" t="str">
        <f t="shared" si="22"/>
        <v>https://permalinkbnd.bnportugal.gov.pt/viewer/256552/?offset=#page=66&amp;viewer=picture&amp;o=info&amp;n=0&amp;q=</v>
      </c>
      <c r="P755">
        <v>9413</v>
      </c>
      <c r="Q755" t="s">
        <v>539</v>
      </c>
      <c r="R755" t="s">
        <v>3323</v>
      </c>
      <c r="S755" t="s">
        <v>1226</v>
      </c>
      <c r="T755" t="s">
        <v>1192</v>
      </c>
      <c r="U755" t="s">
        <v>599</v>
      </c>
      <c r="V755" t="s">
        <v>1105</v>
      </c>
      <c r="W755" t="s">
        <v>599</v>
      </c>
      <c r="X755" t="s">
        <v>599</v>
      </c>
      <c r="Y755" t="s">
        <v>1182</v>
      </c>
      <c r="Z755" t="s">
        <v>3324</v>
      </c>
      <c r="AA755">
        <v>1980</v>
      </c>
      <c r="AB755">
        <v>1980</v>
      </c>
      <c r="AC755" t="s">
        <v>599</v>
      </c>
      <c r="AD755" t="s">
        <v>599</v>
      </c>
      <c r="AE755" t="s">
        <v>599</v>
      </c>
      <c r="AF755" t="s">
        <v>599</v>
      </c>
      <c r="AG755" t="s">
        <v>3325</v>
      </c>
      <c r="AH755" t="s">
        <v>599</v>
      </c>
      <c r="AI755" t="s">
        <v>599</v>
      </c>
      <c r="AJ755" t="s">
        <v>3326</v>
      </c>
      <c r="AK755" t="s">
        <v>599</v>
      </c>
      <c r="AL755" t="s">
        <v>3327</v>
      </c>
      <c r="AM755" t="s">
        <v>1319</v>
      </c>
      <c r="AN755" t="s">
        <v>599</v>
      </c>
      <c r="AO755" t="s">
        <v>599</v>
      </c>
      <c r="AP755" t="s">
        <v>599</v>
      </c>
      <c r="AQ755" t="s">
        <v>599</v>
      </c>
      <c r="AR755" t="s">
        <v>3328</v>
      </c>
      <c r="AS755" t="s">
        <v>599</v>
      </c>
      <c r="AT755" t="s">
        <v>599</v>
      </c>
    </row>
    <row r="756" spans="1:46" ht="30" x14ac:dyDescent="0.25">
      <c r="A756" s="2">
        <v>12193</v>
      </c>
      <c r="B756" s="10">
        <v>51530</v>
      </c>
      <c r="C756" s="10">
        <v>1</v>
      </c>
      <c r="D756" s="9">
        <v>9</v>
      </c>
      <c r="E756" s="11" t="s">
        <v>542</v>
      </c>
      <c r="F756" s="12" t="s">
        <v>168</v>
      </c>
      <c r="G756" s="9"/>
      <c r="H756" s="34"/>
      <c r="I756" s="55" t="str">
        <f t="shared" si="23"/>
        <v>https://permalinkbnd.bnportugal.gov.pt/viewer/14657/?offset=#page=9&amp;viewer=picture&amp;o=info&amp;n=0&amp;q=</v>
      </c>
      <c r="J756" s="45"/>
      <c r="K756" s="45"/>
      <c r="L756" s="45"/>
      <c r="M756" t="s">
        <v>542</v>
      </c>
      <c r="N756">
        <v>14657</v>
      </c>
      <c r="O756" t="str">
        <f t="shared" si="22"/>
        <v>https://permalinkbnd.bnportugal.gov.pt/viewer/14657/?offset=#page=9&amp;viewer=picture&amp;o=info&amp;n=0&amp;q=</v>
      </c>
      <c r="P756">
        <v>51530</v>
      </c>
      <c r="Q756" t="s">
        <v>542</v>
      </c>
      <c r="R756" t="s">
        <v>3329</v>
      </c>
      <c r="S756" t="s">
        <v>1178</v>
      </c>
      <c r="T756" t="s">
        <v>1192</v>
      </c>
      <c r="U756" t="s">
        <v>599</v>
      </c>
      <c r="V756" t="s">
        <v>3330</v>
      </c>
      <c r="W756" t="s">
        <v>599</v>
      </c>
      <c r="X756" t="s">
        <v>599</v>
      </c>
      <c r="Y756" t="s">
        <v>3331</v>
      </c>
      <c r="Z756" t="s">
        <v>3332</v>
      </c>
      <c r="AA756">
        <v>1587</v>
      </c>
      <c r="AB756">
        <v>1587</v>
      </c>
      <c r="AC756" t="s">
        <v>3333</v>
      </c>
      <c r="AD756" t="s">
        <v>599</v>
      </c>
      <c r="AE756" t="s">
        <v>599</v>
      </c>
      <c r="AF756" t="s">
        <v>3334</v>
      </c>
      <c r="AG756" t="s">
        <v>3335</v>
      </c>
      <c r="AH756" t="s">
        <v>599</v>
      </c>
      <c r="AI756" t="s">
        <v>599</v>
      </c>
      <c r="AJ756" t="s">
        <v>3336</v>
      </c>
      <c r="AK756" t="s">
        <v>599</v>
      </c>
      <c r="AL756" t="s">
        <v>3337</v>
      </c>
      <c r="AM756" t="s">
        <v>1190</v>
      </c>
      <c r="AN756" t="s">
        <v>599</v>
      </c>
      <c r="AO756" t="s">
        <v>599</v>
      </c>
      <c r="AP756" t="s">
        <v>3338</v>
      </c>
      <c r="AQ756" t="s">
        <v>599</v>
      </c>
      <c r="AR756" t="s">
        <v>599</v>
      </c>
      <c r="AS756" t="s">
        <v>599</v>
      </c>
      <c r="AT756" t="s">
        <v>599</v>
      </c>
    </row>
    <row r="757" spans="1:46" ht="30" x14ac:dyDescent="0.25">
      <c r="A757" s="2">
        <v>12199</v>
      </c>
      <c r="B757" s="10">
        <v>289933</v>
      </c>
      <c r="C757" s="10">
        <v>1</v>
      </c>
      <c r="D757" s="9">
        <v>2</v>
      </c>
      <c r="E757" s="11" t="s">
        <v>543</v>
      </c>
      <c r="F757" s="12" t="s">
        <v>544</v>
      </c>
      <c r="G757" s="9" t="s">
        <v>545</v>
      </c>
      <c r="H757" s="34"/>
      <c r="I757" s="55" t="str">
        <f t="shared" si="23"/>
        <v>https://permalinkbnd.bnportugal.gov.pt/viewer/3/?offset=#page=2&amp;viewer=picture&amp;o=info&amp;n=0&amp;q=</v>
      </c>
      <c r="J757" s="45"/>
      <c r="K757" s="45"/>
      <c r="L757" s="45"/>
      <c r="M757" t="s">
        <v>543</v>
      </c>
      <c r="N757">
        <v>3</v>
      </c>
      <c r="O757" t="str">
        <f t="shared" si="22"/>
        <v>https://permalinkbnd.bnportugal.gov.pt/viewer/3/?offset=#page=2&amp;viewer=picture&amp;o=info&amp;n=0&amp;q=</v>
      </c>
      <c r="P757">
        <v>289933</v>
      </c>
      <c r="Q757" t="s">
        <v>543</v>
      </c>
      <c r="R757" t="s">
        <v>3339</v>
      </c>
      <c r="S757" t="s">
        <v>1178</v>
      </c>
      <c r="T757" t="s">
        <v>1192</v>
      </c>
      <c r="U757" t="s">
        <v>599</v>
      </c>
      <c r="V757" t="s">
        <v>3340</v>
      </c>
      <c r="W757" t="s">
        <v>599</v>
      </c>
      <c r="X757" t="s">
        <v>599</v>
      </c>
      <c r="Y757" t="s">
        <v>1182</v>
      </c>
      <c r="Z757" t="s">
        <v>3341</v>
      </c>
      <c r="AA757">
        <v>1972</v>
      </c>
      <c r="AB757">
        <v>1972</v>
      </c>
      <c r="AC757" t="s">
        <v>3342</v>
      </c>
      <c r="AD757" t="s">
        <v>599</v>
      </c>
      <c r="AE757" t="s">
        <v>599</v>
      </c>
      <c r="AF757" t="s">
        <v>599</v>
      </c>
      <c r="AG757" t="s">
        <v>599</v>
      </c>
      <c r="AH757" t="s">
        <v>599</v>
      </c>
      <c r="AI757" t="s">
        <v>599</v>
      </c>
      <c r="AJ757" t="s">
        <v>3343</v>
      </c>
      <c r="AK757" t="s">
        <v>599</v>
      </c>
      <c r="AL757" t="s">
        <v>3344</v>
      </c>
      <c r="AM757" t="s">
        <v>1319</v>
      </c>
      <c r="AN757" t="s">
        <v>599</v>
      </c>
      <c r="AO757" t="s">
        <v>599</v>
      </c>
      <c r="AP757" t="s">
        <v>3345</v>
      </c>
      <c r="AQ757" t="s">
        <v>599</v>
      </c>
      <c r="AR757" t="s">
        <v>599</v>
      </c>
      <c r="AS757" t="s">
        <v>599</v>
      </c>
      <c r="AT757" t="s">
        <v>599</v>
      </c>
    </row>
    <row r="758" spans="1:46" ht="30" x14ac:dyDescent="0.25">
      <c r="A758" s="2">
        <v>12200</v>
      </c>
      <c r="B758" s="10">
        <v>289933</v>
      </c>
      <c r="C758" s="10">
        <v>1</v>
      </c>
      <c r="D758" s="9">
        <v>3</v>
      </c>
      <c r="E758" s="11" t="s">
        <v>543</v>
      </c>
      <c r="F758" s="12" t="s">
        <v>544</v>
      </c>
      <c r="G758" s="9" t="s">
        <v>545</v>
      </c>
      <c r="H758" s="34"/>
      <c r="I758" s="55" t="str">
        <f t="shared" si="23"/>
        <v>https://permalinkbnd.bnportugal.gov.pt/viewer/3/?offset=#page=3&amp;viewer=picture&amp;o=info&amp;n=0&amp;q=</v>
      </c>
      <c r="J758" s="45"/>
      <c r="K758" s="45"/>
      <c r="L758" s="45"/>
      <c r="M758" t="s">
        <v>543</v>
      </c>
      <c r="N758">
        <v>3</v>
      </c>
      <c r="O758" t="str">
        <f t="shared" si="22"/>
        <v>https://permalinkbnd.bnportugal.gov.pt/viewer/3/?offset=#page=3&amp;viewer=picture&amp;o=info&amp;n=0&amp;q=</v>
      </c>
      <c r="P758">
        <v>289933</v>
      </c>
      <c r="Q758" t="s">
        <v>543</v>
      </c>
      <c r="R758" t="s">
        <v>3339</v>
      </c>
      <c r="S758" t="s">
        <v>1178</v>
      </c>
      <c r="T758" t="s">
        <v>1192</v>
      </c>
      <c r="U758" t="s">
        <v>599</v>
      </c>
      <c r="V758" t="s">
        <v>3340</v>
      </c>
      <c r="W758" t="s">
        <v>599</v>
      </c>
      <c r="X758" t="s">
        <v>599</v>
      </c>
      <c r="Y758" t="s">
        <v>1182</v>
      </c>
      <c r="Z758" t="s">
        <v>3341</v>
      </c>
      <c r="AA758">
        <v>1972</v>
      </c>
      <c r="AB758">
        <v>1972</v>
      </c>
      <c r="AC758" t="s">
        <v>3342</v>
      </c>
      <c r="AD758" t="s">
        <v>599</v>
      </c>
      <c r="AE758" t="s">
        <v>599</v>
      </c>
      <c r="AF758" t="s">
        <v>599</v>
      </c>
      <c r="AG758" t="s">
        <v>599</v>
      </c>
      <c r="AH758" t="s">
        <v>599</v>
      </c>
      <c r="AI758" t="s">
        <v>599</v>
      </c>
      <c r="AJ758" t="s">
        <v>3343</v>
      </c>
      <c r="AK758" t="s">
        <v>599</v>
      </c>
      <c r="AL758" t="s">
        <v>3344</v>
      </c>
      <c r="AM758" t="s">
        <v>1319</v>
      </c>
      <c r="AN758" t="s">
        <v>599</v>
      </c>
      <c r="AO758" t="s">
        <v>599</v>
      </c>
      <c r="AP758" t="s">
        <v>3345</v>
      </c>
      <c r="AQ758" t="s">
        <v>599</v>
      </c>
      <c r="AR758" t="s">
        <v>599</v>
      </c>
      <c r="AS758" t="s">
        <v>599</v>
      </c>
      <c r="AT758" t="s">
        <v>599</v>
      </c>
    </row>
    <row r="759" spans="1:46" ht="30" x14ac:dyDescent="0.25">
      <c r="A759" s="2">
        <v>12201</v>
      </c>
      <c r="B759" s="10">
        <v>289933</v>
      </c>
      <c r="C759" s="10">
        <v>1</v>
      </c>
      <c r="D759" s="9">
        <v>4</v>
      </c>
      <c r="E759" s="11" t="s">
        <v>543</v>
      </c>
      <c r="F759" s="12" t="s">
        <v>544</v>
      </c>
      <c r="G759" s="9" t="s">
        <v>545</v>
      </c>
      <c r="H759" s="34"/>
      <c r="I759" s="55" t="str">
        <f t="shared" si="23"/>
        <v>https://permalinkbnd.bnportugal.gov.pt/viewer/3/?offset=#page=4&amp;viewer=picture&amp;o=info&amp;n=0&amp;q=</v>
      </c>
      <c r="J759" s="45"/>
      <c r="K759" s="45"/>
      <c r="L759" s="45"/>
      <c r="M759" t="s">
        <v>543</v>
      </c>
      <c r="N759">
        <v>3</v>
      </c>
      <c r="O759" t="str">
        <f t="shared" si="22"/>
        <v>https://permalinkbnd.bnportugal.gov.pt/viewer/3/?offset=#page=4&amp;viewer=picture&amp;o=info&amp;n=0&amp;q=</v>
      </c>
      <c r="P759">
        <v>289933</v>
      </c>
      <c r="Q759" t="s">
        <v>543</v>
      </c>
      <c r="R759" t="s">
        <v>3339</v>
      </c>
      <c r="S759" t="s">
        <v>1178</v>
      </c>
      <c r="T759" t="s">
        <v>1192</v>
      </c>
      <c r="U759" t="s">
        <v>599</v>
      </c>
      <c r="V759" t="s">
        <v>3340</v>
      </c>
      <c r="W759" t="s">
        <v>599</v>
      </c>
      <c r="X759" t="s">
        <v>599</v>
      </c>
      <c r="Y759" t="s">
        <v>1182</v>
      </c>
      <c r="Z759" t="s">
        <v>3341</v>
      </c>
      <c r="AA759">
        <v>1972</v>
      </c>
      <c r="AB759">
        <v>1972</v>
      </c>
      <c r="AC759" t="s">
        <v>3342</v>
      </c>
      <c r="AD759" t="s">
        <v>599</v>
      </c>
      <c r="AE759" t="s">
        <v>599</v>
      </c>
      <c r="AF759" t="s">
        <v>599</v>
      </c>
      <c r="AG759" t="s">
        <v>599</v>
      </c>
      <c r="AH759" t="s">
        <v>599</v>
      </c>
      <c r="AI759" t="s">
        <v>599</v>
      </c>
      <c r="AJ759" t="s">
        <v>3343</v>
      </c>
      <c r="AK759" t="s">
        <v>599</v>
      </c>
      <c r="AL759" t="s">
        <v>3344</v>
      </c>
      <c r="AM759" t="s">
        <v>1319</v>
      </c>
      <c r="AN759" t="s">
        <v>599</v>
      </c>
      <c r="AO759" t="s">
        <v>599</v>
      </c>
      <c r="AP759" t="s">
        <v>3345</v>
      </c>
      <c r="AQ759" t="s">
        <v>599</v>
      </c>
      <c r="AR759" t="s">
        <v>599</v>
      </c>
      <c r="AS759" t="s">
        <v>599</v>
      </c>
      <c r="AT759" t="s">
        <v>599</v>
      </c>
    </row>
    <row r="760" spans="1:46" ht="30" x14ac:dyDescent="0.25">
      <c r="A760" s="2">
        <v>12203</v>
      </c>
      <c r="B760" s="10">
        <v>321765</v>
      </c>
      <c r="C760" s="10">
        <v>1</v>
      </c>
      <c r="D760" s="9">
        <v>1</v>
      </c>
      <c r="E760" s="11" t="s">
        <v>546</v>
      </c>
      <c r="F760" s="12" t="s">
        <v>449</v>
      </c>
      <c r="G760" s="9">
        <v>1</v>
      </c>
      <c r="H760" s="34"/>
      <c r="I760" s="55" t="str">
        <f t="shared" si="23"/>
        <v>https://permalinkbnd.bnportugal.gov.pt/viewer/85826/?offset=#page=1&amp;viewer=picture&amp;o=info&amp;n=0&amp;q=</v>
      </c>
      <c r="J760" s="45"/>
      <c r="K760" s="45"/>
      <c r="L760" s="45"/>
      <c r="M760" t="s">
        <v>546</v>
      </c>
      <c r="N760">
        <v>85826</v>
      </c>
      <c r="O760" t="str">
        <f t="shared" si="22"/>
        <v>https://permalinkbnd.bnportugal.gov.pt/viewer/85826/?offset=#page=1&amp;viewer=picture&amp;o=info&amp;n=0&amp;q=</v>
      </c>
      <c r="P760">
        <v>321765</v>
      </c>
      <c r="Q760" t="s">
        <v>546</v>
      </c>
      <c r="R760" t="s">
        <v>3346</v>
      </c>
      <c r="S760" t="s">
        <v>1178</v>
      </c>
      <c r="T760" t="s">
        <v>1192</v>
      </c>
      <c r="U760" t="s">
        <v>599</v>
      </c>
      <c r="V760" t="s">
        <v>3347</v>
      </c>
      <c r="W760" t="s">
        <v>599</v>
      </c>
      <c r="X760" t="s">
        <v>599</v>
      </c>
      <c r="Y760" t="s">
        <v>1182</v>
      </c>
      <c r="Z760" t="s">
        <v>3348</v>
      </c>
      <c r="AA760">
        <v>1888</v>
      </c>
      <c r="AB760">
        <v>1888</v>
      </c>
      <c r="AC760" t="s">
        <v>3349</v>
      </c>
      <c r="AD760" t="s">
        <v>599</v>
      </c>
      <c r="AE760" t="s">
        <v>599</v>
      </c>
      <c r="AF760" t="s">
        <v>599</v>
      </c>
      <c r="AG760" t="s">
        <v>3350</v>
      </c>
      <c r="AH760" t="s">
        <v>599</v>
      </c>
      <c r="AI760" t="s">
        <v>599</v>
      </c>
      <c r="AJ760" t="s">
        <v>3351</v>
      </c>
      <c r="AK760" t="s">
        <v>599</v>
      </c>
      <c r="AL760" t="s">
        <v>3352</v>
      </c>
      <c r="AM760" t="s">
        <v>1190</v>
      </c>
      <c r="AN760" t="s">
        <v>3353</v>
      </c>
      <c r="AO760" t="s">
        <v>599</v>
      </c>
      <c r="AP760" t="s">
        <v>3354</v>
      </c>
      <c r="AQ760" t="s">
        <v>599</v>
      </c>
      <c r="AR760" t="s">
        <v>599</v>
      </c>
      <c r="AS760" t="s">
        <v>599</v>
      </c>
      <c r="AT760" t="s">
        <v>599</v>
      </c>
    </row>
    <row r="761" spans="1:46" ht="30" x14ac:dyDescent="0.25">
      <c r="A761" s="2">
        <v>12206</v>
      </c>
      <c r="B761" s="10">
        <v>330274</v>
      </c>
      <c r="C761" s="10">
        <v>1</v>
      </c>
      <c r="D761" s="9">
        <v>10</v>
      </c>
      <c r="E761" s="11" t="s">
        <v>547</v>
      </c>
      <c r="F761" s="12" t="s">
        <v>178</v>
      </c>
      <c r="G761" s="9">
        <v>10</v>
      </c>
      <c r="H761" s="34"/>
      <c r="I761" s="55" t="str">
        <f t="shared" si="23"/>
        <v>https://permalinkbnd.bnportugal.gov.pt/viewer/14597/?offset=#page=10&amp;viewer=picture&amp;o=info&amp;n=0&amp;q=</v>
      </c>
      <c r="J761" s="45"/>
      <c r="K761" s="45"/>
      <c r="L761" s="45"/>
      <c r="M761" t="s">
        <v>547</v>
      </c>
      <c r="N761">
        <v>14597</v>
      </c>
      <c r="O761" t="str">
        <f t="shared" si="22"/>
        <v>https://permalinkbnd.bnportugal.gov.pt/viewer/14597/?offset=#page=10&amp;viewer=picture&amp;o=info&amp;n=0&amp;q=</v>
      </c>
      <c r="P761">
        <v>330274</v>
      </c>
      <c r="Q761" t="s">
        <v>547</v>
      </c>
      <c r="R761" t="s">
        <v>3355</v>
      </c>
      <c r="S761" t="s">
        <v>1178</v>
      </c>
      <c r="T761" t="s">
        <v>1362</v>
      </c>
      <c r="U761" t="s">
        <v>599</v>
      </c>
      <c r="V761" t="s">
        <v>3356</v>
      </c>
      <c r="W761" t="s">
        <v>3357</v>
      </c>
      <c r="X761" t="s">
        <v>599</v>
      </c>
      <c r="Y761" t="s">
        <v>1182</v>
      </c>
      <c r="Z761" t="s">
        <v>3358</v>
      </c>
      <c r="AA761">
        <v>1890</v>
      </c>
      <c r="AB761">
        <v>1890</v>
      </c>
      <c r="AC761" t="s">
        <v>3359</v>
      </c>
      <c r="AD761" t="s">
        <v>2766</v>
      </c>
      <c r="AE761" t="s">
        <v>599</v>
      </c>
      <c r="AF761" t="s">
        <v>599</v>
      </c>
      <c r="AG761" t="s">
        <v>599</v>
      </c>
      <c r="AH761" t="s">
        <v>599</v>
      </c>
      <c r="AI761" t="s">
        <v>599</v>
      </c>
      <c r="AJ761" t="s">
        <v>3360</v>
      </c>
      <c r="AK761" t="s">
        <v>599</v>
      </c>
      <c r="AL761" t="s">
        <v>3361</v>
      </c>
      <c r="AM761" t="s">
        <v>1190</v>
      </c>
      <c r="AN761" t="s">
        <v>599</v>
      </c>
      <c r="AO761" t="s">
        <v>599</v>
      </c>
      <c r="AP761" t="s">
        <v>599</v>
      </c>
      <c r="AQ761" t="s">
        <v>599</v>
      </c>
      <c r="AR761" t="s">
        <v>599</v>
      </c>
      <c r="AS761" t="s">
        <v>599</v>
      </c>
      <c r="AT761" t="s">
        <v>599</v>
      </c>
    </row>
    <row r="762" spans="1:46" ht="45" x14ac:dyDescent="0.25">
      <c r="A762" s="2">
        <v>12210</v>
      </c>
      <c r="B762" s="10">
        <v>347365</v>
      </c>
      <c r="C762" s="10">
        <v>1</v>
      </c>
      <c r="D762" s="9">
        <v>75</v>
      </c>
      <c r="E762" s="11" t="s">
        <v>548</v>
      </c>
      <c r="F762" s="12" t="s">
        <v>549</v>
      </c>
      <c r="G762" s="9" t="s">
        <v>550</v>
      </c>
      <c r="H762" s="34"/>
      <c r="I762" s="55" t="str">
        <f t="shared" si="23"/>
        <v>https://permalinkbnd.bnportugal.gov.pt/viewer/255741/?offset=#page=75&amp;viewer=picture&amp;o=info&amp;n=0&amp;q=</v>
      </c>
      <c r="J762" s="45"/>
      <c r="K762" s="45"/>
      <c r="L762" s="45"/>
      <c r="M762" t="s">
        <v>548</v>
      </c>
      <c r="N762">
        <v>255741</v>
      </c>
      <c r="O762" t="str">
        <f t="shared" si="22"/>
        <v>https://permalinkbnd.bnportugal.gov.pt/viewer/255741/?offset=#page=75&amp;viewer=picture&amp;o=info&amp;n=0&amp;q=</v>
      </c>
      <c r="P762">
        <v>347365</v>
      </c>
      <c r="Q762" t="s">
        <v>548</v>
      </c>
      <c r="R762" t="s">
        <v>3362</v>
      </c>
      <c r="S762" t="s">
        <v>1178</v>
      </c>
      <c r="T762" t="s">
        <v>1192</v>
      </c>
      <c r="U762" t="s">
        <v>599</v>
      </c>
      <c r="V762" t="s">
        <v>3363</v>
      </c>
      <c r="W762" t="s">
        <v>599</v>
      </c>
      <c r="X762" t="s">
        <v>599</v>
      </c>
      <c r="Y762" t="s">
        <v>1182</v>
      </c>
      <c r="Z762" t="s">
        <v>3364</v>
      </c>
      <c r="AA762">
        <v>1974</v>
      </c>
      <c r="AB762">
        <v>1974</v>
      </c>
      <c r="AC762" t="s">
        <v>3365</v>
      </c>
      <c r="AD762" t="s">
        <v>3366</v>
      </c>
      <c r="AE762" t="s">
        <v>599</v>
      </c>
      <c r="AF762" t="s">
        <v>599</v>
      </c>
      <c r="AG762" t="s">
        <v>599</v>
      </c>
      <c r="AH762" t="s">
        <v>599</v>
      </c>
      <c r="AI762" t="s">
        <v>599</v>
      </c>
      <c r="AJ762" t="s">
        <v>3367</v>
      </c>
      <c r="AK762" t="s">
        <v>599</v>
      </c>
      <c r="AL762" t="s">
        <v>3368</v>
      </c>
      <c r="AM762" t="s">
        <v>1319</v>
      </c>
      <c r="AN762" t="s">
        <v>599</v>
      </c>
      <c r="AO762" t="s">
        <v>599</v>
      </c>
      <c r="AP762" t="s">
        <v>599</v>
      </c>
      <c r="AQ762" t="s">
        <v>599</v>
      </c>
      <c r="AR762" t="s">
        <v>599</v>
      </c>
      <c r="AS762" t="s">
        <v>599</v>
      </c>
      <c r="AT762" t="s">
        <v>599</v>
      </c>
    </row>
    <row r="763" spans="1:46" ht="45" x14ac:dyDescent="0.25">
      <c r="A763" s="2">
        <v>12211</v>
      </c>
      <c r="B763" s="10">
        <v>347365</v>
      </c>
      <c r="C763" s="10">
        <v>1</v>
      </c>
      <c r="D763" s="9">
        <v>76</v>
      </c>
      <c r="E763" s="11" t="s">
        <v>548</v>
      </c>
      <c r="F763" s="12" t="s">
        <v>549</v>
      </c>
      <c r="G763" s="9" t="s">
        <v>550</v>
      </c>
      <c r="H763" s="34"/>
      <c r="I763" s="55" t="str">
        <f t="shared" si="23"/>
        <v>https://permalinkbnd.bnportugal.gov.pt/viewer/255741/?offset=#page=76&amp;viewer=picture&amp;o=info&amp;n=0&amp;q=</v>
      </c>
      <c r="J763" s="45"/>
      <c r="K763" s="45"/>
      <c r="L763" s="45"/>
      <c r="M763" t="s">
        <v>548</v>
      </c>
      <c r="N763">
        <v>255741</v>
      </c>
      <c r="O763" t="str">
        <f t="shared" si="22"/>
        <v>https://permalinkbnd.bnportugal.gov.pt/viewer/255741/?offset=#page=76&amp;viewer=picture&amp;o=info&amp;n=0&amp;q=</v>
      </c>
      <c r="P763">
        <v>347365</v>
      </c>
      <c r="Q763" t="s">
        <v>548</v>
      </c>
      <c r="R763" t="s">
        <v>3362</v>
      </c>
      <c r="S763" t="s">
        <v>1178</v>
      </c>
      <c r="T763" t="s">
        <v>1192</v>
      </c>
      <c r="U763" t="s">
        <v>599</v>
      </c>
      <c r="V763" t="s">
        <v>3363</v>
      </c>
      <c r="W763" t="s">
        <v>599</v>
      </c>
      <c r="X763" t="s">
        <v>599</v>
      </c>
      <c r="Y763" t="s">
        <v>1182</v>
      </c>
      <c r="Z763" t="s">
        <v>3364</v>
      </c>
      <c r="AA763">
        <v>1974</v>
      </c>
      <c r="AB763">
        <v>1974</v>
      </c>
      <c r="AC763" t="s">
        <v>3365</v>
      </c>
      <c r="AD763" t="s">
        <v>3366</v>
      </c>
      <c r="AE763" t="s">
        <v>599</v>
      </c>
      <c r="AF763" t="s">
        <v>599</v>
      </c>
      <c r="AG763" t="s">
        <v>599</v>
      </c>
      <c r="AH763" t="s">
        <v>599</v>
      </c>
      <c r="AI763" t="s">
        <v>599</v>
      </c>
      <c r="AJ763" t="s">
        <v>3367</v>
      </c>
      <c r="AK763" t="s">
        <v>599</v>
      </c>
      <c r="AL763" t="s">
        <v>3368</v>
      </c>
      <c r="AM763" t="s">
        <v>1319</v>
      </c>
      <c r="AN763" t="s">
        <v>599</v>
      </c>
      <c r="AO763" t="s">
        <v>599</v>
      </c>
      <c r="AP763" t="s">
        <v>599</v>
      </c>
      <c r="AQ763" t="s">
        <v>599</v>
      </c>
      <c r="AR763" t="s">
        <v>599</v>
      </c>
      <c r="AS763" t="s">
        <v>599</v>
      </c>
      <c r="AT763" t="s">
        <v>599</v>
      </c>
    </row>
    <row r="764" spans="1:46" ht="45" x14ac:dyDescent="0.25">
      <c r="A764" s="2">
        <v>12212</v>
      </c>
      <c r="B764" s="10">
        <v>347365</v>
      </c>
      <c r="C764" s="10">
        <v>1</v>
      </c>
      <c r="D764" s="9">
        <v>77</v>
      </c>
      <c r="E764" s="11" t="s">
        <v>548</v>
      </c>
      <c r="F764" s="12" t="s">
        <v>549</v>
      </c>
      <c r="G764" s="9" t="s">
        <v>550</v>
      </c>
      <c r="H764" s="34"/>
      <c r="I764" s="55" t="str">
        <f t="shared" si="23"/>
        <v>https://permalinkbnd.bnportugal.gov.pt/viewer/255741/?offset=#page=77&amp;viewer=picture&amp;o=info&amp;n=0&amp;q=</v>
      </c>
      <c r="J764" s="45"/>
      <c r="K764" s="45"/>
      <c r="L764" s="45"/>
      <c r="M764" t="s">
        <v>548</v>
      </c>
      <c r="N764">
        <v>255741</v>
      </c>
      <c r="O764" t="str">
        <f t="shared" si="22"/>
        <v>https://permalinkbnd.bnportugal.gov.pt/viewer/255741/?offset=#page=77&amp;viewer=picture&amp;o=info&amp;n=0&amp;q=</v>
      </c>
      <c r="P764">
        <v>347365</v>
      </c>
      <c r="Q764" t="s">
        <v>548</v>
      </c>
      <c r="R764" t="s">
        <v>3362</v>
      </c>
      <c r="S764" t="s">
        <v>1178</v>
      </c>
      <c r="T764" t="s">
        <v>1192</v>
      </c>
      <c r="U764" t="s">
        <v>599</v>
      </c>
      <c r="V764" t="s">
        <v>3363</v>
      </c>
      <c r="W764" t="s">
        <v>599</v>
      </c>
      <c r="X764" t="s">
        <v>599</v>
      </c>
      <c r="Y764" t="s">
        <v>1182</v>
      </c>
      <c r="Z764" t="s">
        <v>3364</v>
      </c>
      <c r="AA764">
        <v>1974</v>
      </c>
      <c r="AB764">
        <v>1974</v>
      </c>
      <c r="AC764" t="s">
        <v>3365</v>
      </c>
      <c r="AD764" t="s">
        <v>3366</v>
      </c>
      <c r="AE764" t="s">
        <v>599</v>
      </c>
      <c r="AF764" t="s">
        <v>599</v>
      </c>
      <c r="AG764" t="s">
        <v>599</v>
      </c>
      <c r="AH764" t="s">
        <v>599</v>
      </c>
      <c r="AI764" t="s">
        <v>599</v>
      </c>
      <c r="AJ764" t="s">
        <v>3367</v>
      </c>
      <c r="AK764" t="s">
        <v>599</v>
      </c>
      <c r="AL764" t="s">
        <v>3368</v>
      </c>
      <c r="AM764" t="s">
        <v>1319</v>
      </c>
      <c r="AN764" t="s">
        <v>599</v>
      </c>
      <c r="AO764" t="s">
        <v>599</v>
      </c>
      <c r="AP764" t="s">
        <v>599</v>
      </c>
      <c r="AQ764" t="s">
        <v>599</v>
      </c>
      <c r="AR764" t="s">
        <v>599</v>
      </c>
      <c r="AS764" t="s">
        <v>599</v>
      </c>
      <c r="AT764" t="s">
        <v>599</v>
      </c>
    </row>
    <row r="765" spans="1:46" ht="45" x14ac:dyDescent="0.25">
      <c r="A765" s="2">
        <v>12213</v>
      </c>
      <c r="B765" s="10">
        <v>347365</v>
      </c>
      <c r="C765" s="10">
        <v>1</v>
      </c>
      <c r="D765" s="9">
        <v>78</v>
      </c>
      <c r="E765" s="11" t="s">
        <v>548</v>
      </c>
      <c r="F765" s="12" t="s">
        <v>549</v>
      </c>
      <c r="G765" s="9" t="s">
        <v>550</v>
      </c>
      <c r="H765" s="34"/>
      <c r="I765" s="55" t="str">
        <f t="shared" si="23"/>
        <v>https://permalinkbnd.bnportugal.gov.pt/viewer/255741/?offset=#page=78&amp;viewer=picture&amp;o=info&amp;n=0&amp;q=</v>
      </c>
      <c r="J765" s="45"/>
      <c r="K765" s="45"/>
      <c r="L765" s="45"/>
      <c r="M765" t="s">
        <v>548</v>
      </c>
      <c r="N765">
        <v>255741</v>
      </c>
      <c r="O765" t="str">
        <f t="shared" si="22"/>
        <v>https://permalinkbnd.bnportugal.gov.pt/viewer/255741/?offset=#page=78&amp;viewer=picture&amp;o=info&amp;n=0&amp;q=</v>
      </c>
      <c r="P765">
        <v>347365</v>
      </c>
      <c r="Q765" t="s">
        <v>548</v>
      </c>
      <c r="R765" t="s">
        <v>3362</v>
      </c>
      <c r="S765" t="s">
        <v>1178</v>
      </c>
      <c r="T765" t="s">
        <v>1192</v>
      </c>
      <c r="U765" t="s">
        <v>599</v>
      </c>
      <c r="V765" t="s">
        <v>3363</v>
      </c>
      <c r="W765" t="s">
        <v>599</v>
      </c>
      <c r="X765" t="s">
        <v>599</v>
      </c>
      <c r="Y765" t="s">
        <v>1182</v>
      </c>
      <c r="Z765" t="s">
        <v>3364</v>
      </c>
      <c r="AA765">
        <v>1974</v>
      </c>
      <c r="AB765">
        <v>1974</v>
      </c>
      <c r="AC765" t="s">
        <v>3365</v>
      </c>
      <c r="AD765" t="s">
        <v>3366</v>
      </c>
      <c r="AE765" t="s">
        <v>599</v>
      </c>
      <c r="AF765" t="s">
        <v>599</v>
      </c>
      <c r="AG765" t="s">
        <v>599</v>
      </c>
      <c r="AH765" t="s">
        <v>599</v>
      </c>
      <c r="AI765" t="s">
        <v>599</v>
      </c>
      <c r="AJ765" t="s">
        <v>3367</v>
      </c>
      <c r="AK765" t="s">
        <v>599</v>
      </c>
      <c r="AL765" t="s">
        <v>3368</v>
      </c>
      <c r="AM765" t="s">
        <v>1319</v>
      </c>
      <c r="AN765" t="s">
        <v>599</v>
      </c>
      <c r="AO765" t="s">
        <v>599</v>
      </c>
      <c r="AP765" t="s">
        <v>599</v>
      </c>
      <c r="AQ765" t="s">
        <v>599</v>
      </c>
      <c r="AR765" t="s">
        <v>599</v>
      </c>
      <c r="AS765" t="s">
        <v>599</v>
      </c>
      <c r="AT765" t="s">
        <v>599</v>
      </c>
    </row>
    <row r="766" spans="1:46" ht="30" x14ac:dyDescent="0.25">
      <c r="A766" s="2">
        <v>12215</v>
      </c>
      <c r="B766" s="10">
        <v>354066</v>
      </c>
      <c r="C766" s="10">
        <v>1</v>
      </c>
      <c r="D766" s="9">
        <v>133</v>
      </c>
      <c r="E766" s="11" t="s">
        <v>551</v>
      </c>
      <c r="F766" s="12" t="s">
        <v>552</v>
      </c>
      <c r="G766" s="9"/>
      <c r="H766" s="34"/>
      <c r="I766" s="55" t="str">
        <f t="shared" si="23"/>
        <v>https://permalinkbnd.bnportugal.gov.pt/viewer/14651/?offset=#page=133&amp;viewer=picture&amp;o=info&amp;n=0&amp;q=</v>
      </c>
      <c r="J766" s="45"/>
      <c r="K766" s="45"/>
      <c r="L766" s="45"/>
      <c r="M766" t="s">
        <v>551</v>
      </c>
      <c r="N766">
        <v>14651</v>
      </c>
      <c r="O766" t="str">
        <f t="shared" si="22"/>
        <v>https://permalinkbnd.bnportugal.gov.pt/viewer/14651/?offset=#page=133&amp;viewer=picture&amp;o=info&amp;n=0&amp;q=</v>
      </c>
      <c r="P766">
        <v>354066</v>
      </c>
      <c r="Q766" t="s">
        <v>551</v>
      </c>
      <c r="R766" t="s">
        <v>3369</v>
      </c>
      <c r="S766" t="s">
        <v>1178</v>
      </c>
      <c r="T766" t="s">
        <v>1192</v>
      </c>
      <c r="U766" t="s">
        <v>599</v>
      </c>
      <c r="V766" t="s">
        <v>1551</v>
      </c>
      <c r="W766" t="s">
        <v>599</v>
      </c>
      <c r="X766" t="s">
        <v>599</v>
      </c>
      <c r="Y766" t="s">
        <v>1182</v>
      </c>
      <c r="Z766" t="s">
        <v>3370</v>
      </c>
      <c r="AA766">
        <v>1663</v>
      </c>
      <c r="AB766">
        <v>1663</v>
      </c>
      <c r="AC766" t="s">
        <v>3371</v>
      </c>
      <c r="AD766" t="s">
        <v>1185</v>
      </c>
      <c r="AE766" t="s">
        <v>599</v>
      </c>
      <c r="AF766" t="s">
        <v>599</v>
      </c>
      <c r="AG766" t="s">
        <v>3372</v>
      </c>
      <c r="AH766" t="s">
        <v>599</v>
      </c>
      <c r="AI766" t="s">
        <v>599</v>
      </c>
      <c r="AJ766" t="s">
        <v>3373</v>
      </c>
      <c r="AK766" t="s">
        <v>2967</v>
      </c>
      <c r="AL766" t="s">
        <v>3374</v>
      </c>
      <c r="AM766" t="s">
        <v>1190</v>
      </c>
      <c r="AN766" t="s">
        <v>599</v>
      </c>
      <c r="AO766" t="s">
        <v>599</v>
      </c>
      <c r="AP766" t="s">
        <v>3375</v>
      </c>
      <c r="AQ766" t="s">
        <v>599</v>
      </c>
      <c r="AR766" t="s">
        <v>599</v>
      </c>
      <c r="AS766" t="s">
        <v>599</v>
      </c>
      <c r="AT766" t="s">
        <v>599</v>
      </c>
    </row>
    <row r="767" spans="1:46" ht="30" x14ac:dyDescent="0.25">
      <c r="A767" s="2"/>
      <c r="B767" s="10">
        <v>354066</v>
      </c>
      <c r="C767" s="10">
        <v>1</v>
      </c>
      <c r="D767" s="9">
        <v>257</v>
      </c>
      <c r="E767" s="11" t="s">
        <v>551</v>
      </c>
      <c r="F767" s="12" t="s">
        <v>552</v>
      </c>
      <c r="G767" s="9"/>
      <c r="H767" s="34"/>
      <c r="I767" s="55" t="str">
        <f t="shared" si="23"/>
        <v>https://permalinkbnd.bnportugal.gov.pt/viewer/14651/?offset=#page=257&amp;viewer=picture&amp;o=info&amp;n=0&amp;q=</v>
      </c>
      <c r="J767" s="45"/>
      <c r="K767" s="45"/>
      <c r="L767" s="45"/>
      <c r="M767" t="s">
        <v>551</v>
      </c>
      <c r="N767">
        <v>14651</v>
      </c>
      <c r="O767" t="str">
        <f t="shared" si="22"/>
        <v>https://permalinkbnd.bnportugal.gov.pt/viewer/14651/?offset=#page=257&amp;viewer=picture&amp;o=info&amp;n=0&amp;q=</v>
      </c>
      <c r="P767">
        <v>354066</v>
      </c>
      <c r="Q767" t="s">
        <v>551</v>
      </c>
      <c r="R767" t="s">
        <v>3369</v>
      </c>
      <c r="S767" t="s">
        <v>1178</v>
      </c>
      <c r="T767" t="s">
        <v>1192</v>
      </c>
      <c r="U767" t="s">
        <v>599</v>
      </c>
      <c r="V767" t="s">
        <v>1551</v>
      </c>
      <c r="W767" t="s">
        <v>599</v>
      </c>
      <c r="X767" t="s">
        <v>599</v>
      </c>
      <c r="Y767" t="s">
        <v>1182</v>
      </c>
      <c r="Z767" t="s">
        <v>3370</v>
      </c>
      <c r="AA767">
        <v>1663</v>
      </c>
      <c r="AB767">
        <v>1663</v>
      </c>
      <c r="AC767" t="s">
        <v>3371</v>
      </c>
      <c r="AD767" t="s">
        <v>1185</v>
      </c>
      <c r="AE767" t="s">
        <v>599</v>
      </c>
      <c r="AF767" t="s">
        <v>599</v>
      </c>
      <c r="AG767" t="s">
        <v>3372</v>
      </c>
      <c r="AH767" t="s">
        <v>599</v>
      </c>
      <c r="AI767" t="s">
        <v>599</v>
      </c>
      <c r="AJ767" t="s">
        <v>3373</v>
      </c>
      <c r="AK767" t="s">
        <v>2967</v>
      </c>
      <c r="AL767" t="s">
        <v>3374</v>
      </c>
      <c r="AM767" t="s">
        <v>1190</v>
      </c>
      <c r="AN767" t="s">
        <v>599</v>
      </c>
      <c r="AO767" t="s">
        <v>599</v>
      </c>
      <c r="AP767" t="s">
        <v>3375</v>
      </c>
      <c r="AQ767" t="s">
        <v>599</v>
      </c>
      <c r="AR767" t="s">
        <v>599</v>
      </c>
      <c r="AS767" t="s">
        <v>599</v>
      </c>
      <c r="AT767" t="s">
        <v>599</v>
      </c>
    </row>
    <row r="768" spans="1:46" ht="30" x14ac:dyDescent="0.25">
      <c r="A768" s="2">
        <v>12217</v>
      </c>
      <c r="B768" s="10">
        <v>354069</v>
      </c>
      <c r="C768" s="10">
        <v>1</v>
      </c>
      <c r="D768" s="9">
        <v>136</v>
      </c>
      <c r="E768" s="11" t="s">
        <v>553</v>
      </c>
      <c r="F768" s="12" t="s">
        <v>554</v>
      </c>
      <c r="G768" s="9"/>
      <c r="H768" s="34"/>
      <c r="I768" s="55" t="str">
        <f t="shared" si="23"/>
        <v>https://permalinkbnd.bnportugal.gov.pt/viewer/14666/?offset=#page=136&amp;viewer=picture&amp;o=info&amp;n=0&amp;q=</v>
      </c>
      <c r="J768" s="45"/>
      <c r="K768" s="45"/>
      <c r="L768" s="45"/>
      <c r="M768" t="s">
        <v>553</v>
      </c>
      <c r="N768">
        <v>14666</v>
      </c>
      <c r="O768" t="str">
        <f t="shared" si="22"/>
        <v>https://permalinkbnd.bnportugal.gov.pt/viewer/14666/?offset=#page=136&amp;viewer=picture&amp;o=info&amp;n=0&amp;q=</v>
      </c>
      <c r="P768">
        <v>354069</v>
      </c>
      <c r="Q768" t="s">
        <v>553</v>
      </c>
      <c r="R768" t="s">
        <v>3376</v>
      </c>
      <c r="S768" t="s">
        <v>1178</v>
      </c>
      <c r="T768" t="s">
        <v>1192</v>
      </c>
      <c r="U768" t="s">
        <v>599</v>
      </c>
      <c r="V768" t="s">
        <v>3377</v>
      </c>
      <c r="W768" t="s">
        <v>599</v>
      </c>
      <c r="X768" t="s">
        <v>599</v>
      </c>
      <c r="Y768" t="s">
        <v>1182</v>
      </c>
      <c r="Z768" t="s">
        <v>3378</v>
      </c>
      <c r="AA768">
        <v>1669</v>
      </c>
      <c r="AB768">
        <v>1669</v>
      </c>
      <c r="AC768" t="s">
        <v>3379</v>
      </c>
      <c r="AD768" t="s">
        <v>1185</v>
      </c>
      <c r="AE768" t="s">
        <v>599</v>
      </c>
      <c r="AF768" t="s">
        <v>599</v>
      </c>
      <c r="AG768" t="s">
        <v>3380</v>
      </c>
      <c r="AH768" t="s">
        <v>599</v>
      </c>
      <c r="AI768" t="s">
        <v>599</v>
      </c>
      <c r="AJ768" t="s">
        <v>3381</v>
      </c>
      <c r="AK768" t="s">
        <v>2967</v>
      </c>
      <c r="AL768" t="s">
        <v>3382</v>
      </c>
      <c r="AM768" t="s">
        <v>1190</v>
      </c>
      <c r="AN768" t="s">
        <v>599</v>
      </c>
      <c r="AO768" t="s">
        <v>599</v>
      </c>
      <c r="AP768" t="s">
        <v>599</v>
      </c>
      <c r="AQ768" t="s">
        <v>599</v>
      </c>
      <c r="AR768" t="s">
        <v>599</v>
      </c>
      <c r="AS768" t="s">
        <v>599</v>
      </c>
      <c r="AT768" t="s">
        <v>599</v>
      </c>
    </row>
    <row r="769" spans="1:46" ht="30" x14ac:dyDescent="0.25">
      <c r="A769" s="2">
        <v>12223</v>
      </c>
      <c r="B769" s="10">
        <v>371694</v>
      </c>
      <c r="C769" s="10">
        <v>1</v>
      </c>
      <c r="D769" s="9">
        <v>1</v>
      </c>
      <c r="E769" s="11" t="s">
        <v>555</v>
      </c>
      <c r="F769" s="12" t="s">
        <v>556</v>
      </c>
      <c r="G769" s="9" t="s">
        <v>557</v>
      </c>
      <c r="H769" s="34"/>
      <c r="I769" s="55" t="str">
        <f t="shared" si="23"/>
        <v>https://permalinkbnd.bnportugal.gov.pt/viewer/86824/?offset=#page=1&amp;viewer=picture&amp;o=info&amp;n=0&amp;q=</v>
      </c>
      <c r="J769" s="45"/>
      <c r="K769" s="45"/>
      <c r="L769" s="45"/>
      <c r="M769" t="s">
        <v>555</v>
      </c>
      <c r="N769">
        <v>86824</v>
      </c>
      <c r="O769" t="str">
        <f t="shared" si="22"/>
        <v>https://permalinkbnd.bnportugal.gov.pt/viewer/86824/?offset=#page=1&amp;viewer=picture&amp;o=info&amp;n=0&amp;q=</v>
      </c>
      <c r="P769">
        <v>371694</v>
      </c>
      <c r="Q769" t="s">
        <v>555</v>
      </c>
      <c r="R769" t="s">
        <v>3383</v>
      </c>
      <c r="S769" t="s">
        <v>1178</v>
      </c>
      <c r="T769" t="s">
        <v>1192</v>
      </c>
      <c r="U769" t="s">
        <v>599</v>
      </c>
      <c r="V769" t="s">
        <v>2655</v>
      </c>
      <c r="W769" t="s">
        <v>599</v>
      </c>
      <c r="X769" t="s">
        <v>599</v>
      </c>
      <c r="Y769" t="s">
        <v>1182</v>
      </c>
      <c r="Z769" t="s">
        <v>3384</v>
      </c>
      <c r="AA769">
        <v>1913</v>
      </c>
      <c r="AB769">
        <v>1913</v>
      </c>
      <c r="AC769" t="s">
        <v>3385</v>
      </c>
      <c r="AD769" t="s">
        <v>1185</v>
      </c>
      <c r="AE769" t="s">
        <v>599</v>
      </c>
      <c r="AF769" t="s">
        <v>599</v>
      </c>
      <c r="AG769" t="s">
        <v>2515</v>
      </c>
      <c r="AH769" t="s">
        <v>599</v>
      </c>
      <c r="AI769" t="s">
        <v>599</v>
      </c>
      <c r="AJ769" t="s">
        <v>3386</v>
      </c>
      <c r="AK769" t="s">
        <v>599</v>
      </c>
      <c r="AL769" t="s">
        <v>3387</v>
      </c>
      <c r="AM769" t="s">
        <v>1190</v>
      </c>
      <c r="AN769" t="s">
        <v>599</v>
      </c>
      <c r="AO769" t="s">
        <v>599</v>
      </c>
      <c r="AP769" t="s">
        <v>3388</v>
      </c>
      <c r="AQ769" t="s">
        <v>599</v>
      </c>
      <c r="AR769" t="s">
        <v>599</v>
      </c>
      <c r="AS769" t="s">
        <v>599</v>
      </c>
      <c r="AT769" t="s">
        <v>599</v>
      </c>
    </row>
    <row r="770" spans="1:46" ht="30" x14ac:dyDescent="0.25">
      <c r="A770" s="2">
        <v>12224</v>
      </c>
      <c r="B770" s="10">
        <v>371694</v>
      </c>
      <c r="C770" s="10">
        <v>1</v>
      </c>
      <c r="D770" s="9">
        <v>21</v>
      </c>
      <c r="E770" s="11" t="s">
        <v>555</v>
      </c>
      <c r="F770" s="12" t="s">
        <v>556</v>
      </c>
      <c r="G770" s="9" t="s">
        <v>557</v>
      </c>
      <c r="H770" s="34"/>
      <c r="I770" s="55" t="str">
        <f t="shared" si="23"/>
        <v>https://permalinkbnd.bnportugal.gov.pt/viewer/86824/?offset=#page=21&amp;viewer=picture&amp;o=info&amp;n=0&amp;q=</v>
      </c>
      <c r="J770" s="45"/>
      <c r="K770" s="45"/>
      <c r="L770" s="45"/>
      <c r="M770" t="s">
        <v>555</v>
      </c>
      <c r="N770">
        <v>86824</v>
      </c>
      <c r="O770" t="str">
        <f t="shared" ref="O770:O833" si="24">CONCATENATE("https://permalinkbnd.bnportugal.gov.pt/viewer/",N770,"/?offset=#page=",D770,"&amp;viewer=picture&amp;o=info&amp;n=0&amp;q=")</f>
        <v>https://permalinkbnd.bnportugal.gov.pt/viewer/86824/?offset=#page=21&amp;viewer=picture&amp;o=info&amp;n=0&amp;q=</v>
      </c>
      <c r="P770">
        <v>371694</v>
      </c>
      <c r="Q770" t="s">
        <v>555</v>
      </c>
      <c r="R770" t="s">
        <v>3383</v>
      </c>
      <c r="S770" t="s">
        <v>1178</v>
      </c>
      <c r="T770" t="s">
        <v>1192</v>
      </c>
      <c r="U770" t="s">
        <v>599</v>
      </c>
      <c r="V770" t="s">
        <v>2655</v>
      </c>
      <c r="W770" t="s">
        <v>599</v>
      </c>
      <c r="X770" t="s">
        <v>599</v>
      </c>
      <c r="Y770" t="s">
        <v>1182</v>
      </c>
      <c r="Z770" t="s">
        <v>3384</v>
      </c>
      <c r="AA770">
        <v>1913</v>
      </c>
      <c r="AB770">
        <v>1913</v>
      </c>
      <c r="AC770" t="s">
        <v>3385</v>
      </c>
      <c r="AD770" t="s">
        <v>1185</v>
      </c>
      <c r="AE770" t="s">
        <v>599</v>
      </c>
      <c r="AF770" t="s">
        <v>599</v>
      </c>
      <c r="AG770" t="s">
        <v>2515</v>
      </c>
      <c r="AH770" t="s">
        <v>599</v>
      </c>
      <c r="AI770" t="s">
        <v>599</v>
      </c>
      <c r="AJ770" t="s">
        <v>3386</v>
      </c>
      <c r="AK770" t="s">
        <v>599</v>
      </c>
      <c r="AL770" t="s">
        <v>3387</v>
      </c>
      <c r="AM770" t="s">
        <v>1190</v>
      </c>
      <c r="AN770" t="s">
        <v>599</v>
      </c>
      <c r="AO770" t="s">
        <v>599</v>
      </c>
      <c r="AP770" t="s">
        <v>3388</v>
      </c>
      <c r="AQ770" t="s">
        <v>599</v>
      </c>
      <c r="AR770" t="s">
        <v>599</v>
      </c>
      <c r="AS770" t="s">
        <v>599</v>
      </c>
      <c r="AT770" t="s">
        <v>599</v>
      </c>
    </row>
    <row r="771" spans="1:46" ht="30" x14ac:dyDescent="0.25">
      <c r="A771" s="2">
        <v>12225</v>
      </c>
      <c r="B771" s="10">
        <v>371694</v>
      </c>
      <c r="C771" s="10">
        <v>1</v>
      </c>
      <c r="D771" s="9">
        <v>39</v>
      </c>
      <c r="E771" s="11" t="s">
        <v>555</v>
      </c>
      <c r="F771" s="12" t="s">
        <v>556</v>
      </c>
      <c r="G771" s="9" t="s">
        <v>557</v>
      </c>
      <c r="H771" s="34"/>
      <c r="I771" s="55" t="str">
        <f t="shared" ref="I771:I834" si="25">HYPERLINK(O771)</f>
        <v>https://permalinkbnd.bnportugal.gov.pt/viewer/86824/?offset=#page=39&amp;viewer=picture&amp;o=info&amp;n=0&amp;q=</v>
      </c>
      <c r="J771" s="45"/>
      <c r="K771" s="45"/>
      <c r="L771" s="45"/>
      <c r="M771" t="s">
        <v>555</v>
      </c>
      <c r="N771">
        <v>86824</v>
      </c>
      <c r="O771" t="str">
        <f t="shared" si="24"/>
        <v>https://permalinkbnd.bnportugal.gov.pt/viewer/86824/?offset=#page=39&amp;viewer=picture&amp;o=info&amp;n=0&amp;q=</v>
      </c>
      <c r="P771">
        <v>371694</v>
      </c>
      <c r="Q771" t="s">
        <v>555</v>
      </c>
      <c r="R771" t="s">
        <v>3383</v>
      </c>
      <c r="S771" t="s">
        <v>1178</v>
      </c>
      <c r="T771" t="s">
        <v>1192</v>
      </c>
      <c r="U771" t="s">
        <v>599</v>
      </c>
      <c r="V771" t="s">
        <v>2655</v>
      </c>
      <c r="W771" t="s">
        <v>599</v>
      </c>
      <c r="X771" t="s">
        <v>599</v>
      </c>
      <c r="Y771" t="s">
        <v>1182</v>
      </c>
      <c r="Z771" t="s">
        <v>3384</v>
      </c>
      <c r="AA771">
        <v>1913</v>
      </c>
      <c r="AB771">
        <v>1913</v>
      </c>
      <c r="AC771" t="s">
        <v>3385</v>
      </c>
      <c r="AD771" t="s">
        <v>1185</v>
      </c>
      <c r="AE771" t="s">
        <v>599</v>
      </c>
      <c r="AF771" t="s">
        <v>599</v>
      </c>
      <c r="AG771" t="s">
        <v>2515</v>
      </c>
      <c r="AH771" t="s">
        <v>599</v>
      </c>
      <c r="AI771" t="s">
        <v>599</v>
      </c>
      <c r="AJ771" t="s">
        <v>3386</v>
      </c>
      <c r="AK771" t="s">
        <v>599</v>
      </c>
      <c r="AL771" t="s">
        <v>3387</v>
      </c>
      <c r="AM771" t="s">
        <v>1190</v>
      </c>
      <c r="AN771" t="s">
        <v>599</v>
      </c>
      <c r="AO771" t="s">
        <v>599</v>
      </c>
      <c r="AP771" t="s">
        <v>3388</v>
      </c>
      <c r="AQ771" t="s">
        <v>599</v>
      </c>
      <c r="AR771" t="s">
        <v>599</v>
      </c>
      <c r="AS771" t="s">
        <v>599</v>
      </c>
      <c r="AT771" t="s">
        <v>599</v>
      </c>
    </row>
    <row r="772" spans="1:46" ht="30" x14ac:dyDescent="0.25">
      <c r="A772" s="2">
        <v>12226</v>
      </c>
      <c r="B772" s="10">
        <v>371694</v>
      </c>
      <c r="C772" s="10">
        <v>1</v>
      </c>
      <c r="D772" s="9">
        <v>57</v>
      </c>
      <c r="E772" s="11" t="s">
        <v>555</v>
      </c>
      <c r="F772" s="12" t="s">
        <v>556</v>
      </c>
      <c r="G772" s="9" t="s">
        <v>557</v>
      </c>
      <c r="H772" s="34"/>
      <c r="I772" s="55" t="str">
        <f t="shared" si="25"/>
        <v>https://permalinkbnd.bnportugal.gov.pt/viewer/86824/?offset=#page=57&amp;viewer=picture&amp;o=info&amp;n=0&amp;q=</v>
      </c>
      <c r="J772" s="45"/>
      <c r="K772" s="45"/>
      <c r="L772" s="45"/>
      <c r="M772" t="s">
        <v>555</v>
      </c>
      <c r="N772">
        <v>86824</v>
      </c>
      <c r="O772" t="str">
        <f t="shared" si="24"/>
        <v>https://permalinkbnd.bnportugal.gov.pt/viewer/86824/?offset=#page=57&amp;viewer=picture&amp;o=info&amp;n=0&amp;q=</v>
      </c>
      <c r="P772">
        <v>371694</v>
      </c>
      <c r="Q772" t="s">
        <v>555</v>
      </c>
      <c r="R772" t="s">
        <v>3383</v>
      </c>
      <c r="S772" t="s">
        <v>1178</v>
      </c>
      <c r="T772" t="s">
        <v>1192</v>
      </c>
      <c r="U772" t="s">
        <v>599</v>
      </c>
      <c r="V772" t="s">
        <v>2655</v>
      </c>
      <c r="W772" t="s">
        <v>599</v>
      </c>
      <c r="X772" t="s">
        <v>599</v>
      </c>
      <c r="Y772" t="s">
        <v>1182</v>
      </c>
      <c r="Z772" t="s">
        <v>3384</v>
      </c>
      <c r="AA772">
        <v>1913</v>
      </c>
      <c r="AB772">
        <v>1913</v>
      </c>
      <c r="AC772" t="s">
        <v>3385</v>
      </c>
      <c r="AD772" t="s">
        <v>1185</v>
      </c>
      <c r="AE772" t="s">
        <v>599</v>
      </c>
      <c r="AF772" t="s">
        <v>599</v>
      </c>
      <c r="AG772" t="s">
        <v>2515</v>
      </c>
      <c r="AH772" t="s">
        <v>599</v>
      </c>
      <c r="AI772" t="s">
        <v>599</v>
      </c>
      <c r="AJ772" t="s">
        <v>3386</v>
      </c>
      <c r="AK772" t="s">
        <v>599</v>
      </c>
      <c r="AL772" t="s">
        <v>3387</v>
      </c>
      <c r="AM772" t="s">
        <v>1190</v>
      </c>
      <c r="AN772" t="s">
        <v>599</v>
      </c>
      <c r="AO772" t="s">
        <v>599</v>
      </c>
      <c r="AP772" t="s">
        <v>3388</v>
      </c>
      <c r="AQ772" t="s">
        <v>599</v>
      </c>
      <c r="AR772" t="s">
        <v>599</v>
      </c>
      <c r="AS772" t="s">
        <v>599</v>
      </c>
      <c r="AT772" t="s">
        <v>599</v>
      </c>
    </row>
    <row r="773" spans="1:46" ht="210" x14ac:dyDescent="0.25">
      <c r="A773" s="2">
        <v>12228</v>
      </c>
      <c r="B773" s="10">
        <v>381189</v>
      </c>
      <c r="C773" s="10">
        <v>1</v>
      </c>
      <c r="D773" s="9">
        <v>7</v>
      </c>
      <c r="E773" s="11" t="s">
        <v>558</v>
      </c>
      <c r="F773" s="12" t="s">
        <v>559</v>
      </c>
      <c r="G773" s="9" t="s">
        <v>560</v>
      </c>
      <c r="H773" s="34"/>
      <c r="I773" s="55" t="str">
        <f t="shared" si="25"/>
        <v>https://permalinkbnd.bnportugal.gov.pt/viewer/14628/?offset=#page=7&amp;viewer=picture&amp;o=info&amp;n=0&amp;q=</v>
      </c>
      <c r="J773" s="45"/>
      <c r="K773" s="45"/>
      <c r="L773" s="45"/>
      <c r="M773" t="s">
        <v>558</v>
      </c>
      <c r="N773">
        <v>14628</v>
      </c>
      <c r="O773" t="str">
        <f t="shared" si="24"/>
        <v>https://permalinkbnd.bnportugal.gov.pt/viewer/14628/?offset=#page=7&amp;viewer=picture&amp;o=info&amp;n=0&amp;q=</v>
      </c>
      <c r="P773">
        <v>381189</v>
      </c>
      <c r="Q773" t="s">
        <v>558</v>
      </c>
      <c r="R773" t="s">
        <v>3389</v>
      </c>
      <c r="S773" t="s">
        <v>1178</v>
      </c>
      <c r="T773" t="s">
        <v>1192</v>
      </c>
      <c r="U773" t="s">
        <v>599</v>
      </c>
      <c r="V773" t="s">
        <v>3390</v>
      </c>
      <c r="W773" t="s">
        <v>3391</v>
      </c>
      <c r="X773" t="s">
        <v>599</v>
      </c>
      <c r="Y773" t="s">
        <v>1182</v>
      </c>
      <c r="Z773" t="s">
        <v>3392</v>
      </c>
      <c r="AA773">
        <v>1880</v>
      </c>
      <c r="AB773">
        <v>1880</v>
      </c>
      <c r="AC773" t="s">
        <v>3393</v>
      </c>
      <c r="AD773" t="s">
        <v>1185</v>
      </c>
      <c r="AE773" t="s">
        <v>599</v>
      </c>
      <c r="AF773" t="s">
        <v>3394</v>
      </c>
      <c r="AG773" t="s">
        <v>3395</v>
      </c>
      <c r="AH773" t="s">
        <v>599</v>
      </c>
      <c r="AI773" t="s">
        <v>3396</v>
      </c>
      <c r="AJ773" t="s">
        <v>3397</v>
      </c>
      <c r="AK773" t="s">
        <v>599</v>
      </c>
      <c r="AL773" t="s">
        <v>3398</v>
      </c>
      <c r="AM773" t="s">
        <v>1190</v>
      </c>
      <c r="AN773" t="s">
        <v>599</v>
      </c>
      <c r="AO773" t="s">
        <v>599</v>
      </c>
      <c r="AP773" t="s">
        <v>3399</v>
      </c>
      <c r="AQ773" t="s">
        <v>599</v>
      </c>
      <c r="AR773" t="s">
        <v>599</v>
      </c>
      <c r="AS773" t="s">
        <v>599</v>
      </c>
      <c r="AT773" t="s">
        <v>599</v>
      </c>
    </row>
    <row r="774" spans="1:46" ht="210" x14ac:dyDescent="0.25">
      <c r="A774" s="2">
        <v>12229</v>
      </c>
      <c r="B774" s="10">
        <v>381189</v>
      </c>
      <c r="C774" s="10">
        <v>1</v>
      </c>
      <c r="D774" s="9">
        <v>10</v>
      </c>
      <c r="E774" s="11" t="s">
        <v>558</v>
      </c>
      <c r="F774" s="12" t="s">
        <v>559</v>
      </c>
      <c r="G774" s="9" t="s">
        <v>560</v>
      </c>
      <c r="H774" s="34"/>
      <c r="I774" s="55" t="str">
        <f t="shared" si="25"/>
        <v>https://permalinkbnd.bnportugal.gov.pt/viewer/14628/?offset=#page=10&amp;viewer=picture&amp;o=info&amp;n=0&amp;q=</v>
      </c>
      <c r="J774" s="45"/>
      <c r="K774" s="45"/>
      <c r="L774" s="45"/>
      <c r="M774" t="s">
        <v>558</v>
      </c>
      <c r="N774">
        <v>14628</v>
      </c>
      <c r="O774" t="str">
        <f t="shared" si="24"/>
        <v>https://permalinkbnd.bnportugal.gov.pt/viewer/14628/?offset=#page=10&amp;viewer=picture&amp;o=info&amp;n=0&amp;q=</v>
      </c>
      <c r="P774">
        <v>381189</v>
      </c>
      <c r="Q774" t="s">
        <v>558</v>
      </c>
      <c r="R774" t="s">
        <v>3389</v>
      </c>
      <c r="S774" t="s">
        <v>1178</v>
      </c>
      <c r="T774" t="s">
        <v>1192</v>
      </c>
      <c r="U774" t="s">
        <v>599</v>
      </c>
      <c r="V774" t="s">
        <v>3390</v>
      </c>
      <c r="W774" t="s">
        <v>3391</v>
      </c>
      <c r="X774" t="s">
        <v>599</v>
      </c>
      <c r="Y774" t="s">
        <v>1182</v>
      </c>
      <c r="Z774" t="s">
        <v>3392</v>
      </c>
      <c r="AA774">
        <v>1880</v>
      </c>
      <c r="AB774">
        <v>1880</v>
      </c>
      <c r="AC774" t="s">
        <v>3393</v>
      </c>
      <c r="AD774" t="s">
        <v>1185</v>
      </c>
      <c r="AE774" t="s">
        <v>599</v>
      </c>
      <c r="AF774" t="s">
        <v>3394</v>
      </c>
      <c r="AG774" t="s">
        <v>3395</v>
      </c>
      <c r="AH774" t="s">
        <v>599</v>
      </c>
      <c r="AI774" t="s">
        <v>3396</v>
      </c>
      <c r="AJ774" t="s">
        <v>3397</v>
      </c>
      <c r="AK774" t="s">
        <v>599</v>
      </c>
      <c r="AL774" t="s">
        <v>3398</v>
      </c>
      <c r="AM774" t="s">
        <v>1190</v>
      </c>
      <c r="AN774" t="s">
        <v>599</v>
      </c>
      <c r="AO774" t="s">
        <v>599</v>
      </c>
      <c r="AP774" t="s">
        <v>3399</v>
      </c>
      <c r="AQ774" t="s">
        <v>599</v>
      </c>
      <c r="AR774" t="s">
        <v>599</v>
      </c>
      <c r="AS774" t="s">
        <v>599</v>
      </c>
      <c r="AT774" t="s">
        <v>599</v>
      </c>
    </row>
    <row r="775" spans="1:46" ht="210" x14ac:dyDescent="0.25">
      <c r="A775" s="2">
        <v>12230</v>
      </c>
      <c r="B775" s="10">
        <v>381189</v>
      </c>
      <c r="C775" s="10">
        <v>1</v>
      </c>
      <c r="D775" s="9">
        <v>19</v>
      </c>
      <c r="E775" s="11" t="s">
        <v>558</v>
      </c>
      <c r="F775" s="12" t="s">
        <v>559</v>
      </c>
      <c r="G775" s="9" t="s">
        <v>560</v>
      </c>
      <c r="H775" s="34"/>
      <c r="I775" s="55" t="str">
        <f t="shared" si="25"/>
        <v>https://permalinkbnd.bnportugal.gov.pt/viewer/14628/?offset=#page=19&amp;viewer=picture&amp;o=info&amp;n=0&amp;q=</v>
      </c>
      <c r="J775" s="45"/>
      <c r="K775" s="45"/>
      <c r="L775" s="45"/>
      <c r="M775" t="s">
        <v>558</v>
      </c>
      <c r="N775">
        <v>14628</v>
      </c>
      <c r="O775" t="str">
        <f t="shared" si="24"/>
        <v>https://permalinkbnd.bnportugal.gov.pt/viewer/14628/?offset=#page=19&amp;viewer=picture&amp;o=info&amp;n=0&amp;q=</v>
      </c>
      <c r="P775">
        <v>381189</v>
      </c>
      <c r="Q775" t="s">
        <v>558</v>
      </c>
      <c r="R775" t="s">
        <v>3389</v>
      </c>
      <c r="S775" t="s">
        <v>1178</v>
      </c>
      <c r="T775" t="s">
        <v>1192</v>
      </c>
      <c r="U775" t="s">
        <v>599</v>
      </c>
      <c r="V775" t="s">
        <v>3390</v>
      </c>
      <c r="W775" t="s">
        <v>3391</v>
      </c>
      <c r="X775" t="s">
        <v>599</v>
      </c>
      <c r="Y775" t="s">
        <v>1182</v>
      </c>
      <c r="Z775" t="s">
        <v>3392</v>
      </c>
      <c r="AA775">
        <v>1880</v>
      </c>
      <c r="AB775">
        <v>1880</v>
      </c>
      <c r="AC775" t="s">
        <v>3393</v>
      </c>
      <c r="AD775" t="s">
        <v>1185</v>
      </c>
      <c r="AE775" t="s">
        <v>599</v>
      </c>
      <c r="AF775" t="s">
        <v>3394</v>
      </c>
      <c r="AG775" t="s">
        <v>3395</v>
      </c>
      <c r="AH775" t="s">
        <v>599</v>
      </c>
      <c r="AI775" t="s">
        <v>3396</v>
      </c>
      <c r="AJ775" t="s">
        <v>3397</v>
      </c>
      <c r="AK775" t="s">
        <v>599</v>
      </c>
      <c r="AL775" t="s">
        <v>3398</v>
      </c>
      <c r="AM775" t="s">
        <v>1190</v>
      </c>
      <c r="AN775" t="s">
        <v>599</v>
      </c>
      <c r="AO775" t="s">
        <v>599</v>
      </c>
      <c r="AP775" t="s">
        <v>3399</v>
      </c>
      <c r="AQ775" t="s">
        <v>599</v>
      </c>
      <c r="AR775" t="s">
        <v>599</v>
      </c>
      <c r="AS775" t="s">
        <v>599</v>
      </c>
      <c r="AT775" t="s">
        <v>599</v>
      </c>
    </row>
    <row r="776" spans="1:46" ht="210" x14ac:dyDescent="0.25">
      <c r="A776" s="2">
        <v>12231</v>
      </c>
      <c r="B776" s="10">
        <v>381189</v>
      </c>
      <c r="C776" s="10">
        <v>1</v>
      </c>
      <c r="D776" s="9">
        <v>75</v>
      </c>
      <c r="E776" s="11" t="s">
        <v>558</v>
      </c>
      <c r="F776" s="12" t="s">
        <v>559</v>
      </c>
      <c r="G776" s="9" t="s">
        <v>560</v>
      </c>
      <c r="H776" s="34"/>
      <c r="I776" s="55" t="str">
        <f t="shared" si="25"/>
        <v>https://permalinkbnd.bnportugal.gov.pt/viewer/14628/?offset=#page=75&amp;viewer=picture&amp;o=info&amp;n=0&amp;q=</v>
      </c>
      <c r="J776" s="45"/>
      <c r="K776" s="45"/>
      <c r="L776" s="45"/>
      <c r="M776" t="s">
        <v>558</v>
      </c>
      <c r="N776">
        <v>14628</v>
      </c>
      <c r="O776" t="str">
        <f t="shared" si="24"/>
        <v>https://permalinkbnd.bnportugal.gov.pt/viewer/14628/?offset=#page=75&amp;viewer=picture&amp;o=info&amp;n=0&amp;q=</v>
      </c>
      <c r="P776">
        <v>381189</v>
      </c>
      <c r="Q776" t="s">
        <v>558</v>
      </c>
      <c r="R776" t="s">
        <v>3389</v>
      </c>
      <c r="S776" t="s">
        <v>1178</v>
      </c>
      <c r="T776" t="s">
        <v>1192</v>
      </c>
      <c r="U776" t="s">
        <v>599</v>
      </c>
      <c r="V776" t="s">
        <v>3390</v>
      </c>
      <c r="W776" t="s">
        <v>3391</v>
      </c>
      <c r="X776" t="s">
        <v>599</v>
      </c>
      <c r="Y776" t="s">
        <v>1182</v>
      </c>
      <c r="Z776" t="s">
        <v>3392</v>
      </c>
      <c r="AA776">
        <v>1880</v>
      </c>
      <c r="AB776">
        <v>1880</v>
      </c>
      <c r="AC776" t="s">
        <v>3393</v>
      </c>
      <c r="AD776" t="s">
        <v>1185</v>
      </c>
      <c r="AE776" t="s">
        <v>599</v>
      </c>
      <c r="AF776" t="s">
        <v>3394</v>
      </c>
      <c r="AG776" t="s">
        <v>3395</v>
      </c>
      <c r="AH776" t="s">
        <v>599</v>
      </c>
      <c r="AI776" t="s">
        <v>3396</v>
      </c>
      <c r="AJ776" t="s">
        <v>3397</v>
      </c>
      <c r="AK776" t="s">
        <v>599</v>
      </c>
      <c r="AL776" t="s">
        <v>3398</v>
      </c>
      <c r="AM776" t="s">
        <v>1190</v>
      </c>
      <c r="AN776" t="s">
        <v>599</v>
      </c>
      <c r="AO776" t="s">
        <v>599</v>
      </c>
      <c r="AP776" t="s">
        <v>3399</v>
      </c>
      <c r="AQ776" t="s">
        <v>599</v>
      </c>
      <c r="AR776" t="s">
        <v>599</v>
      </c>
      <c r="AS776" t="s">
        <v>599</v>
      </c>
      <c r="AT776" t="s">
        <v>599</v>
      </c>
    </row>
    <row r="777" spans="1:46" ht="210" x14ac:dyDescent="0.25">
      <c r="A777" s="2">
        <v>12232</v>
      </c>
      <c r="B777" s="10">
        <v>381189</v>
      </c>
      <c r="C777" s="10">
        <v>1</v>
      </c>
      <c r="D777" s="9">
        <v>79</v>
      </c>
      <c r="E777" s="11" t="s">
        <v>558</v>
      </c>
      <c r="F777" s="12" t="s">
        <v>559</v>
      </c>
      <c r="G777" s="9" t="s">
        <v>560</v>
      </c>
      <c r="H777" s="34"/>
      <c r="I777" s="55" t="str">
        <f t="shared" si="25"/>
        <v>https://permalinkbnd.bnportugal.gov.pt/viewer/14628/?offset=#page=79&amp;viewer=picture&amp;o=info&amp;n=0&amp;q=</v>
      </c>
      <c r="J777" s="45"/>
      <c r="K777" s="45"/>
      <c r="L777" s="45"/>
      <c r="M777" t="s">
        <v>558</v>
      </c>
      <c r="N777">
        <v>14628</v>
      </c>
      <c r="O777" t="str">
        <f t="shared" si="24"/>
        <v>https://permalinkbnd.bnportugal.gov.pt/viewer/14628/?offset=#page=79&amp;viewer=picture&amp;o=info&amp;n=0&amp;q=</v>
      </c>
      <c r="P777">
        <v>381189</v>
      </c>
      <c r="Q777" t="s">
        <v>558</v>
      </c>
      <c r="R777" t="s">
        <v>3389</v>
      </c>
      <c r="S777" t="s">
        <v>1178</v>
      </c>
      <c r="T777" t="s">
        <v>1192</v>
      </c>
      <c r="U777" t="s">
        <v>599</v>
      </c>
      <c r="V777" t="s">
        <v>3390</v>
      </c>
      <c r="W777" t="s">
        <v>3391</v>
      </c>
      <c r="X777" t="s">
        <v>599</v>
      </c>
      <c r="Y777" t="s">
        <v>1182</v>
      </c>
      <c r="Z777" t="s">
        <v>3392</v>
      </c>
      <c r="AA777">
        <v>1880</v>
      </c>
      <c r="AB777">
        <v>1880</v>
      </c>
      <c r="AC777" t="s">
        <v>3393</v>
      </c>
      <c r="AD777" t="s">
        <v>1185</v>
      </c>
      <c r="AE777" t="s">
        <v>599</v>
      </c>
      <c r="AF777" t="s">
        <v>3394</v>
      </c>
      <c r="AG777" t="s">
        <v>3395</v>
      </c>
      <c r="AH777" t="s">
        <v>599</v>
      </c>
      <c r="AI777" t="s">
        <v>3396</v>
      </c>
      <c r="AJ777" t="s">
        <v>3397</v>
      </c>
      <c r="AK777" t="s">
        <v>599</v>
      </c>
      <c r="AL777" t="s">
        <v>3398</v>
      </c>
      <c r="AM777" t="s">
        <v>1190</v>
      </c>
      <c r="AN777" t="s">
        <v>599</v>
      </c>
      <c r="AO777" t="s">
        <v>599</v>
      </c>
      <c r="AP777" t="s">
        <v>3399</v>
      </c>
      <c r="AQ777" t="s">
        <v>599</v>
      </c>
      <c r="AR777" t="s">
        <v>599</v>
      </c>
      <c r="AS777" t="s">
        <v>599</v>
      </c>
      <c r="AT777" t="s">
        <v>599</v>
      </c>
    </row>
    <row r="778" spans="1:46" ht="210" x14ac:dyDescent="0.25">
      <c r="A778" s="2">
        <v>12233</v>
      </c>
      <c r="B778" s="10">
        <v>381189</v>
      </c>
      <c r="C778" s="10">
        <v>1</v>
      </c>
      <c r="D778" s="9">
        <v>90</v>
      </c>
      <c r="E778" s="11" t="s">
        <v>558</v>
      </c>
      <c r="F778" s="12" t="s">
        <v>559</v>
      </c>
      <c r="G778" s="9" t="s">
        <v>560</v>
      </c>
      <c r="H778" s="34"/>
      <c r="I778" s="55" t="str">
        <f t="shared" si="25"/>
        <v>https://permalinkbnd.bnportugal.gov.pt/viewer/14628/?offset=#page=90&amp;viewer=picture&amp;o=info&amp;n=0&amp;q=</v>
      </c>
      <c r="J778" s="45"/>
      <c r="K778" s="45"/>
      <c r="L778" s="45"/>
      <c r="M778" t="s">
        <v>558</v>
      </c>
      <c r="N778">
        <v>14628</v>
      </c>
      <c r="O778" t="str">
        <f t="shared" si="24"/>
        <v>https://permalinkbnd.bnportugal.gov.pt/viewer/14628/?offset=#page=90&amp;viewer=picture&amp;o=info&amp;n=0&amp;q=</v>
      </c>
      <c r="P778">
        <v>381189</v>
      </c>
      <c r="Q778" t="s">
        <v>558</v>
      </c>
      <c r="R778" t="s">
        <v>3389</v>
      </c>
      <c r="S778" t="s">
        <v>1178</v>
      </c>
      <c r="T778" t="s">
        <v>1192</v>
      </c>
      <c r="U778" t="s">
        <v>599</v>
      </c>
      <c r="V778" t="s">
        <v>3390</v>
      </c>
      <c r="W778" t="s">
        <v>3391</v>
      </c>
      <c r="X778" t="s">
        <v>599</v>
      </c>
      <c r="Y778" t="s">
        <v>1182</v>
      </c>
      <c r="Z778" t="s">
        <v>3392</v>
      </c>
      <c r="AA778">
        <v>1880</v>
      </c>
      <c r="AB778">
        <v>1880</v>
      </c>
      <c r="AC778" t="s">
        <v>3393</v>
      </c>
      <c r="AD778" t="s">
        <v>1185</v>
      </c>
      <c r="AE778" t="s">
        <v>599</v>
      </c>
      <c r="AF778" t="s">
        <v>3394</v>
      </c>
      <c r="AG778" t="s">
        <v>3395</v>
      </c>
      <c r="AH778" t="s">
        <v>599</v>
      </c>
      <c r="AI778" t="s">
        <v>3396</v>
      </c>
      <c r="AJ778" t="s">
        <v>3397</v>
      </c>
      <c r="AK778" t="s">
        <v>599</v>
      </c>
      <c r="AL778" t="s">
        <v>3398</v>
      </c>
      <c r="AM778" t="s">
        <v>1190</v>
      </c>
      <c r="AN778" t="s">
        <v>599</v>
      </c>
      <c r="AO778" t="s">
        <v>599</v>
      </c>
      <c r="AP778" t="s">
        <v>3399</v>
      </c>
      <c r="AQ778" t="s">
        <v>599</v>
      </c>
      <c r="AR778" t="s">
        <v>599</v>
      </c>
      <c r="AS778" t="s">
        <v>599</v>
      </c>
      <c r="AT778" t="s">
        <v>599</v>
      </c>
    </row>
    <row r="779" spans="1:46" ht="210" x14ac:dyDescent="0.25">
      <c r="A779" s="2">
        <v>12234</v>
      </c>
      <c r="B779" s="10">
        <v>381189</v>
      </c>
      <c r="C779" s="10">
        <v>1</v>
      </c>
      <c r="D779" s="9">
        <v>110</v>
      </c>
      <c r="E779" s="11" t="s">
        <v>558</v>
      </c>
      <c r="F779" s="12" t="s">
        <v>559</v>
      </c>
      <c r="G779" s="9" t="s">
        <v>560</v>
      </c>
      <c r="H779" s="34"/>
      <c r="I779" s="55" t="str">
        <f t="shared" si="25"/>
        <v>https://permalinkbnd.bnportugal.gov.pt/viewer/14628/?offset=#page=110&amp;viewer=picture&amp;o=info&amp;n=0&amp;q=</v>
      </c>
      <c r="J779" s="45"/>
      <c r="K779" s="45"/>
      <c r="L779" s="45"/>
      <c r="M779" t="s">
        <v>558</v>
      </c>
      <c r="N779">
        <v>14628</v>
      </c>
      <c r="O779" t="str">
        <f t="shared" si="24"/>
        <v>https://permalinkbnd.bnportugal.gov.pt/viewer/14628/?offset=#page=110&amp;viewer=picture&amp;o=info&amp;n=0&amp;q=</v>
      </c>
      <c r="P779">
        <v>381189</v>
      </c>
      <c r="Q779" t="s">
        <v>558</v>
      </c>
      <c r="R779" t="s">
        <v>3389</v>
      </c>
      <c r="S779" t="s">
        <v>1178</v>
      </c>
      <c r="T779" t="s">
        <v>1192</v>
      </c>
      <c r="U779" t="s">
        <v>599</v>
      </c>
      <c r="V779" t="s">
        <v>3390</v>
      </c>
      <c r="W779" t="s">
        <v>3391</v>
      </c>
      <c r="X779" t="s">
        <v>599</v>
      </c>
      <c r="Y779" t="s">
        <v>1182</v>
      </c>
      <c r="Z779" t="s">
        <v>3392</v>
      </c>
      <c r="AA779">
        <v>1880</v>
      </c>
      <c r="AB779">
        <v>1880</v>
      </c>
      <c r="AC779" t="s">
        <v>3393</v>
      </c>
      <c r="AD779" t="s">
        <v>1185</v>
      </c>
      <c r="AE779" t="s">
        <v>599</v>
      </c>
      <c r="AF779" t="s">
        <v>3394</v>
      </c>
      <c r="AG779" t="s">
        <v>3395</v>
      </c>
      <c r="AH779" t="s">
        <v>599</v>
      </c>
      <c r="AI779" t="s">
        <v>3396</v>
      </c>
      <c r="AJ779" t="s">
        <v>3397</v>
      </c>
      <c r="AK779" t="s">
        <v>599</v>
      </c>
      <c r="AL779" t="s">
        <v>3398</v>
      </c>
      <c r="AM779" t="s">
        <v>1190</v>
      </c>
      <c r="AN779" t="s">
        <v>599</v>
      </c>
      <c r="AO779" t="s">
        <v>599</v>
      </c>
      <c r="AP779" t="s">
        <v>3399</v>
      </c>
      <c r="AQ779" t="s">
        <v>599</v>
      </c>
      <c r="AR779" t="s">
        <v>599</v>
      </c>
      <c r="AS779" t="s">
        <v>599</v>
      </c>
      <c r="AT779" t="s">
        <v>599</v>
      </c>
    </row>
    <row r="780" spans="1:46" ht="210" x14ac:dyDescent="0.25">
      <c r="A780" s="2">
        <v>12235</v>
      </c>
      <c r="B780" s="10">
        <v>381189</v>
      </c>
      <c r="C780" s="10">
        <v>1</v>
      </c>
      <c r="D780" s="9">
        <v>118</v>
      </c>
      <c r="E780" s="11" t="s">
        <v>558</v>
      </c>
      <c r="F780" s="12" t="s">
        <v>559</v>
      </c>
      <c r="G780" s="9" t="s">
        <v>560</v>
      </c>
      <c r="H780" s="34"/>
      <c r="I780" s="55" t="str">
        <f t="shared" si="25"/>
        <v>https://permalinkbnd.bnportugal.gov.pt/viewer/14628/?offset=#page=118&amp;viewer=picture&amp;o=info&amp;n=0&amp;q=</v>
      </c>
      <c r="J780" s="45"/>
      <c r="K780" s="45"/>
      <c r="L780" s="45"/>
      <c r="M780" t="s">
        <v>558</v>
      </c>
      <c r="N780">
        <v>14628</v>
      </c>
      <c r="O780" t="str">
        <f t="shared" si="24"/>
        <v>https://permalinkbnd.bnportugal.gov.pt/viewer/14628/?offset=#page=118&amp;viewer=picture&amp;o=info&amp;n=0&amp;q=</v>
      </c>
      <c r="P780">
        <v>381189</v>
      </c>
      <c r="Q780" t="s">
        <v>558</v>
      </c>
      <c r="R780" t="s">
        <v>3389</v>
      </c>
      <c r="S780" t="s">
        <v>1178</v>
      </c>
      <c r="T780" t="s">
        <v>1192</v>
      </c>
      <c r="U780" t="s">
        <v>599</v>
      </c>
      <c r="V780" t="s">
        <v>3390</v>
      </c>
      <c r="W780" t="s">
        <v>3391</v>
      </c>
      <c r="X780" t="s">
        <v>599</v>
      </c>
      <c r="Y780" t="s">
        <v>1182</v>
      </c>
      <c r="Z780" t="s">
        <v>3392</v>
      </c>
      <c r="AA780">
        <v>1880</v>
      </c>
      <c r="AB780">
        <v>1880</v>
      </c>
      <c r="AC780" t="s">
        <v>3393</v>
      </c>
      <c r="AD780" t="s">
        <v>1185</v>
      </c>
      <c r="AE780" t="s">
        <v>599</v>
      </c>
      <c r="AF780" t="s">
        <v>3394</v>
      </c>
      <c r="AG780" t="s">
        <v>3395</v>
      </c>
      <c r="AH780" t="s">
        <v>599</v>
      </c>
      <c r="AI780" t="s">
        <v>3396</v>
      </c>
      <c r="AJ780" t="s">
        <v>3397</v>
      </c>
      <c r="AK780" t="s">
        <v>599</v>
      </c>
      <c r="AL780" t="s">
        <v>3398</v>
      </c>
      <c r="AM780" t="s">
        <v>1190</v>
      </c>
      <c r="AN780" t="s">
        <v>599</v>
      </c>
      <c r="AO780" t="s">
        <v>599</v>
      </c>
      <c r="AP780" t="s">
        <v>3399</v>
      </c>
      <c r="AQ780" t="s">
        <v>599</v>
      </c>
      <c r="AR780" t="s">
        <v>599</v>
      </c>
      <c r="AS780" t="s">
        <v>599</v>
      </c>
      <c r="AT780" t="s">
        <v>599</v>
      </c>
    </row>
    <row r="781" spans="1:46" ht="210" x14ac:dyDescent="0.25">
      <c r="A781" s="2">
        <v>12236</v>
      </c>
      <c r="B781" s="10">
        <v>381189</v>
      </c>
      <c r="C781" s="10">
        <v>1</v>
      </c>
      <c r="D781" s="9">
        <v>120</v>
      </c>
      <c r="E781" s="11" t="s">
        <v>558</v>
      </c>
      <c r="F781" s="12" t="s">
        <v>559</v>
      </c>
      <c r="G781" s="9" t="s">
        <v>560</v>
      </c>
      <c r="H781" s="34"/>
      <c r="I781" s="55" t="str">
        <f t="shared" si="25"/>
        <v>https://permalinkbnd.bnportugal.gov.pt/viewer/14628/?offset=#page=120&amp;viewer=picture&amp;o=info&amp;n=0&amp;q=</v>
      </c>
      <c r="J781" s="45"/>
      <c r="K781" s="45"/>
      <c r="L781" s="45"/>
      <c r="M781" t="s">
        <v>558</v>
      </c>
      <c r="N781">
        <v>14628</v>
      </c>
      <c r="O781" t="str">
        <f t="shared" si="24"/>
        <v>https://permalinkbnd.bnportugal.gov.pt/viewer/14628/?offset=#page=120&amp;viewer=picture&amp;o=info&amp;n=0&amp;q=</v>
      </c>
      <c r="P781">
        <v>381189</v>
      </c>
      <c r="Q781" t="s">
        <v>558</v>
      </c>
      <c r="R781" t="s">
        <v>3389</v>
      </c>
      <c r="S781" t="s">
        <v>1178</v>
      </c>
      <c r="T781" t="s">
        <v>1192</v>
      </c>
      <c r="U781" t="s">
        <v>599</v>
      </c>
      <c r="V781" t="s">
        <v>3390</v>
      </c>
      <c r="W781" t="s">
        <v>3391</v>
      </c>
      <c r="X781" t="s">
        <v>599</v>
      </c>
      <c r="Y781" t="s">
        <v>1182</v>
      </c>
      <c r="Z781" t="s">
        <v>3392</v>
      </c>
      <c r="AA781">
        <v>1880</v>
      </c>
      <c r="AB781">
        <v>1880</v>
      </c>
      <c r="AC781" t="s">
        <v>3393</v>
      </c>
      <c r="AD781" t="s">
        <v>1185</v>
      </c>
      <c r="AE781" t="s">
        <v>599</v>
      </c>
      <c r="AF781" t="s">
        <v>3394</v>
      </c>
      <c r="AG781" t="s">
        <v>3395</v>
      </c>
      <c r="AH781" t="s">
        <v>599</v>
      </c>
      <c r="AI781" t="s">
        <v>3396</v>
      </c>
      <c r="AJ781" t="s">
        <v>3397</v>
      </c>
      <c r="AK781" t="s">
        <v>599</v>
      </c>
      <c r="AL781" t="s">
        <v>3398</v>
      </c>
      <c r="AM781" t="s">
        <v>1190</v>
      </c>
      <c r="AN781" t="s">
        <v>599</v>
      </c>
      <c r="AO781" t="s">
        <v>599</v>
      </c>
      <c r="AP781" t="s">
        <v>3399</v>
      </c>
      <c r="AQ781" t="s">
        <v>599</v>
      </c>
      <c r="AR781" t="s">
        <v>599</v>
      </c>
      <c r="AS781" t="s">
        <v>599</v>
      </c>
      <c r="AT781" t="s">
        <v>599</v>
      </c>
    </row>
    <row r="782" spans="1:46" ht="210" x14ac:dyDescent="0.25">
      <c r="A782" s="2">
        <v>12237</v>
      </c>
      <c r="B782" s="10">
        <v>381189</v>
      </c>
      <c r="C782" s="10">
        <v>1</v>
      </c>
      <c r="D782" s="9">
        <v>134</v>
      </c>
      <c r="E782" s="11" t="s">
        <v>558</v>
      </c>
      <c r="F782" s="12" t="s">
        <v>559</v>
      </c>
      <c r="G782" s="9" t="s">
        <v>560</v>
      </c>
      <c r="H782" s="34"/>
      <c r="I782" s="55" t="str">
        <f t="shared" si="25"/>
        <v>https://permalinkbnd.bnportugal.gov.pt/viewer/14628/?offset=#page=134&amp;viewer=picture&amp;o=info&amp;n=0&amp;q=</v>
      </c>
      <c r="J782" s="45"/>
      <c r="K782" s="45"/>
      <c r="L782" s="45"/>
      <c r="M782" t="s">
        <v>558</v>
      </c>
      <c r="N782">
        <v>14628</v>
      </c>
      <c r="O782" t="str">
        <f t="shared" si="24"/>
        <v>https://permalinkbnd.bnportugal.gov.pt/viewer/14628/?offset=#page=134&amp;viewer=picture&amp;o=info&amp;n=0&amp;q=</v>
      </c>
      <c r="P782">
        <v>381189</v>
      </c>
      <c r="Q782" t="s">
        <v>558</v>
      </c>
      <c r="R782" t="s">
        <v>3389</v>
      </c>
      <c r="S782" t="s">
        <v>1178</v>
      </c>
      <c r="T782" t="s">
        <v>1192</v>
      </c>
      <c r="U782" t="s">
        <v>599</v>
      </c>
      <c r="V782" t="s">
        <v>3390</v>
      </c>
      <c r="W782" t="s">
        <v>3391</v>
      </c>
      <c r="X782" t="s">
        <v>599</v>
      </c>
      <c r="Y782" t="s">
        <v>1182</v>
      </c>
      <c r="Z782" t="s">
        <v>3392</v>
      </c>
      <c r="AA782">
        <v>1880</v>
      </c>
      <c r="AB782">
        <v>1880</v>
      </c>
      <c r="AC782" t="s">
        <v>3393</v>
      </c>
      <c r="AD782" t="s">
        <v>1185</v>
      </c>
      <c r="AE782" t="s">
        <v>599</v>
      </c>
      <c r="AF782" t="s">
        <v>3394</v>
      </c>
      <c r="AG782" t="s">
        <v>3395</v>
      </c>
      <c r="AH782" t="s">
        <v>599</v>
      </c>
      <c r="AI782" t="s">
        <v>3396</v>
      </c>
      <c r="AJ782" t="s">
        <v>3397</v>
      </c>
      <c r="AK782" t="s">
        <v>599</v>
      </c>
      <c r="AL782" t="s">
        <v>3398</v>
      </c>
      <c r="AM782" t="s">
        <v>1190</v>
      </c>
      <c r="AN782" t="s">
        <v>599</v>
      </c>
      <c r="AO782" t="s">
        <v>599</v>
      </c>
      <c r="AP782" t="s">
        <v>3399</v>
      </c>
      <c r="AQ782" t="s">
        <v>599</v>
      </c>
      <c r="AR782" t="s">
        <v>599</v>
      </c>
      <c r="AS782" t="s">
        <v>599</v>
      </c>
      <c r="AT782" t="s">
        <v>599</v>
      </c>
    </row>
    <row r="783" spans="1:46" ht="210" x14ac:dyDescent="0.25">
      <c r="A783" s="2">
        <v>12238</v>
      </c>
      <c r="B783" s="10">
        <v>381189</v>
      </c>
      <c r="C783" s="10">
        <v>1</v>
      </c>
      <c r="D783" s="9">
        <v>156</v>
      </c>
      <c r="E783" s="11" t="s">
        <v>558</v>
      </c>
      <c r="F783" s="12" t="s">
        <v>559</v>
      </c>
      <c r="G783" s="9" t="s">
        <v>560</v>
      </c>
      <c r="H783" s="34"/>
      <c r="I783" s="55" t="str">
        <f t="shared" si="25"/>
        <v>https://permalinkbnd.bnportugal.gov.pt/viewer/14628/?offset=#page=156&amp;viewer=picture&amp;o=info&amp;n=0&amp;q=</v>
      </c>
      <c r="J783" s="45"/>
      <c r="K783" s="45"/>
      <c r="L783" s="45"/>
      <c r="M783" t="s">
        <v>558</v>
      </c>
      <c r="N783">
        <v>14628</v>
      </c>
      <c r="O783" t="str">
        <f t="shared" si="24"/>
        <v>https://permalinkbnd.bnportugal.gov.pt/viewer/14628/?offset=#page=156&amp;viewer=picture&amp;o=info&amp;n=0&amp;q=</v>
      </c>
      <c r="P783">
        <v>381189</v>
      </c>
      <c r="Q783" t="s">
        <v>558</v>
      </c>
      <c r="R783" t="s">
        <v>3389</v>
      </c>
      <c r="S783" t="s">
        <v>1178</v>
      </c>
      <c r="T783" t="s">
        <v>1192</v>
      </c>
      <c r="U783" t="s">
        <v>599</v>
      </c>
      <c r="V783" t="s">
        <v>3390</v>
      </c>
      <c r="W783" t="s">
        <v>3391</v>
      </c>
      <c r="X783" t="s">
        <v>599</v>
      </c>
      <c r="Y783" t="s">
        <v>1182</v>
      </c>
      <c r="Z783" t="s">
        <v>3392</v>
      </c>
      <c r="AA783">
        <v>1880</v>
      </c>
      <c r="AB783">
        <v>1880</v>
      </c>
      <c r="AC783" t="s">
        <v>3393</v>
      </c>
      <c r="AD783" t="s">
        <v>1185</v>
      </c>
      <c r="AE783" t="s">
        <v>599</v>
      </c>
      <c r="AF783" t="s">
        <v>3394</v>
      </c>
      <c r="AG783" t="s">
        <v>3395</v>
      </c>
      <c r="AH783" t="s">
        <v>599</v>
      </c>
      <c r="AI783" t="s">
        <v>3396</v>
      </c>
      <c r="AJ783" t="s">
        <v>3397</v>
      </c>
      <c r="AK783" t="s">
        <v>599</v>
      </c>
      <c r="AL783" t="s">
        <v>3398</v>
      </c>
      <c r="AM783" t="s">
        <v>1190</v>
      </c>
      <c r="AN783" t="s">
        <v>599</v>
      </c>
      <c r="AO783" t="s">
        <v>599</v>
      </c>
      <c r="AP783" t="s">
        <v>3399</v>
      </c>
      <c r="AQ783" t="s">
        <v>599</v>
      </c>
      <c r="AR783" t="s">
        <v>599</v>
      </c>
      <c r="AS783" t="s">
        <v>599</v>
      </c>
      <c r="AT783" t="s">
        <v>599</v>
      </c>
    </row>
    <row r="784" spans="1:46" ht="210" x14ac:dyDescent="0.25">
      <c r="A784" s="2">
        <v>12239</v>
      </c>
      <c r="B784" s="10">
        <v>381189</v>
      </c>
      <c r="C784" s="10">
        <v>1</v>
      </c>
      <c r="D784" s="9">
        <v>162</v>
      </c>
      <c r="E784" s="11" t="s">
        <v>558</v>
      </c>
      <c r="F784" s="12" t="s">
        <v>559</v>
      </c>
      <c r="G784" s="9" t="s">
        <v>560</v>
      </c>
      <c r="H784" s="34"/>
      <c r="I784" s="55" t="str">
        <f t="shared" si="25"/>
        <v>https://permalinkbnd.bnportugal.gov.pt/viewer/14628/?offset=#page=162&amp;viewer=picture&amp;o=info&amp;n=0&amp;q=</v>
      </c>
      <c r="J784" s="45"/>
      <c r="K784" s="45"/>
      <c r="L784" s="45"/>
      <c r="M784" t="s">
        <v>558</v>
      </c>
      <c r="N784">
        <v>14628</v>
      </c>
      <c r="O784" t="str">
        <f t="shared" si="24"/>
        <v>https://permalinkbnd.bnportugal.gov.pt/viewer/14628/?offset=#page=162&amp;viewer=picture&amp;o=info&amp;n=0&amp;q=</v>
      </c>
      <c r="P784">
        <v>381189</v>
      </c>
      <c r="Q784" t="s">
        <v>558</v>
      </c>
      <c r="R784" t="s">
        <v>3389</v>
      </c>
      <c r="S784" t="s">
        <v>1178</v>
      </c>
      <c r="T784" t="s">
        <v>1192</v>
      </c>
      <c r="U784" t="s">
        <v>599</v>
      </c>
      <c r="V784" t="s">
        <v>3390</v>
      </c>
      <c r="W784" t="s">
        <v>3391</v>
      </c>
      <c r="X784" t="s">
        <v>599</v>
      </c>
      <c r="Y784" t="s">
        <v>1182</v>
      </c>
      <c r="Z784" t="s">
        <v>3392</v>
      </c>
      <c r="AA784">
        <v>1880</v>
      </c>
      <c r="AB784">
        <v>1880</v>
      </c>
      <c r="AC784" t="s">
        <v>3393</v>
      </c>
      <c r="AD784" t="s">
        <v>1185</v>
      </c>
      <c r="AE784" t="s">
        <v>599</v>
      </c>
      <c r="AF784" t="s">
        <v>3394</v>
      </c>
      <c r="AG784" t="s">
        <v>3395</v>
      </c>
      <c r="AH784" t="s">
        <v>599</v>
      </c>
      <c r="AI784" t="s">
        <v>3396</v>
      </c>
      <c r="AJ784" t="s">
        <v>3397</v>
      </c>
      <c r="AK784" t="s">
        <v>599</v>
      </c>
      <c r="AL784" t="s">
        <v>3398</v>
      </c>
      <c r="AM784" t="s">
        <v>1190</v>
      </c>
      <c r="AN784" t="s">
        <v>599</v>
      </c>
      <c r="AO784" t="s">
        <v>599</v>
      </c>
      <c r="AP784" t="s">
        <v>3399</v>
      </c>
      <c r="AQ784" t="s">
        <v>599</v>
      </c>
      <c r="AR784" t="s">
        <v>599</v>
      </c>
      <c r="AS784" t="s">
        <v>599</v>
      </c>
      <c r="AT784" t="s">
        <v>599</v>
      </c>
    </row>
    <row r="785" spans="1:46" ht="210" x14ac:dyDescent="0.25">
      <c r="A785" s="2">
        <v>12240</v>
      </c>
      <c r="B785" s="10">
        <v>381189</v>
      </c>
      <c r="C785" s="10">
        <v>1</v>
      </c>
      <c r="D785" s="9">
        <v>164</v>
      </c>
      <c r="E785" s="11" t="s">
        <v>558</v>
      </c>
      <c r="F785" s="12" t="s">
        <v>559</v>
      </c>
      <c r="G785" s="9" t="s">
        <v>560</v>
      </c>
      <c r="H785" s="34"/>
      <c r="I785" s="55" t="str">
        <f t="shared" si="25"/>
        <v>https://permalinkbnd.bnportugal.gov.pt/viewer/14628/?offset=#page=164&amp;viewer=picture&amp;o=info&amp;n=0&amp;q=</v>
      </c>
      <c r="J785" s="45"/>
      <c r="K785" s="45"/>
      <c r="L785" s="45"/>
      <c r="M785" t="s">
        <v>558</v>
      </c>
      <c r="N785">
        <v>14628</v>
      </c>
      <c r="O785" t="str">
        <f t="shared" si="24"/>
        <v>https://permalinkbnd.bnportugal.gov.pt/viewer/14628/?offset=#page=164&amp;viewer=picture&amp;o=info&amp;n=0&amp;q=</v>
      </c>
      <c r="P785">
        <v>381189</v>
      </c>
      <c r="Q785" t="s">
        <v>558</v>
      </c>
      <c r="R785" t="s">
        <v>3389</v>
      </c>
      <c r="S785" t="s">
        <v>1178</v>
      </c>
      <c r="T785" t="s">
        <v>1192</v>
      </c>
      <c r="U785" t="s">
        <v>599</v>
      </c>
      <c r="V785" t="s">
        <v>3390</v>
      </c>
      <c r="W785" t="s">
        <v>3391</v>
      </c>
      <c r="X785" t="s">
        <v>599</v>
      </c>
      <c r="Y785" t="s">
        <v>1182</v>
      </c>
      <c r="Z785" t="s">
        <v>3392</v>
      </c>
      <c r="AA785">
        <v>1880</v>
      </c>
      <c r="AB785">
        <v>1880</v>
      </c>
      <c r="AC785" t="s">
        <v>3393</v>
      </c>
      <c r="AD785" t="s">
        <v>1185</v>
      </c>
      <c r="AE785" t="s">
        <v>599</v>
      </c>
      <c r="AF785" t="s">
        <v>3394</v>
      </c>
      <c r="AG785" t="s">
        <v>3395</v>
      </c>
      <c r="AH785" t="s">
        <v>599</v>
      </c>
      <c r="AI785" t="s">
        <v>3396</v>
      </c>
      <c r="AJ785" t="s">
        <v>3397</v>
      </c>
      <c r="AK785" t="s">
        <v>599</v>
      </c>
      <c r="AL785" t="s">
        <v>3398</v>
      </c>
      <c r="AM785" t="s">
        <v>1190</v>
      </c>
      <c r="AN785" t="s">
        <v>599</v>
      </c>
      <c r="AO785" t="s">
        <v>599</v>
      </c>
      <c r="AP785" t="s">
        <v>3399</v>
      </c>
      <c r="AQ785" t="s">
        <v>599</v>
      </c>
      <c r="AR785" t="s">
        <v>599</v>
      </c>
      <c r="AS785" t="s">
        <v>599</v>
      </c>
      <c r="AT785" t="s">
        <v>599</v>
      </c>
    </row>
    <row r="786" spans="1:46" ht="210" x14ac:dyDescent="0.25">
      <c r="A786" s="2">
        <v>12241</v>
      </c>
      <c r="B786" s="10">
        <v>381189</v>
      </c>
      <c r="C786" s="10">
        <v>1</v>
      </c>
      <c r="D786" s="9">
        <v>205</v>
      </c>
      <c r="E786" s="11" t="s">
        <v>558</v>
      </c>
      <c r="F786" s="12" t="s">
        <v>559</v>
      </c>
      <c r="G786" s="9" t="s">
        <v>560</v>
      </c>
      <c r="H786" s="34"/>
      <c r="I786" s="55" t="str">
        <f t="shared" si="25"/>
        <v>https://permalinkbnd.bnportugal.gov.pt/viewer/14628/?offset=#page=205&amp;viewer=picture&amp;o=info&amp;n=0&amp;q=</v>
      </c>
      <c r="J786" s="45"/>
      <c r="K786" s="45"/>
      <c r="L786" s="45"/>
      <c r="M786" t="s">
        <v>558</v>
      </c>
      <c r="N786">
        <v>14628</v>
      </c>
      <c r="O786" t="str">
        <f t="shared" si="24"/>
        <v>https://permalinkbnd.bnportugal.gov.pt/viewer/14628/?offset=#page=205&amp;viewer=picture&amp;o=info&amp;n=0&amp;q=</v>
      </c>
      <c r="P786">
        <v>381189</v>
      </c>
      <c r="Q786" t="s">
        <v>558</v>
      </c>
      <c r="R786" t="s">
        <v>3389</v>
      </c>
      <c r="S786" t="s">
        <v>1178</v>
      </c>
      <c r="T786" t="s">
        <v>1192</v>
      </c>
      <c r="U786" t="s">
        <v>599</v>
      </c>
      <c r="V786" t="s">
        <v>3390</v>
      </c>
      <c r="W786" t="s">
        <v>3391</v>
      </c>
      <c r="X786" t="s">
        <v>599</v>
      </c>
      <c r="Y786" t="s">
        <v>1182</v>
      </c>
      <c r="Z786" t="s">
        <v>3392</v>
      </c>
      <c r="AA786">
        <v>1880</v>
      </c>
      <c r="AB786">
        <v>1880</v>
      </c>
      <c r="AC786" t="s">
        <v>3393</v>
      </c>
      <c r="AD786" t="s">
        <v>1185</v>
      </c>
      <c r="AE786" t="s">
        <v>599</v>
      </c>
      <c r="AF786" t="s">
        <v>3394</v>
      </c>
      <c r="AG786" t="s">
        <v>3395</v>
      </c>
      <c r="AH786" t="s">
        <v>599</v>
      </c>
      <c r="AI786" t="s">
        <v>3396</v>
      </c>
      <c r="AJ786" t="s">
        <v>3397</v>
      </c>
      <c r="AK786" t="s">
        <v>599</v>
      </c>
      <c r="AL786" t="s">
        <v>3398</v>
      </c>
      <c r="AM786" t="s">
        <v>1190</v>
      </c>
      <c r="AN786" t="s">
        <v>599</v>
      </c>
      <c r="AO786" t="s">
        <v>599</v>
      </c>
      <c r="AP786" t="s">
        <v>3399</v>
      </c>
      <c r="AQ786" t="s">
        <v>599</v>
      </c>
      <c r="AR786" t="s">
        <v>599</v>
      </c>
      <c r="AS786" t="s">
        <v>599</v>
      </c>
      <c r="AT786" t="s">
        <v>599</v>
      </c>
    </row>
    <row r="787" spans="1:46" ht="210" x14ac:dyDescent="0.25">
      <c r="A787" s="2">
        <v>12242</v>
      </c>
      <c r="B787" s="10">
        <v>381189</v>
      </c>
      <c r="C787" s="10">
        <v>1</v>
      </c>
      <c r="D787" s="9">
        <v>215</v>
      </c>
      <c r="E787" s="11" t="s">
        <v>558</v>
      </c>
      <c r="F787" s="12" t="s">
        <v>559</v>
      </c>
      <c r="G787" s="9" t="s">
        <v>560</v>
      </c>
      <c r="H787" s="34"/>
      <c r="I787" s="55" t="str">
        <f t="shared" si="25"/>
        <v>https://permalinkbnd.bnportugal.gov.pt/viewer/14628/?offset=#page=215&amp;viewer=picture&amp;o=info&amp;n=0&amp;q=</v>
      </c>
      <c r="J787" s="45"/>
      <c r="K787" s="45"/>
      <c r="L787" s="45"/>
      <c r="M787" t="s">
        <v>558</v>
      </c>
      <c r="N787">
        <v>14628</v>
      </c>
      <c r="O787" t="str">
        <f t="shared" si="24"/>
        <v>https://permalinkbnd.bnportugal.gov.pt/viewer/14628/?offset=#page=215&amp;viewer=picture&amp;o=info&amp;n=0&amp;q=</v>
      </c>
      <c r="P787">
        <v>381189</v>
      </c>
      <c r="Q787" t="s">
        <v>558</v>
      </c>
      <c r="R787" t="s">
        <v>3389</v>
      </c>
      <c r="S787" t="s">
        <v>1178</v>
      </c>
      <c r="T787" t="s">
        <v>1192</v>
      </c>
      <c r="U787" t="s">
        <v>599</v>
      </c>
      <c r="V787" t="s">
        <v>3390</v>
      </c>
      <c r="W787" t="s">
        <v>3391</v>
      </c>
      <c r="X787" t="s">
        <v>599</v>
      </c>
      <c r="Y787" t="s">
        <v>1182</v>
      </c>
      <c r="Z787" t="s">
        <v>3392</v>
      </c>
      <c r="AA787">
        <v>1880</v>
      </c>
      <c r="AB787">
        <v>1880</v>
      </c>
      <c r="AC787" t="s">
        <v>3393</v>
      </c>
      <c r="AD787" t="s">
        <v>1185</v>
      </c>
      <c r="AE787" t="s">
        <v>599</v>
      </c>
      <c r="AF787" t="s">
        <v>3394</v>
      </c>
      <c r="AG787" t="s">
        <v>3395</v>
      </c>
      <c r="AH787" t="s">
        <v>599</v>
      </c>
      <c r="AI787" t="s">
        <v>3396</v>
      </c>
      <c r="AJ787" t="s">
        <v>3397</v>
      </c>
      <c r="AK787" t="s">
        <v>599</v>
      </c>
      <c r="AL787" t="s">
        <v>3398</v>
      </c>
      <c r="AM787" t="s">
        <v>1190</v>
      </c>
      <c r="AN787" t="s">
        <v>599</v>
      </c>
      <c r="AO787" t="s">
        <v>599</v>
      </c>
      <c r="AP787" t="s">
        <v>3399</v>
      </c>
      <c r="AQ787" t="s">
        <v>599</v>
      </c>
      <c r="AR787" t="s">
        <v>599</v>
      </c>
      <c r="AS787" t="s">
        <v>599</v>
      </c>
      <c r="AT787" t="s">
        <v>599</v>
      </c>
    </row>
    <row r="788" spans="1:46" ht="210" x14ac:dyDescent="0.25">
      <c r="A788" s="2">
        <v>12243</v>
      </c>
      <c r="B788" s="10">
        <v>381189</v>
      </c>
      <c r="C788" s="10">
        <v>1</v>
      </c>
      <c r="D788" s="9">
        <v>217</v>
      </c>
      <c r="E788" s="11" t="s">
        <v>558</v>
      </c>
      <c r="F788" s="12" t="s">
        <v>559</v>
      </c>
      <c r="G788" s="9" t="s">
        <v>560</v>
      </c>
      <c r="H788" s="34"/>
      <c r="I788" s="55" t="str">
        <f t="shared" si="25"/>
        <v>https://permalinkbnd.bnportugal.gov.pt/viewer/14628/?offset=#page=217&amp;viewer=picture&amp;o=info&amp;n=0&amp;q=</v>
      </c>
      <c r="J788" s="45"/>
      <c r="K788" s="45"/>
      <c r="L788" s="45"/>
      <c r="M788" t="s">
        <v>558</v>
      </c>
      <c r="N788">
        <v>14628</v>
      </c>
      <c r="O788" t="str">
        <f t="shared" si="24"/>
        <v>https://permalinkbnd.bnportugal.gov.pt/viewer/14628/?offset=#page=217&amp;viewer=picture&amp;o=info&amp;n=0&amp;q=</v>
      </c>
      <c r="P788">
        <v>381189</v>
      </c>
      <c r="Q788" t="s">
        <v>558</v>
      </c>
      <c r="R788" t="s">
        <v>3389</v>
      </c>
      <c r="S788" t="s">
        <v>1178</v>
      </c>
      <c r="T788" t="s">
        <v>1192</v>
      </c>
      <c r="U788" t="s">
        <v>599</v>
      </c>
      <c r="V788" t="s">
        <v>3390</v>
      </c>
      <c r="W788" t="s">
        <v>3391</v>
      </c>
      <c r="X788" t="s">
        <v>599</v>
      </c>
      <c r="Y788" t="s">
        <v>1182</v>
      </c>
      <c r="Z788" t="s">
        <v>3392</v>
      </c>
      <c r="AA788">
        <v>1880</v>
      </c>
      <c r="AB788">
        <v>1880</v>
      </c>
      <c r="AC788" t="s">
        <v>3393</v>
      </c>
      <c r="AD788" t="s">
        <v>1185</v>
      </c>
      <c r="AE788" t="s">
        <v>599</v>
      </c>
      <c r="AF788" t="s">
        <v>3394</v>
      </c>
      <c r="AG788" t="s">
        <v>3395</v>
      </c>
      <c r="AH788" t="s">
        <v>599</v>
      </c>
      <c r="AI788" t="s">
        <v>3396</v>
      </c>
      <c r="AJ788" t="s">
        <v>3397</v>
      </c>
      <c r="AK788" t="s">
        <v>599</v>
      </c>
      <c r="AL788" t="s">
        <v>3398</v>
      </c>
      <c r="AM788" t="s">
        <v>1190</v>
      </c>
      <c r="AN788" t="s">
        <v>599</v>
      </c>
      <c r="AO788" t="s">
        <v>599</v>
      </c>
      <c r="AP788" t="s">
        <v>3399</v>
      </c>
      <c r="AQ788" t="s">
        <v>599</v>
      </c>
      <c r="AR788" t="s">
        <v>599</v>
      </c>
      <c r="AS788" t="s">
        <v>599</v>
      </c>
      <c r="AT788" t="s">
        <v>599</v>
      </c>
    </row>
    <row r="789" spans="1:46" ht="210" x14ac:dyDescent="0.25">
      <c r="A789" s="2">
        <v>12244</v>
      </c>
      <c r="B789" s="10">
        <v>381189</v>
      </c>
      <c r="C789" s="10">
        <v>1</v>
      </c>
      <c r="D789" s="9">
        <v>242</v>
      </c>
      <c r="E789" s="11" t="s">
        <v>558</v>
      </c>
      <c r="F789" s="12" t="s">
        <v>559</v>
      </c>
      <c r="G789" s="9" t="s">
        <v>560</v>
      </c>
      <c r="H789" s="34"/>
      <c r="I789" s="55" t="str">
        <f t="shared" si="25"/>
        <v>https://permalinkbnd.bnportugal.gov.pt/viewer/14628/?offset=#page=242&amp;viewer=picture&amp;o=info&amp;n=0&amp;q=</v>
      </c>
      <c r="J789" s="45"/>
      <c r="K789" s="45"/>
      <c r="L789" s="45"/>
      <c r="M789" t="s">
        <v>558</v>
      </c>
      <c r="N789">
        <v>14628</v>
      </c>
      <c r="O789" t="str">
        <f t="shared" si="24"/>
        <v>https://permalinkbnd.bnportugal.gov.pt/viewer/14628/?offset=#page=242&amp;viewer=picture&amp;o=info&amp;n=0&amp;q=</v>
      </c>
      <c r="P789">
        <v>381189</v>
      </c>
      <c r="Q789" t="s">
        <v>558</v>
      </c>
      <c r="R789" t="s">
        <v>3389</v>
      </c>
      <c r="S789" t="s">
        <v>1178</v>
      </c>
      <c r="T789" t="s">
        <v>1192</v>
      </c>
      <c r="U789" t="s">
        <v>599</v>
      </c>
      <c r="V789" t="s">
        <v>3390</v>
      </c>
      <c r="W789" t="s">
        <v>3391</v>
      </c>
      <c r="X789" t="s">
        <v>599</v>
      </c>
      <c r="Y789" t="s">
        <v>1182</v>
      </c>
      <c r="Z789" t="s">
        <v>3392</v>
      </c>
      <c r="AA789">
        <v>1880</v>
      </c>
      <c r="AB789">
        <v>1880</v>
      </c>
      <c r="AC789" t="s">
        <v>3393</v>
      </c>
      <c r="AD789" t="s">
        <v>1185</v>
      </c>
      <c r="AE789" t="s">
        <v>599</v>
      </c>
      <c r="AF789" t="s">
        <v>3394</v>
      </c>
      <c r="AG789" t="s">
        <v>3395</v>
      </c>
      <c r="AH789" t="s">
        <v>599</v>
      </c>
      <c r="AI789" t="s">
        <v>3396</v>
      </c>
      <c r="AJ789" t="s">
        <v>3397</v>
      </c>
      <c r="AK789" t="s">
        <v>599</v>
      </c>
      <c r="AL789" t="s">
        <v>3398</v>
      </c>
      <c r="AM789" t="s">
        <v>1190</v>
      </c>
      <c r="AN789" t="s">
        <v>599</v>
      </c>
      <c r="AO789" t="s">
        <v>599</v>
      </c>
      <c r="AP789" t="s">
        <v>3399</v>
      </c>
      <c r="AQ789" t="s">
        <v>599</v>
      </c>
      <c r="AR789" t="s">
        <v>599</v>
      </c>
      <c r="AS789" t="s">
        <v>599</v>
      </c>
      <c r="AT789" t="s">
        <v>599</v>
      </c>
    </row>
    <row r="790" spans="1:46" ht="210" x14ac:dyDescent="0.25">
      <c r="A790" s="2">
        <v>12245</v>
      </c>
      <c r="B790" s="10">
        <v>381189</v>
      </c>
      <c r="C790" s="10">
        <v>1</v>
      </c>
      <c r="D790" s="9">
        <v>252</v>
      </c>
      <c r="E790" s="11" t="s">
        <v>558</v>
      </c>
      <c r="F790" s="12" t="s">
        <v>559</v>
      </c>
      <c r="G790" s="9" t="s">
        <v>560</v>
      </c>
      <c r="H790" s="34"/>
      <c r="I790" s="55" t="str">
        <f t="shared" si="25"/>
        <v>https://permalinkbnd.bnportugal.gov.pt/viewer/14628/?offset=#page=252&amp;viewer=picture&amp;o=info&amp;n=0&amp;q=</v>
      </c>
      <c r="J790" s="45"/>
      <c r="K790" s="45"/>
      <c r="L790" s="45"/>
      <c r="M790" t="s">
        <v>558</v>
      </c>
      <c r="N790">
        <v>14628</v>
      </c>
      <c r="O790" t="str">
        <f t="shared" si="24"/>
        <v>https://permalinkbnd.bnportugal.gov.pt/viewer/14628/?offset=#page=252&amp;viewer=picture&amp;o=info&amp;n=0&amp;q=</v>
      </c>
      <c r="P790">
        <v>381189</v>
      </c>
      <c r="Q790" t="s">
        <v>558</v>
      </c>
      <c r="R790" t="s">
        <v>3389</v>
      </c>
      <c r="S790" t="s">
        <v>1178</v>
      </c>
      <c r="T790" t="s">
        <v>1192</v>
      </c>
      <c r="U790" t="s">
        <v>599</v>
      </c>
      <c r="V790" t="s">
        <v>3390</v>
      </c>
      <c r="W790" t="s">
        <v>3391</v>
      </c>
      <c r="X790" t="s">
        <v>599</v>
      </c>
      <c r="Y790" t="s">
        <v>1182</v>
      </c>
      <c r="Z790" t="s">
        <v>3392</v>
      </c>
      <c r="AA790">
        <v>1880</v>
      </c>
      <c r="AB790">
        <v>1880</v>
      </c>
      <c r="AC790" t="s">
        <v>3393</v>
      </c>
      <c r="AD790" t="s">
        <v>1185</v>
      </c>
      <c r="AE790" t="s">
        <v>599</v>
      </c>
      <c r="AF790" t="s">
        <v>3394</v>
      </c>
      <c r="AG790" t="s">
        <v>3395</v>
      </c>
      <c r="AH790" t="s">
        <v>599</v>
      </c>
      <c r="AI790" t="s">
        <v>3396</v>
      </c>
      <c r="AJ790" t="s">
        <v>3397</v>
      </c>
      <c r="AK790" t="s">
        <v>599</v>
      </c>
      <c r="AL790" t="s">
        <v>3398</v>
      </c>
      <c r="AM790" t="s">
        <v>1190</v>
      </c>
      <c r="AN790" t="s">
        <v>599</v>
      </c>
      <c r="AO790" t="s">
        <v>599</v>
      </c>
      <c r="AP790" t="s">
        <v>3399</v>
      </c>
      <c r="AQ790" t="s">
        <v>599</v>
      </c>
      <c r="AR790" t="s">
        <v>599</v>
      </c>
      <c r="AS790" t="s">
        <v>599</v>
      </c>
      <c r="AT790" t="s">
        <v>599</v>
      </c>
    </row>
    <row r="791" spans="1:46" ht="210" x14ac:dyDescent="0.25">
      <c r="A791" s="2">
        <v>12246</v>
      </c>
      <c r="B791" s="10">
        <v>381189</v>
      </c>
      <c r="C791" s="10">
        <v>1</v>
      </c>
      <c r="D791" s="9">
        <v>258</v>
      </c>
      <c r="E791" s="11" t="s">
        <v>558</v>
      </c>
      <c r="F791" s="12" t="s">
        <v>559</v>
      </c>
      <c r="G791" s="9" t="s">
        <v>560</v>
      </c>
      <c r="H791" s="34"/>
      <c r="I791" s="55" t="str">
        <f t="shared" si="25"/>
        <v>https://permalinkbnd.bnportugal.gov.pt/viewer/14628/?offset=#page=258&amp;viewer=picture&amp;o=info&amp;n=0&amp;q=</v>
      </c>
      <c r="J791" s="45"/>
      <c r="K791" s="45"/>
      <c r="L791" s="45"/>
      <c r="M791" t="s">
        <v>558</v>
      </c>
      <c r="N791">
        <v>14628</v>
      </c>
      <c r="O791" t="str">
        <f t="shared" si="24"/>
        <v>https://permalinkbnd.bnportugal.gov.pt/viewer/14628/?offset=#page=258&amp;viewer=picture&amp;o=info&amp;n=0&amp;q=</v>
      </c>
      <c r="P791">
        <v>381189</v>
      </c>
      <c r="Q791" t="s">
        <v>558</v>
      </c>
      <c r="R791" t="s">
        <v>3389</v>
      </c>
      <c r="S791" t="s">
        <v>1178</v>
      </c>
      <c r="T791" t="s">
        <v>1192</v>
      </c>
      <c r="U791" t="s">
        <v>599</v>
      </c>
      <c r="V791" t="s">
        <v>3390</v>
      </c>
      <c r="W791" t="s">
        <v>3391</v>
      </c>
      <c r="X791" t="s">
        <v>599</v>
      </c>
      <c r="Y791" t="s">
        <v>1182</v>
      </c>
      <c r="Z791" t="s">
        <v>3392</v>
      </c>
      <c r="AA791">
        <v>1880</v>
      </c>
      <c r="AB791">
        <v>1880</v>
      </c>
      <c r="AC791" t="s">
        <v>3393</v>
      </c>
      <c r="AD791" t="s">
        <v>1185</v>
      </c>
      <c r="AE791" t="s">
        <v>599</v>
      </c>
      <c r="AF791" t="s">
        <v>3394</v>
      </c>
      <c r="AG791" t="s">
        <v>3395</v>
      </c>
      <c r="AH791" t="s">
        <v>599</v>
      </c>
      <c r="AI791" t="s">
        <v>3396</v>
      </c>
      <c r="AJ791" t="s">
        <v>3397</v>
      </c>
      <c r="AK791" t="s">
        <v>599</v>
      </c>
      <c r="AL791" t="s">
        <v>3398</v>
      </c>
      <c r="AM791" t="s">
        <v>1190</v>
      </c>
      <c r="AN791" t="s">
        <v>599</v>
      </c>
      <c r="AO791" t="s">
        <v>599</v>
      </c>
      <c r="AP791" t="s">
        <v>3399</v>
      </c>
      <c r="AQ791" t="s">
        <v>599</v>
      </c>
      <c r="AR791" t="s">
        <v>599</v>
      </c>
      <c r="AS791" t="s">
        <v>599</v>
      </c>
      <c r="AT791" t="s">
        <v>599</v>
      </c>
    </row>
    <row r="792" spans="1:46" ht="210" x14ac:dyDescent="0.25">
      <c r="A792" s="2">
        <v>12247</v>
      </c>
      <c r="B792" s="10">
        <v>381189</v>
      </c>
      <c r="C792" s="10">
        <v>1</v>
      </c>
      <c r="D792" s="9">
        <v>260</v>
      </c>
      <c r="E792" s="11" t="s">
        <v>558</v>
      </c>
      <c r="F792" s="12" t="s">
        <v>559</v>
      </c>
      <c r="G792" s="9" t="s">
        <v>560</v>
      </c>
      <c r="H792" s="34"/>
      <c r="I792" s="55" t="str">
        <f t="shared" si="25"/>
        <v>https://permalinkbnd.bnportugal.gov.pt/viewer/14628/?offset=#page=260&amp;viewer=picture&amp;o=info&amp;n=0&amp;q=</v>
      </c>
      <c r="J792" s="45"/>
      <c r="K792" s="45"/>
      <c r="L792" s="45"/>
      <c r="M792" t="s">
        <v>558</v>
      </c>
      <c r="N792">
        <v>14628</v>
      </c>
      <c r="O792" t="str">
        <f t="shared" si="24"/>
        <v>https://permalinkbnd.bnportugal.gov.pt/viewer/14628/?offset=#page=260&amp;viewer=picture&amp;o=info&amp;n=0&amp;q=</v>
      </c>
      <c r="P792">
        <v>381189</v>
      </c>
      <c r="Q792" t="s">
        <v>558</v>
      </c>
      <c r="R792" t="s">
        <v>3389</v>
      </c>
      <c r="S792" t="s">
        <v>1178</v>
      </c>
      <c r="T792" t="s">
        <v>1192</v>
      </c>
      <c r="U792" t="s">
        <v>599</v>
      </c>
      <c r="V792" t="s">
        <v>3390</v>
      </c>
      <c r="W792" t="s">
        <v>3391</v>
      </c>
      <c r="X792" t="s">
        <v>599</v>
      </c>
      <c r="Y792" t="s">
        <v>1182</v>
      </c>
      <c r="Z792" t="s">
        <v>3392</v>
      </c>
      <c r="AA792">
        <v>1880</v>
      </c>
      <c r="AB792">
        <v>1880</v>
      </c>
      <c r="AC792" t="s">
        <v>3393</v>
      </c>
      <c r="AD792" t="s">
        <v>1185</v>
      </c>
      <c r="AE792" t="s">
        <v>599</v>
      </c>
      <c r="AF792" t="s">
        <v>3394</v>
      </c>
      <c r="AG792" t="s">
        <v>3395</v>
      </c>
      <c r="AH792" t="s">
        <v>599</v>
      </c>
      <c r="AI792" t="s">
        <v>3396</v>
      </c>
      <c r="AJ792" t="s">
        <v>3397</v>
      </c>
      <c r="AK792" t="s">
        <v>599</v>
      </c>
      <c r="AL792" t="s">
        <v>3398</v>
      </c>
      <c r="AM792" t="s">
        <v>1190</v>
      </c>
      <c r="AN792" t="s">
        <v>599</v>
      </c>
      <c r="AO792" t="s">
        <v>599</v>
      </c>
      <c r="AP792" t="s">
        <v>3399</v>
      </c>
      <c r="AQ792" t="s">
        <v>599</v>
      </c>
      <c r="AR792" t="s">
        <v>599</v>
      </c>
      <c r="AS792" t="s">
        <v>599</v>
      </c>
      <c r="AT792" t="s">
        <v>599</v>
      </c>
    </row>
    <row r="793" spans="1:46" ht="210" x14ac:dyDescent="0.25">
      <c r="A793" s="2">
        <v>12248</v>
      </c>
      <c r="B793" s="10">
        <v>381189</v>
      </c>
      <c r="C793" s="10">
        <v>1</v>
      </c>
      <c r="D793" s="9">
        <v>277</v>
      </c>
      <c r="E793" s="11" t="s">
        <v>558</v>
      </c>
      <c r="F793" s="12" t="s">
        <v>559</v>
      </c>
      <c r="G793" s="9" t="s">
        <v>560</v>
      </c>
      <c r="H793" s="34"/>
      <c r="I793" s="55" t="str">
        <f t="shared" si="25"/>
        <v>https://permalinkbnd.bnportugal.gov.pt/viewer/14628/?offset=#page=277&amp;viewer=picture&amp;o=info&amp;n=0&amp;q=</v>
      </c>
      <c r="J793" s="45"/>
      <c r="K793" s="45"/>
      <c r="L793" s="45"/>
      <c r="M793" t="s">
        <v>558</v>
      </c>
      <c r="N793">
        <v>14628</v>
      </c>
      <c r="O793" t="str">
        <f t="shared" si="24"/>
        <v>https://permalinkbnd.bnportugal.gov.pt/viewer/14628/?offset=#page=277&amp;viewer=picture&amp;o=info&amp;n=0&amp;q=</v>
      </c>
      <c r="P793">
        <v>381189</v>
      </c>
      <c r="Q793" t="s">
        <v>558</v>
      </c>
      <c r="R793" t="s">
        <v>3389</v>
      </c>
      <c r="S793" t="s">
        <v>1178</v>
      </c>
      <c r="T793" t="s">
        <v>1192</v>
      </c>
      <c r="U793" t="s">
        <v>599</v>
      </c>
      <c r="V793" t="s">
        <v>3390</v>
      </c>
      <c r="W793" t="s">
        <v>3391</v>
      </c>
      <c r="X793" t="s">
        <v>599</v>
      </c>
      <c r="Y793" t="s">
        <v>1182</v>
      </c>
      <c r="Z793" t="s">
        <v>3392</v>
      </c>
      <c r="AA793">
        <v>1880</v>
      </c>
      <c r="AB793">
        <v>1880</v>
      </c>
      <c r="AC793" t="s">
        <v>3393</v>
      </c>
      <c r="AD793" t="s">
        <v>1185</v>
      </c>
      <c r="AE793" t="s">
        <v>599</v>
      </c>
      <c r="AF793" t="s">
        <v>3394</v>
      </c>
      <c r="AG793" t="s">
        <v>3395</v>
      </c>
      <c r="AH793" t="s">
        <v>599</v>
      </c>
      <c r="AI793" t="s">
        <v>3396</v>
      </c>
      <c r="AJ793" t="s">
        <v>3397</v>
      </c>
      <c r="AK793" t="s">
        <v>599</v>
      </c>
      <c r="AL793" t="s">
        <v>3398</v>
      </c>
      <c r="AM793" t="s">
        <v>1190</v>
      </c>
      <c r="AN793" t="s">
        <v>599</v>
      </c>
      <c r="AO793" t="s">
        <v>599</v>
      </c>
      <c r="AP793" t="s">
        <v>3399</v>
      </c>
      <c r="AQ793" t="s">
        <v>599</v>
      </c>
      <c r="AR793" t="s">
        <v>599</v>
      </c>
      <c r="AS793" t="s">
        <v>599</v>
      </c>
      <c r="AT793" t="s">
        <v>599</v>
      </c>
    </row>
    <row r="794" spans="1:46" ht="210" x14ac:dyDescent="0.25">
      <c r="A794" s="2">
        <v>12249</v>
      </c>
      <c r="B794" s="10">
        <v>381189</v>
      </c>
      <c r="C794" s="10">
        <v>1</v>
      </c>
      <c r="D794" s="9">
        <v>291</v>
      </c>
      <c r="E794" s="11" t="s">
        <v>558</v>
      </c>
      <c r="F794" s="12" t="s">
        <v>559</v>
      </c>
      <c r="G794" s="9" t="s">
        <v>560</v>
      </c>
      <c r="H794" s="34"/>
      <c r="I794" s="55" t="str">
        <f t="shared" si="25"/>
        <v>https://permalinkbnd.bnportugal.gov.pt/viewer/14628/?offset=#page=291&amp;viewer=picture&amp;o=info&amp;n=0&amp;q=</v>
      </c>
      <c r="J794" s="45"/>
      <c r="K794" s="45"/>
      <c r="L794" s="45"/>
      <c r="M794" t="s">
        <v>558</v>
      </c>
      <c r="N794">
        <v>14628</v>
      </c>
      <c r="O794" t="str">
        <f t="shared" si="24"/>
        <v>https://permalinkbnd.bnportugal.gov.pt/viewer/14628/?offset=#page=291&amp;viewer=picture&amp;o=info&amp;n=0&amp;q=</v>
      </c>
      <c r="P794">
        <v>381189</v>
      </c>
      <c r="Q794" t="s">
        <v>558</v>
      </c>
      <c r="R794" t="s">
        <v>3389</v>
      </c>
      <c r="S794" t="s">
        <v>1178</v>
      </c>
      <c r="T794" t="s">
        <v>1192</v>
      </c>
      <c r="U794" t="s">
        <v>599</v>
      </c>
      <c r="V794" t="s">
        <v>3390</v>
      </c>
      <c r="W794" t="s">
        <v>3391</v>
      </c>
      <c r="X794" t="s">
        <v>599</v>
      </c>
      <c r="Y794" t="s">
        <v>1182</v>
      </c>
      <c r="Z794" t="s">
        <v>3392</v>
      </c>
      <c r="AA794">
        <v>1880</v>
      </c>
      <c r="AB794">
        <v>1880</v>
      </c>
      <c r="AC794" t="s">
        <v>3393</v>
      </c>
      <c r="AD794" t="s">
        <v>1185</v>
      </c>
      <c r="AE794" t="s">
        <v>599</v>
      </c>
      <c r="AF794" t="s">
        <v>3394</v>
      </c>
      <c r="AG794" t="s">
        <v>3395</v>
      </c>
      <c r="AH794" t="s">
        <v>599</v>
      </c>
      <c r="AI794" t="s">
        <v>3396</v>
      </c>
      <c r="AJ794" t="s">
        <v>3397</v>
      </c>
      <c r="AK794" t="s">
        <v>599</v>
      </c>
      <c r="AL794" t="s">
        <v>3398</v>
      </c>
      <c r="AM794" t="s">
        <v>1190</v>
      </c>
      <c r="AN794" t="s">
        <v>599</v>
      </c>
      <c r="AO794" t="s">
        <v>599</v>
      </c>
      <c r="AP794" t="s">
        <v>3399</v>
      </c>
      <c r="AQ794" t="s">
        <v>599</v>
      </c>
      <c r="AR794" t="s">
        <v>599</v>
      </c>
      <c r="AS794" t="s">
        <v>599</v>
      </c>
      <c r="AT794" t="s">
        <v>599</v>
      </c>
    </row>
    <row r="795" spans="1:46" ht="210" x14ac:dyDescent="0.25">
      <c r="A795" s="2">
        <v>12250</v>
      </c>
      <c r="B795" s="10">
        <v>381189</v>
      </c>
      <c r="C795" s="10">
        <v>1</v>
      </c>
      <c r="D795" s="9">
        <v>299</v>
      </c>
      <c r="E795" s="11" t="s">
        <v>558</v>
      </c>
      <c r="F795" s="12" t="s">
        <v>559</v>
      </c>
      <c r="G795" s="9" t="s">
        <v>560</v>
      </c>
      <c r="H795" s="34"/>
      <c r="I795" s="55" t="str">
        <f t="shared" si="25"/>
        <v>https://permalinkbnd.bnportugal.gov.pt/viewer/14628/?offset=#page=299&amp;viewer=picture&amp;o=info&amp;n=0&amp;q=</v>
      </c>
      <c r="J795" s="45"/>
      <c r="K795" s="45"/>
      <c r="L795" s="45"/>
      <c r="M795" t="s">
        <v>558</v>
      </c>
      <c r="N795">
        <v>14628</v>
      </c>
      <c r="O795" t="str">
        <f t="shared" si="24"/>
        <v>https://permalinkbnd.bnportugal.gov.pt/viewer/14628/?offset=#page=299&amp;viewer=picture&amp;o=info&amp;n=0&amp;q=</v>
      </c>
      <c r="P795">
        <v>381189</v>
      </c>
      <c r="Q795" t="s">
        <v>558</v>
      </c>
      <c r="R795" t="s">
        <v>3389</v>
      </c>
      <c r="S795" t="s">
        <v>1178</v>
      </c>
      <c r="T795" t="s">
        <v>1192</v>
      </c>
      <c r="U795" t="s">
        <v>599</v>
      </c>
      <c r="V795" t="s">
        <v>3390</v>
      </c>
      <c r="W795" t="s">
        <v>3391</v>
      </c>
      <c r="X795" t="s">
        <v>599</v>
      </c>
      <c r="Y795" t="s">
        <v>1182</v>
      </c>
      <c r="Z795" t="s">
        <v>3392</v>
      </c>
      <c r="AA795">
        <v>1880</v>
      </c>
      <c r="AB795">
        <v>1880</v>
      </c>
      <c r="AC795" t="s">
        <v>3393</v>
      </c>
      <c r="AD795" t="s">
        <v>1185</v>
      </c>
      <c r="AE795" t="s">
        <v>599</v>
      </c>
      <c r="AF795" t="s">
        <v>3394</v>
      </c>
      <c r="AG795" t="s">
        <v>3395</v>
      </c>
      <c r="AH795" t="s">
        <v>599</v>
      </c>
      <c r="AI795" t="s">
        <v>3396</v>
      </c>
      <c r="AJ795" t="s">
        <v>3397</v>
      </c>
      <c r="AK795" t="s">
        <v>599</v>
      </c>
      <c r="AL795" t="s">
        <v>3398</v>
      </c>
      <c r="AM795" t="s">
        <v>1190</v>
      </c>
      <c r="AN795" t="s">
        <v>599</v>
      </c>
      <c r="AO795" t="s">
        <v>599</v>
      </c>
      <c r="AP795" t="s">
        <v>3399</v>
      </c>
      <c r="AQ795" t="s">
        <v>599</v>
      </c>
      <c r="AR795" t="s">
        <v>599</v>
      </c>
      <c r="AS795" t="s">
        <v>599</v>
      </c>
      <c r="AT795" t="s">
        <v>599</v>
      </c>
    </row>
    <row r="796" spans="1:46" ht="210" x14ac:dyDescent="0.25">
      <c r="A796" s="2">
        <v>12251</v>
      </c>
      <c r="B796" s="10">
        <v>381189</v>
      </c>
      <c r="C796" s="10">
        <v>1</v>
      </c>
      <c r="D796" s="9">
        <v>301</v>
      </c>
      <c r="E796" s="11" t="s">
        <v>558</v>
      </c>
      <c r="F796" s="12" t="s">
        <v>559</v>
      </c>
      <c r="G796" s="9" t="s">
        <v>560</v>
      </c>
      <c r="H796" s="34"/>
      <c r="I796" s="55" t="str">
        <f t="shared" si="25"/>
        <v>https://permalinkbnd.bnportugal.gov.pt/viewer/14628/?offset=#page=301&amp;viewer=picture&amp;o=info&amp;n=0&amp;q=</v>
      </c>
      <c r="J796" s="45"/>
      <c r="K796" s="45"/>
      <c r="L796" s="45"/>
      <c r="M796" t="s">
        <v>558</v>
      </c>
      <c r="N796">
        <v>14628</v>
      </c>
      <c r="O796" t="str">
        <f t="shared" si="24"/>
        <v>https://permalinkbnd.bnportugal.gov.pt/viewer/14628/?offset=#page=301&amp;viewer=picture&amp;o=info&amp;n=0&amp;q=</v>
      </c>
      <c r="P796">
        <v>381189</v>
      </c>
      <c r="Q796" t="s">
        <v>558</v>
      </c>
      <c r="R796" t="s">
        <v>3389</v>
      </c>
      <c r="S796" t="s">
        <v>1178</v>
      </c>
      <c r="T796" t="s">
        <v>1192</v>
      </c>
      <c r="U796" t="s">
        <v>599</v>
      </c>
      <c r="V796" t="s">
        <v>3390</v>
      </c>
      <c r="W796" t="s">
        <v>3391</v>
      </c>
      <c r="X796" t="s">
        <v>599</v>
      </c>
      <c r="Y796" t="s">
        <v>1182</v>
      </c>
      <c r="Z796" t="s">
        <v>3392</v>
      </c>
      <c r="AA796">
        <v>1880</v>
      </c>
      <c r="AB796">
        <v>1880</v>
      </c>
      <c r="AC796" t="s">
        <v>3393</v>
      </c>
      <c r="AD796" t="s">
        <v>1185</v>
      </c>
      <c r="AE796" t="s">
        <v>599</v>
      </c>
      <c r="AF796" t="s">
        <v>3394</v>
      </c>
      <c r="AG796" t="s">
        <v>3395</v>
      </c>
      <c r="AH796" t="s">
        <v>599</v>
      </c>
      <c r="AI796" t="s">
        <v>3396</v>
      </c>
      <c r="AJ796" t="s">
        <v>3397</v>
      </c>
      <c r="AK796" t="s">
        <v>599</v>
      </c>
      <c r="AL796" t="s">
        <v>3398</v>
      </c>
      <c r="AM796" t="s">
        <v>1190</v>
      </c>
      <c r="AN796" t="s">
        <v>599</v>
      </c>
      <c r="AO796" t="s">
        <v>599</v>
      </c>
      <c r="AP796" t="s">
        <v>3399</v>
      </c>
      <c r="AQ796" t="s">
        <v>599</v>
      </c>
      <c r="AR796" t="s">
        <v>599</v>
      </c>
      <c r="AS796" t="s">
        <v>599</v>
      </c>
      <c r="AT796" t="s">
        <v>599</v>
      </c>
    </row>
    <row r="797" spans="1:46" ht="210" x14ac:dyDescent="0.25">
      <c r="A797" s="2">
        <v>12252</v>
      </c>
      <c r="B797" s="10">
        <v>381189</v>
      </c>
      <c r="C797" s="10">
        <v>1</v>
      </c>
      <c r="D797" s="9">
        <v>311</v>
      </c>
      <c r="E797" s="11" t="s">
        <v>558</v>
      </c>
      <c r="F797" s="12" t="s">
        <v>559</v>
      </c>
      <c r="G797" s="9" t="s">
        <v>560</v>
      </c>
      <c r="H797" s="34"/>
      <c r="I797" s="55" t="str">
        <f t="shared" si="25"/>
        <v>https://permalinkbnd.bnportugal.gov.pt/viewer/14628/?offset=#page=311&amp;viewer=picture&amp;o=info&amp;n=0&amp;q=</v>
      </c>
      <c r="J797" s="45"/>
      <c r="K797" s="45"/>
      <c r="L797" s="45"/>
      <c r="M797" t="s">
        <v>558</v>
      </c>
      <c r="N797">
        <v>14628</v>
      </c>
      <c r="O797" t="str">
        <f t="shared" si="24"/>
        <v>https://permalinkbnd.bnportugal.gov.pt/viewer/14628/?offset=#page=311&amp;viewer=picture&amp;o=info&amp;n=0&amp;q=</v>
      </c>
      <c r="P797">
        <v>381189</v>
      </c>
      <c r="Q797" t="s">
        <v>558</v>
      </c>
      <c r="R797" t="s">
        <v>3389</v>
      </c>
      <c r="S797" t="s">
        <v>1178</v>
      </c>
      <c r="T797" t="s">
        <v>1192</v>
      </c>
      <c r="U797" t="s">
        <v>599</v>
      </c>
      <c r="V797" t="s">
        <v>3390</v>
      </c>
      <c r="W797" t="s">
        <v>3391</v>
      </c>
      <c r="X797" t="s">
        <v>599</v>
      </c>
      <c r="Y797" t="s">
        <v>1182</v>
      </c>
      <c r="Z797" t="s">
        <v>3392</v>
      </c>
      <c r="AA797">
        <v>1880</v>
      </c>
      <c r="AB797">
        <v>1880</v>
      </c>
      <c r="AC797" t="s">
        <v>3393</v>
      </c>
      <c r="AD797" t="s">
        <v>1185</v>
      </c>
      <c r="AE797" t="s">
        <v>599</v>
      </c>
      <c r="AF797" t="s">
        <v>3394</v>
      </c>
      <c r="AG797" t="s">
        <v>3395</v>
      </c>
      <c r="AH797" t="s">
        <v>599</v>
      </c>
      <c r="AI797" t="s">
        <v>3396</v>
      </c>
      <c r="AJ797" t="s">
        <v>3397</v>
      </c>
      <c r="AK797" t="s">
        <v>599</v>
      </c>
      <c r="AL797" t="s">
        <v>3398</v>
      </c>
      <c r="AM797" t="s">
        <v>1190</v>
      </c>
      <c r="AN797" t="s">
        <v>599</v>
      </c>
      <c r="AO797" t="s">
        <v>599</v>
      </c>
      <c r="AP797" t="s">
        <v>3399</v>
      </c>
      <c r="AQ797" t="s">
        <v>599</v>
      </c>
      <c r="AR797" t="s">
        <v>599</v>
      </c>
      <c r="AS797" t="s">
        <v>599</v>
      </c>
      <c r="AT797" t="s">
        <v>599</v>
      </c>
    </row>
    <row r="798" spans="1:46" ht="210" x14ac:dyDescent="0.25">
      <c r="A798" s="2">
        <v>12253</v>
      </c>
      <c r="B798" s="10">
        <v>381189</v>
      </c>
      <c r="C798" s="10">
        <v>1</v>
      </c>
      <c r="D798" s="9">
        <v>334</v>
      </c>
      <c r="E798" s="11" t="s">
        <v>558</v>
      </c>
      <c r="F798" s="12" t="s">
        <v>559</v>
      </c>
      <c r="G798" s="9" t="s">
        <v>560</v>
      </c>
      <c r="H798" s="34"/>
      <c r="I798" s="55" t="str">
        <f t="shared" si="25"/>
        <v>https://permalinkbnd.bnportugal.gov.pt/viewer/14628/?offset=#page=334&amp;viewer=picture&amp;o=info&amp;n=0&amp;q=</v>
      </c>
      <c r="J798" s="45"/>
      <c r="K798" s="45"/>
      <c r="L798" s="45"/>
      <c r="M798" t="s">
        <v>558</v>
      </c>
      <c r="N798">
        <v>14628</v>
      </c>
      <c r="O798" t="str">
        <f t="shared" si="24"/>
        <v>https://permalinkbnd.bnportugal.gov.pt/viewer/14628/?offset=#page=334&amp;viewer=picture&amp;o=info&amp;n=0&amp;q=</v>
      </c>
      <c r="P798">
        <v>381189</v>
      </c>
      <c r="Q798" t="s">
        <v>558</v>
      </c>
      <c r="R798" t="s">
        <v>3389</v>
      </c>
      <c r="S798" t="s">
        <v>1178</v>
      </c>
      <c r="T798" t="s">
        <v>1192</v>
      </c>
      <c r="U798" t="s">
        <v>599</v>
      </c>
      <c r="V798" t="s">
        <v>3390</v>
      </c>
      <c r="W798" t="s">
        <v>3391</v>
      </c>
      <c r="X798" t="s">
        <v>599</v>
      </c>
      <c r="Y798" t="s">
        <v>1182</v>
      </c>
      <c r="Z798" t="s">
        <v>3392</v>
      </c>
      <c r="AA798">
        <v>1880</v>
      </c>
      <c r="AB798">
        <v>1880</v>
      </c>
      <c r="AC798" t="s">
        <v>3393</v>
      </c>
      <c r="AD798" t="s">
        <v>1185</v>
      </c>
      <c r="AE798" t="s">
        <v>599</v>
      </c>
      <c r="AF798" t="s">
        <v>3394</v>
      </c>
      <c r="AG798" t="s">
        <v>3395</v>
      </c>
      <c r="AH798" t="s">
        <v>599</v>
      </c>
      <c r="AI798" t="s">
        <v>3396</v>
      </c>
      <c r="AJ798" t="s">
        <v>3397</v>
      </c>
      <c r="AK798" t="s">
        <v>599</v>
      </c>
      <c r="AL798" t="s">
        <v>3398</v>
      </c>
      <c r="AM798" t="s">
        <v>1190</v>
      </c>
      <c r="AN798" t="s">
        <v>599</v>
      </c>
      <c r="AO798" t="s">
        <v>599</v>
      </c>
      <c r="AP798" t="s">
        <v>3399</v>
      </c>
      <c r="AQ798" t="s">
        <v>599</v>
      </c>
      <c r="AR798" t="s">
        <v>599</v>
      </c>
      <c r="AS798" t="s">
        <v>599</v>
      </c>
      <c r="AT798" t="s">
        <v>599</v>
      </c>
    </row>
    <row r="799" spans="1:46" ht="210" x14ac:dyDescent="0.25">
      <c r="A799" s="2">
        <v>12254</v>
      </c>
      <c r="B799" s="10">
        <v>381189</v>
      </c>
      <c r="C799" s="10">
        <v>1</v>
      </c>
      <c r="D799" s="9">
        <v>340</v>
      </c>
      <c r="E799" s="11" t="s">
        <v>558</v>
      </c>
      <c r="F799" s="12" t="s">
        <v>559</v>
      </c>
      <c r="G799" s="9" t="s">
        <v>560</v>
      </c>
      <c r="H799" s="34"/>
      <c r="I799" s="55" t="str">
        <f t="shared" si="25"/>
        <v>https://permalinkbnd.bnportugal.gov.pt/viewer/14628/?offset=#page=340&amp;viewer=picture&amp;o=info&amp;n=0&amp;q=</v>
      </c>
      <c r="J799" s="45"/>
      <c r="K799" s="45"/>
      <c r="L799" s="45"/>
      <c r="M799" t="s">
        <v>558</v>
      </c>
      <c r="N799">
        <v>14628</v>
      </c>
      <c r="O799" t="str">
        <f t="shared" si="24"/>
        <v>https://permalinkbnd.bnportugal.gov.pt/viewer/14628/?offset=#page=340&amp;viewer=picture&amp;o=info&amp;n=0&amp;q=</v>
      </c>
      <c r="P799">
        <v>381189</v>
      </c>
      <c r="Q799" t="s">
        <v>558</v>
      </c>
      <c r="R799" t="s">
        <v>3389</v>
      </c>
      <c r="S799" t="s">
        <v>1178</v>
      </c>
      <c r="T799" t="s">
        <v>1192</v>
      </c>
      <c r="U799" t="s">
        <v>599</v>
      </c>
      <c r="V799" t="s">
        <v>3390</v>
      </c>
      <c r="W799" t="s">
        <v>3391</v>
      </c>
      <c r="X799" t="s">
        <v>599</v>
      </c>
      <c r="Y799" t="s">
        <v>1182</v>
      </c>
      <c r="Z799" t="s">
        <v>3392</v>
      </c>
      <c r="AA799">
        <v>1880</v>
      </c>
      <c r="AB799">
        <v>1880</v>
      </c>
      <c r="AC799" t="s">
        <v>3393</v>
      </c>
      <c r="AD799" t="s">
        <v>1185</v>
      </c>
      <c r="AE799" t="s">
        <v>599</v>
      </c>
      <c r="AF799" t="s">
        <v>3394</v>
      </c>
      <c r="AG799" t="s">
        <v>3395</v>
      </c>
      <c r="AH799" t="s">
        <v>599</v>
      </c>
      <c r="AI799" t="s">
        <v>3396</v>
      </c>
      <c r="AJ799" t="s">
        <v>3397</v>
      </c>
      <c r="AK799" t="s">
        <v>599</v>
      </c>
      <c r="AL799" t="s">
        <v>3398</v>
      </c>
      <c r="AM799" t="s">
        <v>1190</v>
      </c>
      <c r="AN799" t="s">
        <v>599</v>
      </c>
      <c r="AO799" t="s">
        <v>599</v>
      </c>
      <c r="AP799" t="s">
        <v>3399</v>
      </c>
      <c r="AQ799" t="s">
        <v>599</v>
      </c>
      <c r="AR799" t="s">
        <v>599</v>
      </c>
      <c r="AS799" t="s">
        <v>599</v>
      </c>
      <c r="AT799" t="s">
        <v>599</v>
      </c>
    </row>
    <row r="800" spans="1:46" ht="210" x14ac:dyDescent="0.25">
      <c r="A800" s="2">
        <v>12255</v>
      </c>
      <c r="B800" s="10">
        <v>381189</v>
      </c>
      <c r="C800" s="10">
        <v>1</v>
      </c>
      <c r="D800" s="9">
        <v>342</v>
      </c>
      <c r="E800" s="11" t="s">
        <v>558</v>
      </c>
      <c r="F800" s="12" t="s">
        <v>559</v>
      </c>
      <c r="G800" s="9" t="s">
        <v>560</v>
      </c>
      <c r="H800" s="34"/>
      <c r="I800" s="55" t="str">
        <f t="shared" si="25"/>
        <v>https://permalinkbnd.bnportugal.gov.pt/viewer/14628/?offset=#page=342&amp;viewer=picture&amp;o=info&amp;n=0&amp;q=</v>
      </c>
      <c r="J800" s="45"/>
      <c r="K800" s="45"/>
      <c r="L800" s="45"/>
      <c r="M800" t="s">
        <v>558</v>
      </c>
      <c r="N800">
        <v>14628</v>
      </c>
      <c r="O800" t="str">
        <f t="shared" si="24"/>
        <v>https://permalinkbnd.bnportugal.gov.pt/viewer/14628/?offset=#page=342&amp;viewer=picture&amp;o=info&amp;n=0&amp;q=</v>
      </c>
      <c r="P800">
        <v>381189</v>
      </c>
      <c r="Q800" t="s">
        <v>558</v>
      </c>
      <c r="R800" t="s">
        <v>3389</v>
      </c>
      <c r="S800" t="s">
        <v>1178</v>
      </c>
      <c r="T800" t="s">
        <v>1192</v>
      </c>
      <c r="U800" t="s">
        <v>599</v>
      </c>
      <c r="V800" t="s">
        <v>3390</v>
      </c>
      <c r="W800" t="s">
        <v>3391</v>
      </c>
      <c r="X800" t="s">
        <v>599</v>
      </c>
      <c r="Y800" t="s">
        <v>1182</v>
      </c>
      <c r="Z800" t="s">
        <v>3392</v>
      </c>
      <c r="AA800">
        <v>1880</v>
      </c>
      <c r="AB800">
        <v>1880</v>
      </c>
      <c r="AC800" t="s">
        <v>3393</v>
      </c>
      <c r="AD800" t="s">
        <v>1185</v>
      </c>
      <c r="AE800" t="s">
        <v>599</v>
      </c>
      <c r="AF800" t="s">
        <v>3394</v>
      </c>
      <c r="AG800" t="s">
        <v>3395</v>
      </c>
      <c r="AH800" t="s">
        <v>599</v>
      </c>
      <c r="AI800" t="s">
        <v>3396</v>
      </c>
      <c r="AJ800" t="s">
        <v>3397</v>
      </c>
      <c r="AK800" t="s">
        <v>599</v>
      </c>
      <c r="AL800" t="s">
        <v>3398</v>
      </c>
      <c r="AM800" t="s">
        <v>1190</v>
      </c>
      <c r="AN800" t="s">
        <v>599</v>
      </c>
      <c r="AO800" t="s">
        <v>599</v>
      </c>
      <c r="AP800" t="s">
        <v>3399</v>
      </c>
      <c r="AQ800" t="s">
        <v>599</v>
      </c>
      <c r="AR800" t="s">
        <v>599</v>
      </c>
      <c r="AS800" t="s">
        <v>599</v>
      </c>
      <c r="AT800" t="s">
        <v>599</v>
      </c>
    </row>
    <row r="801" spans="1:46" ht="210" x14ac:dyDescent="0.25">
      <c r="A801" s="2">
        <v>12256</v>
      </c>
      <c r="B801" s="10">
        <v>381189</v>
      </c>
      <c r="C801" s="10">
        <v>1</v>
      </c>
      <c r="D801" s="9">
        <v>357</v>
      </c>
      <c r="E801" s="11" t="s">
        <v>558</v>
      </c>
      <c r="F801" s="12" t="s">
        <v>559</v>
      </c>
      <c r="G801" s="9" t="s">
        <v>560</v>
      </c>
      <c r="H801" s="34"/>
      <c r="I801" s="55" t="str">
        <f t="shared" si="25"/>
        <v>https://permalinkbnd.bnportugal.gov.pt/viewer/14628/?offset=#page=357&amp;viewer=picture&amp;o=info&amp;n=0&amp;q=</v>
      </c>
      <c r="J801" s="45"/>
      <c r="K801" s="45"/>
      <c r="L801" s="45"/>
      <c r="M801" t="s">
        <v>558</v>
      </c>
      <c r="N801">
        <v>14628</v>
      </c>
      <c r="O801" t="str">
        <f t="shared" si="24"/>
        <v>https://permalinkbnd.bnportugal.gov.pt/viewer/14628/?offset=#page=357&amp;viewer=picture&amp;o=info&amp;n=0&amp;q=</v>
      </c>
      <c r="P801">
        <v>381189</v>
      </c>
      <c r="Q801" t="s">
        <v>558</v>
      </c>
      <c r="R801" t="s">
        <v>3389</v>
      </c>
      <c r="S801" t="s">
        <v>1178</v>
      </c>
      <c r="T801" t="s">
        <v>1192</v>
      </c>
      <c r="U801" t="s">
        <v>599</v>
      </c>
      <c r="V801" t="s">
        <v>3390</v>
      </c>
      <c r="W801" t="s">
        <v>3391</v>
      </c>
      <c r="X801" t="s">
        <v>599</v>
      </c>
      <c r="Y801" t="s">
        <v>1182</v>
      </c>
      <c r="Z801" t="s">
        <v>3392</v>
      </c>
      <c r="AA801">
        <v>1880</v>
      </c>
      <c r="AB801">
        <v>1880</v>
      </c>
      <c r="AC801" t="s">
        <v>3393</v>
      </c>
      <c r="AD801" t="s">
        <v>1185</v>
      </c>
      <c r="AE801" t="s">
        <v>599</v>
      </c>
      <c r="AF801" t="s">
        <v>3394</v>
      </c>
      <c r="AG801" t="s">
        <v>3395</v>
      </c>
      <c r="AH801" t="s">
        <v>599</v>
      </c>
      <c r="AI801" t="s">
        <v>3396</v>
      </c>
      <c r="AJ801" t="s">
        <v>3397</v>
      </c>
      <c r="AK801" t="s">
        <v>599</v>
      </c>
      <c r="AL801" t="s">
        <v>3398</v>
      </c>
      <c r="AM801" t="s">
        <v>1190</v>
      </c>
      <c r="AN801" t="s">
        <v>599</v>
      </c>
      <c r="AO801" t="s">
        <v>599</v>
      </c>
      <c r="AP801" t="s">
        <v>3399</v>
      </c>
      <c r="AQ801" t="s">
        <v>599</v>
      </c>
      <c r="AR801" t="s">
        <v>599</v>
      </c>
      <c r="AS801" t="s">
        <v>599</v>
      </c>
      <c r="AT801" t="s">
        <v>599</v>
      </c>
    </row>
    <row r="802" spans="1:46" ht="210" x14ac:dyDescent="0.25">
      <c r="A802" s="2">
        <v>12257</v>
      </c>
      <c r="B802" s="10">
        <v>381189</v>
      </c>
      <c r="C802" s="10">
        <v>1</v>
      </c>
      <c r="D802" s="9">
        <v>371</v>
      </c>
      <c r="E802" s="11" t="s">
        <v>558</v>
      </c>
      <c r="F802" s="12" t="s">
        <v>559</v>
      </c>
      <c r="G802" s="9" t="s">
        <v>560</v>
      </c>
      <c r="H802" s="34"/>
      <c r="I802" s="55" t="str">
        <f t="shared" si="25"/>
        <v>https://permalinkbnd.bnportugal.gov.pt/viewer/14628/?offset=#page=371&amp;viewer=picture&amp;o=info&amp;n=0&amp;q=</v>
      </c>
      <c r="J802" s="45"/>
      <c r="K802" s="45"/>
      <c r="L802" s="45"/>
      <c r="M802" t="s">
        <v>558</v>
      </c>
      <c r="N802">
        <v>14628</v>
      </c>
      <c r="O802" t="str">
        <f t="shared" si="24"/>
        <v>https://permalinkbnd.bnportugal.gov.pt/viewer/14628/?offset=#page=371&amp;viewer=picture&amp;o=info&amp;n=0&amp;q=</v>
      </c>
      <c r="P802">
        <v>381189</v>
      </c>
      <c r="Q802" t="s">
        <v>558</v>
      </c>
      <c r="R802" t="s">
        <v>3389</v>
      </c>
      <c r="S802" t="s">
        <v>1178</v>
      </c>
      <c r="T802" t="s">
        <v>1192</v>
      </c>
      <c r="U802" t="s">
        <v>599</v>
      </c>
      <c r="V802" t="s">
        <v>3390</v>
      </c>
      <c r="W802" t="s">
        <v>3391</v>
      </c>
      <c r="X802" t="s">
        <v>599</v>
      </c>
      <c r="Y802" t="s">
        <v>1182</v>
      </c>
      <c r="Z802" t="s">
        <v>3392</v>
      </c>
      <c r="AA802">
        <v>1880</v>
      </c>
      <c r="AB802">
        <v>1880</v>
      </c>
      <c r="AC802" t="s">
        <v>3393</v>
      </c>
      <c r="AD802" t="s">
        <v>1185</v>
      </c>
      <c r="AE802" t="s">
        <v>599</v>
      </c>
      <c r="AF802" t="s">
        <v>3394</v>
      </c>
      <c r="AG802" t="s">
        <v>3395</v>
      </c>
      <c r="AH802" t="s">
        <v>599</v>
      </c>
      <c r="AI802" t="s">
        <v>3396</v>
      </c>
      <c r="AJ802" t="s">
        <v>3397</v>
      </c>
      <c r="AK802" t="s">
        <v>599</v>
      </c>
      <c r="AL802" t="s">
        <v>3398</v>
      </c>
      <c r="AM802" t="s">
        <v>1190</v>
      </c>
      <c r="AN802" t="s">
        <v>599</v>
      </c>
      <c r="AO802" t="s">
        <v>599</v>
      </c>
      <c r="AP802" t="s">
        <v>3399</v>
      </c>
      <c r="AQ802" t="s">
        <v>599</v>
      </c>
      <c r="AR802" t="s">
        <v>599</v>
      </c>
      <c r="AS802" t="s">
        <v>599</v>
      </c>
      <c r="AT802" t="s">
        <v>599</v>
      </c>
    </row>
    <row r="803" spans="1:46" ht="210" x14ac:dyDescent="0.25">
      <c r="A803" s="2">
        <v>12258</v>
      </c>
      <c r="B803" s="10">
        <v>381189</v>
      </c>
      <c r="C803" s="10">
        <v>1</v>
      </c>
      <c r="D803" s="9">
        <v>377</v>
      </c>
      <c r="E803" s="11" t="s">
        <v>558</v>
      </c>
      <c r="F803" s="12" t="s">
        <v>559</v>
      </c>
      <c r="G803" s="9" t="s">
        <v>560</v>
      </c>
      <c r="H803" s="34"/>
      <c r="I803" s="55" t="str">
        <f t="shared" si="25"/>
        <v>https://permalinkbnd.bnportugal.gov.pt/viewer/14628/?offset=#page=377&amp;viewer=picture&amp;o=info&amp;n=0&amp;q=</v>
      </c>
      <c r="J803" s="45"/>
      <c r="K803" s="45"/>
      <c r="L803" s="45"/>
      <c r="M803" t="s">
        <v>558</v>
      </c>
      <c r="N803">
        <v>14628</v>
      </c>
      <c r="O803" t="str">
        <f t="shared" si="24"/>
        <v>https://permalinkbnd.bnportugal.gov.pt/viewer/14628/?offset=#page=377&amp;viewer=picture&amp;o=info&amp;n=0&amp;q=</v>
      </c>
      <c r="P803">
        <v>381189</v>
      </c>
      <c r="Q803" t="s">
        <v>558</v>
      </c>
      <c r="R803" t="s">
        <v>3389</v>
      </c>
      <c r="S803" t="s">
        <v>1178</v>
      </c>
      <c r="T803" t="s">
        <v>1192</v>
      </c>
      <c r="U803" t="s">
        <v>599</v>
      </c>
      <c r="V803" t="s">
        <v>3390</v>
      </c>
      <c r="W803" t="s">
        <v>3391</v>
      </c>
      <c r="X803" t="s">
        <v>599</v>
      </c>
      <c r="Y803" t="s">
        <v>1182</v>
      </c>
      <c r="Z803" t="s">
        <v>3392</v>
      </c>
      <c r="AA803">
        <v>1880</v>
      </c>
      <c r="AB803">
        <v>1880</v>
      </c>
      <c r="AC803" t="s">
        <v>3393</v>
      </c>
      <c r="AD803" t="s">
        <v>1185</v>
      </c>
      <c r="AE803" t="s">
        <v>599</v>
      </c>
      <c r="AF803" t="s">
        <v>3394</v>
      </c>
      <c r="AG803" t="s">
        <v>3395</v>
      </c>
      <c r="AH803" t="s">
        <v>599</v>
      </c>
      <c r="AI803" t="s">
        <v>3396</v>
      </c>
      <c r="AJ803" t="s">
        <v>3397</v>
      </c>
      <c r="AK803" t="s">
        <v>599</v>
      </c>
      <c r="AL803" t="s">
        <v>3398</v>
      </c>
      <c r="AM803" t="s">
        <v>1190</v>
      </c>
      <c r="AN803" t="s">
        <v>599</v>
      </c>
      <c r="AO803" t="s">
        <v>599</v>
      </c>
      <c r="AP803" t="s">
        <v>3399</v>
      </c>
      <c r="AQ803" t="s">
        <v>599</v>
      </c>
      <c r="AR803" t="s">
        <v>599</v>
      </c>
      <c r="AS803" t="s">
        <v>599</v>
      </c>
      <c r="AT803" t="s">
        <v>599</v>
      </c>
    </row>
    <row r="804" spans="1:46" ht="210" x14ac:dyDescent="0.25">
      <c r="A804" s="2">
        <v>12259</v>
      </c>
      <c r="B804" s="10">
        <v>381189</v>
      </c>
      <c r="C804" s="10">
        <v>1</v>
      </c>
      <c r="D804" s="9">
        <v>379</v>
      </c>
      <c r="E804" s="11" t="s">
        <v>558</v>
      </c>
      <c r="F804" s="12" t="s">
        <v>559</v>
      </c>
      <c r="G804" s="9" t="s">
        <v>560</v>
      </c>
      <c r="H804" s="34"/>
      <c r="I804" s="55" t="str">
        <f t="shared" si="25"/>
        <v>https://permalinkbnd.bnportugal.gov.pt/viewer/14628/?offset=#page=379&amp;viewer=picture&amp;o=info&amp;n=0&amp;q=</v>
      </c>
      <c r="J804" s="45"/>
      <c r="K804" s="45"/>
      <c r="L804" s="45"/>
      <c r="M804" t="s">
        <v>558</v>
      </c>
      <c r="N804">
        <v>14628</v>
      </c>
      <c r="O804" t="str">
        <f t="shared" si="24"/>
        <v>https://permalinkbnd.bnportugal.gov.pt/viewer/14628/?offset=#page=379&amp;viewer=picture&amp;o=info&amp;n=0&amp;q=</v>
      </c>
      <c r="P804">
        <v>381189</v>
      </c>
      <c r="Q804" t="s">
        <v>558</v>
      </c>
      <c r="R804" t="s">
        <v>3389</v>
      </c>
      <c r="S804" t="s">
        <v>1178</v>
      </c>
      <c r="T804" t="s">
        <v>1192</v>
      </c>
      <c r="U804" t="s">
        <v>599</v>
      </c>
      <c r="V804" t="s">
        <v>3390</v>
      </c>
      <c r="W804" t="s">
        <v>3391</v>
      </c>
      <c r="X804" t="s">
        <v>599</v>
      </c>
      <c r="Y804" t="s">
        <v>1182</v>
      </c>
      <c r="Z804" t="s">
        <v>3392</v>
      </c>
      <c r="AA804">
        <v>1880</v>
      </c>
      <c r="AB804">
        <v>1880</v>
      </c>
      <c r="AC804" t="s">
        <v>3393</v>
      </c>
      <c r="AD804" t="s">
        <v>1185</v>
      </c>
      <c r="AE804" t="s">
        <v>599</v>
      </c>
      <c r="AF804" t="s">
        <v>3394</v>
      </c>
      <c r="AG804" t="s">
        <v>3395</v>
      </c>
      <c r="AH804" t="s">
        <v>599</v>
      </c>
      <c r="AI804" t="s">
        <v>3396</v>
      </c>
      <c r="AJ804" t="s">
        <v>3397</v>
      </c>
      <c r="AK804" t="s">
        <v>599</v>
      </c>
      <c r="AL804" t="s">
        <v>3398</v>
      </c>
      <c r="AM804" t="s">
        <v>1190</v>
      </c>
      <c r="AN804" t="s">
        <v>599</v>
      </c>
      <c r="AO804" t="s">
        <v>599</v>
      </c>
      <c r="AP804" t="s">
        <v>3399</v>
      </c>
      <c r="AQ804" t="s">
        <v>599</v>
      </c>
      <c r="AR804" t="s">
        <v>599</v>
      </c>
      <c r="AS804" t="s">
        <v>599</v>
      </c>
      <c r="AT804" t="s">
        <v>599</v>
      </c>
    </row>
    <row r="805" spans="1:46" ht="210" x14ac:dyDescent="0.25">
      <c r="A805" s="2">
        <v>12260</v>
      </c>
      <c r="B805" s="10">
        <v>381189</v>
      </c>
      <c r="C805" s="10">
        <v>1</v>
      </c>
      <c r="D805" s="9">
        <v>381</v>
      </c>
      <c r="E805" s="11" t="s">
        <v>558</v>
      </c>
      <c r="F805" s="12" t="s">
        <v>559</v>
      </c>
      <c r="G805" s="9" t="s">
        <v>560</v>
      </c>
      <c r="H805" s="34"/>
      <c r="I805" s="55" t="str">
        <f t="shared" si="25"/>
        <v>https://permalinkbnd.bnportugal.gov.pt/viewer/14628/?offset=#page=381&amp;viewer=picture&amp;o=info&amp;n=0&amp;q=</v>
      </c>
      <c r="J805" s="45"/>
      <c r="K805" s="45"/>
      <c r="L805" s="45"/>
      <c r="M805" t="s">
        <v>558</v>
      </c>
      <c r="N805">
        <v>14628</v>
      </c>
      <c r="O805" t="str">
        <f t="shared" si="24"/>
        <v>https://permalinkbnd.bnportugal.gov.pt/viewer/14628/?offset=#page=381&amp;viewer=picture&amp;o=info&amp;n=0&amp;q=</v>
      </c>
      <c r="P805">
        <v>381189</v>
      </c>
      <c r="Q805" t="s">
        <v>558</v>
      </c>
      <c r="R805" t="s">
        <v>3389</v>
      </c>
      <c r="S805" t="s">
        <v>1178</v>
      </c>
      <c r="T805" t="s">
        <v>1192</v>
      </c>
      <c r="U805" t="s">
        <v>599</v>
      </c>
      <c r="V805" t="s">
        <v>3390</v>
      </c>
      <c r="W805" t="s">
        <v>3391</v>
      </c>
      <c r="X805" t="s">
        <v>599</v>
      </c>
      <c r="Y805" t="s">
        <v>1182</v>
      </c>
      <c r="Z805" t="s">
        <v>3392</v>
      </c>
      <c r="AA805">
        <v>1880</v>
      </c>
      <c r="AB805">
        <v>1880</v>
      </c>
      <c r="AC805" t="s">
        <v>3393</v>
      </c>
      <c r="AD805" t="s">
        <v>1185</v>
      </c>
      <c r="AE805" t="s">
        <v>599</v>
      </c>
      <c r="AF805" t="s">
        <v>3394</v>
      </c>
      <c r="AG805" t="s">
        <v>3395</v>
      </c>
      <c r="AH805" t="s">
        <v>599</v>
      </c>
      <c r="AI805" t="s">
        <v>3396</v>
      </c>
      <c r="AJ805" t="s">
        <v>3397</v>
      </c>
      <c r="AK805" t="s">
        <v>599</v>
      </c>
      <c r="AL805" t="s">
        <v>3398</v>
      </c>
      <c r="AM805" t="s">
        <v>1190</v>
      </c>
      <c r="AN805" t="s">
        <v>599</v>
      </c>
      <c r="AO805" t="s">
        <v>599</v>
      </c>
      <c r="AP805" t="s">
        <v>3399</v>
      </c>
      <c r="AQ805" t="s">
        <v>599</v>
      </c>
      <c r="AR805" t="s">
        <v>599</v>
      </c>
      <c r="AS805" t="s">
        <v>599</v>
      </c>
      <c r="AT805" t="s">
        <v>599</v>
      </c>
    </row>
    <row r="806" spans="1:46" ht="210" x14ac:dyDescent="0.25">
      <c r="A806" s="2">
        <v>12261</v>
      </c>
      <c r="B806" s="10">
        <v>381189</v>
      </c>
      <c r="C806" s="10">
        <v>1</v>
      </c>
      <c r="D806" s="9">
        <v>402</v>
      </c>
      <c r="E806" s="11" t="s">
        <v>558</v>
      </c>
      <c r="F806" s="12" t="s">
        <v>559</v>
      </c>
      <c r="G806" s="9" t="s">
        <v>560</v>
      </c>
      <c r="H806" s="34"/>
      <c r="I806" s="55" t="str">
        <f t="shared" si="25"/>
        <v>https://permalinkbnd.bnportugal.gov.pt/viewer/14628/?offset=#page=402&amp;viewer=picture&amp;o=info&amp;n=0&amp;q=</v>
      </c>
      <c r="J806" s="45"/>
      <c r="K806" s="45"/>
      <c r="L806" s="45"/>
      <c r="M806" t="s">
        <v>558</v>
      </c>
      <c r="N806">
        <v>14628</v>
      </c>
      <c r="O806" t="str">
        <f t="shared" si="24"/>
        <v>https://permalinkbnd.bnportugal.gov.pt/viewer/14628/?offset=#page=402&amp;viewer=picture&amp;o=info&amp;n=0&amp;q=</v>
      </c>
      <c r="P806">
        <v>381189</v>
      </c>
      <c r="Q806" t="s">
        <v>558</v>
      </c>
      <c r="R806" t="s">
        <v>3389</v>
      </c>
      <c r="S806" t="s">
        <v>1178</v>
      </c>
      <c r="T806" t="s">
        <v>1192</v>
      </c>
      <c r="U806" t="s">
        <v>599</v>
      </c>
      <c r="V806" t="s">
        <v>3390</v>
      </c>
      <c r="W806" t="s">
        <v>3391</v>
      </c>
      <c r="X806" t="s">
        <v>599</v>
      </c>
      <c r="Y806" t="s">
        <v>1182</v>
      </c>
      <c r="Z806" t="s">
        <v>3392</v>
      </c>
      <c r="AA806">
        <v>1880</v>
      </c>
      <c r="AB806">
        <v>1880</v>
      </c>
      <c r="AC806" t="s">
        <v>3393</v>
      </c>
      <c r="AD806" t="s">
        <v>1185</v>
      </c>
      <c r="AE806" t="s">
        <v>599</v>
      </c>
      <c r="AF806" t="s">
        <v>3394</v>
      </c>
      <c r="AG806" t="s">
        <v>3395</v>
      </c>
      <c r="AH806" t="s">
        <v>599</v>
      </c>
      <c r="AI806" t="s">
        <v>3396</v>
      </c>
      <c r="AJ806" t="s">
        <v>3397</v>
      </c>
      <c r="AK806" t="s">
        <v>599</v>
      </c>
      <c r="AL806" t="s">
        <v>3398</v>
      </c>
      <c r="AM806" t="s">
        <v>1190</v>
      </c>
      <c r="AN806" t="s">
        <v>599</v>
      </c>
      <c r="AO806" t="s">
        <v>599</v>
      </c>
      <c r="AP806" t="s">
        <v>3399</v>
      </c>
      <c r="AQ806" t="s">
        <v>599</v>
      </c>
      <c r="AR806" t="s">
        <v>599</v>
      </c>
      <c r="AS806" t="s">
        <v>599</v>
      </c>
      <c r="AT806" t="s">
        <v>599</v>
      </c>
    </row>
    <row r="807" spans="1:46" ht="210" x14ac:dyDescent="0.25">
      <c r="A807" s="2">
        <v>12262</v>
      </c>
      <c r="B807" s="10">
        <v>381189</v>
      </c>
      <c r="C807" s="10">
        <v>1</v>
      </c>
      <c r="D807" s="9">
        <v>418</v>
      </c>
      <c r="E807" s="11" t="s">
        <v>558</v>
      </c>
      <c r="F807" s="12" t="s">
        <v>559</v>
      </c>
      <c r="G807" s="9" t="s">
        <v>560</v>
      </c>
      <c r="H807" s="34"/>
      <c r="I807" s="55" t="str">
        <f t="shared" si="25"/>
        <v>https://permalinkbnd.bnportugal.gov.pt/viewer/14628/?offset=#page=418&amp;viewer=picture&amp;o=info&amp;n=0&amp;q=</v>
      </c>
      <c r="J807" s="45"/>
      <c r="K807" s="45"/>
      <c r="L807" s="45"/>
      <c r="M807" t="s">
        <v>558</v>
      </c>
      <c r="N807">
        <v>14628</v>
      </c>
      <c r="O807" t="str">
        <f t="shared" si="24"/>
        <v>https://permalinkbnd.bnportugal.gov.pt/viewer/14628/?offset=#page=418&amp;viewer=picture&amp;o=info&amp;n=0&amp;q=</v>
      </c>
      <c r="P807">
        <v>381189</v>
      </c>
      <c r="Q807" t="s">
        <v>558</v>
      </c>
      <c r="R807" t="s">
        <v>3389</v>
      </c>
      <c r="S807" t="s">
        <v>1178</v>
      </c>
      <c r="T807" t="s">
        <v>1192</v>
      </c>
      <c r="U807" t="s">
        <v>599</v>
      </c>
      <c r="V807" t="s">
        <v>3390</v>
      </c>
      <c r="W807" t="s">
        <v>3391</v>
      </c>
      <c r="X807" t="s">
        <v>599</v>
      </c>
      <c r="Y807" t="s">
        <v>1182</v>
      </c>
      <c r="Z807" t="s">
        <v>3392</v>
      </c>
      <c r="AA807">
        <v>1880</v>
      </c>
      <c r="AB807">
        <v>1880</v>
      </c>
      <c r="AC807" t="s">
        <v>3393</v>
      </c>
      <c r="AD807" t="s">
        <v>1185</v>
      </c>
      <c r="AE807" t="s">
        <v>599</v>
      </c>
      <c r="AF807" t="s">
        <v>3394</v>
      </c>
      <c r="AG807" t="s">
        <v>3395</v>
      </c>
      <c r="AH807" t="s">
        <v>599</v>
      </c>
      <c r="AI807" t="s">
        <v>3396</v>
      </c>
      <c r="AJ807" t="s">
        <v>3397</v>
      </c>
      <c r="AK807" t="s">
        <v>599</v>
      </c>
      <c r="AL807" t="s">
        <v>3398</v>
      </c>
      <c r="AM807" t="s">
        <v>1190</v>
      </c>
      <c r="AN807" t="s">
        <v>599</v>
      </c>
      <c r="AO807" t="s">
        <v>599</v>
      </c>
      <c r="AP807" t="s">
        <v>3399</v>
      </c>
      <c r="AQ807" t="s">
        <v>599</v>
      </c>
      <c r="AR807" t="s">
        <v>599</v>
      </c>
      <c r="AS807" t="s">
        <v>599</v>
      </c>
      <c r="AT807" t="s">
        <v>599</v>
      </c>
    </row>
    <row r="808" spans="1:46" ht="210" x14ac:dyDescent="0.25">
      <c r="A808" s="2">
        <v>12263</v>
      </c>
      <c r="B808" s="10">
        <v>381189</v>
      </c>
      <c r="C808" s="10">
        <v>1</v>
      </c>
      <c r="D808" s="9">
        <v>420</v>
      </c>
      <c r="E808" s="11" t="s">
        <v>558</v>
      </c>
      <c r="F808" s="12" t="s">
        <v>559</v>
      </c>
      <c r="G808" s="9" t="s">
        <v>560</v>
      </c>
      <c r="H808" s="34"/>
      <c r="I808" s="55" t="str">
        <f t="shared" si="25"/>
        <v>https://permalinkbnd.bnportugal.gov.pt/viewer/14628/?offset=#page=420&amp;viewer=picture&amp;o=info&amp;n=0&amp;q=</v>
      </c>
      <c r="J808" s="45"/>
      <c r="K808" s="45"/>
      <c r="L808" s="45"/>
      <c r="M808" t="s">
        <v>558</v>
      </c>
      <c r="N808">
        <v>14628</v>
      </c>
      <c r="O808" t="str">
        <f t="shared" si="24"/>
        <v>https://permalinkbnd.bnportugal.gov.pt/viewer/14628/?offset=#page=420&amp;viewer=picture&amp;o=info&amp;n=0&amp;q=</v>
      </c>
      <c r="P808">
        <v>381189</v>
      </c>
      <c r="Q808" t="s">
        <v>558</v>
      </c>
      <c r="R808" t="s">
        <v>3389</v>
      </c>
      <c r="S808" t="s">
        <v>1178</v>
      </c>
      <c r="T808" t="s">
        <v>1192</v>
      </c>
      <c r="U808" t="s">
        <v>599</v>
      </c>
      <c r="V808" t="s">
        <v>3390</v>
      </c>
      <c r="W808" t="s">
        <v>3391</v>
      </c>
      <c r="X808" t="s">
        <v>599</v>
      </c>
      <c r="Y808" t="s">
        <v>1182</v>
      </c>
      <c r="Z808" t="s">
        <v>3392</v>
      </c>
      <c r="AA808">
        <v>1880</v>
      </c>
      <c r="AB808">
        <v>1880</v>
      </c>
      <c r="AC808" t="s">
        <v>3393</v>
      </c>
      <c r="AD808" t="s">
        <v>1185</v>
      </c>
      <c r="AE808" t="s">
        <v>599</v>
      </c>
      <c r="AF808" t="s">
        <v>3394</v>
      </c>
      <c r="AG808" t="s">
        <v>3395</v>
      </c>
      <c r="AH808" t="s">
        <v>599</v>
      </c>
      <c r="AI808" t="s">
        <v>3396</v>
      </c>
      <c r="AJ808" t="s">
        <v>3397</v>
      </c>
      <c r="AK808" t="s">
        <v>599</v>
      </c>
      <c r="AL808" t="s">
        <v>3398</v>
      </c>
      <c r="AM808" t="s">
        <v>1190</v>
      </c>
      <c r="AN808" t="s">
        <v>599</v>
      </c>
      <c r="AO808" t="s">
        <v>599</v>
      </c>
      <c r="AP808" t="s">
        <v>3399</v>
      </c>
      <c r="AQ808" t="s">
        <v>599</v>
      </c>
      <c r="AR808" t="s">
        <v>599</v>
      </c>
      <c r="AS808" t="s">
        <v>599</v>
      </c>
      <c r="AT808" t="s">
        <v>599</v>
      </c>
    </row>
    <row r="809" spans="1:46" ht="210" x14ac:dyDescent="0.25">
      <c r="A809" s="2">
        <v>12264</v>
      </c>
      <c r="B809" s="10">
        <v>381189</v>
      </c>
      <c r="C809" s="10">
        <v>1</v>
      </c>
      <c r="D809" s="9">
        <v>436</v>
      </c>
      <c r="E809" s="11" t="s">
        <v>558</v>
      </c>
      <c r="F809" s="12" t="s">
        <v>559</v>
      </c>
      <c r="G809" s="9" t="s">
        <v>560</v>
      </c>
      <c r="H809" s="34"/>
      <c r="I809" s="55" t="str">
        <f t="shared" si="25"/>
        <v>https://permalinkbnd.bnportugal.gov.pt/viewer/14628/?offset=#page=436&amp;viewer=picture&amp;o=info&amp;n=0&amp;q=</v>
      </c>
      <c r="J809" s="45"/>
      <c r="K809" s="45"/>
      <c r="L809" s="45"/>
      <c r="M809" t="s">
        <v>558</v>
      </c>
      <c r="N809">
        <v>14628</v>
      </c>
      <c r="O809" t="str">
        <f t="shared" si="24"/>
        <v>https://permalinkbnd.bnportugal.gov.pt/viewer/14628/?offset=#page=436&amp;viewer=picture&amp;o=info&amp;n=0&amp;q=</v>
      </c>
      <c r="P809">
        <v>381189</v>
      </c>
      <c r="Q809" t="s">
        <v>558</v>
      </c>
      <c r="R809" t="s">
        <v>3389</v>
      </c>
      <c r="S809" t="s">
        <v>1178</v>
      </c>
      <c r="T809" t="s">
        <v>1192</v>
      </c>
      <c r="U809" t="s">
        <v>599</v>
      </c>
      <c r="V809" t="s">
        <v>3390</v>
      </c>
      <c r="W809" t="s">
        <v>3391</v>
      </c>
      <c r="X809" t="s">
        <v>599</v>
      </c>
      <c r="Y809" t="s">
        <v>1182</v>
      </c>
      <c r="Z809" t="s">
        <v>3392</v>
      </c>
      <c r="AA809">
        <v>1880</v>
      </c>
      <c r="AB809">
        <v>1880</v>
      </c>
      <c r="AC809" t="s">
        <v>3393</v>
      </c>
      <c r="AD809" t="s">
        <v>1185</v>
      </c>
      <c r="AE809" t="s">
        <v>599</v>
      </c>
      <c r="AF809" t="s">
        <v>3394</v>
      </c>
      <c r="AG809" t="s">
        <v>3395</v>
      </c>
      <c r="AH809" t="s">
        <v>599</v>
      </c>
      <c r="AI809" t="s">
        <v>3396</v>
      </c>
      <c r="AJ809" t="s">
        <v>3397</v>
      </c>
      <c r="AK809" t="s">
        <v>599</v>
      </c>
      <c r="AL809" t="s">
        <v>3398</v>
      </c>
      <c r="AM809" t="s">
        <v>1190</v>
      </c>
      <c r="AN809" t="s">
        <v>599</v>
      </c>
      <c r="AO809" t="s">
        <v>599</v>
      </c>
      <c r="AP809" t="s">
        <v>3399</v>
      </c>
      <c r="AQ809" t="s">
        <v>599</v>
      </c>
      <c r="AR809" t="s">
        <v>599</v>
      </c>
      <c r="AS809" t="s">
        <v>599</v>
      </c>
      <c r="AT809" t="s">
        <v>599</v>
      </c>
    </row>
    <row r="810" spans="1:46" ht="210" x14ac:dyDescent="0.25">
      <c r="A810" s="2">
        <v>12265</v>
      </c>
      <c r="B810" s="10">
        <v>381189</v>
      </c>
      <c r="C810" s="10">
        <v>1</v>
      </c>
      <c r="D810" s="9">
        <v>444</v>
      </c>
      <c r="E810" s="11" t="s">
        <v>558</v>
      </c>
      <c r="F810" s="12" t="s">
        <v>559</v>
      </c>
      <c r="G810" s="9" t="s">
        <v>560</v>
      </c>
      <c r="H810" s="34"/>
      <c r="I810" s="55" t="str">
        <f t="shared" si="25"/>
        <v>https://permalinkbnd.bnportugal.gov.pt/viewer/14628/?offset=#page=444&amp;viewer=picture&amp;o=info&amp;n=0&amp;q=</v>
      </c>
      <c r="J810" s="45"/>
      <c r="K810" s="45"/>
      <c r="L810" s="45"/>
      <c r="M810" t="s">
        <v>558</v>
      </c>
      <c r="N810">
        <v>14628</v>
      </c>
      <c r="O810" t="str">
        <f t="shared" si="24"/>
        <v>https://permalinkbnd.bnportugal.gov.pt/viewer/14628/?offset=#page=444&amp;viewer=picture&amp;o=info&amp;n=0&amp;q=</v>
      </c>
      <c r="P810">
        <v>381189</v>
      </c>
      <c r="Q810" t="s">
        <v>558</v>
      </c>
      <c r="R810" t="s">
        <v>3389</v>
      </c>
      <c r="S810" t="s">
        <v>1178</v>
      </c>
      <c r="T810" t="s">
        <v>1192</v>
      </c>
      <c r="U810" t="s">
        <v>599</v>
      </c>
      <c r="V810" t="s">
        <v>3390</v>
      </c>
      <c r="W810" t="s">
        <v>3391</v>
      </c>
      <c r="X810" t="s">
        <v>599</v>
      </c>
      <c r="Y810" t="s">
        <v>1182</v>
      </c>
      <c r="Z810" t="s">
        <v>3392</v>
      </c>
      <c r="AA810">
        <v>1880</v>
      </c>
      <c r="AB810">
        <v>1880</v>
      </c>
      <c r="AC810" t="s">
        <v>3393</v>
      </c>
      <c r="AD810" t="s">
        <v>1185</v>
      </c>
      <c r="AE810" t="s">
        <v>599</v>
      </c>
      <c r="AF810" t="s">
        <v>3394</v>
      </c>
      <c r="AG810" t="s">
        <v>3395</v>
      </c>
      <c r="AH810" t="s">
        <v>599</v>
      </c>
      <c r="AI810" t="s">
        <v>3396</v>
      </c>
      <c r="AJ810" t="s">
        <v>3397</v>
      </c>
      <c r="AK810" t="s">
        <v>599</v>
      </c>
      <c r="AL810" t="s">
        <v>3398</v>
      </c>
      <c r="AM810" t="s">
        <v>1190</v>
      </c>
      <c r="AN810" t="s">
        <v>599</v>
      </c>
      <c r="AO810" t="s">
        <v>599</v>
      </c>
      <c r="AP810" t="s">
        <v>3399</v>
      </c>
      <c r="AQ810" t="s">
        <v>599</v>
      </c>
      <c r="AR810" t="s">
        <v>599</v>
      </c>
      <c r="AS810" t="s">
        <v>599</v>
      </c>
      <c r="AT810" t="s">
        <v>599</v>
      </c>
    </row>
    <row r="811" spans="1:46" ht="210" x14ac:dyDescent="0.25">
      <c r="A811" s="2">
        <v>12266</v>
      </c>
      <c r="B811" s="10">
        <v>381189</v>
      </c>
      <c r="C811" s="10">
        <v>1</v>
      </c>
      <c r="D811" s="9">
        <v>453</v>
      </c>
      <c r="E811" s="11" t="s">
        <v>558</v>
      </c>
      <c r="F811" s="12" t="s">
        <v>559</v>
      </c>
      <c r="G811" s="9" t="s">
        <v>560</v>
      </c>
      <c r="H811" s="34"/>
      <c r="I811" s="55" t="str">
        <f t="shared" si="25"/>
        <v>https://permalinkbnd.bnportugal.gov.pt/viewer/14628/?offset=#page=453&amp;viewer=picture&amp;o=info&amp;n=0&amp;q=</v>
      </c>
      <c r="J811" s="45"/>
      <c r="K811" s="45"/>
      <c r="L811" s="45"/>
      <c r="M811" t="s">
        <v>558</v>
      </c>
      <c r="N811">
        <v>14628</v>
      </c>
      <c r="O811" t="str">
        <f t="shared" si="24"/>
        <v>https://permalinkbnd.bnportugal.gov.pt/viewer/14628/?offset=#page=453&amp;viewer=picture&amp;o=info&amp;n=0&amp;q=</v>
      </c>
      <c r="P811">
        <v>381189</v>
      </c>
      <c r="Q811" t="s">
        <v>558</v>
      </c>
      <c r="R811" t="s">
        <v>3389</v>
      </c>
      <c r="S811" t="s">
        <v>1178</v>
      </c>
      <c r="T811" t="s">
        <v>1192</v>
      </c>
      <c r="U811" t="s">
        <v>599</v>
      </c>
      <c r="V811" t="s">
        <v>3390</v>
      </c>
      <c r="W811" t="s">
        <v>3391</v>
      </c>
      <c r="X811" t="s">
        <v>599</v>
      </c>
      <c r="Y811" t="s">
        <v>1182</v>
      </c>
      <c r="Z811" t="s">
        <v>3392</v>
      </c>
      <c r="AA811">
        <v>1880</v>
      </c>
      <c r="AB811">
        <v>1880</v>
      </c>
      <c r="AC811" t="s">
        <v>3393</v>
      </c>
      <c r="AD811" t="s">
        <v>1185</v>
      </c>
      <c r="AE811" t="s">
        <v>599</v>
      </c>
      <c r="AF811" t="s">
        <v>3394</v>
      </c>
      <c r="AG811" t="s">
        <v>3395</v>
      </c>
      <c r="AH811" t="s">
        <v>599</v>
      </c>
      <c r="AI811" t="s">
        <v>3396</v>
      </c>
      <c r="AJ811" t="s">
        <v>3397</v>
      </c>
      <c r="AK811" t="s">
        <v>599</v>
      </c>
      <c r="AL811" t="s">
        <v>3398</v>
      </c>
      <c r="AM811" t="s">
        <v>1190</v>
      </c>
      <c r="AN811" t="s">
        <v>599</v>
      </c>
      <c r="AO811" t="s">
        <v>599</v>
      </c>
      <c r="AP811" t="s">
        <v>3399</v>
      </c>
      <c r="AQ811" t="s">
        <v>599</v>
      </c>
      <c r="AR811" t="s">
        <v>599</v>
      </c>
      <c r="AS811" t="s">
        <v>599</v>
      </c>
      <c r="AT811" t="s">
        <v>599</v>
      </c>
    </row>
    <row r="812" spans="1:46" ht="210" x14ac:dyDescent="0.25">
      <c r="A812" s="2">
        <v>12267</v>
      </c>
      <c r="B812" s="10">
        <v>381189</v>
      </c>
      <c r="C812" s="10">
        <v>1</v>
      </c>
      <c r="D812" s="9">
        <v>459</v>
      </c>
      <c r="E812" s="11" t="s">
        <v>558</v>
      </c>
      <c r="F812" s="12" t="s">
        <v>559</v>
      </c>
      <c r="G812" s="9" t="s">
        <v>560</v>
      </c>
      <c r="H812" s="34"/>
      <c r="I812" s="55" t="str">
        <f t="shared" si="25"/>
        <v>https://permalinkbnd.bnportugal.gov.pt/viewer/14628/?offset=#page=459&amp;viewer=picture&amp;o=info&amp;n=0&amp;q=</v>
      </c>
      <c r="J812" s="45"/>
      <c r="K812" s="45"/>
      <c r="L812" s="45"/>
      <c r="M812" t="s">
        <v>558</v>
      </c>
      <c r="N812">
        <v>14628</v>
      </c>
      <c r="O812" t="str">
        <f t="shared" si="24"/>
        <v>https://permalinkbnd.bnportugal.gov.pt/viewer/14628/?offset=#page=459&amp;viewer=picture&amp;o=info&amp;n=0&amp;q=</v>
      </c>
      <c r="P812">
        <v>381189</v>
      </c>
      <c r="Q812" t="s">
        <v>558</v>
      </c>
      <c r="R812" t="s">
        <v>3389</v>
      </c>
      <c r="S812" t="s">
        <v>1178</v>
      </c>
      <c r="T812" t="s">
        <v>1192</v>
      </c>
      <c r="U812" t="s">
        <v>599</v>
      </c>
      <c r="V812" t="s">
        <v>3390</v>
      </c>
      <c r="W812" t="s">
        <v>3391</v>
      </c>
      <c r="X812" t="s">
        <v>599</v>
      </c>
      <c r="Y812" t="s">
        <v>1182</v>
      </c>
      <c r="Z812" t="s">
        <v>3392</v>
      </c>
      <c r="AA812">
        <v>1880</v>
      </c>
      <c r="AB812">
        <v>1880</v>
      </c>
      <c r="AC812" t="s">
        <v>3393</v>
      </c>
      <c r="AD812" t="s">
        <v>1185</v>
      </c>
      <c r="AE812" t="s">
        <v>599</v>
      </c>
      <c r="AF812" t="s">
        <v>3394</v>
      </c>
      <c r="AG812" t="s">
        <v>3395</v>
      </c>
      <c r="AH812" t="s">
        <v>599</v>
      </c>
      <c r="AI812" t="s">
        <v>3396</v>
      </c>
      <c r="AJ812" t="s">
        <v>3397</v>
      </c>
      <c r="AK812" t="s">
        <v>599</v>
      </c>
      <c r="AL812" t="s">
        <v>3398</v>
      </c>
      <c r="AM812" t="s">
        <v>1190</v>
      </c>
      <c r="AN812" t="s">
        <v>599</v>
      </c>
      <c r="AO812" t="s">
        <v>599</v>
      </c>
      <c r="AP812" t="s">
        <v>3399</v>
      </c>
      <c r="AQ812" t="s">
        <v>599</v>
      </c>
      <c r="AR812" t="s">
        <v>599</v>
      </c>
      <c r="AS812" t="s">
        <v>599</v>
      </c>
      <c r="AT812" t="s">
        <v>599</v>
      </c>
    </row>
    <row r="813" spans="1:46" ht="210" x14ac:dyDescent="0.25">
      <c r="A813" s="2">
        <v>12268</v>
      </c>
      <c r="B813" s="10">
        <v>381189</v>
      </c>
      <c r="C813" s="10">
        <v>1</v>
      </c>
      <c r="D813" s="9">
        <v>461</v>
      </c>
      <c r="E813" s="11" t="s">
        <v>558</v>
      </c>
      <c r="F813" s="12" t="s">
        <v>559</v>
      </c>
      <c r="G813" s="9" t="s">
        <v>560</v>
      </c>
      <c r="H813" s="34"/>
      <c r="I813" s="55" t="str">
        <f t="shared" si="25"/>
        <v>https://permalinkbnd.bnportugal.gov.pt/viewer/14628/?offset=#page=461&amp;viewer=picture&amp;o=info&amp;n=0&amp;q=</v>
      </c>
      <c r="J813" s="45"/>
      <c r="K813" s="45"/>
      <c r="L813" s="45"/>
      <c r="M813" t="s">
        <v>558</v>
      </c>
      <c r="N813">
        <v>14628</v>
      </c>
      <c r="O813" t="str">
        <f t="shared" si="24"/>
        <v>https://permalinkbnd.bnportugal.gov.pt/viewer/14628/?offset=#page=461&amp;viewer=picture&amp;o=info&amp;n=0&amp;q=</v>
      </c>
      <c r="P813">
        <v>381189</v>
      </c>
      <c r="Q813" t="s">
        <v>558</v>
      </c>
      <c r="R813" t="s">
        <v>3389</v>
      </c>
      <c r="S813" t="s">
        <v>1178</v>
      </c>
      <c r="T813" t="s">
        <v>1192</v>
      </c>
      <c r="U813" t="s">
        <v>599</v>
      </c>
      <c r="V813" t="s">
        <v>3390</v>
      </c>
      <c r="W813" t="s">
        <v>3391</v>
      </c>
      <c r="X813" t="s">
        <v>599</v>
      </c>
      <c r="Y813" t="s">
        <v>1182</v>
      </c>
      <c r="Z813" t="s">
        <v>3392</v>
      </c>
      <c r="AA813">
        <v>1880</v>
      </c>
      <c r="AB813">
        <v>1880</v>
      </c>
      <c r="AC813" t="s">
        <v>3393</v>
      </c>
      <c r="AD813" t="s">
        <v>1185</v>
      </c>
      <c r="AE813" t="s">
        <v>599</v>
      </c>
      <c r="AF813" t="s">
        <v>3394</v>
      </c>
      <c r="AG813" t="s">
        <v>3395</v>
      </c>
      <c r="AH813" t="s">
        <v>599</v>
      </c>
      <c r="AI813" t="s">
        <v>3396</v>
      </c>
      <c r="AJ813" t="s">
        <v>3397</v>
      </c>
      <c r="AK813" t="s">
        <v>599</v>
      </c>
      <c r="AL813" t="s">
        <v>3398</v>
      </c>
      <c r="AM813" t="s">
        <v>1190</v>
      </c>
      <c r="AN813" t="s">
        <v>599</v>
      </c>
      <c r="AO813" t="s">
        <v>599</v>
      </c>
      <c r="AP813" t="s">
        <v>3399</v>
      </c>
      <c r="AQ813" t="s">
        <v>599</v>
      </c>
      <c r="AR813" t="s">
        <v>599</v>
      </c>
      <c r="AS813" t="s">
        <v>599</v>
      </c>
      <c r="AT813" t="s">
        <v>599</v>
      </c>
    </row>
    <row r="814" spans="1:46" ht="210" x14ac:dyDescent="0.25">
      <c r="A814" s="2">
        <v>12269</v>
      </c>
      <c r="B814" s="10">
        <v>381189</v>
      </c>
      <c r="C814" s="10">
        <v>1</v>
      </c>
      <c r="D814" s="9">
        <v>463</v>
      </c>
      <c r="E814" s="11" t="s">
        <v>558</v>
      </c>
      <c r="F814" s="12" t="s">
        <v>559</v>
      </c>
      <c r="G814" s="9" t="s">
        <v>560</v>
      </c>
      <c r="H814" s="34"/>
      <c r="I814" s="55" t="str">
        <f t="shared" si="25"/>
        <v>https://permalinkbnd.bnportugal.gov.pt/viewer/14628/?offset=#page=463&amp;viewer=picture&amp;o=info&amp;n=0&amp;q=</v>
      </c>
      <c r="J814" s="45"/>
      <c r="K814" s="45"/>
      <c r="L814" s="45"/>
      <c r="M814" t="s">
        <v>558</v>
      </c>
      <c r="N814">
        <v>14628</v>
      </c>
      <c r="O814" t="str">
        <f t="shared" si="24"/>
        <v>https://permalinkbnd.bnportugal.gov.pt/viewer/14628/?offset=#page=463&amp;viewer=picture&amp;o=info&amp;n=0&amp;q=</v>
      </c>
      <c r="P814">
        <v>381189</v>
      </c>
      <c r="Q814" t="s">
        <v>558</v>
      </c>
      <c r="R814" t="s">
        <v>3389</v>
      </c>
      <c r="S814" t="s">
        <v>1178</v>
      </c>
      <c r="T814" t="s">
        <v>1192</v>
      </c>
      <c r="U814" t="s">
        <v>599</v>
      </c>
      <c r="V814" t="s">
        <v>3390</v>
      </c>
      <c r="W814" t="s">
        <v>3391</v>
      </c>
      <c r="X814" t="s">
        <v>599</v>
      </c>
      <c r="Y814" t="s">
        <v>1182</v>
      </c>
      <c r="Z814" t="s">
        <v>3392</v>
      </c>
      <c r="AA814">
        <v>1880</v>
      </c>
      <c r="AB814">
        <v>1880</v>
      </c>
      <c r="AC814" t="s">
        <v>3393</v>
      </c>
      <c r="AD814" t="s">
        <v>1185</v>
      </c>
      <c r="AE814" t="s">
        <v>599</v>
      </c>
      <c r="AF814" t="s">
        <v>3394</v>
      </c>
      <c r="AG814" t="s">
        <v>3395</v>
      </c>
      <c r="AH814" t="s">
        <v>599</v>
      </c>
      <c r="AI814" t="s">
        <v>3396</v>
      </c>
      <c r="AJ814" t="s">
        <v>3397</v>
      </c>
      <c r="AK814" t="s">
        <v>599</v>
      </c>
      <c r="AL814" t="s">
        <v>3398</v>
      </c>
      <c r="AM814" t="s">
        <v>1190</v>
      </c>
      <c r="AN814" t="s">
        <v>599</v>
      </c>
      <c r="AO814" t="s">
        <v>599</v>
      </c>
      <c r="AP814" t="s">
        <v>3399</v>
      </c>
      <c r="AQ814" t="s">
        <v>599</v>
      </c>
      <c r="AR814" t="s">
        <v>599</v>
      </c>
      <c r="AS814" t="s">
        <v>599</v>
      </c>
      <c r="AT814" t="s">
        <v>599</v>
      </c>
    </row>
    <row r="815" spans="1:46" ht="210" x14ac:dyDescent="0.25">
      <c r="A815" s="2">
        <v>12270</v>
      </c>
      <c r="B815" s="10">
        <v>381189</v>
      </c>
      <c r="C815" s="10">
        <v>1</v>
      </c>
      <c r="D815" s="9">
        <v>512</v>
      </c>
      <c r="E815" s="11" t="s">
        <v>558</v>
      </c>
      <c r="F815" s="12" t="s">
        <v>559</v>
      </c>
      <c r="G815" s="9" t="s">
        <v>560</v>
      </c>
      <c r="H815" s="34"/>
      <c r="I815" s="55" t="str">
        <f t="shared" si="25"/>
        <v>https://permalinkbnd.bnportugal.gov.pt/viewer/14628/?offset=#page=512&amp;viewer=picture&amp;o=info&amp;n=0&amp;q=</v>
      </c>
      <c r="J815" s="45"/>
      <c r="K815" s="45"/>
      <c r="L815" s="45"/>
      <c r="M815" t="s">
        <v>558</v>
      </c>
      <c r="N815">
        <v>14628</v>
      </c>
      <c r="O815" t="str">
        <f t="shared" si="24"/>
        <v>https://permalinkbnd.bnportugal.gov.pt/viewer/14628/?offset=#page=512&amp;viewer=picture&amp;o=info&amp;n=0&amp;q=</v>
      </c>
      <c r="P815">
        <v>381189</v>
      </c>
      <c r="Q815" t="s">
        <v>558</v>
      </c>
      <c r="R815" t="s">
        <v>3389</v>
      </c>
      <c r="S815" t="s">
        <v>1178</v>
      </c>
      <c r="T815" t="s">
        <v>1192</v>
      </c>
      <c r="U815" t="s">
        <v>599</v>
      </c>
      <c r="V815" t="s">
        <v>3390</v>
      </c>
      <c r="W815" t="s">
        <v>3391</v>
      </c>
      <c r="X815" t="s">
        <v>599</v>
      </c>
      <c r="Y815" t="s">
        <v>1182</v>
      </c>
      <c r="Z815" t="s">
        <v>3392</v>
      </c>
      <c r="AA815">
        <v>1880</v>
      </c>
      <c r="AB815">
        <v>1880</v>
      </c>
      <c r="AC815" t="s">
        <v>3393</v>
      </c>
      <c r="AD815" t="s">
        <v>1185</v>
      </c>
      <c r="AE815" t="s">
        <v>599</v>
      </c>
      <c r="AF815" t="s">
        <v>3394</v>
      </c>
      <c r="AG815" t="s">
        <v>3395</v>
      </c>
      <c r="AH815" t="s">
        <v>599</v>
      </c>
      <c r="AI815" t="s">
        <v>3396</v>
      </c>
      <c r="AJ815" t="s">
        <v>3397</v>
      </c>
      <c r="AK815" t="s">
        <v>599</v>
      </c>
      <c r="AL815" t="s">
        <v>3398</v>
      </c>
      <c r="AM815" t="s">
        <v>1190</v>
      </c>
      <c r="AN815" t="s">
        <v>599</v>
      </c>
      <c r="AO815" t="s">
        <v>599</v>
      </c>
      <c r="AP815" t="s">
        <v>3399</v>
      </c>
      <c r="AQ815" t="s">
        <v>599</v>
      </c>
      <c r="AR815" t="s">
        <v>599</v>
      </c>
      <c r="AS815" t="s">
        <v>599</v>
      </c>
      <c r="AT815" t="s">
        <v>599</v>
      </c>
    </row>
    <row r="816" spans="1:46" ht="150" x14ac:dyDescent="0.25">
      <c r="A816" s="2">
        <v>12271</v>
      </c>
      <c r="B816" s="10">
        <v>381297</v>
      </c>
      <c r="C816" s="10">
        <v>1</v>
      </c>
      <c r="D816" s="9">
        <v>10</v>
      </c>
      <c r="E816" s="11" t="s">
        <v>561</v>
      </c>
      <c r="F816" s="12" t="s">
        <v>562</v>
      </c>
      <c r="G816" s="9" t="s">
        <v>563</v>
      </c>
      <c r="H816" s="34"/>
      <c r="I816" s="55" t="str">
        <f t="shared" si="25"/>
        <v>https://permalinkbnd.bnportugal.gov.pt/viewer/14598/?offset=#page=10&amp;viewer=picture&amp;o=info&amp;n=0&amp;q=</v>
      </c>
      <c r="J816" s="45"/>
      <c r="K816" s="45"/>
      <c r="L816" s="45"/>
      <c r="M816" t="s">
        <v>561</v>
      </c>
      <c r="N816">
        <v>14598</v>
      </c>
      <c r="O816" t="str">
        <f t="shared" si="24"/>
        <v>https://permalinkbnd.bnportugal.gov.pt/viewer/14598/?offset=#page=10&amp;viewer=picture&amp;o=info&amp;n=0&amp;q=</v>
      </c>
      <c r="P816">
        <v>381297</v>
      </c>
      <c r="Q816" t="s">
        <v>561</v>
      </c>
      <c r="R816" t="s">
        <v>3400</v>
      </c>
      <c r="S816" t="s">
        <v>1178</v>
      </c>
      <c r="T816" t="s">
        <v>1192</v>
      </c>
      <c r="U816" t="s">
        <v>599</v>
      </c>
      <c r="V816" t="s">
        <v>1193</v>
      </c>
      <c r="W816" t="s">
        <v>3401</v>
      </c>
      <c r="X816" t="s">
        <v>599</v>
      </c>
      <c r="Y816" t="s">
        <v>3402</v>
      </c>
      <c r="Z816" t="s">
        <v>3403</v>
      </c>
      <c r="AA816">
        <v>1817</v>
      </c>
      <c r="AB816">
        <v>1817</v>
      </c>
      <c r="AC816" t="s">
        <v>3404</v>
      </c>
      <c r="AD816" t="s">
        <v>1185</v>
      </c>
      <c r="AE816" t="s">
        <v>599</v>
      </c>
      <c r="AF816" t="s">
        <v>599</v>
      </c>
      <c r="AG816" t="s">
        <v>3405</v>
      </c>
      <c r="AH816" t="s">
        <v>599</v>
      </c>
      <c r="AI816" t="s">
        <v>599</v>
      </c>
      <c r="AJ816" t="s">
        <v>3406</v>
      </c>
      <c r="AK816" t="s">
        <v>599</v>
      </c>
      <c r="AL816" t="s">
        <v>3407</v>
      </c>
      <c r="AM816" t="s">
        <v>1190</v>
      </c>
      <c r="AN816" t="s">
        <v>599</v>
      </c>
      <c r="AO816" t="s">
        <v>599</v>
      </c>
      <c r="AP816" t="s">
        <v>599</v>
      </c>
      <c r="AQ816" t="s">
        <v>599</v>
      </c>
      <c r="AR816" t="s">
        <v>599</v>
      </c>
      <c r="AS816" t="s">
        <v>599</v>
      </c>
      <c r="AT816" t="s">
        <v>599</v>
      </c>
    </row>
    <row r="817" spans="1:46" ht="150" x14ac:dyDescent="0.25">
      <c r="A817" s="2">
        <v>12272</v>
      </c>
      <c r="B817" s="10">
        <v>381297</v>
      </c>
      <c r="C817" s="10">
        <v>1</v>
      </c>
      <c r="D817" s="9">
        <v>69</v>
      </c>
      <c r="E817" s="11" t="s">
        <v>561</v>
      </c>
      <c r="F817" s="12" t="s">
        <v>562</v>
      </c>
      <c r="G817" s="9" t="s">
        <v>563</v>
      </c>
      <c r="H817" s="34"/>
      <c r="I817" s="55" t="str">
        <f t="shared" si="25"/>
        <v>https://permalinkbnd.bnportugal.gov.pt/viewer/14598/?offset=#page=69&amp;viewer=picture&amp;o=info&amp;n=0&amp;q=</v>
      </c>
      <c r="J817" s="45"/>
      <c r="K817" s="45"/>
      <c r="L817" s="45"/>
      <c r="M817" t="s">
        <v>561</v>
      </c>
      <c r="N817">
        <v>14598</v>
      </c>
      <c r="O817" t="str">
        <f t="shared" si="24"/>
        <v>https://permalinkbnd.bnportugal.gov.pt/viewer/14598/?offset=#page=69&amp;viewer=picture&amp;o=info&amp;n=0&amp;q=</v>
      </c>
      <c r="P817">
        <v>381297</v>
      </c>
      <c r="Q817" t="s">
        <v>561</v>
      </c>
      <c r="R817" t="s">
        <v>3400</v>
      </c>
      <c r="S817" t="s">
        <v>1178</v>
      </c>
      <c r="T817" t="s">
        <v>1192</v>
      </c>
      <c r="U817" t="s">
        <v>599</v>
      </c>
      <c r="V817" t="s">
        <v>1193</v>
      </c>
      <c r="W817" t="s">
        <v>3401</v>
      </c>
      <c r="X817" t="s">
        <v>599</v>
      </c>
      <c r="Y817" t="s">
        <v>3402</v>
      </c>
      <c r="Z817" t="s">
        <v>3403</v>
      </c>
      <c r="AA817">
        <v>1817</v>
      </c>
      <c r="AB817">
        <v>1817</v>
      </c>
      <c r="AC817" t="s">
        <v>3404</v>
      </c>
      <c r="AD817" t="s">
        <v>1185</v>
      </c>
      <c r="AE817" t="s">
        <v>599</v>
      </c>
      <c r="AF817" t="s">
        <v>599</v>
      </c>
      <c r="AG817" t="s">
        <v>3405</v>
      </c>
      <c r="AH817" t="s">
        <v>599</v>
      </c>
      <c r="AI817" t="s">
        <v>599</v>
      </c>
      <c r="AJ817" t="s">
        <v>3406</v>
      </c>
      <c r="AK817" t="s">
        <v>599</v>
      </c>
      <c r="AL817" t="s">
        <v>3407</v>
      </c>
      <c r="AM817" t="s">
        <v>1190</v>
      </c>
      <c r="AN817" t="s">
        <v>599</v>
      </c>
      <c r="AO817" t="s">
        <v>599</v>
      </c>
      <c r="AP817" t="s">
        <v>599</v>
      </c>
      <c r="AQ817" t="s">
        <v>599</v>
      </c>
      <c r="AR817" t="s">
        <v>599</v>
      </c>
      <c r="AS817" t="s">
        <v>599</v>
      </c>
      <c r="AT817" t="s">
        <v>599</v>
      </c>
    </row>
    <row r="818" spans="1:46" ht="150" x14ac:dyDescent="0.25">
      <c r="A818" s="2">
        <v>12273</v>
      </c>
      <c r="B818" s="10">
        <v>381297</v>
      </c>
      <c r="C818" s="10">
        <v>1</v>
      </c>
      <c r="D818" s="9">
        <v>156</v>
      </c>
      <c r="E818" s="11" t="s">
        <v>561</v>
      </c>
      <c r="F818" s="12" t="s">
        <v>562</v>
      </c>
      <c r="G818" s="9" t="s">
        <v>563</v>
      </c>
      <c r="H818" s="34"/>
      <c r="I818" s="55" t="str">
        <f t="shared" si="25"/>
        <v>https://permalinkbnd.bnportugal.gov.pt/viewer/14598/?offset=#page=156&amp;viewer=picture&amp;o=info&amp;n=0&amp;q=</v>
      </c>
      <c r="J818" s="45"/>
      <c r="K818" s="45"/>
      <c r="L818" s="45"/>
      <c r="M818" t="s">
        <v>561</v>
      </c>
      <c r="N818">
        <v>14598</v>
      </c>
      <c r="O818" t="str">
        <f t="shared" si="24"/>
        <v>https://permalinkbnd.bnportugal.gov.pt/viewer/14598/?offset=#page=156&amp;viewer=picture&amp;o=info&amp;n=0&amp;q=</v>
      </c>
      <c r="P818">
        <v>381297</v>
      </c>
      <c r="Q818" t="s">
        <v>561</v>
      </c>
      <c r="R818" t="s">
        <v>3400</v>
      </c>
      <c r="S818" t="s">
        <v>1178</v>
      </c>
      <c r="T818" t="s">
        <v>1192</v>
      </c>
      <c r="U818" t="s">
        <v>599</v>
      </c>
      <c r="V818" t="s">
        <v>1193</v>
      </c>
      <c r="W818" t="s">
        <v>3401</v>
      </c>
      <c r="X818" t="s">
        <v>599</v>
      </c>
      <c r="Y818" t="s">
        <v>3402</v>
      </c>
      <c r="Z818" t="s">
        <v>3403</v>
      </c>
      <c r="AA818">
        <v>1817</v>
      </c>
      <c r="AB818">
        <v>1817</v>
      </c>
      <c r="AC818" t="s">
        <v>3404</v>
      </c>
      <c r="AD818" t="s">
        <v>1185</v>
      </c>
      <c r="AE818" t="s">
        <v>599</v>
      </c>
      <c r="AF818" t="s">
        <v>599</v>
      </c>
      <c r="AG818" t="s">
        <v>3405</v>
      </c>
      <c r="AH818" t="s">
        <v>599</v>
      </c>
      <c r="AI818" t="s">
        <v>599</v>
      </c>
      <c r="AJ818" t="s">
        <v>3406</v>
      </c>
      <c r="AK818" t="s">
        <v>599</v>
      </c>
      <c r="AL818" t="s">
        <v>3407</v>
      </c>
      <c r="AM818" t="s">
        <v>1190</v>
      </c>
      <c r="AN818" t="s">
        <v>599</v>
      </c>
      <c r="AO818" t="s">
        <v>599</v>
      </c>
      <c r="AP818" t="s">
        <v>599</v>
      </c>
      <c r="AQ818" t="s">
        <v>599</v>
      </c>
      <c r="AR818" t="s">
        <v>599</v>
      </c>
      <c r="AS818" t="s">
        <v>599</v>
      </c>
      <c r="AT818" t="s">
        <v>599</v>
      </c>
    </row>
    <row r="819" spans="1:46" ht="150" x14ac:dyDescent="0.25">
      <c r="A819" s="2">
        <v>12274</v>
      </c>
      <c r="B819" s="10">
        <v>381297</v>
      </c>
      <c r="C819" s="10">
        <v>1</v>
      </c>
      <c r="D819" s="9">
        <v>196</v>
      </c>
      <c r="E819" s="11" t="s">
        <v>561</v>
      </c>
      <c r="F819" s="12" t="s">
        <v>562</v>
      </c>
      <c r="G819" s="9" t="s">
        <v>563</v>
      </c>
      <c r="H819" s="34"/>
      <c r="I819" s="55" t="str">
        <f t="shared" si="25"/>
        <v>https://permalinkbnd.bnportugal.gov.pt/viewer/14598/?offset=#page=196&amp;viewer=picture&amp;o=info&amp;n=0&amp;q=</v>
      </c>
      <c r="J819" s="45"/>
      <c r="K819" s="45"/>
      <c r="L819" s="45"/>
      <c r="M819" t="s">
        <v>561</v>
      </c>
      <c r="N819">
        <v>14598</v>
      </c>
      <c r="O819" t="str">
        <f t="shared" si="24"/>
        <v>https://permalinkbnd.bnportugal.gov.pt/viewer/14598/?offset=#page=196&amp;viewer=picture&amp;o=info&amp;n=0&amp;q=</v>
      </c>
      <c r="P819">
        <v>381297</v>
      </c>
      <c r="Q819" t="s">
        <v>561</v>
      </c>
      <c r="R819" t="s">
        <v>3400</v>
      </c>
      <c r="S819" t="s">
        <v>1178</v>
      </c>
      <c r="T819" t="s">
        <v>1192</v>
      </c>
      <c r="U819" t="s">
        <v>599</v>
      </c>
      <c r="V819" t="s">
        <v>1193</v>
      </c>
      <c r="W819" t="s">
        <v>3401</v>
      </c>
      <c r="X819" t="s">
        <v>599</v>
      </c>
      <c r="Y819" t="s">
        <v>3402</v>
      </c>
      <c r="Z819" t="s">
        <v>3403</v>
      </c>
      <c r="AA819">
        <v>1817</v>
      </c>
      <c r="AB819">
        <v>1817</v>
      </c>
      <c r="AC819" t="s">
        <v>3404</v>
      </c>
      <c r="AD819" t="s">
        <v>1185</v>
      </c>
      <c r="AE819" t="s">
        <v>599</v>
      </c>
      <c r="AF819" t="s">
        <v>599</v>
      </c>
      <c r="AG819" t="s">
        <v>3405</v>
      </c>
      <c r="AH819" t="s">
        <v>599</v>
      </c>
      <c r="AI819" t="s">
        <v>599</v>
      </c>
      <c r="AJ819" t="s">
        <v>3406</v>
      </c>
      <c r="AK819" t="s">
        <v>599</v>
      </c>
      <c r="AL819" t="s">
        <v>3407</v>
      </c>
      <c r="AM819" t="s">
        <v>1190</v>
      </c>
      <c r="AN819" t="s">
        <v>599</v>
      </c>
      <c r="AO819" t="s">
        <v>599</v>
      </c>
      <c r="AP819" t="s">
        <v>599</v>
      </c>
      <c r="AQ819" t="s">
        <v>599</v>
      </c>
      <c r="AR819" t="s">
        <v>599</v>
      </c>
      <c r="AS819" t="s">
        <v>599</v>
      </c>
      <c r="AT819" t="s">
        <v>599</v>
      </c>
    </row>
    <row r="820" spans="1:46" ht="150" x14ac:dyDescent="0.25">
      <c r="A820" s="2">
        <v>12275</v>
      </c>
      <c r="B820" s="10">
        <v>381297</v>
      </c>
      <c r="C820" s="10">
        <v>1</v>
      </c>
      <c r="D820" s="9">
        <v>238</v>
      </c>
      <c r="E820" s="11" t="s">
        <v>561</v>
      </c>
      <c r="F820" s="12" t="s">
        <v>562</v>
      </c>
      <c r="G820" s="9" t="s">
        <v>563</v>
      </c>
      <c r="H820" s="34"/>
      <c r="I820" s="55" t="str">
        <f t="shared" si="25"/>
        <v>https://permalinkbnd.bnportugal.gov.pt/viewer/14598/?offset=#page=238&amp;viewer=picture&amp;o=info&amp;n=0&amp;q=</v>
      </c>
      <c r="J820" s="45"/>
      <c r="K820" s="45"/>
      <c r="L820" s="45"/>
      <c r="M820" t="s">
        <v>561</v>
      </c>
      <c r="N820">
        <v>14598</v>
      </c>
      <c r="O820" t="str">
        <f t="shared" si="24"/>
        <v>https://permalinkbnd.bnportugal.gov.pt/viewer/14598/?offset=#page=238&amp;viewer=picture&amp;o=info&amp;n=0&amp;q=</v>
      </c>
      <c r="P820">
        <v>381297</v>
      </c>
      <c r="Q820" t="s">
        <v>561</v>
      </c>
      <c r="R820" t="s">
        <v>3400</v>
      </c>
      <c r="S820" t="s">
        <v>1178</v>
      </c>
      <c r="T820" t="s">
        <v>1192</v>
      </c>
      <c r="U820" t="s">
        <v>599</v>
      </c>
      <c r="V820" t="s">
        <v>1193</v>
      </c>
      <c r="W820" t="s">
        <v>3401</v>
      </c>
      <c r="X820" t="s">
        <v>599</v>
      </c>
      <c r="Y820" t="s">
        <v>3402</v>
      </c>
      <c r="Z820" t="s">
        <v>3403</v>
      </c>
      <c r="AA820">
        <v>1817</v>
      </c>
      <c r="AB820">
        <v>1817</v>
      </c>
      <c r="AC820" t="s">
        <v>3404</v>
      </c>
      <c r="AD820" t="s">
        <v>1185</v>
      </c>
      <c r="AE820" t="s">
        <v>599</v>
      </c>
      <c r="AF820" t="s">
        <v>599</v>
      </c>
      <c r="AG820" t="s">
        <v>3405</v>
      </c>
      <c r="AH820" t="s">
        <v>599</v>
      </c>
      <c r="AI820" t="s">
        <v>599</v>
      </c>
      <c r="AJ820" t="s">
        <v>3406</v>
      </c>
      <c r="AK820" t="s">
        <v>599</v>
      </c>
      <c r="AL820" t="s">
        <v>3407</v>
      </c>
      <c r="AM820" t="s">
        <v>1190</v>
      </c>
      <c r="AN820" t="s">
        <v>599</v>
      </c>
      <c r="AO820" t="s">
        <v>599</v>
      </c>
      <c r="AP820" t="s">
        <v>599</v>
      </c>
      <c r="AQ820" t="s">
        <v>599</v>
      </c>
      <c r="AR820" t="s">
        <v>599</v>
      </c>
      <c r="AS820" t="s">
        <v>599</v>
      </c>
      <c r="AT820" t="s">
        <v>599</v>
      </c>
    </row>
    <row r="821" spans="1:46" ht="150" x14ac:dyDescent="0.25">
      <c r="A821" s="2">
        <v>12276</v>
      </c>
      <c r="B821" s="10">
        <v>381297</v>
      </c>
      <c r="C821" s="10">
        <v>1</v>
      </c>
      <c r="D821" s="9">
        <v>290</v>
      </c>
      <c r="E821" s="11" t="s">
        <v>561</v>
      </c>
      <c r="F821" s="12" t="s">
        <v>562</v>
      </c>
      <c r="G821" s="9" t="s">
        <v>563</v>
      </c>
      <c r="H821" s="34"/>
      <c r="I821" s="55" t="str">
        <f t="shared" si="25"/>
        <v>https://permalinkbnd.bnportugal.gov.pt/viewer/14598/?offset=#page=290&amp;viewer=picture&amp;o=info&amp;n=0&amp;q=</v>
      </c>
      <c r="J821" s="45"/>
      <c r="K821" s="45"/>
      <c r="L821" s="45"/>
      <c r="M821" t="s">
        <v>561</v>
      </c>
      <c r="N821">
        <v>14598</v>
      </c>
      <c r="O821" t="str">
        <f t="shared" si="24"/>
        <v>https://permalinkbnd.bnportugal.gov.pt/viewer/14598/?offset=#page=290&amp;viewer=picture&amp;o=info&amp;n=0&amp;q=</v>
      </c>
      <c r="P821">
        <v>381297</v>
      </c>
      <c r="Q821" t="s">
        <v>561</v>
      </c>
      <c r="R821" t="s">
        <v>3400</v>
      </c>
      <c r="S821" t="s">
        <v>1178</v>
      </c>
      <c r="T821" t="s">
        <v>1192</v>
      </c>
      <c r="U821" t="s">
        <v>599</v>
      </c>
      <c r="V821" t="s">
        <v>1193</v>
      </c>
      <c r="W821" t="s">
        <v>3401</v>
      </c>
      <c r="X821" t="s">
        <v>599</v>
      </c>
      <c r="Y821" t="s">
        <v>3402</v>
      </c>
      <c r="Z821" t="s">
        <v>3403</v>
      </c>
      <c r="AA821">
        <v>1817</v>
      </c>
      <c r="AB821">
        <v>1817</v>
      </c>
      <c r="AC821" t="s">
        <v>3404</v>
      </c>
      <c r="AD821" t="s">
        <v>1185</v>
      </c>
      <c r="AE821" t="s">
        <v>599</v>
      </c>
      <c r="AF821" t="s">
        <v>599</v>
      </c>
      <c r="AG821" t="s">
        <v>3405</v>
      </c>
      <c r="AH821" t="s">
        <v>599</v>
      </c>
      <c r="AI821" t="s">
        <v>599</v>
      </c>
      <c r="AJ821" t="s">
        <v>3406</v>
      </c>
      <c r="AK821" t="s">
        <v>599</v>
      </c>
      <c r="AL821" t="s">
        <v>3407</v>
      </c>
      <c r="AM821" t="s">
        <v>1190</v>
      </c>
      <c r="AN821" t="s">
        <v>599</v>
      </c>
      <c r="AO821" t="s">
        <v>599</v>
      </c>
      <c r="AP821" t="s">
        <v>599</v>
      </c>
      <c r="AQ821" t="s">
        <v>599</v>
      </c>
      <c r="AR821" t="s">
        <v>599</v>
      </c>
      <c r="AS821" t="s">
        <v>599</v>
      </c>
      <c r="AT821" t="s">
        <v>599</v>
      </c>
    </row>
    <row r="822" spans="1:46" ht="150" x14ac:dyDescent="0.25">
      <c r="A822" s="2">
        <v>12277</v>
      </c>
      <c r="B822" s="10">
        <v>381297</v>
      </c>
      <c r="C822" s="10">
        <v>1</v>
      </c>
      <c r="D822" s="9">
        <v>330</v>
      </c>
      <c r="E822" s="11" t="s">
        <v>561</v>
      </c>
      <c r="F822" s="12" t="s">
        <v>562</v>
      </c>
      <c r="G822" s="9" t="s">
        <v>563</v>
      </c>
      <c r="H822" s="34"/>
      <c r="I822" s="55" t="str">
        <f t="shared" si="25"/>
        <v>https://permalinkbnd.bnportugal.gov.pt/viewer/14598/?offset=#page=330&amp;viewer=picture&amp;o=info&amp;n=0&amp;q=</v>
      </c>
      <c r="J822" s="45"/>
      <c r="K822" s="45"/>
      <c r="L822" s="45"/>
      <c r="M822" t="s">
        <v>561</v>
      </c>
      <c r="N822">
        <v>14598</v>
      </c>
      <c r="O822" t="str">
        <f t="shared" si="24"/>
        <v>https://permalinkbnd.bnportugal.gov.pt/viewer/14598/?offset=#page=330&amp;viewer=picture&amp;o=info&amp;n=0&amp;q=</v>
      </c>
      <c r="P822">
        <v>381297</v>
      </c>
      <c r="Q822" t="s">
        <v>561</v>
      </c>
      <c r="R822" t="s">
        <v>3400</v>
      </c>
      <c r="S822" t="s">
        <v>1178</v>
      </c>
      <c r="T822" t="s">
        <v>1192</v>
      </c>
      <c r="U822" t="s">
        <v>599</v>
      </c>
      <c r="V822" t="s">
        <v>1193</v>
      </c>
      <c r="W822" t="s">
        <v>3401</v>
      </c>
      <c r="X822" t="s">
        <v>599</v>
      </c>
      <c r="Y822" t="s">
        <v>3402</v>
      </c>
      <c r="Z822" t="s">
        <v>3403</v>
      </c>
      <c r="AA822">
        <v>1817</v>
      </c>
      <c r="AB822">
        <v>1817</v>
      </c>
      <c r="AC822" t="s">
        <v>3404</v>
      </c>
      <c r="AD822" t="s">
        <v>1185</v>
      </c>
      <c r="AE822" t="s">
        <v>599</v>
      </c>
      <c r="AF822" t="s">
        <v>599</v>
      </c>
      <c r="AG822" t="s">
        <v>3405</v>
      </c>
      <c r="AH822" t="s">
        <v>599</v>
      </c>
      <c r="AI822" t="s">
        <v>599</v>
      </c>
      <c r="AJ822" t="s">
        <v>3406</v>
      </c>
      <c r="AK822" t="s">
        <v>599</v>
      </c>
      <c r="AL822" t="s">
        <v>3407</v>
      </c>
      <c r="AM822" t="s">
        <v>1190</v>
      </c>
      <c r="AN822" t="s">
        <v>599</v>
      </c>
      <c r="AO822" t="s">
        <v>599</v>
      </c>
      <c r="AP822" t="s">
        <v>599</v>
      </c>
      <c r="AQ822" t="s">
        <v>599</v>
      </c>
      <c r="AR822" t="s">
        <v>599</v>
      </c>
      <c r="AS822" t="s">
        <v>599</v>
      </c>
      <c r="AT822" t="s">
        <v>599</v>
      </c>
    </row>
    <row r="823" spans="1:46" ht="150" x14ac:dyDescent="0.25">
      <c r="A823" s="2">
        <v>12278</v>
      </c>
      <c r="B823" s="10">
        <v>381297</v>
      </c>
      <c r="C823" s="10">
        <v>1</v>
      </c>
      <c r="D823" s="9">
        <v>368</v>
      </c>
      <c r="E823" s="11" t="s">
        <v>561</v>
      </c>
      <c r="F823" s="12" t="s">
        <v>562</v>
      </c>
      <c r="G823" s="9" t="s">
        <v>563</v>
      </c>
      <c r="H823" s="34"/>
      <c r="I823" s="55" t="str">
        <f t="shared" si="25"/>
        <v>https://permalinkbnd.bnportugal.gov.pt/viewer/14598/?offset=#page=368&amp;viewer=picture&amp;o=info&amp;n=0&amp;q=</v>
      </c>
      <c r="J823" s="45"/>
      <c r="K823" s="45"/>
      <c r="L823" s="45"/>
      <c r="M823" t="s">
        <v>561</v>
      </c>
      <c r="N823">
        <v>14598</v>
      </c>
      <c r="O823" t="str">
        <f t="shared" si="24"/>
        <v>https://permalinkbnd.bnportugal.gov.pt/viewer/14598/?offset=#page=368&amp;viewer=picture&amp;o=info&amp;n=0&amp;q=</v>
      </c>
      <c r="P823">
        <v>381297</v>
      </c>
      <c r="Q823" t="s">
        <v>561</v>
      </c>
      <c r="R823" t="s">
        <v>3400</v>
      </c>
      <c r="S823" t="s">
        <v>1178</v>
      </c>
      <c r="T823" t="s">
        <v>1192</v>
      </c>
      <c r="U823" t="s">
        <v>599</v>
      </c>
      <c r="V823" t="s">
        <v>1193</v>
      </c>
      <c r="W823" t="s">
        <v>3401</v>
      </c>
      <c r="X823" t="s">
        <v>599</v>
      </c>
      <c r="Y823" t="s">
        <v>3402</v>
      </c>
      <c r="Z823" t="s">
        <v>3403</v>
      </c>
      <c r="AA823">
        <v>1817</v>
      </c>
      <c r="AB823">
        <v>1817</v>
      </c>
      <c r="AC823" t="s">
        <v>3404</v>
      </c>
      <c r="AD823" t="s">
        <v>1185</v>
      </c>
      <c r="AE823" t="s">
        <v>599</v>
      </c>
      <c r="AF823" t="s">
        <v>599</v>
      </c>
      <c r="AG823" t="s">
        <v>3405</v>
      </c>
      <c r="AH823" t="s">
        <v>599</v>
      </c>
      <c r="AI823" t="s">
        <v>599</v>
      </c>
      <c r="AJ823" t="s">
        <v>3406</v>
      </c>
      <c r="AK823" t="s">
        <v>599</v>
      </c>
      <c r="AL823" t="s">
        <v>3407</v>
      </c>
      <c r="AM823" t="s">
        <v>1190</v>
      </c>
      <c r="AN823" t="s">
        <v>599</v>
      </c>
      <c r="AO823" t="s">
        <v>599</v>
      </c>
      <c r="AP823" t="s">
        <v>599</v>
      </c>
      <c r="AQ823" t="s">
        <v>599</v>
      </c>
      <c r="AR823" t="s">
        <v>599</v>
      </c>
      <c r="AS823" t="s">
        <v>599</v>
      </c>
      <c r="AT823" t="s">
        <v>599</v>
      </c>
    </row>
    <row r="824" spans="1:46" ht="150" x14ac:dyDescent="0.25">
      <c r="A824" s="2">
        <v>12279</v>
      </c>
      <c r="B824" s="10">
        <v>381297</v>
      </c>
      <c r="C824" s="10">
        <v>1</v>
      </c>
      <c r="D824" s="9">
        <v>406</v>
      </c>
      <c r="E824" s="11" t="s">
        <v>561</v>
      </c>
      <c r="F824" s="12" t="s">
        <v>562</v>
      </c>
      <c r="G824" s="9" t="s">
        <v>563</v>
      </c>
      <c r="H824" s="34"/>
      <c r="I824" s="55" t="str">
        <f t="shared" si="25"/>
        <v>https://permalinkbnd.bnportugal.gov.pt/viewer/14598/?offset=#page=406&amp;viewer=picture&amp;o=info&amp;n=0&amp;q=</v>
      </c>
      <c r="J824" s="45"/>
      <c r="K824" s="45"/>
      <c r="L824" s="45"/>
      <c r="M824" t="s">
        <v>561</v>
      </c>
      <c r="N824">
        <v>14598</v>
      </c>
      <c r="O824" t="str">
        <f t="shared" si="24"/>
        <v>https://permalinkbnd.bnportugal.gov.pt/viewer/14598/?offset=#page=406&amp;viewer=picture&amp;o=info&amp;n=0&amp;q=</v>
      </c>
      <c r="P824">
        <v>381297</v>
      </c>
      <c r="Q824" t="s">
        <v>561</v>
      </c>
      <c r="R824" t="s">
        <v>3400</v>
      </c>
      <c r="S824" t="s">
        <v>1178</v>
      </c>
      <c r="T824" t="s">
        <v>1192</v>
      </c>
      <c r="U824" t="s">
        <v>599</v>
      </c>
      <c r="V824" t="s">
        <v>1193</v>
      </c>
      <c r="W824" t="s">
        <v>3401</v>
      </c>
      <c r="X824" t="s">
        <v>599</v>
      </c>
      <c r="Y824" t="s">
        <v>3402</v>
      </c>
      <c r="Z824" t="s">
        <v>3403</v>
      </c>
      <c r="AA824">
        <v>1817</v>
      </c>
      <c r="AB824">
        <v>1817</v>
      </c>
      <c r="AC824" t="s">
        <v>3404</v>
      </c>
      <c r="AD824" t="s">
        <v>1185</v>
      </c>
      <c r="AE824" t="s">
        <v>599</v>
      </c>
      <c r="AF824" t="s">
        <v>599</v>
      </c>
      <c r="AG824" t="s">
        <v>3405</v>
      </c>
      <c r="AH824" t="s">
        <v>599</v>
      </c>
      <c r="AI824" t="s">
        <v>599</v>
      </c>
      <c r="AJ824" t="s">
        <v>3406</v>
      </c>
      <c r="AK824" t="s">
        <v>599</v>
      </c>
      <c r="AL824" t="s">
        <v>3407</v>
      </c>
      <c r="AM824" t="s">
        <v>1190</v>
      </c>
      <c r="AN824" t="s">
        <v>599</v>
      </c>
      <c r="AO824" t="s">
        <v>599</v>
      </c>
      <c r="AP824" t="s">
        <v>599</v>
      </c>
      <c r="AQ824" t="s">
        <v>599</v>
      </c>
      <c r="AR824" t="s">
        <v>599</v>
      </c>
      <c r="AS824" t="s">
        <v>599</v>
      </c>
      <c r="AT824" t="s">
        <v>599</v>
      </c>
    </row>
    <row r="825" spans="1:46" ht="150" x14ac:dyDescent="0.25">
      <c r="A825" s="2">
        <v>12280</v>
      </c>
      <c r="B825" s="10">
        <v>381297</v>
      </c>
      <c r="C825" s="10">
        <v>1</v>
      </c>
      <c r="D825" s="9">
        <v>440</v>
      </c>
      <c r="E825" s="11" t="s">
        <v>561</v>
      </c>
      <c r="F825" s="12" t="s">
        <v>562</v>
      </c>
      <c r="G825" s="9" t="s">
        <v>563</v>
      </c>
      <c r="H825" s="34"/>
      <c r="I825" s="55" t="str">
        <f t="shared" si="25"/>
        <v>https://permalinkbnd.bnportugal.gov.pt/viewer/14598/?offset=#page=440&amp;viewer=picture&amp;o=info&amp;n=0&amp;q=</v>
      </c>
      <c r="J825" s="45"/>
      <c r="K825" s="45"/>
      <c r="L825" s="45"/>
      <c r="M825" t="s">
        <v>561</v>
      </c>
      <c r="N825">
        <v>14598</v>
      </c>
      <c r="O825" t="str">
        <f t="shared" si="24"/>
        <v>https://permalinkbnd.bnportugal.gov.pt/viewer/14598/?offset=#page=440&amp;viewer=picture&amp;o=info&amp;n=0&amp;q=</v>
      </c>
      <c r="P825">
        <v>381297</v>
      </c>
      <c r="Q825" t="s">
        <v>561</v>
      </c>
      <c r="R825" t="s">
        <v>3400</v>
      </c>
      <c r="S825" t="s">
        <v>1178</v>
      </c>
      <c r="T825" t="s">
        <v>1192</v>
      </c>
      <c r="U825" t="s">
        <v>599</v>
      </c>
      <c r="V825" t="s">
        <v>1193</v>
      </c>
      <c r="W825" t="s">
        <v>3401</v>
      </c>
      <c r="X825" t="s">
        <v>599</v>
      </c>
      <c r="Y825" t="s">
        <v>3402</v>
      </c>
      <c r="Z825" t="s">
        <v>3403</v>
      </c>
      <c r="AA825">
        <v>1817</v>
      </c>
      <c r="AB825">
        <v>1817</v>
      </c>
      <c r="AC825" t="s">
        <v>3404</v>
      </c>
      <c r="AD825" t="s">
        <v>1185</v>
      </c>
      <c r="AE825" t="s">
        <v>599</v>
      </c>
      <c r="AF825" t="s">
        <v>599</v>
      </c>
      <c r="AG825" t="s">
        <v>3405</v>
      </c>
      <c r="AH825" t="s">
        <v>599</v>
      </c>
      <c r="AI825" t="s">
        <v>599</v>
      </c>
      <c r="AJ825" t="s">
        <v>3406</v>
      </c>
      <c r="AK825" t="s">
        <v>599</v>
      </c>
      <c r="AL825" t="s">
        <v>3407</v>
      </c>
      <c r="AM825" t="s">
        <v>1190</v>
      </c>
      <c r="AN825" t="s">
        <v>599</v>
      </c>
      <c r="AO825" t="s">
        <v>599</v>
      </c>
      <c r="AP825" t="s">
        <v>599</v>
      </c>
      <c r="AQ825" t="s">
        <v>599</v>
      </c>
      <c r="AR825" t="s">
        <v>599</v>
      </c>
      <c r="AS825" t="s">
        <v>599</v>
      </c>
      <c r="AT825" t="s">
        <v>599</v>
      </c>
    </row>
    <row r="826" spans="1:46" ht="150" x14ac:dyDescent="0.25">
      <c r="A826" s="2">
        <v>12281</v>
      </c>
      <c r="B826" s="10">
        <v>381297</v>
      </c>
      <c r="C826" s="10">
        <v>1</v>
      </c>
      <c r="D826" s="9">
        <v>478</v>
      </c>
      <c r="E826" s="11" t="s">
        <v>561</v>
      </c>
      <c r="F826" s="12" t="s">
        <v>562</v>
      </c>
      <c r="G826" s="9" t="s">
        <v>563</v>
      </c>
      <c r="H826" s="34"/>
      <c r="I826" s="55" t="str">
        <f t="shared" si="25"/>
        <v>https://permalinkbnd.bnportugal.gov.pt/viewer/14598/?offset=#page=478&amp;viewer=picture&amp;o=info&amp;n=0&amp;q=</v>
      </c>
      <c r="J826" s="45"/>
      <c r="K826" s="45"/>
      <c r="L826" s="45"/>
      <c r="M826" t="s">
        <v>561</v>
      </c>
      <c r="N826">
        <v>14598</v>
      </c>
      <c r="O826" t="str">
        <f t="shared" si="24"/>
        <v>https://permalinkbnd.bnportugal.gov.pt/viewer/14598/?offset=#page=478&amp;viewer=picture&amp;o=info&amp;n=0&amp;q=</v>
      </c>
      <c r="P826">
        <v>381297</v>
      </c>
      <c r="Q826" t="s">
        <v>561</v>
      </c>
      <c r="R826" t="s">
        <v>3400</v>
      </c>
      <c r="S826" t="s">
        <v>1178</v>
      </c>
      <c r="T826" t="s">
        <v>1192</v>
      </c>
      <c r="U826" t="s">
        <v>599</v>
      </c>
      <c r="V826" t="s">
        <v>1193</v>
      </c>
      <c r="W826" t="s">
        <v>3401</v>
      </c>
      <c r="X826" t="s">
        <v>599</v>
      </c>
      <c r="Y826" t="s">
        <v>3402</v>
      </c>
      <c r="Z826" t="s">
        <v>3403</v>
      </c>
      <c r="AA826">
        <v>1817</v>
      </c>
      <c r="AB826">
        <v>1817</v>
      </c>
      <c r="AC826" t="s">
        <v>3404</v>
      </c>
      <c r="AD826" t="s">
        <v>1185</v>
      </c>
      <c r="AE826" t="s">
        <v>599</v>
      </c>
      <c r="AF826" t="s">
        <v>599</v>
      </c>
      <c r="AG826" t="s">
        <v>3405</v>
      </c>
      <c r="AH826" t="s">
        <v>599</v>
      </c>
      <c r="AI826" t="s">
        <v>599</v>
      </c>
      <c r="AJ826" t="s">
        <v>3406</v>
      </c>
      <c r="AK826" t="s">
        <v>599</v>
      </c>
      <c r="AL826" t="s">
        <v>3407</v>
      </c>
      <c r="AM826" t="s">
        <v>1190</v>
      </c>
      <c r="AN826" t="s">
        <v>599</v>
      </c>
      <c r="AO826" t="s">
        <v>599</v>
      </c>
      <c r="AP826" t="s">
        <v>599</v>
      </c>
      <c r="AQ826" t="s">
        <v>599</v>
      </c>
      <c r="AR826" t="s">
        <v>599</v>
      </c>
      <c r="AS826" t="s">
        <v>599</v>
      </c>
      <c r="AT826" t="s">
        <v>599</v>
      </c>
    </row>
    <row r="827" spans="1:46" ht="150" x14ac:dyDescent="0.25">
      <c r="A827" s="2">
        <v>12282</v>
      </c>
      <c r="B827" s="10">
        <v>381297</v>
      </c>
      <c r="C827" s="10">
        <v>1</v>
      </c>
      <c r="D827" s="9">
        <v>514</v>
      </c>
      <c r="E827" s="11" t="s">
        <v>561</v>
      </c>
      <c r="F827" s="12" t="s">
        <v>562</v>
      </c>
      <c r="G827" s="9" t="s">
        <v>563</v>
      </c>
      <c r="H827" s="34"/>
      <c r="I827" s="55" t="str">
        <f t="shared" si="25"/>
        <v>https://permalinkbnd.bnportugal.gov.pt/viewer/14598/?offset=#page=514&amp;viewer=picture&amp;o=info&amp;n=0&amp;q=</v>
      </c>
      <c r="J827" s="45"/>
      <c r="K827" s="45"/>
      <c r="L827" s="45"/>
      <c r="M827" t="s">
        <v>561</v>
      </c>
      <c r="N827">
        <v>14598</v>
      </c>
      <c r="O827" t="str">
        <f t="shared" si="24"/>
        <v>https://permalinkbnd.bnportugal.gov.pt/viewer/14598/?offset=#page=514&amp;viewer=picture&amp;o=info&amp;n=0&amp;q=</v>
      </c>
      <c r="P827">
        <v>381297</v>
      </c>
      <c r="Q827" t="s">
        <v>561</v>
      </c>
      <c r="R827" t="s">
        <v>3400</v>
      </c>
      <c r="S827" t="s">
        <v>1178</v>
      </c>
      <c r="T827" t="s">
        <v>1192</v>
      </c>
      <c r="U827" t="s">
        <v>599</v>
      </c>
      <c r="V827" t="s">
        <v>1193</v>
      </c>
      <c r="W827" t="s">
        <v>3401</v>
      </c>
      <c r="X827" t="s">
        <v>599</v>
      </c>
      <c r="Y827" t="s">
        <v>3402</v>
      </c>
      <c r="Z827" t="s">
        <v>3403</v>
      </c>
      <c r="AA827">
        <v>1817</v>
      </c>
      <c r="AB827">
        <v>1817</v>
      </c>
      <c r="AC827" t="s">
        <v>3404</v>
      </c>
      <c r="AD827" t="s">
        <v>1185</v>
      </c>
      <c r="AE827" t="s">
        <v>599</v>
      </c>
      <c r="AF827" t="s">
        <v>599</v>
      </c>
      <c r="AG827" t="s">
        <v>3405</v>
      </c>
      <c r="AH827" t="s">
        <v>599</v>
      </c>
      <c r="AI827" t="s">
        <v>599</v>
      </c>
      <c r="AJ827" t="s">
        <v>3406</v>
      </c>
      <c r="AK827" t="s">
        <v>599</v>
      </c>
      <c r="AL827" t="s">
        <v>3407</v>
      </c>
      <c r="AM827" t="s">
        <v>1190</v>
      </c>
      <c r="AN827" t="s">
        <v>599</v>
      </c>
      <c r="AO827" t="s">
        <v>599</v>
      </c>
      <c r="AP827" t="s">
        <v>599</v>
      </c>
      <c r="AQ827" t="s">
        <v>599</v>
      </c>
      <c r="AR827" t="s">
        <v>599</v>
      </c>
      <c r="AS827" t="s">
        <v>599</v>
      </c>
      <c r="AT827" t="s">
        <v>599</v>
      </c>
    </row>
    <row r="828" spans="1:46" ht="30" x14ac:dyDescent="0.25">
      <c r="A828" s="2">
        <v>12283</v>
      </c>
      <c r="B828" s="10">
        <v>381496</v>
      </c>
      <c r="C828" s="10">
        <v>1</v>
      </c>
      <c r="D828" s="9">
        <v>10</v>
      </c>
      <c r="E828" s="11" t="s">
        <v>564</v>
      </c>
      <c r="F828" s="12" t="s">
        <v>565</v>
      </c>
      <c r="G828" s="9" t="s">
        <v>566</v>
      </c>
      <c r="H828" s="34"/>
      <c r="I828" s="55" t="str">
        <f t="shared" si="25"/>
        <v>https://permalinkbnd.bnportugal.gov.pt/viewer/14581/?offset=#page=10&amp;viewer=picture&amp;o=info&amp;n=0&amp;q=</v>
      </c>
      <c r="J828" s="45"/>
      <c r="K828" s="45"/>
      <c r="L828" s="45"/>
      <c r="M828" t="s">
        <v>564</v>
      </c>
      <c r="N828">
        <v>14581</v>
      </c>
      <c r="O828" t="str">
        <f t="shared" si="24"/>
        <v>https://permalinkbnd.bnportugal.gov.pt/viewer/14581/?offset=#page=10&amp;viewer=picture&amp;o=info&amp;n=0&amp;q=</v>
      </c>
      <c r="P828">
        <v>381496</v>
      </c>
      <c r="Q828" t="s">
        <v>564</v>
      </c>
      <c r="R828" t="s">
        <v>3408</v>
      </c>
      <c r="S828" t="s">
        <v>1178</v>
      </c>
      <c r="T828" t="s">
        <v>1321</v>
      </c>
      <c r="U828" t="s">
        <v>599</v>
      </c>
      <c r="V828" t="s">
        <v>1193</v>
      </c>
      <c r="W828" t="s">
        <v>3409</v>
      </c>
      <c r="X828" t="s">
        <v>599</v>
      </c>
      <c r="Y828" t="s">
        <v>1182</v>
      </c>
      <c r="Z828" t="s">
        <v>1221</v>
      </c>
      <c r="AA828">
        <v>1878</v>
      </c>
      <c r="AB828">
        <v>1878</v>
      </c>
      <c r="AC828" t="s">
        <v>3410</v>
      </c>
      <c r="AD828" t="s">
        <v>1185</v>
      </c>
      <c r="AE828" t="s">
        <v>599</v>
      </c>
      <c r="AF828" t="s">
        <v>599</v>
      </c>
      <c r="AG828" t="s">
        <v>3411</v>
      </c>
      <c r="AH828" t="s">
        <v>599</v>
      </c>
      <c r="AI828" t="s">
        <v>599</v>
      </c>
      <c r="AJ828" t="s">
        <v>3412</v>
      </c>
      <c r="AK828" t="s">
        <v>599</v>
      </c>
      <c r="AL828" t="s">
        <v>3413</v>
      </c>
      <c r="AM828" t="s">
        <v>1190</v>
      </c>
      <c r="AN828" t="s">
        <v>599</v>
      </c>
      <c r="AO828" t="s">
        <v>599</v>
      </c>
      <c r="AP828" t="s">
        <v>599</v>
      </c>
      <c r="AQ828" t="s">
        <v>599</v>
      </c>
      <c r="AR828" t="s">
        <v>599</v>
      </c>
      <c r="AS828" t="s">
        <v>599</v>
      </c>
      <c r="AT828" t="s">
        <v>599</v>
      </c>
    </row>
    <row r="829" spans="1:46" ht="30" x14ac:dyDescent="0.25">
      <c r="A829" s="2">
        <v>12284</v>
      </c>
      <c r="B829" s="10">
        <v>381496</v>
      </c>
      <c r="C829" s="10">
        <v>1</v>
      </c>
      <c r="D829" s="9">
        <v>49</v>
      </c>
      <c r="E829" s="11" t="s">
        <v>564</v>
      </c>
      <c r="F829" s="12" t="s">
        <v>565</v>
      </c>
      <c r="G829" s="9" t="s">
        <v>566</v>
      </c>
      <c r="H829" s="34"/>
      <c r="I829" s="55" t="str">
        <f t="shared" si="25"/>
        <v>https://permalinkbnd.bnportugal.gov.pt/viewer/14581/?offset=#page=49&amp;viewer=picture&amp;o=info&amp;n=0&amp;q=</v>
      </c>
      <c r="J829" s="45"/>
      <c r="K829" s="45"/>
      <c r="L829" s="45"/>
      <c r="M829" t="s">
        <v>564</v>
      </c>
      <c r="N829">
        <v>14581</v>
      </c>
      <c r="O829" t="str">
        <f t="shared" si="24"/>
        <v>https://permalinkbnd.bnportugal.gov.pt/viewer/14581/?offset=#page=49&amp;viewer=picture&amp;o=info&amp;n=0&amp;q=</v>
      </c>
      <c r="P829">
        <v>381496</v>
      </c>
      <c r="Q829" t="s">
        <v>564</v>
      </c>
      <c r="R829" t="s">
        <v>3408</v>
      </c>
      <c r="S829" t="s">
        <v>1178</v>
      </c>
      <c r="T829" t="s">
        <v>1321</v>
      </c>
      <c r="U829" t="s">
        <v>599</v>
      </c>
      <c r="V829" t="s">
        <v>1193</v>
      </c>
      <c r="W829" t="s">
        <v>3409</v>
      </c>
      <c r="X829" t="s">
        <v>599</v>
      </c>
      <c r="Y829" t="s">
        <v>1182</v>
      </c>
      <c r="Z829" t="s">
        <v>1221</v>
      </c>
      <c r="AA829">
        <v>1878</v>
      </c>
      <c r="AB829">
        <v>1878</v>
      </c>
      <c r="AC829" t="s">
        <v>3410</v>
      </c>
      <c r="AD829" t="s">
        <v>1185</v>
      </c>
      <c r="AE829" t="s">
        <v>599</v>
      </c>
      <c r="AF829" t="s">
        <v>599</v>
      </c>
      <c r="AG829" t="s">
        <v>3411</v>
      </c>
      <c r="AH829" t="s">
        <v>599</v>
      </c>
      <c r="AI829" t="s">
        <v>599</v>
      </c>
      <c r="AJ829" t="s">
        <v>3412</v>
      </c>
      <c r="AK829" t="s">
        <v>599</v>
      </c>
      <c r="AL829" t="s">
        <v>3413</v>
      </c>
      <c r="AM829" t="s">
        <v>1190</v>
      </c>
      <c r="AN829" t="s">
        <v>599</v>
      </c>
      <c r="AO829" t="s">
        <v>599</v>
      </c>
      <c r="AP829" t="s">
        <v>599</v>
      </c>
      <c r="AQ829" t="s">
        <v>599</v>
      </c>
      <c r="AR829" t="s">
        <v>599</v>
      </c>
      <c r="AS829" t="s">
        <v>599</v>
      </c>
      <c r="AT829" t="s">
        <v>599</v>
      </c>
    </row>
    <row r="830" spans="1:46" ht="30" x14ac:dyDescent="0.25">
      <c r="A830" s="2">
        <v>12285</v>
      </c>
      <c r="B830" s="10">
        <v>381496</v>
      </c>
      <c r="C830" s="10">
        <v>1</v>
      </c>
      <c r="D830" s="9">
        <v>83</v>
      </c>
      <c r="E830" s="11" t="s">
        <v>564</v>
      </c>
      <c r="F830" s="12" t="s">
        <v>565</v>
      </c>
      <c r="G830" s="9" t="s">
        <v>566</v>
      </c>
      <c r="H830" s="34"/>
      <c r="I830" s="55" t="str">
        <f t="shared" si="25"/>
        <v>https://permalinkbnd.bnportugal.gov.pt/viewer/14581/?offset=#page=83&amp;viewer=picture&amp;o=info&amp;n=0&amp;q=</v>
      </c>
      <c r="J830" s="45"/>
      <c r="K830" s="45"/>
      <c r="L830" s="45"/>
      <c r="M830" t="s">
        <v>564</v>
      </c>
      <c r="N830">
        <v>14581</v>
      </c>
      <c r="O830" t="str">
        <f t="shared" si="24"/>
        <v>https://permalinkbnd.bnportugal.gov.pt/viewer/14581/?offset=#page=83&amp;viewer=picture&amp;o=info&amp;n=0&amp;q=</v>
      </c>
      <c r="P830">
        <v>381496</v>
      </c>
      <c r="Q830" t="s">
        <v>564</v>
      </c>
      <c r="R830" t="s">
        <v>3408</v>
      </c>
      <c r="S830" t="s">
        <v>1178</v>
      </c>
      <c r="T830" t="s">
        <v>1321</v>
      </c>
      <c r="U830" t="s">
        <v>599</v>
      </c>
      <c r="V830" t="s">
        <v>1193</v>
      </c>
      <c r="W830" t="s">
        <v>3409</v>
      </c>
      <c r="X830" t="s">
        <v>599</v>
      </c>
      <c r="Y830" t="s">
        <v>1182</v>
      </c>
      <c r="Z830" t="s">
        <v>1221</v>
      </c>
      <c r="AA830">
        <v>1878</v>
      </c>
      <c r="AB830">
        <v>1878</v>
      </c>
      <c r="AC830" t="s">
        <v>3410</v>
      </c>
      <c r="AD830" t="s">
        <v>1185</v>
      </c>
      <c r="AE830" t="s">
        <v>599</v>
      </c>
      <c r="AF830" t="s">
        <v>599</v>
      </c>
      <c r="AG830" t="s">
        <v>3411</v>
      </c>
      <c r="AH830" t="s">
        <v>599</v>
      </c>
      <c r="AI830" t="s">
        <v>599</v>
      </c>
      <c r="AJ830" t="s">
        <v>3412</v>
      </c>
      <c r="AK830" t="s">
        <v>599</v>
      </c>
      <c r="AL830" t="s">
        <v>3413</v>
      </c>
      <c r="AM830" t="s">
        <v>1190</v>
      </c>
      <c r="AN830" t="s">
        <v>599</v>
      </c>
      <c r="AO830" t="s">
        <v>599</v>
      </c>
      <c r="AP830" t="s">
        <v>599</v>
      </c>
      <c r="AQ830" t="s">
        <v>599</v>
      </c>
      <c r="AR830" t="s">
        <v>599</v>
      </c>
      <c r="AS830" t="s">
        <v>599</v>
      </c>
      <c r="AT830" t="s">
        <v>599</v>
      </c>
    </row>
    <row r="831" spans="1:46" ht="30" x14ac:dyDescent="0.25">
      <c r="A831" s="2">
        <v>12286</v>
      </c>
      <c r="B831" s="10">
        <v>381496</v>
      </c>
      <c r="C831" s="10">
        <v>1</v>
      </c>
      <c r="D831" s="9">
        <v>119</v>
      </c>
      <c r="E831" s="11" t="s">
        <v>564</v>
      </c>
      <c r="F831" s="12" t="s">
        <v>565</v>
      </c>
      <c r="G831" s="9" t="s">
        <v>566</v>
      </c>
      <c r="H831" s="34"/>
      <c r="I831" s="55" t="str">
        <f t="shared" si="25"/>
        <v>https://permalinkbnd.bnportugal.gov.pt/viewer/14581/?offset=#page=119&amp;viewer=picture&amp;o=info&amp;n=0&amp;q=</v>
      </c>
      <c r="J831" s="45"/>
      <c r="K831" s="45"/>
      <c r="L831" s="45"/>
      <c r="M831" t="s">
        <v>564</v>
      </c>
      <c r="N831">
        <v>14581</v>
      </c>
      <c r="O831" t="str">
        <f t="shared" si="24"/>
        <v>https://permalinkbnd.bnportugal.gov.pt/viewer/14581/?offset=#page=119&amp;viewer=picture&amp;o=info&amp;n=0&amp;q=</v>
      </c>
      <c r="P831">
        <v>381496</v>
      </c>
      <c r="Q831" t="s">
        <v>564</v>
      </c>
      <c r="R831" t="s">
        <v>3408</v>
      </c>
      <c r="S831" t="s">
        <v>1178</v>
      </c>
      <c r="T831" t="s">
        <v>1321</v>
      </c>
      <c r="U831" t="s">
        <v>599</v>
      </c>
      <c r="V831" t="s">
        <v>1193</v>
      </c>
      <c r="W831" t="s">
        <v>3409</v>
      </c>
      <c r="X831" t="s">
        <v>599</v>
      </c>
      <c r="Y831" t="s">
        <v>1182</v>
      </c>
      <c r="Z831" t="s">
        <v>1221</v>
      </c>
      <c r="AA831">
        <v>1878</v>
      </c>
      <c r="AB831">
        <v>1878</v>
      </c>
      <c r="AC831" t="s">
        <v>3410</v>
      </c>
      <c r="AD831" t="s">
        <v>1185</v>
      </c>
      <c r="AE831" t="s">
        <v>599</v>
      </c>
      <c r="AF831" t="s">
        <v>599</v>
      </c>
      <c r="AG831" t="s">
        <v>3411</v>
      </c>
      <c r="AH831" t="s">
        <v>599</v>
      </c>
      <c r="AI831" t="s">
        <v>599</v>
      </c>
      <c r="AJ831" t="s">
        <v>3412</v>
      </c>
      <c r="AK831" t="s">
        <v>599</v>
      </c>
      <c r="AL831" t="s">
        <v>3413</v>
      </c>
      <c r="AM831" t="s">
        <v>1190</v>
      </c>
      <c r="AN831" t="s">
        <v>599</v>
      </c>
      <c r="AO831" t="s">
        <v>599</v>
      </c>
      <c r="AP831" t="s">
        <v>599</v>
      </c>
      <c r="AQ831" t="s">
        <v>599</v>
      </c>
      <c r="AR831" t="s">
        <v>599</v>
      </c>
      <c r="AS831" t="s">
        <v>599</v>
      </c>
      <c r="AT831" t="s">
        <v>599</v>
      </c>
    </row>
    <row r="832" spans="1:46" ht="30" x14ac:dyDescent="0.25">
      <c r="A832" s="2">
        <v>12287</v>
      </c>
      <c r="B832" s="10">
        <v>381496</v>
      </c>
      <c r="C832" s="10">
        <v>1</v>
      </c>
      <c r="D832" s="9">
        <v>161</v>
      </c>
      <c r="E832" s="11" t="s">
        <v>564</v>
      </c>
      <c r="F832" s="12" t="s">
        <v>565</v>
      </c>
      <c r="G832" s="9" t="s">
        <v>566</v>
      </c>
      <c r="H832" s="34"/>
      <c r="I832" s="55" t="str">
        <f t="shared" si="25"/>
        <v>https://permalinkbnd.bnportugal.gov.pt/viewer/14581/?offset=#page=161&amp;viewer=picture&amp;o=info&amp;n=0&amp;q=</v>
      </c>
      <c r="J832" s="45"/>
      <c r="K832" s="45"/>
      <c r="L832" s="45"/>
      <c r="M832" t="s">
        <v>564</v>
      </c>
      <c r="N832">
        <v>14581</v>
      </c>
      <c r="O832" t="str">
        <f t="shared" si="24"/>
        <v>https://permalinkbnd.bnportugal.gov.pt/viewer/14581/?offset=#page=161&amp;viewer=picture&amp;o=info&amp;n=0&amp;q=</v>
      </c>
      <c r="P832">
        <v>381496</v>
      </c>
      <c r="Q832" t="s">
        <v>564</v>
      </c>
      <c r="R832" t="s">
        <v>3408</v>
      </c>
      <c r="S832" t="s">
        <v>1178</v>
      </c>
      <c r="T832" t="s">
        <v>1321</v>
      </c>
      <c r="U832" t="s">
        <v>599</v>
      </c>
      <c r="V832" t="s">
        <v>1193</v>
      </c>
      <c r="W832" t="s">
        <v>3409</v>
      </c>
      <c r="X832" t="s">
        <v>599</v>
      </c>
      <c r="Y832" t="s">
        <v>1182</v>
      </c>
      <c r="Z832" t="s">
        <v>1221</v>
      </c>
      <c r="AA832">
        <v>1878</v>
      </c>
      <c r="AB832">
        <v>1878</v>
      </c>
      <c r="AC832" t="s">
        <v>3410</v>
      </c>
      <c r="AD832" t="s">
        <v>1185</v>
      </c>
      <c r="AE832" t="s">
        <v>599</v>
      </c>
      <c r="AF832" t="s">
        <v>599</v>
      </c>
      <c r="AG832" t="s">
        <v>3411</v>
      </c>
      <c r="AH832" t="s">
        <v>599</v>
      </c>
      <c r="AI832" t="s">
        <v>599</v>
      </c>
      <c r="AJ832" t="s">
        <v>3412</v>
      </c>
      <c r="AK832" t="s">
        <v>599</v>
      </c>
      <c r="AL832" t="s">
        <v>3413</v>
      </c>
      <c r="AM832" t="s">
        <v>1190</v>
      </c>
      <c r="AN832" t="s">
        <v>599</v>
      </c>
      <c r="AO832" t="s">
        <v>599</v>
      </c>
      <c r="AP832" t="s">
        <v>599</v>
      </c>
      <c r="AQ832" t="s">
        <v>599</v>
      </c>
      <c r="AR832" t="s">
        <v>599</v>
      </c>
      <c r="AS832" t="s">
        <v>599</v>
      </c>
      <c r="AT832" t="s">
        <v>599</v>
      </c>
    </row>
    <row r="833" spans="1:46" ht="30" x14ac:dyDescent="0.25">
      <c r="A833" s="2">
        <v>12288</v>
      </c>
      <c r="B833" s="10">
        <v>381496</v>
      </c>
      <c r="C833" s="10">
        <v>1</v>
      </c>
      <c r="D833" s="9">
        <v>195</v>
      </c>
      <c r="E833" s="11" t="s">
        <v>564</v>
      </c>
      <c r="F833" s="12" t="s">
        <v>565</v>
      </c>
      <c r="G833" s="9" t="s">
        <v>566</v>
      </c>
      <c r="H833" s="34"/>
      <c r="I833" s="55" t="str">
        <f t="shared" si="25"/>
        <v>https://permalinkbnd.bnportugal.gov.pt/viewer/14581/?offset=#page=195&amp;viewer=picture&amp;o=info&amp;n=0&amp;q=</v>
      </c>
      <c r="J833" s="45"/>
      <c r="K833" s="45"/>
      <c r="L833" s="45"/>
      <c r="M833" t="s">
        <v>564</v>
      </c>
      <c r="N833">
        <v>14581</v>
      </c>
      <c r="O833" t="str">
        <f t="shared" si="24"/>
        <v>https://permalinkbnd.bnportugal.gov.pt/viewer/14581/?offset=#page=195&amp;viewer=picture&amp;o=info&amp;n=0&amp;q=</v>
      </c>
      <c r="P833">
        <v>381496</v>
      </c>
      <c r="Q833" t="s">
        <v>564</v>
      </c>
      <c r="R833" t="s">
        <v>3408</v>
      </c>
      <c r="S833" t="s">
        <v>1178</v>
      </c>
      <c r="T833" t="s">
        <v>1321</v>
      </c>
      <c r="U833" t="s">
        <v>599</v>
      </c>
      <c r="V833" t="s">
        <v>1193</v>
      </c>
      <c r="W833" t="s">
        <v>3409</v>
      </c>
      <c r="X833" t="s">
        <v>599</v>
      </c>
      <c r="Y833" t="s">
        <v>1182</v>
      </c>
      <c r="Z833" t="s">
        <v>1221</v>
      </c>
      <c r="AA833">
        <v>1878</v>
      </c>
      <c r="AB833">
        <v>1878</v>
      </c>
      <c r="AC833" t="s">
        <v>3410</v>
      </c>
      <c r="AD833" t="s">
        <v>1185</v>
      </c>
      <c r="AE833" t="s">
        <v>599</v>
      </c>
      <c r="AF833" t="s">
        <v>599</v>
      </c>
      <c r="AG833" t="s">
        <v>3411</v>
      </c>
      <c r="AH833" t="s">
        <v>599</v>
      </c>
      <c r="AI833" t="s">
        <v>599</v>
      </c>
      <c r="AJ833" t="s">
        <v>3412</v>
      </c>
      <c r="AK833" t="s">
        <v>599</v>
      </c>
      <c r="AL833" t="s">
        <v>3413</v>
      </c>
      <c r="AM833" t="s">
        <v>1190</v>
      </c>
      <c r="AN833" t="s">
        <v>599</v>
      </c>
      <c r="AO833" t="s">
        <v>599</v>
      </c>
      <c r="AP833" t="s">
        <v>599</v>
      </c>
      <c r="AQ833" t="s">
        <v>599</v>
      </c>
      <c r="AR833" t="s">
        <v>599</v>
      </c>
      <c r="AS833" t="s">
        <v>599</v>
      </c>
      <c r="AT833" t="s">
        <v>599</v>
      </c>
    </row>
    <row r="834" spans="1:46" ht="30" x14ac:dyDescent="0.25">
      <c r="A834" s="2">
        <v>12289</v>
      </c>
      <c r="B834" s="10">
        <v>381496</v>
      </c>
      <c r="C834" s="10">
        <v>1</v>
      </c>
      <c r="D834" s="9">
        <v>227</v>
      </c>
      <c r="E834" s="11" t="s">
        <v>564</v>
      </c>
      <c r="F834" s="12" t="s">
        <v>565</v>
      </c>
      <c r="G834" s="9" t="s">
        <v>566</v>
      </c>
      <c r="H834" s="34"/>
      <c r="I834" s="55" t="str">
        <f t="shared" si="25"/>
        <v>https://permalinkbnd.bnportugal.gov.pt/viewer/14581/?offset=#page=227&amp;viewer=picture&amp;o=info&amp;n=0&amp;q=</v>
      </c>
      <c r="J834" s="45"/>
      <c r="K834" s="45"/>
      <c r="L834" s="45"/>
      <c r="M834" t="s">
        <v>564</v>
      </c>
      <c r="N834">
        <v>14581</v>
      </c>
      <c r="O834" t="str">
        <f t="shared" ref="O834:O867" si="26">CONCATENATE("https://permalinkbnd.bnportugal.gov.pt/viewer/",N834,"/?offset=#page=",D834,"&amp;viewer=picture&amp;o=info&amp;n=0&amp;q=")</f>
        <v>https://permalinkbnd.bnportugal.gov.pt/viewer/14581/?offset=#page=227&amp;viewer=picture&amp;o=info&amp;n=0&amp;q=</v>
      </c>
      <c r="P834">
        <v>381496</v>
      </c>
      <c r="Q834" t="s">
        <v>564</v>
      </c>
      <c r="R834" t="s">
        <v>3408</v>
      </c>
      <c r="S834" t="s">
        <v>1178</v>
      </c>
      <c r="T834" t="s">
        <v>1321</v>
      </c>
      <c r="U834" t="s">
        <v>599</v>
      </c>
      <c r="V834" t="s">
        <v>1193</v>
      </c>
      <c r="W834" t="s">
        <v>3409</v>
      </c>
      <c r="X834" t="s">
        <v>599</v>
      </c>
      <c r="Y834" t="s">
        <v>1182</v>
      </c>
      <c r="Z834" t="s">
        <v>1221</v>
      </c>
      <c r="AA834">
        <v>1878</v>
      </c>
      <c r="AB834">
        <v>1878</v>
      </c>
      <c r="AC834" t="s">
        <v>3410</v>
      </c>
      <c r="AD834" t="s">
        <v>1185</v>
      </c>
      <c r="AE834" t="s">
        <v>599</v>
      </c>
      <c r="AF834" t="s">
        <v>599</v>
      </c>
      <c r="AG834" t="s">
        <v>3411</v>
      </c>
      <c r="AH834" t="s">
        <v>599</v>
      </c>
      <c r="AI834" t="s">
        <v>599</v>
      </c>
      <c r="AJ834" t="s">
        <v>3412</v>
      </c>
      <c r="AK834" t="s">
        <v>599</v>
      </c>
      <c r="AL834" t="s">
        <v>3413</v>
      </c>
      <c r="AM834" t="s">
        <v>1190</v>
      </c>
      <c r="AN834" t="s">
        <v>599</v>
      </c>
      <c r="AO834" t="s">
        <v>599</v>
      </c>
      <c r="AP834" t="s">
        <v>599</v>
      </c>
      <c r="AQ834" t="s">
        <v>599</v>
      </c>
      <c r="AR834" t="s">
        <v>599</v>
      </c>
      <c r="AS834" t="s">
        <v>599</v>
      </c>
      <c r="AT834" t="s">
        <v>599</v>
      </c>
    </row>
    <row r="835" spans="1:46" ht="30" x14ac:dyDescent="0.25">
      <c r="A835" s="2">
        <v>12290</v>
      </c>
      <c r="B835" s="10">
        <v>381496</v>
      </c>
      <c r="C835" s="10">
        <v>1</v>
      </c>
      <c r="D835" s="9">
        <v>259</v>
      </c>
      <c r="E835" s="11" t="s">
        <v>564</v>
      </c>
      <c r="F835" s="12" t="s">
        <v>565</v>
      </c>
      <c r="G835" s="9" t="s">
        <v>566</v>
      </c>
      <c r="H835" s="34"/>
      <c r="I835" s="55" t="str">
        <f t="shared" ref="I835:I867" si="27">HYPERLINK(O835)</f>
        <v>https://permalinkbnd.bnportugal.gov.pt/viewer/14581/?offset=#page=259&amp;viewer=picture&amp;o=info&amp;n=0&amp;q=</v>
      </c>
      <c r="J835" s="45"/>
      <c r="K835" s="45"/>
      <c r="L835" s="45"/>
      <c r="M835" t="s">
        <v>564</v>
      </c>
      <c r="N835">
        <v>14581</v>
      </c>
      <c r="O835" t="str">
        <f t="shared" si="26"/>
        <v>https://permalinkbnd.bnportugal.gov.pt/viewer/14581/?offset=#page=259&amp;viewer=picture&amp;o=info&amp;n=0&amp;q=</v>
      </c>
      <c r="P835">
        <v>381496</v>
      </c>
      <c r="Q835" t="s">
        <v>564</v>
      </c>
      <c r="R835" t="s">
        <v>3408</v>
      </c>
      <c r="S835" t="s">
        <v>1178</v>
      </c>
      <c r="T835" t="s">
        <v>1321</v>
      </c>
      <c r="U835" t="s">
        <v>599</v>
      </c>
      <c r="V835" t="s">
        <v>1193</v>
      </c>
      <c r="W835" t="s">
        <v>3409</v>
      </c>
      <c r="X835" t="s">
        <v>599</v>
      </c>
      <c r="Y835" t="s">
        <v>1182</v>
      </c>
      <c r="Z835" t="s">
        <v>1221</v>
      </c>
      <c r="AA835">
        <v>1878</v>
      </c>
      <c r="AB835">
        <v>1878</v>
      </c>
      <c r="AC835" t="s">
        <v>3410</v>
      </c>
      <c r="AD835" t="s">
        <v>1185</v>
      </c>
      <c r="AE835" t="s">
        <v>599</v>
      </c>
      <c r="AF835" t="s">
        <v>599</v>
      </c>
      <c r="AG835" t="s">
        <v>3411</v>
      </c>
      <c r="AH835" t="s">
        <v>599</v>
      </c>
      <c r="AI835" t="s">
        <v>599</v>
      </c>
      <c r="AJ835" t="s">
        <v>3412</v>
      </c>
      <c r="AK835" t="s">
        <v>599</v>
      </c>
      <c r="AL835" t="s">
        <v>3413</v>
      </c>
      <c r="AM835" t="s">
        <v>1190</v>
      </c>
      <c r="AN835" t="s">
        <v>599</v>
      </c>
      <c r="AO835" t="s">
        <v>599</v>
      </c>
      <c r="AP835" t="s">
        <v>599</v>
      </c>
      <c r="AQ835" t="s">
        <v>599</v>
      </c>
      <c r="AR835" t="s">
        <v>599</v>
      </c>
      <c r="AS835" t="s">
        <v>599</v>
      </c>
      <c r="AT835" t="s">
        <v>599</v>
      </c>
    </row>
    <row r="836" spans="1:46" ht="30" x14ac:dyDescent="0.25">
      <c r="A836" s="2">
        <v>12291</v>
      </c>
      <c r="B836" s="10">
        <v>381496</v>
      </c>
      <c r="C836" s="10">
        <v>1</v>
      </c>
      <c r="D836" s="9">
        <v>287</v>
      </c>
      <c r="E836" s="11" t="s">
        <v>564</v>
      </c>
      <c r="F836" s="12" t="s">
        <v>565</v>
      </c>
      <c r="G836" s="9" t="s">
        <v>566</v>
      </c>
      <c r="H836" s="34"/>
      <c r="I836" s="55" t="str">
        <f t="shared" si="27"/>
        <v>https://permalinkbnd.bnportugal.gov.pt/viewer/14581/?offset=#page=287&amp;viewer=picture&amp;o=info&amp;n=0&amp;q=</v>
      </c>
      <c r="J836" s="45"/>
      <c r="K836" s="45"/>
      <c r="L836" s="45"/>
      <c r="M836" t="s">
        <v>564</v>
      </c>
      <c r="N836">
        <v>14581</v>
      </c>
      <c r="O836" t="str">
        <f t="shared" si="26"/>
        <v>https://permalinkbnd.bnportugal.gov.pt/viewer/14581/?offset=#page=287&amp;viewer=picture&amp;o=info&amp;n=0&amp;q=</v>
      </c>
      <c r="P836">
        <v>381496</v>
      </c>
      <c r="Q836" t="s">
        <v>564</v>
      </c>
      <c r="R836" t="s">
        <v>3408</v>
      </c>
      <c r="S836" t="s">
        <v>1178</v>
      </c>
      <c r="T836" t="s">
        <v>1321</v>
      </c>
      <c r="U836" t="s">
        <v>599</v>
      </c>
      <c r="V836" t="s">
        <v>1193</v>
      </c>
      <c r="W836" t="s">
        <v>3409</v>
      </c>
      <c r="X836" t="s">
        <v>599</v>
      </c>
      <c r="Y836" t="s">
        <v>1182</v>
      </c>
      <c r="Z836" t="s">
        <v>1221</v>
      </c>
      <c r="AA836">
        <v>1878</v>
      </c>
      <c r="AB836">
        <v>1878</v>
      </c>
      <c r="AC836" t="s">
        <v>3410</v>
      </c>
      <c r="AD836" t="s">
        <v>1185</v>
      </c>
      <c r="AE836" t="s">
        <v>599</v>
      </c>
      <c r="AF836" t="s">
        <v>599</v>
      </c>
      <c r="AG836" t="s">
        <v>3411</v>
      </c>
      <c r="AH836" t="s">
        <v>599</v>
      </c>
      <c r="AI836" t="s">
        <v>599</v>
      </c>
      <c r="AJ836" t="s">
        <v>3412</v>
      </c>
      <c r="AK836" t="s">
        <v>599</v>
      </c>
      <c r="AL836" t="s">
        <v>3413</v>
      </c>
      <c r="AM836" t="s">
        <v>1190</v>
      </c>
      <c r="AN836" t="s">
        <v>599</v>
      </c>
      <c r="AO836" t="s">
        <v>599</v>
      </c>
      <c r="AP836" t="s">
        <v>599</v>
      </c>
      <c r="AQ836" t="s">
        <v>599</v>
      </c>
      <c r="AR836" t="s">
        <v>599</v>
      </c>
      <c r="AS836" t="s">
        <v>599</v>
      </c>
      <c r="AT836" t="s">
        <v>599</v>
      </c>
    </row>
    <row r="837" spans="1:46" ht="30" x14ac:dyDescent="0.25">
      <c r="A837" s="2">
        <v>12292</v>
      </c>
      <c r="B837" s="10">
        <v>381496</v>
      </c>
      <c r="C837" s="10">
        <v>1</v>
      </c>
      <c r="D837" s="9">
        <v>319</v>
      </c>
      <c r="E837" s="11" t="s">
        <v>564</v>
      </c>
      <c r="F837" s="12" t="s">
        <v>565</v>
      </c>
      <c r="G837" s="9" t="s">
        <v>566</v>
      </c>
      <c r="H837" s="34"/>
      <c r="I837" s="55" t="str">
        <f t="shared" si="27"/>
        <v>https://permalinkbnd.bnportugal.gov.pt/viewer/14581/?offset=#page=319&amp;viewer=picture&amp;o=info&amp;n=0&amp;q=</v>
      </c>
      <c r="J837" s="45"/>
      <c r="K837" s="45"/>
      <c r="L837" s="45"/>
      <c r="M837" t="s">
        <v>564</v>
      </c>
      <c r="N837">
        <v>14581</v>
      </c>
      <c r="O837" t="str">
        <f t="shared" si="26"/>
        <v>https://permalinkbnd.bnportugal.gov.pt/viewer/14581/?offset=#page=319&amp;viewer=picture&amp;o=info&amp;n=0&amp;q=</v>
      </c>
      <c r="P837">
        <v>381496</v>
      </c>
      <c r="Q837" t="s">
        <v>564</v>
      </c>
      <c r="R837" t="s">
        <v>3408</v>
      </c>
      <c r="S837" t="s">
        <v>1178</v>
      </c>
      <c r="T837" t="s">
        <v>1321</v>
      </c>
      <c r="U837" t="s">
        <v>599</v>
      </c>
      <c r="V837" t="s">
        <v>1193</v>
      </c>
      <c r="W837" t="s">
        <v>3409</v>
      </c>
      <c r="X837" t="s">
        <v>599</v>
      </c>
      <c r="Y837" t="s">
        <v>1182</v>
      </c>
      <c r="Z837" t="s">
        <v>1221</v>
      </c>
      <c r="AA837">
        <v>1878</v>
      </c>
      <c r="AB837">
        <v>1878</v>
      </c>
      <c r="AC837" t="s">
        <v>3410</v>
      </c>
      <c r="AD837" t="s">
        <v>1185</v>
      </c>
      <c r="AE837" t="s">
        <v>599</v>
      </c>
      <c r="AF837" t="s">
        <v>599</v>
      </c>
      <c r="AG837" t="s">
        <v>3411</v>
      </c>
      <c r="AH837" t="s">
        <v>599</v>
      </c>
      <c r="AI837" t="s">
        <v>599</v>
      </c>
      <c r="AJ837" t="s">
        <v>3412</v>
      </c>
      <c r="AK837" t="s">
        <v>599</v>
      </c>
      <c r="AL837" t="s">
        <v>3413</v>
      </c>
      <c r="AM837" t="s">
        <v>1190</v>
      </c>
      <c r="AN837" t="s">
        <v>599</v>
      </c>
      <c r="AO837" t="s">
        <v>599</v>
      </c>
      <c r="AP837" t="s">
        <v>599</v>
      </c>
      <c r="AQ837" t="s">
        <v>599</v>
      </c>
      <c r="AR837" t="s">
        <v>599</v>
      </c>
      <c r="AS837" t="s">
        <v>599</v>
      </c>
      <c r="AT837" t="s">
        <v>599</v>
      </c>
    </row>
    <row r="838" spans="1:46" ht="30" x14ac:dyDescent="0.25">
      <c r="A838" s="2">
        <v>12293</v>
      </c>
      <c r="B838" s="10">
        <v>381496</v>
      </c>
      <c r="C838" s="10">
        <v>1</v>
      </c>
      <c r="D838" s="9">
        <v>349</v>
      </c>
      <c r="E838" s="11" t="s">
        <v>564</v>
      </c>
      <c r="F838" s="12" t="s">
        <v>565</v>
      </c>
      <c r="G838" s="9" t="s">
        <v>566</v>
      </c>
      <c r="H838" s="34"/>
      <c r="I838" s="55" t="str">
        <f t="shared" si="27"/>
        <v>https://permalinkbnd.bnportugal.gov.pt/viewer/14581/?offset=#page=349&amp;viewer=picture&amp;o=info&amp;n=0&amp;q=</v>
      </c>
      <c r="J838" s="45"/>
      <c r="K838" s="45"/>
      <c r="L838" s="45"/>
      <c r="M838" t="s">
        <v>564</v>
      </c>
      <c r="N838">
        <v>14581</v>
      </c>
      <c r="O838" t="str">
        <f t="shared" si="26"/>
        <v>https://permalinkbnd.bnportugal.gov.pt/viewer/14581/?offset=#page=349&amp;viewer=picture&amp;o=info&amp;n=0&amp;q=</v>
      </c>
      <c r="P838">
        <v>381496</v>
      </c>
      <c r="Q838" t="s">
        <v>564</v>
      </c>
      <c r="R838" t="s">
        <v>3408</v>
      </c>
      <c r="S838" t="s">
        <v>1178</v>
      </c>
      <c r="T838" t="s">
        <v>1321</v>
      </c>
      <c r="U838" t="s">
        <v>599</v>
      </c>
      <c r="V838" t="s">
        <v>1193</v>
      </c>
      <c r="W838" t="s">
        <v>3409</v>
      </c>
      <c r="X838" t="s">
        <v>599</v>
      </c>
      <c r="Y838" t="s">
        <v>1182</v>
      </c>
      <c r="Z838" t="s">
        <v>1221</v>
      </c>
      <c r="AA838">
        <v>1878</v>
      </c>
      <c r="AB838">
        <v>1878</v>
      </c>
      <c r="AC838" t="s">
        <v>3410</v>
      </c>
      <c r="AD838" t="s">
        <v>1185</v>
      </c>
      <c r="AE838" t="s">
        <v>599</v>
      </c>
      <c r="AF838" t="s">
        <v>599</v>
      </c>
      <c r="AG838" t="s">
        <v>3411</v>
      </c>
      <c r="AH838" t="s">
        <v>599</v>
      </c>
      <c r="AI838" t="s">
        <v>599</v>
      </c>
      <c r="AJ838" t="s">
        <v>3412</v>
      </c>
      <c r="AK838" t="s">
        <v>599</v>
      </c>
      <c r="AL838" t="s">
        <v>3413</v>
      </c>
      <c r="AM838" t="s">
        <v>1190</v>
      </c>
      <c r="AN838" t="s">
        <v>599</v>
      </c>
      <c r="AO838" t="s">
        <v>599</v>
      </c>
      <c r="AP838" t="s">
        <v>599</v>
      </c>
      <c r="AQ838" t="s">
        <v>599</v>
      </c>
      <c r="AR838" t="s">
        <v>599</v>
      </c>
      <c r="AS838" t="s">
        <v>599</v>
      </c>
      <c r="AT838" t="s">
        <v>599</v>
      </c>
    </row>
    <row r="839" spans="1:46" ht="30" x14ac:dyDescent="0.25">
      <c r="A839" s="2">
        <v>12294</v>
      </c>
      <c r="B839" s="10">
        <v>384309</v>
      </c>
      <c r="C839" s="10">
        <v>1</v>
      </c>
      <c r="D839" s="9">
        <v>1</v>
      </c>
      <c r="E839" s="11" t="s">
        <v>567</v>
      </c>
      <c r="F839" s="12" t="s">
        <v>568</v>
      </c>
      <c r="G839" s="9" t="s">
        <v>569</v>
      </c>
      <c r="H839" s="34"/>
      <c r="I839" s="55" t="str">
        <f t="shared" si="27"/>
        <v>https://permalinkbnd.bnportugal.gov.pt/viewer/86181/?offset=#page=1&amp;viewer=picture&amp;o=info&amp;n=0&amp;q=</v>
      </c>
      <c r="J839" s="45"/>
      <c r="K839" s="45"/>
      <c r="L839" s="45"/>
      <c r="M839" t="s">
        <v>567</v>
      </c>
      <c r="N839">
        <v>86181</v>
      </c>
      <c r="O839" t="str">
        <f t="shared" si="26"/>
        <v>https://permalinkbnd.bnportugal.gov.pt/viewer/86181/?offset=#page=1&amp;viewer=picture&amp;o=info&amp;n=0&amp;q=</v>
      </c>
      <c r="P839">
        <v>384309</v>
      </c>
      <c r="Q839" t="s">
        <v>567</v>
      </c>
      <c r="R839" t="s">
        <v>3414</v>
      </c>
      <c r="S839" t="s">
        <v>1178</v>
      </c>
      <c r="T839" t="s">
        <v>1209</v>
      </c>
      <c r="U839" t="s">
        <v>599</v>
      </c>
      <c r="V839" t="s">
        <v>3415</v>
      </c>
      <c r="W839" t="s">
        <v>599</v>
      </c>
      <c r="X839" t="s">
        <v>599</v>
      </c>
      <c r="Y839" t="s">
        <v>1182</v>
      </c>
      <c r="Z839" t="s">
        <v>3416</v>
      </c>
      <c r="AA839">
        <v>1880</v>
      </c>
      <c r="AB839">
        <v>1880</v>
      </c>
      <c r="AC839" t="s">
        <v>3417</v>
      </c>
      <c r="AD839" t="s">
        <v>599</v>
      </c>
      <c r="AE839" t="s">
        <v>599</v>
      </c>
      <c r="AF839" t="s">
        <v>599</v>
      </c>
      <c r="AG839" t="s">
        <v>599</v>
      </c>
      <c r="AH839" t="s">
        <v>599</v>
      </c>
      <c r="AI839" t="s">
        <v>599</v>
      </c>
      <c r="AJ839" t="s">
        <v>3418</v>
      </c>
      <c r="AK839" t="s">
        <v>599</v>
      </c>
      <c r="AL839" t="s">
        <v>3419</v>
      </c>
      <c r="AM839" t="s">
        <v>1190</v>
      </c>
      <c r="AN839" t="s">
        <v>599</v>
      </c>
      <c r="AO839" t="s">
        <v>599</v>
      </c>
      <c r="AP839" t="s">
        <v>599</v>
      </c>
      <c r="AQ839" t="s">
        <v>599</v>
      </c>
      <c r="AR839" t="s">
        <v>599</v>
      </c>
      <c r="AS839" t="s">
        <v>599</v>
      </c>
      <c r="AT839" t="s">
        <v>599</v>
      </c>
    </row>
    <row r="840" spans="1:46" ht="30" x14ac:dyDescent="0.25">
      <c r="A840" s="2">
        <v>12295</v>
      </c>
      <c r="B840" s="10">
        <v>384309</v>
      </c>
      <c r="C840" s="10">
        <v>1</v>
      </c>
      <c r="D840" s="9">
        <v>3</v>
      </c>
      <c r="E840" s="11" t="s">
        <v>567</v>
      </c>
      <c r="F840" s="12" t="s">
        <v>568</v>
      </c>
      <c r="G840" s="9" t="s">
        <v>569</v>
      </c>
      <c r="H840" s="34"/>
      <c r="I840" s="55" t="str">
        <f t="shared" si="27"/>
        <v>https://permalinkbnd.bnportugal.gov.pt/viewer/86181/?offset=#page=3&amp;viewer=picture&amp;o=info&amp;n=0&amp;q=</v>
      </c>
      <c r="J840" s="45"/>
      <c r="K840" s="45"/>
      <c r="L840" s="45"/>
      <c r="M840" t="s">
        <v>567</v>
      </c>
      <c r="N840">
        <v>86181</v>
      </c>
      <c r="O840" t="str">
        <f t="shared" si="26"/>
        <v>https://permalinkbnd.bnportugal.gov.pt/viewer/86181/?offset=#page=3&amp;viewer=picture&amp;o=info&amp;n=0&amp;q=</v>
      </c>
      <c r="P840">
        <v>384309</v>
      </c>
      <c r="Q840" t="s">
        <v>567</v>
      </c>
      <c r="R840" t="s">
        <v>3414</v>
      </c>
      <c r="S840" t="s">
        <v>1178</v>
      </c>
      <c r="T840" t="s">
        <v>1209</v>
      </c>
      <c r="U840" t="s">
        <v>599</v>
      </c>
      <c r="V840" t="s">
        <v>3415</v>
      </c>
      <c r="W840" t="s">
        <v>599</v>
      </c>
      <c r="X840" t="s">
        <v>599</v>
      </c>
      <c r="Y840" t="s">
        <v>1182</v>
      </c>
      <c r="Z840" t="s">
        <v>3416</v>
      </c>
      <c r="AA840">
        <v>1880</v>
      </c>
      <c r="AB840">
        <v>1880</v>
      </c>
      <c r="AC840" t="s">
        <v>3417</v>
      </c>
      <c r="AD840" t="s">
        <v>599</v>
      </c>
      <c r="AE840" t="s">
        <v>599</v>
      </c>
      <c r="AF840" t="s">
        <v>599</v>
      </c>
      <c r="AG840" t="s">
        <v>599</v>
      </c>
      <c r="AH840" t="s">
        <v>599</v>
      </c>
      <c r="AI840" t="s">
        <v>599</v>
      </c>
      <c r="AJ840" t="s">
        <v>3418</v>
      </c>
      <c r="AK840" t="s">
        <v>599</v>
      </c>
      <c r="AL840" t="s">
        <v>3419</v>
      </c>
      <c r="AM840" t="s">
        <v>1190</v>
      </c>
      <c r="AN840" t="s">
        <v>599</v>
      </c>
      <c r="AO840" t="s">
        <v>599</v>
      </c>
      <c r="AP840" t="s">
        <v>599</v>
      </c>
      <c r="AQ840" t="s">
        <v>599</v>
      </c>
      <c r="AR840" t="s">
        <v>599</v>
      </c>
      <c r="AS840" t="s">
        <v>599</v>
      </c>
      <c r="AT840" t="s">
        <v>599</v>
      </c>
    </row>
    <row r="841" spans="1:46" ht="30" x14ac:dyDescent="0.25">
      <c r="A841" s="2">
        <v>12296</v>
      </c>
      <c r="B841" s="10">
        <v>384309</v>
      </c>
      <c r="C841" s="10">
        <v>1</v>
      </c>
      <c r="D841" s="9">
        <v>7</v>
      </c>
      <c r="E841" s="11" t="s">
        <v>567</v>
      </c>
      <c r="F841" s="12" t="s">
        <v>568</v>
      </c>
      <c r="G841" s="9" t="s">
        <v>569</v>
      </c>
      <c r="H841" s="34"/>
      <c r="I841" s="55" t="str">
        <f t="shared" si="27"/>
        <v>https://permalinkbnd.bnportugal.gov.pt/viewer/86181/?offset=#page=7&amp;viewer=picture&amp;o=info&amp;n=0&amp;q=</v>
      </c>
      <c r="J841" s="45"/>
      <c r="K841" s="45"/>
      <c r="L841" s="45"/>
      <c r="M841" t="s">
        <v>567</v>
      </c>
      <c r="N841">
        <v>86181</v>
      </c>
      <c r="O841" t="str">
        <f t="shared" si="26"/>
        <v>https://permalinkbnd.bnportugal.gov.pt/viewer/86181/?offset=#page=7&amp;viewer=picture&amp;o=info&amp;n=0&amp;q=</v>
      </c>
      <c r="P841">
        <v>384309</v>
      </c>
      <c r="Q841" t="s">
        <v>567</v>
      </c>
      <c r="R841" t="s">
        <v>3414</v>
      </c>
      <c r="S841" t="s">
        <v>1178</v>
      </c>
      <c r="T841" t="s">
        <v>1209</v>
      </c>
      <c r="U841" t="s">
        <v>599</v>
      </c>
      <c r="V841" t="s">
        <v>3415</v>
      </c>
      <c r="W841" t="s">
        <v>599</v>
      </c>
      <c r="X841" t="s">
        <v>599</v>
      </c>
      <c r="Y841" t="s">
        <v>1182</v>
      </c>
      <c r="Z841" t="s">
        <v>3416</v>
      </c>
      <c r="AA841">
        <v>1880</v>
      </c>
      <c r="AB841">
        <v>1880</v>
      </c>
      <c r="AC841" t="s">
        <v>3417</v>
      </c>
      <c r="AD841" t="s">
        <v>599</v>
      </c>
      <c r="AE841" t="s">
        <v>599</v>
      </c>
      <c r="AF841" t="s">
        <v>599</v>
      </c>
      <c r="AG841" t="s">
        <v>599</v>
      </c>
      <c r="AH841" t="s">
        <v>599</v>
      </c>
      <c r="AI841" t="s">
        <v>599</v>
      </c>
      <c r="AJ841" t="s">
        <v>3418</v>
      </c>
      <c r="AK841" t="s">
        <v>599</v>
      </c>
      <c r="AL841" t="s">
        <v>3419</v>
      </c>
      <c r="AM841" t="s">
        <v>1190</v>
      </c>
      <c r="AN841" t="s">
        <v>599</v>
      </c>
      <c r="AO841" t="s">
        <v>599</v>
      </c>
      <c r="AP841" t="s">
        <v>599</v>
      </c>
      <c r="AQ841" t="s">
        <v>599</v>
      </c>
      <c r="AR841" t="s">
        <v>599</v>
      </c>
      <c r="AS841" t="s">
        <v>599</v>
      </c>
      <c r="AT841" t="s">
        <v>599</v>
      </c>
    </row>
    <row r="842" spans="1:46" ht="30" x14ac:dyDescent="0.25">
      <c r="A842" s="2">
        <v>12300</v>
      </c>
      <c r="B842" s="10">
        <v>410603</v>
      </c>
      <c r="C842" s="10">
        <v>1</v>
      </c>
      <c r="D842" s="9">
        <v>13</v>
      </c>
      <c r="E842" s="11" t="s">
        <v>570</v>
      </c>
      <c r="F842" s="12">
        <v>13</v>
      </c>
      <c r="G842" s="9">
        <v>13</v>
      </c>
      <c r="H842" s="34"/>
      <c r="I842" s="55" t="str">
        <f t="shared" si="27"/>
        <v>https://permalinkbnd.bnportugal.gov.pt/viewer/14678/?offset=#page=13&amp;viewer=picture&amp;o=info&amp;n=0&amp;q=</v>
      </c>
      <c r="J842" s="45"/>
      <c r="K842" s="45"/>
      <c r="L842" s="45"/>
      <c r="M842" t="s">
        <v>570</v>
      </c>
      <c r="N842">
        <v>14678</v>
      </c>
      <c r="O842" t="str">
        <f t="shared" si="26"/>
        <v>https://permalinkbnd.bnportugal.gov.pt/viewer/14678/?offset=#page=13&amp;viewer=picture&amp;o=info&amp;n=0&amp;q=</v>
      </c>
      <c r="P842">
        <v>410603</v>
      </c>
      <c r="Q842" t="s">
        <v>570</v>
      </c>
      <c r="R842" t="s">
        <v>3420</v>
      </c>
      <c r="S842" t="s">
        <v>1178</v>
      </c>
      <c r="T842" t="s">
        <v>1192</v>
      </c>
      <c r="U842" t="s">
        <v>599</v>
      </c>
      <c r="V842" t="s">
        <v>3421</v>
      </c>
      <c r="W842" t="s">
        <v>599</v>
      </c>
      <c r="X842" t="s">
        <v>599</v>
      </c>
      <c r="Y842" t="s">
        <v>1182</v>
      </c>
      <c r="Z842" t="s">
        <v>1275</v>
      </c>
      <c r="AA842">
        <v>1880</v>
      </c>
      <c r="AB842">
        <v>1880</v>
      </c>
      <c r="AC842" t="s">
        <v>1276</v>
      </c>
      <c r="AD842" t="s">
        <v>599</v>
      </c>
      <c r="AE842" t="s">
        <v>599</v>
      </c>
      <c r="AF842" t="s">
        <v>599</v>
      </c>
      <c r="AG842" t="s">
        <v>599</v>
      </c>
      <c r="AH842" t="s">
        <v>599</v>
      </c>
      <c r="AI842" t="s">
        <v>599</v>
      </c>
      <c r="AJ842" t="s">
        <v>3422</v>
      </c>
      <c r="AK842" t="s">
        <v>599</v>
      </c>
      <c r="AL842" t="s">
        <v>3423</v>
      </c>
      <c r="AM842" t="s">
        <v>1190</v>
      </c>
      <c r="AN842" t="s">
        <v>599</v>
      </c>
      <c r="AO842" t="s">
        <v>599</v>
      </c>
      <c r="AP842" t="s">
        <v>599</v>
      </c>
      <c r="AQ842" t="s">
        <v>599</v>
      </c>
      <c r="AR842" t="s">
        <v>599</v>
      </c>
      <c r="AS842" t="s">
        <v>599</v>
      </c>
      <c r="AT842" t="s">
        <v>599</v>
      </c>
    </row>
    <row r="843" spans="1:46" ht="30" x14ac:dyDescent="0.25">
      <c r="A843" s="2">
        <v>12324</v>
      </c>
      <c r="B843" s="10">
        <v>475467</v>
      </c>
      <c r="C843" s="10">
        <v>1</v>
      </c>
      <c r="D843" s="9">
        <v>1</v>
      </c>
      <c r="E843" s="11" t="s">
        <v>571</v>
      </c>
      <c r="F843" s="12">
        <v>1</v>
      </c>
      <c r="G843" s="9">
        <v>1</v>
      </c>
      <c r="H843" s="34"/>
      <c r="I843" s="55" t="str">
        <f t="shared" si="27"/>
        <v>https://permalinkbnd.bnportugal.gov.pt/viewer/86483/?offset=#page=1&amp;viewer=picture&amp;o=info&amp;n=0&amp;q=</v>
      </c>
      <c r="J843" s="45"/>
      <c r="K843" s="45"/>
      <c r="L843" s="45"/>
      <c r="M843" t="s">
        <v>571</v>
      </c>
      <c r="N843">
        <v>86483</v>
      </c>
      <c r="O843" t="str">
        <f t="shared" si="26"/>
        <v>https://permalinkbnd.bnportugal.gov.pt/viewer/86483/?offset=#page=1&amp;viewer=picture&amp;o=info&amp;n=0&amp;q=</v>
      </c>
      <c r="P843">
        <v>475467</v>
      </c>
      <c r="Q843" t="s">
        <v>571</v>
      </c>
      <c r="R843" t="s">
        <v>3424</v>
      </c>
      <c r="S843" t="s">
        <v>1178</v>
      </c>
      <c r="T843" t="s">
        <v>1192</v>
      </c>
      <c r="U843" t="s">
        <v>599</v>
      </c>
      <c r="V843" t="s">
        <v>3425</v>
      </c>
      <c r="W843" t="s">
        <v>3426</v>
      </c>
      <c r="X843" t="s">
        <v>599</v>
      </c>
      <c r="Y843" t="s">
        <v>1182</v>
      </c>
      <c r="Z843" t="s">
        <v>1909</v>
      </c>
      <c r="AA843">
        <v>1881</v>
      </c>
      <c r="AB843">
        <v>1881</v>
      </c>
      <c r="AC843" t="s">
        <v>1872</v>
      </c>
      <c r="AD843" t="s">
        <v>3427</v>
      </c>
      <c r="AE843" t="s">
        <v>599</v>
      </c>
      <c r="AF843" t="s">
        <v>1185</v>
      </c>
      <c r="AG843" t="s">
        <v>599</v>
      </c>
      <c r="AH843" t="s">
        <v>599</v>
      </c>
      <c r="AI843" t="s">
        <v>599</v>
      </c>
      <c r="AJ843" t="s">
        <v>3428</v>
      </c>
      <c r="AK843" t="s">
        <v>599</v>
      </c>
      <c r="AL843" t="s">
        <v>3429</v>
      </c>
      <c r="AM843" t="s">
        <v>1190</v>
      </c>
      <c r="AN843" t="s">
        <v>599</v>
      </c>
      <c r="AO843" t="s">
        <v>599</v>
      </c>
      <c r="AP843" t="s">
        <v>599</v>
      </c>
      <c r="AQ843" t="s">
        <v>599</v>
      </c>
      <c r="AR843" t="s">
        <v>599</v>
      </c>
      <c r="AS843" t="s">
        <v>599</v>
      </c>
      <c r="AT843" t="s">
        <v>599</v>
      </c>
    </row>
    <row r="844" spans="1:46" ht="30" x14ac:dyDescent="0.25">
      <c r="A844" s="2">
        <v>12327</v>
      </c>
      <c r="B844" s="10">
        <v>640093</v>
      </c>
      <c r="C844" s="10">
        <v>1</v>
      </c>
      <c r="D844" s="9">
        <v>1</v>
      </c>
      <c r="E844" s="11" t="s">
        <v>572</v>
      </c>
      <c r="F844" s="12">
        <v>1</v>
      </c>
      <c r="G844" s="9">
        <v>1</v>
      </c>
      <c r="H844" s="34"/>
      <c r="I844" s="55" t="str">
        <f t="shared" si="27"/>
        <v>https://permalinkbnd.bnportugal.gov.pt/viewer/35163/?offset=#page=1&amp;viewer=picture&amp;o=info&amp;n=0&amp;q=</v>
      </c>
      <c r="J844" s="45"/>
      <c r="K844" s="45"/>
      <c r="L844" s="45"/>
      <c r="M844" t="s">
        <v>572</v>
      </c>
      <c r="N844">
        <v>35163</v>
      </c>
      <c r="O844" t="str">
        <f t="shared" si="26"/>
        <v>https://permalinkbnd.bnportugal.gov.pt/viewer/35163/?offset=#page=1&amp;viewer=picture&amp;o=info&amp;n=0&amp;q=</v>
      </c>
      <c r="P844">
        <v>640093</v>
      </c>
      <c r="Q844" t="s">
        <v>572</v>
      </c>
      <c r="R844" t="s">
        <v>3430</v>
      </c>
      <c r="S844" t="s">
        <v>1312</v>
      </c>
      <c r="T844" t="s">
        <v>1192</v>
      </c>
      <c r="U844" t="s">
        <v>599</v>
      </c>
      <c r="V844" t="s">
        <v>3431</v>
      </c>
      <c r="W844" t="s">
        <v>599</v>
      </c>
      <c r="X844" t="s">
        <v>599</v>
      </c>
      <c r="Y844" t="s">
        <v>1182</v>
      </c>
      <c r="Z844" t="s">
        <v>1453</v>
      </c>
      <c r="AA844">
        <v>1937</v>
      </c>
      <c r="AB844">
        <v>1937</v>
      </c>
      <c r="AC844" t="s">
        <v>1454</v>
      </c>
      <c r="AD844" t="s">
        <v>3432</v>
      </c>
      <c r="AE844" t="s">
        <v>599</v>
      </c>
      <c r="AF844" t="s">
        <v>599</v>
      </c>
      <c r="AG844" t="s">
        <v>599</v>
      </c>
      <c r="AH844" t="s">
        <v>599</v>
      </c>
      <c r="AI844" t="s">
        <v>599</v>
      </c>
      <c r="AJ844" t="s">
        <v>3433</v>
      </c>
      <c r="AK844" t="s">
        <v>599</v>
      </c>
      <c r="AL844" t="s">
        <v>3434</v>
      </c>
      <c r="AM844" t="s">
        <v>1319</v>
      </c>
      <c r="AN844" t="s">
        <v>599</v>
      </c>
      <c r="AO844" t="s">
        <v>599</v>
      </c>
      <c r="AP844" t="s">
        <v>599</v>
      </c>
      <c r="AQ844" t="s">
        <v>599</v>
      </c>
      <c r="AR844" t="s">
        <v>599</v>
      </c>
      <c r="AS844" t="s">
        <v>599</v>
      </c>
      <c r="AT844" t="s">
        <v>599</v>
      </c>
    </row>
    <row r="845" spans="1:46" ht="30" x14ac:dyDescent="0.25">
      <c r="A845" s="2">
        <v>12337</v>
      </c>
      <c r="B845" s="10">
        <v>765484</v>
      </c>
      <c r="C845" s="10">
        <v>1</v>
      </c>
      <c r="D845" s="9">
        <v>5</v>
      </c>
      <c r="E845" s="11" t="s">
        <v>573</v>
      </c>
      <c r="F845" s="12" t="s">
        <v>574</v>
      </c>
      <c r="G845" s="9"/>
      <c r="H845" s="34"/>
      <c r="I845" s="55" t="str">
        <f t="shared" si="27"/>
        <v>https://permalinkbnd.bnportugal.gov.pt/viewer/14644/?offset=#page=5&amp;viewer=picture&amp;o=info&amp;n=0&amp;q=</v>
      </c>
      <c r="J845" s="45"/>
      <c r="K845" s="45"/>
      <c r="L845" s="45"/>
      <c r="M845" t="s">
        <v>573</v>
      </c>
      <c r="N845">
        <v>14644</v>
      </c>
      <c r="O845" t="str">
        <f t="shared" si="26"/>
        <v>https://permalinkbnd.bnportugal.gov.pt/viewer/14644/?offset=#page=5&amp;viewer=picture&amp;o=info&amp;n=0&amp;q=</v>
      </c>
      <c r="P845">
        <v>765484</v>
      </c>
      <c r="Q845" t="s">
        <v>573</v>
      </c>
      <c r="R845" t="s">
        <v>3435</v>
      </c>
      <c r="S845" t="s">
        <v>1178</v>
      </c>
      <c r="T845" t="s">
        <v>1192</v>
      </c>
      <c r="U845" t="s">
        <v>599</v>
      </c>
      <c r="V845" t="s">
        <v>2478</v>
      </c>
      <c r="W845" t="s">
        <v>599</v>
      </c>
      <c r="X845" t="s">
        <v>599</v>
      </c>
      <c r="Y845" t="s">
        <v>3436</v>
      </c>
      <c r="Z845" t="s">
        <v>3437</v>
      </c>
      <c r="AA845">
        <v>1632</v>
      </c>
      <c r="AB845">
        <v>1632</v>
      </c>
      <c r="AC845" t="s">
        <v>3438</v>
      </c>
      <c r="AD845" t="s">
        <v>1185</v>
      </c>
      <c r="AE845" t="s">
        <v>599</v>
      </c>
      <c r="AF845" t="s">
        <v>599</v>
      </c>
      <c r="AG845" t="s">
        <v>3439</v>
      </c>
      <c r="AH845" t="s">
        <v>599</v>
      </c>
      <c r="AI845" t="s">
        <v>599</v>
      </c>
      <c r="AJ845" t="s">
        <v>3440</v>
      </c>
      <c r="AK845" t="s">
        <v>2967</v>
      </c>
      <c r="AL845" t="s">
        <v>3441</v>
      </c>
      <c r="AM845" t="s">
        <v>1190</v>
      </c>
      <c r="AN845" t="s">
        <v>599</v>
      </c>
      <c r="AO845" t="s">
        <v>599</v>
      </c>
      <c r="AP845" t="s">
        <v>3442</v>
      </c>
      <c r="AQ845" t="s">
        <v>599</v>
      </c>
      <c r="AR845" t="s">
        <v>599</v>
      </c>
      <c r="AS845" t="s">
        <v>599</v>
      </c>
      <c r="AT845" t="s">
        <v>599</v>
      </c>
    </row>
    <row r="846" spans="1:46" ht="30" x14ac:dyDescent="0.25">
      <c r="A846" s="2"/>
      <c r="B846" s="10">
        <v>765484</v>
      </c>
      <c r="C846" s="10">
        <v>2</v>
      </c>
      <c r="D846" s="9">
        <v>2</v>
      </c>
      <c r="E846" s="11" t="s">
        <v>573</v>
      </c>
      <c r="F846" s="12" t="s">
        <v>574</v>
      </c>
      <c r="G846" s="9"/>
      <c r="H846" s="34"/>
      <c r="I846" s="55" t="str">
        <f t="shared" si="27"/>
        <v>https://permalinkbnd.bnportugal.gov.pt/viewer/14644/?offset=#page=2&amp;viewer=picture&amp;o=info&amp;n=0&amp;q=</v>
      </c>
      <c r="J846" s="45"/>
      <c r="K846" s="45"/>
      <c r="L846" s="45"/>
      <c r="M846" t="s">
        <v>573</v>
      </c>
      <c r="N846">
        <v>14644</v>
      </c>
      <c r="O846" t="str">
        <f t="shared" si="26"/>
        <v>https://permalinkbnd.bnportugal.gov.pt/viewer/14644/?offset=#page=2&amp;viewer=picture&amp;o=info&amp;n=0&amp;q=</v>
      </c>
      <c r="P846">
        <v>765484</v>
      </c>
      <c r="Q846" t="s">
        <v>573</v>
      </c>
      <c r="R846" t="s">
        <v>3435</v>
      </c>
      <c r="S846" t="s">
        <v>1178</v>
      </c>
      <c r="T846" t="s">
        <v>1192</v>
      </c>
      <c r="U846" t="s">
        <v>599</v>
      </c>
      <c r="V846" t="s">
        <v>2478</v>
      </c>
      <c r="W846" t="s">
        <v>599</v>
      </c>
      <c r="X846" t="s">
        <v>599</v>
      </c>
      <c r="Y846" t="s">
        <v>3436</v>
      </c>
      <c r="Z846" t="s">
        <v>3437</v>
      </c>
      <c r="AA846">
        <v>1632</v>
      </c>
      <c r="AB846">
        <v>1632</v>
      </c>
      <c r="AC846" t="s">
        <v>3438</v>
      </c>
      <c r="AD846" t="s">
        <v>1185</v>
      </c>
      <c r="AE846" t="s">
        <v>599</v>
      </c>
      <c r="AF846" t="s">
        <v>599</v>
      </c>
      <c r="AG846" t="s">
        <v>3439</v>
      </c>
      <c r="AH846" t="s">
        <v>599</v>
      </c>
      <c r="AI846" t="s">
        <v>599</v>
      </c>
      <c r="AJ846" t="s">
        <v>3440</v>
      </c>
      <c r="AK846" t="s">
        <v>2967</v>
      </c>
      <c r="AL846" t="s">
        <v>3441</v>
      </c>
      <c r="AM846" t="s">
        <v>1190</v>
      </c>
      <c r="AN846" t="s">
        <v>599</v>
      </c>
      <c r="AO846" t="s">
        <v>599</v>
      </c>
      <c r="AP846" t="s">
        <v>3442</v>
      </c>
      <c r="AQ846" t="s">
        <v>599</v>
      </c>
      <c r="AR846" t="s">
        <v>599</v>
      </c>
      <c r="AS846" t="s">
        <v>599</v>
      </c>
      <c r="AT846" t="s">
        <v>599</v>
      </c>
    </row>
    <row r="847" spans="1:46" ht="30" x14ac:dyDescent="0.25">
      <c r="A847" s="2">
        <v>12345</v>
      </c>
      <c r="B847" s="29">
        <v>808818</v>
      </c>
      <c r="C847" s="29">
        <v>1</v>
      </c>
      <c r="D847" s="28">
        <v>8</v>
      </c>
      <c r="E847" s="30" t="s">
        <v>575</v>
      </c>
      <c r="F847" s="31" t="s">
        <v>576</v>
      </c>
      <c r="G847" s="28" t="s">
        <v>577</v>
      </c>
      <c r="H847" s="35" t="s">
        <v>613</v>
      </c>
      <c r="I847" s="55" t="str">
        <f t="shared" si="27"/>
        <v>https://permalinkbnd.bnportugal.gov.pt/viewer/14613/?offset=#page=8&amp;viewer=picture&amp;o=info&amp;n=0&amp;q=</v>
      </c>
      <c r="J847" s="45"/>
      <c r="K847" s="45"/>
      <c r="L847" s="45"/>
      <c r="M847" t="s">
        <v>575</v>
      </c>
      <c r="N847">
        <v>14613</v>
      </c>
      <c r="O847" t="str">
        <f t="shared" si="26"/>
        <v>https://permalinkbnd.bnportugal.gov.pt/viewer/14613/?offset=#page=8&amp;viewer=picture&amp;o=info&amp;n=0&amp;q=</v>
      </c>
      <c r="P847">
        <v>808818</v>
      </c>
      <c r="Q847" t="s">
        <v>575</v>
      </c>
      <c r="R847" t="s">
        <v>3443</v>
      </c>
      <c r="S847" t="s">
        <v>1178</v>
      </c>
      <c r="T847" t="s">
        <v>1192</v>
      </c>
      <c r="U847" t="s">
        <v>599</v>
      </c>
      <c r="V847" t="s">
        <v>1219</v>
      </c>
      <c r="W847" t="s">
        <v>3444</v>
      </c>
      <c r="X847" t="s">
        <v>599</v>
      </c>
      <c r="Y847" t="s">
        <v>1182</v>
      </c>
      <c r="Z847" t="s">
        <v>3445</v>
      </c>
      <c r="AA847">
        <v>1880</v>
      </c>
      <c r="AB847">
        <v>1880</v>
      </c>
      <c r="AC847" t="s">
        <v>3446</v>
      </c>
      <c r="AD847" t="s">
        <v>1967</v>
      </c>
      <c r="AE847" t="s">
        <v>599</v>
      </c>
      <c r="AF847" t="s">
        <v>599</v>
      </c>
      <c r="AG847" t="s">
        <v>3447</v>
      </c>
      <c r="AH847" t="s">
        <v>599</v>
      </c>
      <c r="AI847" t="s">
        <v>599</v>
      </c>
      <c r="AJ847" t="s">
        <v>3448</v>
      </c>
      <c r="AK847" t="s">
        <v>599</v>
      </c>
      <c r="AL847" t="s">
        <v>3449</v>
      </c>
      <c r="AM847" t="s">
        <v>1190</v>
      </c>
      <c r="AN847" t="s">
        <v>599</v>
      </c>
      <c r="AO847" t="s">
        <v>599</v>
      </c>
      <c r="AP847" t="s">
        <v>599</v>
      </c>
      <c r="AQ847" t="s">
        <v>599</v>
      </c>
      <c r="AR847" t="s">
        <v>599</v>
      </c>
      <c r="AS847" t="s">
        <v>599</v>
      </c>
      <c r="AT847" t="s">
        <v>599</v>
      </c>
    </row>
    <row r="848" spans="1:46" ht="30" x14ac:dyDescent="0.25">
      <c r="A848" s="2">
        <v>12346</v>
      </c>
      <c r="B848" s="29">
        <v>808818</v>
      </c>
      <c r="C848" s="29">
        <v>1</v>
      </c>
      <c r="D848" s="28">
        <v>9</v>
      </c>
      <c r="E848" s="30" t="s">
        <v>575</v>
      </c>
      <c r="F848" s="31" t="s">
        <v>576</v>
      </c>
      <c r="G848" s="28" t="s">
        <v>577</v>
      </c>
      <c r="H848" s="35" t="s">
        <v>613</v>
      </c>
      <c r="I848" s="55" t="str">
        <f t="shared" si="27"/>
        <v>https://permalinkbnd.bnportugal.gov.pt/viewer/14613/?offset=#page=9&amp;viewer=picture&amp;o=info&amp;n=0&amp;q=</v>
      </c>
      <c r="J848" s="45"/>
      <c r="K848" s="45"/>
      <c r="L848" s="45"/>
      <c r="M848" t="s">
        <v>575</v>
      </c>
      <c r="N848">
        <v>14613</v>
      </c>
      <c r="O848" t="str">
        <f t="shared" si="26"/>
        <v>https://permalinkbnd.bnportugal.gov.pt/viewer/14613/?offset=#page=9&amp;viewer=picture&amp;o=info&amp;n=0&amp;q=</v>
      </c>
      <c r="P848">
        <v>808818</v>
      </c>
      <c r="Q848" t="s">
        <v>575</v>
      </c>
      <c r="R848" t="s">
        <v>3443</v>
      </c>
      <c r="S848" t="s">
        <v>1178</v>
      </c>
      <c r="T848" t="s">
        <v>1192</v>
      </c>
      <c r="U848" t="s">
        <v>599</v>
      </c>
      <c r="V848" t="s">
        <v>1219</v>
      </c>
      <c r="W848" t="s">
        <v>3444</v>
      </c>
      <c r="X848" t="s">
        <v>599</v>
      </c>
      <c r="Y848" t="s">
        <v>1182</v>
      </c>
      <c r="Z848" t="s">
        <v>3445</v>
      </c>
      <c r="AA848">
        <v>1880</v>
      </c>
      <c r="AB848">
        <v>1880</v>
      </c>
      <c r="AC848" t="s">
        <v>3446</v>
      </c>
      <c r="AD848" t="s">
        <v>1967</v>
      </c>
      <c r="AE848" t="s">
        <v>599</v>
      </c>
      <c r="AF848" t="s">
        <v>599</v>
      </c>
      <c r="AG848" t="s">
        <v>3447</v>
      </c>
      <c r="AH848" t="s">
        <v>599</v>
      </c>
      <c r="AI848" t="s">
        <v>599</v>
      </c>
      <c r="AJ848" t="s">
        <v>3448</v>
      </c>
      <c r="AK848" t="s">
        <v>599</v>
      </c>
      <c r="AL848" t="s">
        <v>3449</v>
      </c>
      <c r="AM848" t="s">
        <v>1190</v>
      </c>
      <c r="AN848" t="s">
        <v>599</v>
      </c>
      <c r="AO848" t="s">
        <v>599</v>
      </c>
      <c r="AP848" t="s">
        <v>599</v>
      </c>
      <c r="AQ848" t="s">
        <v>599</v>
      </c>
      <c r="AR848" t="s">
        <v>599</v>
      </c>
      <c r="AS848" t="s">
        <v>599</v>
      </c>
      <c r="AT848" t="s">
        <v>599</v>
      </c>
    </row>
    <row r="849" spans="1:46" ht="30" x14ac:dyDescent="0.25">
      <c r="A849" s="2">
        <v>12347</v>
      </c>
      <c r="B849" s="29">
        <v>808818</v>
      </c>
      <c r="C849" s="29">
        <v>1</v>
      </c>
      <c r="D849" s="28">
        <v>39</v>
      </c>
      <c r="E849" s="30" t="s">
        <v>575</v>
      </c>
      <c r="F849" s="31" t="s">
        <v>576</v>
      </c>
      <c r="G849" s="28" t="s">
        <v>577</v>
      </c>
      <c r="H849" s="35" t="s">
        <v>613</v>
      </c>
      <c r="I849" s="55" t="str">
        <f t="shared" si="27"/>
        <v>https://permalinkbnd.bnportugal.gov.pt/viewer/14613/?offset=#page=39&amp;viewer=picture&amp;o=info&amp;n=0&amp;q=</v>
      </c>
      <c r="J849" s="45"/>
      <c r="K849" s="45"/>
      <c r="L849" s="45"/>
      <c r="M849" t="s">
        <v>575</v>
      </c>
      <c r="N849">
        <v>14613</v>
      </c>
      <c r="O849" t="str">
        <f t="shared" si="26"/>
        <v>https://permalinkbnd.bnportugal.gov.pt/viewer/14613/?offset=#page=39&amp;viewer=picture&amp;o=info&amp;n=0&amp;q=</v>
      </c>
      <c r="P849">
        <v>808818</v>
      </c>
      <c r="Q849" t="s">
        <v>575</v>
      </c>
      <c r="R849" t="s">
        <v>3443</v>
      </c>
      <c r="S849" t="s">
        <v>1178</v>
      </c>
      <c r="T849" t="s">
        <v>1192</v>
      </c>
      <c r="U849" t="s">
        <v>599</v>
      </c>
      <c r="V849" t="s">
        <v>1219</v>
      </c>
      <c r="W849" t="s">
        <v>3444</v>
      </c>
      <c r="X849" t="s">
        <v>599</v>
      </c>
      <c r="Y849" t="s">
        <v>1182</v>
      </c>
      <c r="Z849" t="s">
        <v>3445</v>
      </c>
      <c r="AA849">
        <v>1880</v>
      </c>
      <c r="AB849">
        <v>1880</v>
      </c>
      <c r="AC849" t="s">
        <v>3446</v>
      </c>
      <c r="AD849" t="s">
        <v>1967</v>
      </c>
      <c r="AE849" t="s">
        <v>599</v>
      </c>
      <c r="AF849" t="s">
        <v>599</v>
      </c>
      <c r="AG849" t="s">
        <v>3447</v>
      </c>
      <c r="AH849" t="s">
        <v>599</v>
      </c>
      <c r="AI849" t="s">
        <v>599</v>
      </c>
      <c r="AJ849" t="s">
        <v>3448</v>
      </c>
      <c r="AK849" t="s">
        <v>599</v>
      </c>
      <c r="AL849" t="s">
        <v>3449</v>
      </c>
      <c r="AM849" t="s">
        <v>1190</v>
      </c>
      <c r="AN849" t="s">
        <v>599</v>
      </c>
      <c r="AO849" t="s">
        <v>599</v>
      </c>
      <c r="AP849" t="s">
        <v>599</v>
      </c>
      <c r="AQ849" t="s">
        <v>599</v>
      </c>
      <c r="AR849" t="s">
        <v>599</v>
      </c>
      <c r="AS849" t="s">
        <v>599</v>
      </c>
      <c r="AT849" t="s">
        <v>599</v>
      </c>
    </row>
    <row r="850" spans="1:46" ht="30" x14ac:dyDescent="0.25">
      <c r="A850" s="2">
        <v>12357</v>
      </c>
      <c r="B850" s="18">
        <v>865343</v>
      </c>
      <c r="C850" s="18">
        <v>1</v>
      </c>
      <c r="D850" s="17">
        <v>120</v>
      </c>
      <c r="E850" s="19" t="s">
        <v>578</v>
      </c>
      <c r="F850" s="20" t="s">
        <v>579</v>
      </c>
      <c r="G850" s="17"/>
      <c r="H850" s="36" t="s">
        <v>1141</v>
      </c>
      <c r="I850" s="55" t="str">
        <f t="shared" si="27"/>
        <v>https://permalinkbnd.bnportugal.gov.pt/viewer/7634/?offset=#page=120&amp;viewer=picture&amp;o=info&amp;n=0&amp;q=</v>
      </c>
      <c r="J850" s="45"/>
      <c r="K850" s="45"/>
      <c r="L850" s="45"/>
      <c r="M850" t="s">
        <v>578</v>
      </c>
      <c r="N850">
        <v>7634</v>
      </c>
      <c r="O850" t="str">
        <f t="shared" si="26"/>
        <v>https://permalinkbnd.bnportugal.gov.pt/viewer/7634/?offset=#page=120&amp;viewer=picture&amp;o=info&amp;n=0&amp;q=</v>
      </c>
      <c r="P850">
        <v>865343</v>
      </c>
      <c r="Q850" t="s">
        <v>578</v>
      </c>
      <c r="R850" t="s">
        <v>3450</v>
      </c>
      <c r="S850" t="s">
        <v>1226</v>
      </c>
      <c r="T850" t="s">
        <v>1192</v>
      </c>
      <c r="U850" t="s">
        <v>599</v>
      </c>
      <c r="V850" t="s">
        <v>3451</v>
      </c>
      <c r="W850" t="s">
        <v>3452</v>
      </c>
      <c r="X850" t="s">
        <v>599</v>
      </c>
      <c r="Y850" t="s">
        <v>1182</v>
      </c>
      <c r="Z850" t="s">
        <v>3453</v>
      </c>
      <c r="AA850">
        <v>1838</v>
      </c>
      <c r="AB850">
        <v>1838</v>
      </c>
      <c r="AC850" t="s">
        <v>599</v>
      </c>
      <c r="AD850" t="s">
        <v>599</v>
      </c>
      <c r="AE850" t="s">
        <v>599</v>
      </c>
      <c r="AF850" t="s">
        <v>599</v>
      </c>
      <c r="AG850" t="s">
        <v>599</v>
      </c>
      <c r="AH850" t="s">
        <v>599</v>
      </c>
      <c r="AI850" t="s">
        <v>599</v>
      </c>
      <c r="AJ850" t="s">
        <v>3454</v>
      </c>
      <c r="AK850" t="s">
        <v>599</v>
      </c>
      <c r="AL850" t="s">
        <v>3455</v>
      </c>
      <c r="AM850" t="s">
        <v>1190</v>
      </c>
      <c r="AN850" t="s">
        <v>599</v>
      </c>
      <c r="AO850" t="s">
        <v>599</v>
      </c>
      <c r="AP850" t="s">
        <v>599</v>
      </c>
      <c r="AQ850" t="s">
        <v>599</v>
      </c>
      <c r="AR850" t="s">
        <v>599</v>
      </c>
      <c r="AS850" t="s">
        <v>599</v>
      </c>
      <c r="AT850" t="s">
        <v>599</v>
      </c>
    </row>
    <row r="851" spans="1:46" ht="30" x14ac:dyDescent="0.25">
      <c r="A851" s="2">
        <v>12366</v>
      </c>
      <c r="B851" s="10">
        <v>2194758</v>
      </c>
      <c r="C851" s="10">
        <v>1</v>
      </c>
      <c r="D851" s="9">
        <v>1</v>
      </c>
      <c r="E851" s="11" t="s">
        <v>580</v>
      </c>
      <c r="F851" s="12" t="s">
        <v>581</v>
      </c>
      <c r="G851" s="9" t="s">
        <v>582</v>
      </c>
      <c r="H851" s="34"/>
      <c r="I851" s="55" t="str">
        <f t="shared" si="27"/>
        <v>https://permalinkbnd.bnportugal.gov.pt/viewer/1880/?offset=#page=1&amp;viewer=picture&amp;o=info&amp;n=0&amp;q=</v>
      </c>
      <c r="J851" s="45"/>
      <c r="K851" s="45"/>
      <c r="L851" s="45"/>
      <c r="M851" t="s">
        <v>580</v>
      </c>
      <c r="N851">
        <v>1880</v>
      </c>
      <c r="O851" t="str">
        <f t="shared" si="26"/>
        <v>https://permalinkbnd.bnportugal.gov.pt/viewer/1880/?offset=#page=1&amp;viewer=picture&amp;o=info&amp;n=0&amp;q=</v>
      </c>
      <c r="P851">
        <v>2194758</v>
      </c>
      <c r="Q851" t="s">
        <v>580</v>
      </c>
      <c r="R851" t="s">
        <v>3456</v>
      </c>
      <c r="S851" t="s">
        <v>1178</v>
      </c>
      <c r="T851" t="s">
        <v>1192</v>
      </c>
      <c r="U851" t="s">
        <v>599</v>
      </c>
      <c r="V851" t="s">
        <v>3457</v>
      </c>
      <c r="W851" t="s">
        <v>3458</v>
      </c>
      <c r="X851" t="s">
        <v>599</v>
      </c>
      <c r="Y851" t="s">
        <v>1182</v>
      </c>
      <c r="Z851" t="s">
        <v>3459</v>
      </c>
      <c r="AA851">
        <v>1880</v>
      </c>
      <c r="AB851">
        <v>1880</v>
      </c>
      <c r="AC851" t="s">
        <v>1872</v>
      </c>
      <c r="AD851" t="s">
        <v>599</v>
      </c>
      <c r="AE851" t="s">
        <v>599</v>
      </c>
      <c r="AF851" t="s">
        <v>599</v>
      </c>
      <c r="AG851" t="s">
        <v>599</v>
      </c>
      <c r="AH851" t="s">
        <v>599</v>
      </c>
      <c r="AI851" t="s">
        <v>599</v>
      </c>
      <c r="AJ851" t="s">
        <v>3460</v>
      </c>
      <c r="AK851" t="s">
        <v>599</v>
      </c>
      <c r="AL851" t="s">
        <v>3461</v>
      </c>
      <c r="AM851" t="s">
        <v>1190</v>
      </c>
      <c r="AN851" t="s">
        <v>599</v>
      </c>
      <c r="AO851" t="s">
        <v>599</v>
      </c>
      <c r="AP851" t="s">
        <v>599</v>
      </c>
      <c r="AQ851" t="s">
        <v>599</v>
      </c>
      <c r="AR851" t="s">
        <v>599</v>
      </c>
      <c r="AS851" t="s">
        <v>599</v>
      </c>
      <c r="AT851" t="s">
        <v>599</v>
      </c>
    </row>
    <row r="852" spans="1:46" ht="30" x14ac:dyDescent="0.25">
      <c r="A852" s="2">
        <v>12367</v>
      </c>
      <c r="B852" s="10">
        <v>2194758</v>
      </c>
      <c r="C852" s="10">
        <v>1</v>
      </c>
      <c r="D852" s="9">
        <v>2</v>
      </c>
      <c r="E852" s="11" t="s">
        <v>580</v>
      </c>
      <c r="F852" s="12" t="s">
        <v>581</v>
      </c>
      <c r="G852" s="9" t="s">
        <v>582</v>
      </c>
      <c r="H852" s="34"/>
      <c r="I852" s="55" t="str">
        <f t="shared" si="27"/>
        <v>https://permalinkbnd.bnportugal.gov.pt/viewer/1880/?offset=#page=2&amp;viewer=picture&amp;o=info&amp;n=0&amp;q=</v>
      </c>
      <c r="J852" s="45"/>
      <c r="K852" s="45"/>
      <c r="L852" s="45"/>
      <c r="M852" t="s">
        <v>580</v>
      </c>
      <c r="N852">
        <v>1880</v>
      </c>
      <c r="O852" t="str">
        <f t="shared" si="26"/>
        <v>https://permalinkbnd.bnportugal.gov.pt/viewer/1880/?offset=#page=2&amp;viewer=picture&amp;o=info&amp;n=0&amp;q=</v>
      </c>
      <c r="P852">
        <v>2194758</v>
      </c>
      <c r="Q852" t="s">
        <v>580</v>
      </c>
      <c r="R852" t="s">
        <v>3456</v>
      </c>
      <c r="S852" t="s">
        <v>1178</v>
      </c>
      <c r="T852" t="s">
        <v>1192</v>
      </c>
      <c r="U852" t="s">
        <v>599</v>
      </c>
      <c r="V852" t="s">
        <v>3457</v>
      </c>
      <c r="W852" t="s">
        <v>3458</v>
      </c>
      <c r="X852" t="s">
        <v>599</v>
      </c>
      <c r="Y852" t="s">
        <v>1182</v>
      </c>
      <c r="Z852" t="s">
        <v>3459</v>
      </c>
      <c r="AA852">
        <v>1880</v>
      </c>
      <c r="AB852">
        <v>1880</v>
      </c>
      <c r="AC852" t="s">
        <v>1872</v>
      </c>
      <c r="AD852" t="s">
        <v>599</v>
      </c>
      <c r="AE852" t="s">
        <v>599</v>
      </c>
      <c r="AF852" t="s">
        <v>599</v>
      </c>
      <c r="AG852" t="s">
        <v>599</v>
      </c>
      <c r="AH852" t="s">
        <v>599</v>
      </c>
      <c r="AI852" t="s">
        <v>599</v>
      </c>
      <c r="AJ852" t="s">
        <v>3460</v>
      </c>
      <c r="AK852" t="s">
        <v>599</v>
      </c>
      <c r="AL852" t="s">
        <v>3461</v>
      </c>
      <c r="AM852" t="s">
        <v>1190</v>
      </c>
      <c r="AN852" t="s">
        <v>599</v>
      </c>
      <c r="AO852" t="s">
        <v>599</v>
      </c>
      <c r="AP852" t="s">
        <v>599</v>
      </c>
      <c r="AQ852" t="s">
        <v>599</v>
      </c>
      <c r="AR852" t="s">
        <v>599</v>
      </c>
      <c r="AS852" t="s">
        <v>599</v>
      </c>
      <c r="AT852" t="s">
        <v>599</v>
      </c>
    </row>
    <row r="853" spans="1:46" ht="30" x14ac:dyDescent="0.25">
      <c r="A853" s="2">
        <v>12368</v>
      </c>
      <c r="B853" s="10">
        <v>2194758</v>
      </c>
      <c r="C853" s="10">
        <v>1</v>
      </c>
      <c r="D853" s="9">
        <v>3</v>
      </c>
      <c r="E853" s="11" t="s">
        <v>580</v>
      </c>
      <c r="F853" s="12" t="s">
        <v>581</v>
      </c>
      <c r="G853" s="9" t="s">
        <v>582</v>
      </c>
      <c r="H853" s="34"/>
      <c r="I853" s="55" t="str">
        <f t="shared" si="27"/>
        <v>https://permalinkbnd.bnportugal.gov.pt/viewer/1880/?offset=#page=3&amp;viewer=picture&amp;o=info&amp;n=0&amp;q=</v>
      </c>
      <c r="J853" s="45"/>
      <c r="K853" s="45"/>
      <c r="L853" s="45"/>
      <c r="M853" t="s">
        <v>580</v>
      </c>
      <c r="N853">
        <v>1880</v>
      </c>
      <c r="O853" t="str">
        <f t="shared" si="26"/>
        <v>https://permalinkbnd.bnportugal.gov.pt/viewer/1880/?offset=#page=3&amp;viewer=picture&amp;o=info&amp;n=0&amp;q=</v>
      </c>
      <c r="P853">
        <v>2194758</v>
      </c>
      <c r="Q853" t="s">
        <v>580</v>
      </c>
      <c r="R853" t="s">
        <v>3456</v>
      </c>
      <c r="S853" t="s">
        <v>1178</v>
      </c>
      <c r="T853" t="s">
        <v>1192</v>
      </c>
      <c r="U853" t="s">
        <v>599</v>
      </c>
      <c r="V853" t="s">
        <v>3457</v>
      </c>
      <c r="W853" t="s">
        <v>3458</v>
      </c>
      <c r="X853" t="s">
        <v>599</v>
      </c>
      <c r="Y853" t="s">
        <v>1182</v>
      </c>
      <c r="Z853" t="s">
        <v>3459</v>
      </c>
      <c r="AA853">
        <v>1880</v>
      </c>
      <c r="AB853">
        <v>1880</v>
      </c>
      <c r="AC853" t="s">
        <v>1872</v>
      </c>
      <c r="AD853" t="s">
        <v>599</v>
      </c>
      <c r="AE853" t="s">
        <v>599</v>
      </c>
      <c r="AF853" t="s">
        <v>599</v>
      </c>
      <c r="AG853" t="s">
        <v>599</v>
      </c>
      <c r="AH853" t="s">
        <v>599</v>
      </c>
      <c r="AI853" t="s">
        <v>599</v>
      </c>
      <c r="AJ853" t="s">
        <v>3460</v>
      </c>
      <c r="AK853" t="s">
        <v>599</v>
      </c>
      <c r="AL853" t="s">
        <v>3461</v>
      </c>
      <c r="AM853" t="s">
        <v>1190</v>
      </c>
      <c r="AN853" t="s">
        <v>599</v>
      </c>
      <c r="AO853" t="s">
        <v>599</v>
      </c>
      <c r="AP853" t="s">
        <v>599</v>
      </c>
      <c r="AQ853" t="s">
        <v>599</v>
      </c>
      <c r="AR853" t="s">
        <v>599</v>
      </c>
      <c r="AS853" t="s">
        <v>599</v>
      </c>
      <c r="AT853" t="s">
        <v>599</v>
      </c>
    </row>
    <row r="854" spans="1:46" ht="30" x14ac:dyDescent="0.25">
      <c r="A854" s="2">
        <v>12371</v>
      </c>
      <c r="B854" s="10">
        <v>2194827</v>
      </c>
      <c r="C854" s="10">
        <v>1</v>
      </c>
      <c r="D854" s="9">
        <v>1</v>
      </c>
      <c r="E854" s="11" t="s">
        <v>583</v>
      </c>
      <c r="F854" s="12" t="s">
        <v>584</v>
      </c>
      <c r="G854" s="9">
        <v>1</v>
      </c>
      <c r="H854" s="34"/>
      <c r="I854" s="55" t="str">
        <f t="shared" si="27"/>
        <v>https://permalinkbnd.bnportugal.gov.pt/viewer/275033/?offset=#page=1&amp;viewer=picture&amp;o=info&amp;n=0&amp;q=</v>
      </c>
      <c r="J854" s="45"/>
      <c r="K854" s="45"/>
      <c r="L854" s="45"/>
      <c r="M854" t="s">
        <v>583</v>
      </c>
      <c r="N854">
        <v>275033</v>
      </c>
      <c r="O854" t="str">
        <f t="shared" si="26"/>
        <v>https://permalinkbnd.bnportugal.gov.pt/viewer/275033/?offset=#page=1&amp;viewer=picture&amp;o=info&amp;n=0&amp;q=</v>
      </c>
      <c r="P854">
        <v>2194827</v>
      </c>
      <c r="Q854" t="s">
        <v>583</v>
      </c>
      <c r="R854" t="s">
        <v>3462</v>
      </c>
      <c r="S854" t="s">
        <v>1178</v>
      </c>
      <c r="T854" t="s">
        <v>1192</v>
      </c>
      <c r="U854" t="s">
        <v>599</v>
      </c>
      <c r="V854" t="s">
        <v>1293</v>
      </c>
      <c r="W854" t="s">
        <v>3463</v>
      </c>
      <c r="X854" t="s">
        <v>599</v>
      </c>
      <c r="Y854" t="s">
        <v>1182</v>
      </c>
      <c r="Z854" t="s">
        <v>3464</v>
      </c>
      <c r="AA854">
        <v>1880</v>
      </c>
      <c r="AB854">
        <v>1880</v>
      </c>
      <c r="AC854" t="s">
        <v>1872</v>
      </c>
      <c r="AD854" t="s">
        <v>599</v>
      </c>
      <c r="AE854" t="s">
        <v>599</v>
      </c>
      <c r="AF854" t="s">
        <v>599</v>
      </c>
      <c r="AG854" t="s">
        <v>599</v>
      </c>
      <c r="AH854" t="s">
        <v>599</v>
      </c>
      <c r="AI854" t="s">
        <v>599</v>
      </c>
      <c r="AJ854" t="s">
        <v>3465</v>
      </c>
      <c r="AK854" t="s">
        <v>599</v>
      </c>
      <c r="AL854" t="s">
        <v>3466</v>
      </c>
      <c r="AM854" t="s">
        <v>1190</v>
      </c>
      <c r="AN854" t="s">
        <v>599</v>
      </c>
      <c r="AO854" t="s">
        <v>599</v>
      </c>
      <c r="AP854" t="s">
        <v>599</v>
      </c>
      <c r="AQ854" t="s">
        <v>599</v>
      </c>
      <c r="AR854" t="s">
        <v>599</v>
      </c>
      <c r="AS854" t="s">
        <v>599</v>
      </c>
      <c r="AT854" t="s">
        <v>599</v>
      </c>
    </row>
    <row r="855" spans="1:46" ht="30" x14ac:dyDescent="0.25">
      <c r="A855" s="2">
        <v>12375</v>
      </c>
      <c r="B855" s="10">
        <v>2194848</v>
      </c>
      <c r="C855" s="10">
        <v>1</v>
      </c>
      <c r="D855" s="9">
        <v>1</v>
      </c>
      <c r="E855" s="11" t="s">
        <v>585</v>
      </c>
      <c r="F855" s="12" t="s">
        <v>586</v>
      </c>
      <c r="G855" s="9">
        <v>1</v>
      </c>
      <c r="H855" s="34"/>
      <c r="I855" s="55" t="str">
        <f t="shared" si="27"/>
        <v>https://permalinkbnd.bnportugal.gov.pt/viewer/275038/?offset=#page=1&amp;viewer=picture&amp;o=info&amp;n=0&amp;q=</v>
      </c>
      <c r="J855" s="45"/>
      <c r="K855" s="45"/>
      <c r="L855" s="45"/>
      <c r="M855" t="s">
        <v>585</v>
      </c>
      <c r="N855">
        <v>275038</v>
      </c>
      <c r="O855" t="str">
        <f t="shared" si="26"/>
        <v>https://permalinkbnd.bnportugal.gov.pt/viewer/275038/?offset=#page=1&amp;viewer=picture&amp;o=info&amp;n=0&amp;q=</v>
      </c>
      <c r="P855">
        <v>2194848</v>
      </c>
      <c r="Q855" t="s">
        <v>585</v>
      </c>
      <c r="R855" t="s">
        <v>3467</v>
      </c>
      <c r="S855" t="s">
        <v>1178</v>
      </c>
      <c r="T855" t="s">
        <v>1192</v>
      </c>
      <c r="U855" t="s">
        <v>599</v>
      </c>
      <c r="V855" t="s">
        <v>1654</v>
      </c>
      <c r="W855" t="s">
        <v>3468</v>
      </c>
      <c r="X855" t="s">
        <v>599</v>
      </c>
      <c r="Y855" t="s">
        <v>1182</v>
      </c>
      <c r="Z855" t="s">
        <v>3469</v>
      </c>
      <c r="AA855">
        <v>1880</v>
      </c>
      <c r="AB855">
        <v>1880</v>
      </c>
      <c r="AC855" t="s">
        <v>1872</v>
      </c>
      <c r="AD855" t="s">
        <v>599</v>
      </c>
      <c r="AE855" t="s">
        <v>599</v>
      </c>
      <c r="AF855" t="s">
        <v>599</v>
      </c>
      <c r="AG855" t="s">
        <v>599</v>
      </c>
      <c r="AH855" t="s">
        <v>599</v>
      </c>
      <c r="AI855" t="s">
        <v>599</v>
      </c>
      <c r="AJ855" t="s">
        <v>3470</v>
      </c>
      <c r="AK855" t="s">
        <v>599</v>
      </c>
      <c r="AL855" t="s">
        <v>3471</v>
      </c>
      <c r="AM855" t="s">
        <v>1190</v>
      </c>
      <c r="AN855" t="s">
        <v>599</v>
      </c>
      <c r="AO855" t="s">
        <v>599</v>
      </c>
      <c r="AP855" t="s">
        <v>599</v>
      </c>
      <c r="AQ855" t="s">
        <v>599</v>
      </c>
      <c r="AR855" t="s">
        <v>599</v>
      </c>
      <c r="AS855" t="s">
        <v>599</v>
      </c>
      <c r="AT855" t="s">
        <v>599</v>
      </c>
    </row>
    <row r="856" spans="1:46" ht="30" x14ac:dyDescent="0.25">
      <c r="A856" s="2">
        <v>12377</v>
      </c>
      <c r="B856" s="10">
        <v>2194859</v>
      </c>
      <c r="C856" s="10">
        <v>1</v>
      </c>
      <c r="D856" s="9">
        <v>1</v>
      </c>
      <c r="E856" s="11" t="s">
        <v>587</v>
      </c>
      <c r="F856" s="12" t="s">
        <v>449</v>
      </c>
      <c r="G856" s="9">
        <v>1</v>
      </c>
      <c r="H856" s="34"/>
      <c r="I856" s="55" t="str">
        <f t="shared" si="27"/>
        <v>https://permalinkbnd.bnportugal.gov.pt/viewer/273677/?offset=#page=1&amp;viewer=picture&amp;o=info&amp;n=0&amp;q=</v>
      </c>
      <c r="J856" s="45"/>
      <c r="K856" s="45"/>
      <c r="L856" s="45"/>
      <c r="M856" t="s">
        <v>587</v>
      </c>
      <c r="N856">
        <v>273677</v>
      </c>
      <c r="O856" t="str">
        <f t="shared" si="26"/>
        <v>https://permalinkbnd.bnportugal.gov.pt/viewer/273677/?offset=#page=1&amp;viewer=picture&amp;o=info&amp;n=0&amp;q=</v>
      </c>
      <c r="P856">
        <v>2194859</v>
      </c>
      <c r="Q856" t="s">
        <v>587</v>
      </c>
      <c r="R856" t="s">
        <v>3472</v>
      </c>
      <c r="S856" t="s">
        <v>1178</v>
      </c>
      <c r="T856" t="s">
        <v>1192</v>
      </c>
      <c r="U856" t="s">
        <v>599</v>
      </c>
      <c r="V856" t="s">
        <v>1821</v>
      </c>
      <c r="W856" t="s">
        <v>3473</v>
      </c>
      <c r="X856" t="s">
        <v>599</v>
      </c>
      <c r="Y856" t="s">
        <v>1182</v>
      </c>
      <c r="Z856" t="s">
        <v>3474</v>
      </c>
      <c r="AA856">
        <v>1880</v>
      </c>
      <c r="AB856">
        <v>1880</v>
      </c>
      <c r="AC856" t="s">
        <v>1872</v>
      </c>
      <c r="AD856" t="s">
        <v>599</v>
      </c>
      <c r="AE856" t="s">
        <v>599</v>
      </c>
      <c r="AF856" t="s">
        <v>599</v>
      </c>
      <c r="AG856" t="s">
        <v>599</v>
      </c>
      <c r="AH856" t="s">
        <v>599</v>
      </c>
      <c r="AI856" t="s">
        <v>599</v>
      </c>
      <c r="AJ856" t="s">
        <v>3475</v>
      </c>
      <c r="AK856" t="s">
        <v>599</v>
      </c>
      <c r="AL856" t="s">
        <v>3476</v>
      </c>
      <c r="AM856" t="s">
        <v>1190</v>
      </c>
      <c r="AN856" t="s">
        <v>599</v>
      </c>
      <c r="AO856" t="s">
        <v>599</v>
      </c>
      <c r="AP856" t="s">
        <v>599</v>
      </c>
      <c r="AQ856" t="s">
        <v>599</v>
      </c>
      <c r="AR856" t="s">
        <v>599</v>
      </c>
      <c r="AS856" t="s">
        <v>599</v>
      </c>
      <c r="AT856" t="s">
        <v>599</v>
      </c>
    </row>
    <row r="857" spans="1:46" ht="30" x14ac:dyDescent="0.25">
      <c r="A857" s="2">
        <v>12386</v>
      </c>
      <c r="B857" s="10">
        <v>2195077</v>
      </c>
      <c r="C857" s="10">
        <v>1</v>
      </c>
      <c r="D857" s="9">
        <v>9</v>
      </c>
      <c r="E857" s="11" t="s">
        <v>588</v>
      </c>
      <c r="F857" s="12">
        <v>9</v>
      </c>
      <c r="G857" s="9">
        <v>9</v>
      </c>
      <c r="H857" s="34"/>
      <c r="I857" s="55" t="str">
        <f t="shared" si="27"/>
        <v>https://permalinkbnd.bnportugal.gov.pt/viewer/1880/?offset=#page=9&amp;viewer=picture&amp;o=info&amp;n=0&amp;q=</v>
      </c>
      <c r="J857" s="45"/>
      <c r="K857" s="45"/>
      <c r="L857" s="45"/>
      <c r="M857" t="s">
        <v>588</v>
      </c>
      <c r="N857">
        <v>1880</v>
      </c>
      <c r="O857" t="str">
        <f t="shared" si="26"/>
        <v>https://permalinkbnd.bnportugal.gov.pt/viewer/1880/?offset=#page=9&amp;viewer=picture&amp;o=info&amp;n=0&amp;q=</v>
      </c>
      <c r="P857">
        <v>2195077</v>
      </c>
      <c r="Q857" t="s">
        <v>588</v>
      </c>
      <c r="R857" t="s">
        <v>3477</v>
      </c>
      <c r="S857" t="s">
        <v>1178</v>
      </c>
      <c r="T857" t="s">
        <v>1192</v>
      </c>
      <c r="U857" t="s">
        <v>599</v>
      </c>
      <c r="V857" t="s">
        <v>3478</v>
      </c>
      <c r="W857" t="s">
        <v>3479</v>
      </c>
      <c r="X857" t="s">
        <v>599</v>
      </c>
      <c r="Y857" t="s">
        <v>1182</v>
      </c>
      <c r="Z857" t="s">
        <v>3480</v>
      </c>
      <c r="AA857">
        <v>1880</v>
      </c>
      <c r="AB857">
        <v>1880</v>
      </c>
      <c r="AC857" t="s">
        <v>3481</v>
      </c>
      <c r="AD857" t="s">
        <v>599</v>
      </c>
      <c r="AE857" t="s">
        <v>599</v>
      </c>
      <c r="AF857" t="s">
        <v>599</v>
      </c>
      <c r="AG857" t="s">
        <v>599</v>
      </c>
      <c r="AH857" t="s">
        <v>599</v>
      </c>
      <c r="AI857" t="s">
        <v>599</v>
      </c>
      <c r="AJ857" t="s">
        <v>3482</v>
      </c>
      <c r="AK857" t="s">
        <v>599</v>
      </c>
      <c r="AL857" t="s">
        <v>3483</v>
      </c>
      <c r="AM857" t="s">
        <v>1190</v>
      </c>
      <c r="AN857" t="s">
        <v>599</v>
      </c>
      <c r="AO857" t="s">
        <v>599</v>
      </c>
      <c r="AP857" t="s">
        <v>599</v>
      </c>
      <c r="AQ857" t="s">
        <v>599</v>
      </c>
      <c r="AR857" t="s">
        <v>599</v>
      </c>
      <c r="AS857" t="s">
        <v>599</v>
      </c>
      <c r="AT857" t="s">
        <v>599</v>
      </c>
    </row>
    <row r="858" spans="1:46" ht="30" x14ac:dyDescent="0.25">
      <c r="A858" s="2">
        <v>12389</v>
      </c>
      <c r="B858" s="10">
        <v>2195085</v>
      </c>
      <c r="C858" s="10">
        <v>1</v>
      </c>
      <c r="D858" s="9">
        <v>1</v>
      </c>
      <c r="E858" s="11" t="s">
        <v>589</v>
      </c>
      <c r="F858" s="12" t="s">
        <v>449</v>
      </c>
      <c r="G858" s="9">
        <v>1</v>
      </c>
      <c r="H858" s="34"/>
      <c r="I858" s="55" t="str">
        <f t="shared" si="27"/>
        <v>https://permalinkbnd.bnportugal.gov.pt/viewer/273687/?offset=#page=1&amp;viewer=picture&amp;o=info&amp;n=0&amp;q=</v>
      </c>
      <c r="J858" s="45"/>
      <c r="K858" s="45"/>
      <c r="L858" s="45"/>
      <c r="M858" t="s">
        <v>589</v>
      </c>
      <c r="N858">
        <v>273687</v>
      </c>
      <c r="O858" t="str">
        <f t="shared" si="26"/>
        <v>https://permalinkbnd.bnportugal.gov.pt/viewer/273687/?offset=#page=1&amp;viewer=picture&amp;o=info&amp;n=0&amp;q=</v>
      </c>
      <c r="P858">
        <v>2195085</v>
      </c>
      <c r="Q858" t="s">
        <v>589</v>
      </c>
      <c r="R858" t="s">
        <v>3484</v>
      </c>
      <c r="S858" t="s">
        <v>1178</v>
      </c>
      <c r="T858" t="s">
        <v>1192</v>
      </c>
      <c r="U858" t="s">
        <v>599</v>
      </c>
      <c r="V858" t="s">
        <v>1654</v>
      </c>
      <c r="W858" t="s">
        <v>599</v>
      </c>
      <c r="X858" t="s">
        <v>599</v>
      </c>
      <c r="Y858" t="s">
        <v>1182</v>
      </c>
      <c r="Z858" t="s">
        <v>3485</v>
      </c>
      <c r="AA858">
        <v>1880</v>
      </c>
      <c r="AB858">
        <v>1880</v>
      </c>
      <c r="AC858" t="s">
        <v>1391</v>
      </c>
      <c r="AD858" t="s">
        <v>599</v>
      </c>
      <c r="AE858" t="s">
        <v>599</v>
      </c>
      <c r="AF858" t="s">
        <v>599</v>
      </c>
      <c r="AG858" t="s">
        <v>599</v>
      </c>
      <c r="AH858" t="s">
        <v>599</v>
      </c>
      <c r="AI858" t="s">
        <v>599</v>
      </c>
      <c r="AJ858" t="s">
        <v>3486</v>
      </c>
      <c r="AK858" t="s">
        <v>599</v>
      </c>
      <c r="AL858" t="s">
        <v>3487</v>
      </c>
      <c r="AM858" t="s">
        <v>1190</v>
      </c>
      <c r="AN858" t="s">
        <v>599</v>
      </c>
      <c r="AO858" t="s">
        <v>599</v>
      </c>
      <c r="AP858" t="s">
        <v>599</v>
      </c>
      <c r="AQ858" t="s">
        <v>599</v>
      </c>
      <c r="AR858" t="s">
        <v>599</v>
      </c>
      <c r="AS858" t="s">
        <v>599</v>
      </c>
      <c r="AT858" t="s">
        <v>599</v>
      </c>
    </row>
    <row r="859" spans="1:46" ht="30" x14ac:dyDescent="0.25">
      <c r="A859" s="2">
        <v>12390</v>
      </c>
      <c r="B859" s="10">
        <v>2195086</v>
      </c>
      <c r="C859" s="10">
        <v>1</v>
      </c>
      <c r="D859" s="9">
        <v>1</v>
      </c>
      <c r="E859" s="11" t="s">
        <v>590</v>
      </c>
      <c r="F859" s="12" t="s">
        <v>449</v>
      </c>
      <c r="G859" s="9">
        <v>1</v>
      </c>
      <c r="H859" s="34"/>
      <c r="I859" s="55" t="str">
        <f t="shared" si="27"/>
        <v>https://permalinkbnd.bnportugal.gov.pt/viewer/273688/?offset=#page=1&amp;viewer=picture&amp;o=info&amp;n=0&amp;q=</v>
      </c>
      <c r="J859" s="45"/>
      <c r="K859" s="45"/>
      <c r="L859" s="45"/>
      <c r="M859" t="s">
        <v>590</v>
      </c>
      <c r="N859">
        <v>273688</v>
      </c>
      <c r="O859" t="str">
        <f t="shared" si="26"/>
        <v>https://permalinkbnd.bnportugal.gov.pt/viewer/273688/?offset=#page=1&amp;viewer=picture&amp;o=info&amp;n=0&amp;q=</v>
      </c>
      <c r="P859">
        <v>2195086</v>
      </c>
      <c r="Q859" t="s">
        <v>590</v>
      </c>
      <c r="R859" t="s">
        <v>3488</v>
      </c>
      <c r="S859" t="s">
        <v>1178</v>
      </c>
      <c r="T859" t="s">
        <v>1192</v>
      </c>
      <c r="U859" t="s">
        <v>599</v>
      </c>
      <c r="V859" t="s">
        <v>1603</v>
      </c>
      <c r="W859" t="s">
        <v>3489</v>
      </c>
      <c r="X859" t="s">
        <v>599</v>
      </c>
      <c r="Y859" t="s">
        <v>1182</v>
      </c>
      <c r="Z859" t="s">
        <v>3490</v>
      </c>
      <c r="AA859">
        <v>1880</v>
      </c>
      <c r="AB859">
        <v>1880</v>
      </c>
      <c r="AC859" t="s">
        <v>1391</v>
      </c>
      <c r="AD859" t="s">
        <v>599</v>
      </c>
      <c r="AE859" t="s">
        <v>599</v>
      </c>
      <c r="AF859" t="s">
        <v>599</v>
      </c>
      <c r="AG859" t="s">
        <v>599</v>
      </c>
      <c r="AH859" t="s">
        <v>599</v>
      </c>
      <c r="AI859" t="s">
        <v>599</v>
      </c>
      <c r="AJ859" t="s">
        <v>3491</v>
      </c>
      <c r="AK859" t="s">
        <v>599</v>
      </c>
      <c r="AL859" t="s">
        <v>3492</v>
      </c>
      <c r="AM859" t="s">
        <v>1190</v>
      </c>
      <c r="AN859" t="s">
        <v>599</v>
      </c>
      <c r="AO859" t="s">
        <v>599</v>
      </c>
      <c r="AP859" t="s">
        <v>599</v>
      </c>
      <c r="AQ859" t="s">
        <v>599</v>
      </c>
      <c r="AR859" t="s">
        <v>599</v>
      </c>
      <c r="AS859" t="s">
        <v>599</v>
      </c>
      <c r="AT859" t="s">
        <v>599</v>
      </c>
    </row>
    <row r="860" spans="1:46" ht="60" x14ac:dyDescent="0.25">
      <c r="A860" s="2">
        <v>12393</v>
      </c>
      <c r="B860" s="10">
        <v>2195089</v>
      </c>
      <c r="C860" s="10">
        <v>1</v>
      </c>
      <c r="D860" s="9">
        <v>5</v>
      </c>
      <c r="E860" s="11" t="s">
        <v>591</v>
      </c>
      <c r="F860" s="12" t="s">
        <v>592</v>
      </c>
      <c r="G860" s="9" t="s">
        <v>593</v>
      </c>
      <c r="H860" s="34"/>
      <c r="I860" s="55" t="str">
        <f t="shared" si="27"/>
        <v>https://permalinkbnd.bnportugal.gov.pt/viewer/277330/?offset=#page=5&amp;viewer=picture&amp;o=info&amp;n=0&amp;q=</v>
      </c>
      <c r="J860" s="45"/>
      <c r="K860" s="45"/>
      <c r="L860" s="45"/>
      <c r="M860" t="s">
        <v>591</v>
      </c>
      <c r="N860">
        <v>277330</v>
      </c>
      <c r="O860" t="str">
        <f t="shared" si="26"/>
        <v>https://permalinkbnd.bnportugal.gov.pt/viewer/277330/?offset=#page=5&amp;viewer=picture&amp;o=info&amp;n=0&amp;q=</v>
      </c>
      <c r="P860">
        <v>2195089</v>
      </c>
      <c r="Q860" t="s">
        <v>591</v>
      </c>
      <c r="R860" t="s">
        <v>3493</v>
      </c>
      <c r="S860" t="s">
        <v>1178</v>
      </c>
      <c r="T860" t="s">
        <v>1192</v>
      </c>
      <c r="U860" t="s">
        <v>599</v>
      </c>
      <c r="V860" t="s">
        <v>3494</v>
      </c>
      <c r="W860" t="s">
        <v>599</v>
      </c>
      <c r="X860" t="s">
        <v>599</v>
      </c>
      <c r="Y860" t="s">
        <v>1182</v>
      </c>
      <c r="Z860" t="s">
        <v>3495</v>
      </c>
      <c r="AA860">
        <v>1880</v>
      </c>
      <c r="AB860">
        <v>1880</v>
      </c>
      <c r="AC860" t="s">
        <v>1802</v>
      </c>
      <c r="AD860" t="s">
        <v>599</v>
      </c>
      <c r="AE860" t="s">
        <v>599</v>
      </c>
      <c r="AF860" t="s">
        <v>599</v>
      </c>
      <c r="AG860" t="s">
        <v>3496</v>
      </c>
      <c r="AH860" t="s">
        <v>599</v>
      </c>
      <c r="AI860" t="s">
        <v>599</v>
      </c>
      <c r="AJ860" t="s">
        <v>3497</v>
      </c>
      <c r="AK860" t="s">
        <v>599</v>
      </c>
      <c r="AL860" t="s">
        <v>3498</v>
      </c>
      <c r="AM860" t="s">
        <v>1190</v>
      </c>
      <c r="AN860" t="s">
        <v>599</v>
      </c>
      <c r="AO860" t="s">
        <v>599</v>
      </c>
      <c r="AP860" t="s">
        <v>599</v>
      </c>
      <c r="AQ860" t="s">
        <v>599</v>
      </c>
      <c r="AR860" t="s">
        <v>599</v>
      </c>
      <c r="AS860" t="s">
        <v>599</v>
      </c>
      <c r="AT860" t="s">
        <v>599</v>
      </c>
    </row>
    <row r="861" spans="1:46" ht="60" x14ac:dyDescent="0.25">
      <c r="A861" s="2">
        <v>12394</v>
      </c>
      <c r="B861" s="10">
        <v>2195089</v>
      </c>
      <c r="C861" s="10">
        <v>1</v>
      </c>
      <c r="D861" s="9">
        <v>7</v>
      </c>
      <c r="E861" s="11" t="s">
        <v>591</v>
      </c>
      <c r="F861" s="12" t="s">
        <v>592</v>
      </c>
      <c r="G861" s="9" t="s">
        <v>593</v>
      </c>
      <c r="H861" s="34"/>
      <c r="I861" s="55" t="str">
        <f t="shared" si="27"/>
        <v>https://permalinkbnd.bnportugal.gov.pt/viewer/277330/?offset=#page=7&amp;viewer=picture&amp;o=info&amp;n=0&amp;q=</v>
      </c>
      <c r="J861" s="45"/>
      <c r="K861" s="45"/>
      <c r="L861" s="45"/>
      <c r="M861" t="s">
        <v>591</v>
      </c>
      <c r="N861">
        <v>277330</v>
      </c>
      <c r="O861" t="str">
        <f t="shared" si="26"/>
        <v>https://permalinkbnd.bnportugal.gov.pt/viewer/277330/?offset=#page=7&amp;viewer=picture&amp;o=info&amp;n=0&amp;q=</v>
      </c>
      <c r="P861">
        <v>2195089</v>
      </c>
      <c r="Q861" t="s">
        <v>591</v>
      </c>
      <c r="R861" t="s">
        <v>3493</v>
      </c>
      <c r="S861" t="s">
        <v>1178</v>
      </c>
      <c r="T861" t="s">
        <v>1192</v>
      </c>
      <c r="U861" t="s">
        <v>599</v>
      </c>
      <c r="V861" t="s">
        <v>3494</v>
      </c>
      <c r="W861" t="s">
        <v>599</v>
      </c>
      <c r="X861" t="s">
        <v>599</v>
      </c>
      <c r="Y861" t="s">
        <v>1182</v>
      </c>
      <c r="Z861" t="s">
        <v>3495</v>
      </c>
      <c r="AA861">
        <v>1880</v>
      </c>
      <c r="AB861">
        <v>1880</v>
      </c>
      <c r="AC861" t="s">
        <v>1802</v>
      </c>
      <c r="AD861" t="s">
        <v>599</v>
      </c>
      <c r="AE861" t="s">
        <v>599</v>
      </c>
      <c r="AF861" t="s">
        <v>599</v>
      </c>
      <c r="AG861" t="s">
        <v>3496</v>
      </c>
      <c r="AH861" t="s">
        <v>599</v>
      </c>
      <c r="AI861" t="s">
        <v>599</v>
      </c>
      <c r="AJ861" t="s">
        <v>3497</v>
      </c>
      <c r="AK861" t="s">
        <v>599</v>
      </c>
      <c r="AL861" t="s">
        <v>3498</v>
      </c>
      <c r="AM861" t="s">
        <v>1190</v>
      </c>
      <c r="AN861" t="s">
        <v>599</v>
      </c>
      <c r="AO861" t="s">
        <v>599</v>
      </c>
      <c r="AP861" t="s">
        <v>599</v>
      </c>
      <c r="AQ861" t="s">
        <v>599</v>
      </c>
      <c r="AR861" t="s">
        <v>599</v>
      </c>
      <c r="AS861" t="s">
        <v>599</v>
      </c>
      <c r="AT861" t="s">
        <v>599</v>
      </c>
    </row>
    <row r="862" spans="1:46" ht="60" x14ac:dyDescent="0.25">
      <c r="A862" s="2">
        <v>12395</v>
      </c>
      <c r="B862" s="10">
        <v>2195089</v>
      </c>
      <c r="C862" s="10">
        <v>1</v>
      </c>
      <c r="D862" s="9">
        <v>8</v>
      </c>
      <c r="E862" s="11" t="s">
        <v>591</v>
      </c>
      <c r="F862" s="12" t="s">
        <v>592</v>
      </c>
      <c r="G862" s="9" t="s">
        <v>593</v>
      </c>
      <c r="H862" s="34"/>
      <c r="I862" s="55" t="str">
        <f t="shared" si="27"/>
        <v>https://permalinkbnd.bnportugal.gov.pt/viewer/277330/?offset=#page=8&amp;viewer=picture&amp;o=info&amp;n=0&amp;q=</v>
      </c>
      <c r="J862" s="45"/>
      <c r="K862" s="45"/>
      <c r="L862" s="45"/>
      <c r="M862" t="s">
        <v>591</v>
      </c>
      <c r="N862">
        <v>277330</v>
      </c>
      <c r="O862" t="str">
        <f t="shared" si="26"/>
        <v>https://permalinkbnd.bnportugal.gov.pt/viewer/277330/?offset=#page=8&amp;viewer=picture&amp;o=info&amp;n=0&amp;q=</v>
      </c>
      <c r="P862">
        <v>2195089</v>
      </c>
      <c r="Q862" t="s">
        <v>591</v>
      </c>
      <c r="R862" t="s">
        <v>3493</v>
      </c>
      <c r="S862" t="s">
        <v>1178</v>
      </c>
      <c r="T862" t="s">
        <v>1192</v>
      </c>
      <c r="U862" t="s">
        <v>599</v>
      </c>
      <c r="V862" t="s">
        <v>3494</v>
      </c>
      <c r="W862" t="s">
        <v>599</v>
      </c>
      <c r="X862" t="s">
        <v>599</v>
      </c>
      <c r="Y862" t="s">
        <v>1182</v>
      </c>
      <c r="Z862" t="s">
        <v>3495</v>
      </c>
      <c r="AA862">
        <v>1880</v>
      </c>
      <c r="AB862">
        <v>1880</v>
      </c>
      <c r="AC862" t="s">
        <v>1802</v>
      </c>
      <c r="AD862" t="s">
        <v>599</v>
      </c>
      <c r="AE862" t="s">
        <v>599</v>
      </c>
      <c r="AF862" t="s">
        <v>599</v>
      </c>
      <c r="AG862" t="s">
        <v>3496</v>
      </c>
      <c r="AH862" t="s">
        <v>599</v>
      </c>
      <c r="AI862" t="s">
        <v>599</v>
      </c>
      <c r="AJ862" t="s">
        <v>3497</v>
      </c>
      <c r="AK862" t="s">
        <v>599</v>
      </c>
      <c r="AL862" t="s">
        <v>3498</v>
      </c>
      <c r="AM862" t="s">
        <v>1190</v>
      </c>
      <c r="AN862" t="s">
        <v>599</v>
      </c>
      <c r="AO862" t="s">
        <v>599</v>
      </c>
      <c r="AP862" t="s">
        <v>599</v>
      </c>
      <c r="AQ862" t="s">
        <v>599</v>
      </c>
      <c r="AR862" t="s">
        <v>599</v>
      </c>
      <c r="AS862" t="s">
        <v>599</v>
      </c>
      <c r="AT862" t="s">
        <v>599</v>
      </c>
    </row>
    <row r="863" spans="1:46" ht="60" x14ac:dyDescent="0.25">
      <c r="A863" s="2">
        <v>12396</v>
      </c>
      <c r="B863" s="10">
        <v>2195089</v>
      </c>
      <c r="C863" s="10">
        <v>1</v>
      </c>
      <c r="D863" s="9">
        <v>9</v>
      </c>
      <c r="E863" s="11" t="s">
        <v>591</v>
      </c>
      <c r="F863" s="12" t="s">
        <v>592</v>
      </c>
      <c r="G863" s="9" t="s">
        <v>593</v>
      </c>
      <c r="H863" s="34"/>
      <c r="I863" s="55" t="str">
        <f t="shared" si="27"/>
        <v>https://permalinkbnd.bnportugal.gov.pt/viewer/277330/?offset=#page=9&amp;viewer=picture&amp;o=info&amp;n=0&amp;q=</v>
      </c>
      <c r="J863" s="45"/>
      <c r="K863" s="45"/>
      <c r="L863" s="45"/>
      <c r="M863" t="s">
        <v>591</v>
      </c>
      <c r="N863">
        <v>277330</v>
      </c>
      <c r="O863" t="str">
        <f t="shared" si="26"/>
        <v>https://permalinkbnd.bnportugal.gov.pt/viewer/277330/?offset=#page=9&amp;viewer=picture&amp;o=info&amp;n=0&amp;q=</v>
      </c>
      <c r="P863">
        <v>2195089</v>
      </c>
      <c r="Q863" t="s">
        <v>591</v>
      </c>
      <c r="R863" t="s">
        <v>3493</v>
      </c>
      <c r="S863" t="s">
        <v>1178</v>
      </c>
      <c r="T863" t="s">
        <v>1192</v>
      </c>
      <c r="U863" t="s">
        <v>599</v>
      </c>
      <c r="V863" t="s">
        <v>3494</v>
      </c>
      <c r="W863" t="s">
        <v>599</v>
      </c>
      <c r="X863" t="s">
        <v>599</v>
      </c>
      <c r="Y863" t="s">
        <v>1182</v>
      </c>
      <c r="Z863" t="s">
        <v>3495</v>
      </c>
      <c r="AA863">
        <v>1880</v>
      </c>
      <c r="AB863">
        <v>1880</v>
      </c>
      <c r="AC863" t="s">
        <v>1802</v>
      </c>
      <c r="AD863" t="s">
        <v>599</v>
      </c>
      <c r="AE863" t="s">
        <v>599</v>
      </c>
      <c r="AF863" t="s">
        <v>599</v>
      </c>
      <c r="AG863" t="s">
        <v>3496</v>
      </c>
      <c r="AH863" t="s">
        <v>599</v>
      </c>
      <c r="AI863" t="s">
        <v>599</v>
      </c>
      <c r="AJ863" t="s">
        <v>3497</v>
      </c>
      <c r="AK863" t="s">
        <v>599</v>
      </c>
      <c r="AL863" t="s">
        <v>3498</v>
      </c>
      <c r="AM863" t="s">
        <v>1190</v>
      </c>
      <c r="AN863" t="s">
        <v>599</v>
      </c>
      <c r="AO863" t="s">
        <v>599</v>
      </c>
      <c r="AP863" t="s">
        <v>599</v>
      </c>
      <c r="AQ863" t="s">
        <v>599</v>
      </c>
      <c r="AR863" t="s">
        <v>599</v>
      </c>
      <c r="AS863" t="s">
        <v>599</v>
      </c>
      <c r="AT863" t="s">
        <v>599</v>
      </c>
    </row>
    <row r="864" spans="1:46" ht="60" x14ac:dyDescent="0.25">
      <c r="A864" s="2">
        <v>12397</v>
      </c>
      <c r="B864" s="10">
        <v>2195089</v>
      </c>
      <c r="C864" s="10">
        <v>1</v>
      </c>
      <c r="D864" s="9">
        <v>10</v>
      </c>
      <c r="E864" s="11" t="s">
        <v>591</v>
      </c>
      <c r="F864" s="12" t="s">
        <v>592</v>
      </c>
      <c r="G864" s="9" t="s">
        <v>593</v>
      </c>
      <c r="H864" s="34"/>
      <c r="I864" s="55" t="str">
        <f t="shared" si="27"/>
        <v>https://permalinkbnd.bnportugal.gov.pt/viewer/277330/?offset=#page=10&amp;viewer=picture&amp;o=info&amp;n=0&amp;q=</v>
      </c>
      <c r="J864" s="45"/>
      <c r="K864" s="45"/>
      <c r="L864" s="45"/>
      <c r="M864" t="s">
        <v>591</v>
      </c>
      <c r="N864">
        <v>277330</v>
      </c>
      <c r="O864" t="str">
        <f t="shared" si="26"/>
        <v>https://permalinkbnd.bnportugal.gov.pt/viewer/277330/?offset=#page=10&amp;viewer=picture&amp;o=info&amp;n=0&amp;q=</v>
      </c>
      <c r="P864">
        <v>2195089</v>
      </c>
      <c r="Q864" t="s">
        <v>591</v>
      </c>
      <c r="R864" t="s">
        <v>3493</v>
      </c>
      <c r="S864" t="s">
        <v>1178</v>
      </c>
      <c r="T864" t="s">
        <v>1192</v>
      </c>
      <c r="U864" t="s">
        <v>599</v>
      </c>
      <c r="V864" t="s">
        <v>3494</v>
      </c>
      <c r="W864" t="s">
        <v>599</v>
      </c>
      <c r="X864" t="s">
        <v>599</v>
      </c>
      <c r="Y864" t="s">
        <v>1182</v>
      </c>
      <c r="Z864" t="s">
        <v>3495</v>
      </c>
      <c r="AA864">
        <v>1880</v>
      </c>
      <c r="AB864">
        <v>1880</v>
      </c>
      <c r="AC864" t="s">
        <v>1802</v>
      </c>
      <c r="AD864" t="s">
        <v>599</v>
      </c>
      <c r="AE864" t="s">
        <v>599</v>
      </c>
      <c r="AF864" t="s">
        <v>599</v>
      </c>
      <c r="AG864" t="s">
        <v>3496</v>
      </c>
      <c r="AH864" t="s">
        <v>599</v>
      </c>
      <c r="AI864" t="s">
        <v>599</v>
      </c>
      <c r="AJ864" t="s">
        <v>3497</v>
      </c>
      <c r="AK864" t="s">
        <v>599</v>
      </c>
      <c r="AL864" t="s">
        <v>3498</v>
      </c>
      <c r="AM864" t="s">
        <v>1190</v>
      </c>
      <c r="AN864" t="s">
        <v>599</v>
      </c>
      <c r="AO864" t="s">
        <v>599</v>
      </c>
      <c r="AP864" t="s">
        <v>599</v>
      </c>
      <c r="AQ864" t="s">
        <v>599</v>
      </c>
      <c r="AR864" t="s">
        <v>599</v>
      </c>
      <c r="AS864" t="s">
        <v>599</v>
      </c>
      <c r="AT864" t="s">
        <v>599</v>
      </c>
    </row>
    <row r="865" spans="1:46" ht="60" x14ac:dyDescent="0.25">
      <c r="A865" s="2">
        <v>12398</v>
      </c>
      <c r="B865" s="10">
        <v>2195089</v>
      </c>
      <c r="C865" s="10">
        <v>1</v>
      </c>
      <c r="D865" s="9">
        <v>11</v>
      </c>
      <c r="E865" s="11" t="s">
        <v>591</v>
      </c>
      <c r="F865" s="12" t="s">
        <v>592</v>
      </c>
      <c r="G865" s="9" t="s">
        <v>593</v>
      </c>
      <c r="H865" s="34"/>
      <c r="I865" s="55" t="str">
        <f t="shared" si="27"/>
        <v>https://permalinkbnd.bnportugal.gov.pt/viewer/277330/?offset=#page=11&amp;viewer=picture&amp;o=info&amp;n=0&amp;q=</v>
      </c>
      <c r="J865" s="45"/>
      <c r="K865" s="45"/>
      <c r="L865" s="45"/>
      <c r="M865" t="s">
        <v>591</v>
      </c>
      <c r="N865">
        <v>277330</v>
      </c>
      <c r="O865" t="str">
        <f t="shared" si="26"/>
        <v>https://permalinkbnd.bnportugal.gov.pt/viewer/277330/?offset=#page=11&amp;viewer=picture&amp;o=info&amp;n=0&amp;q=</v>
      </c>
      <c r="P865">
        <v>2195089</v>
      </c>
      <c r="Q865" t="s">
        <v>591</v>
      </c>
      <c r="R865" t="s">
        <v>3493</v>
      </c>
      <c r="S865" t="s">
        <v>1178</v>
      </c>
      <c r="T865" t="s">
        <v>1192</v>
      </c>
      <c r="U865" t="s">
        <v>599</v>
      </c>
      <c r="V865" t="s">
        <v>3494</v>
      </c>
      <c r="W865" t="s">
        <v>599</v>
      </c>
      <c r="X865" t="s">
        <v>599</v>
      </c>
      <c r="Y865" t="s">
        <v>1182</v>
      </c>
      <c r="Z865" t="s">
        <v>3495</v>
      </c>
      <c r="AA865">
        <v>1880</v>
      </c>
      <c r="AB865">
        <v>1880</v>
      </c>
      <c r="AC865" t="s">
        <v>1802</v>
      </c>
      <c r="AD865" t="s">
        <v>599</v>
      </c>
      <c r="AE865" t="s">
        <v>599</v>
      </c>
      <c r="AF865" t="s">
        <v>599</v>
      </c>
      <c r="AG865" t="s">
        <v>3496</v>
      </c>
      <c r="AH865" t="s">
        <v>599</v>
      </c>
      <c r="AI865" t="s">
        <v>599</v>
      </c>
      <c r="AJ865" t="s">
        <v>3497</v>
      </c>
      <c r="AK865" t="s">
        <v>599</v>
      </c>
      <c r="AL865" t="s">
        <v>3498</v>
      </c>
      <c r="AM865" t="s">
        <v>1190</v>
      </c>
      <c r="AN865" t="s">
        <v>599</v>
      </c>
      <c r="AO865" t="s">
        <v>599</v>
      </c>
      <c r="AP865" t="s">
        <v>599</v>
      </c>
      <c r="AQ865" t="s">
        <v>599</v>
      </c>
      <c r="AR865" t="s">
        <v>599</v>
      </c>
      <c r="AS865" t="s">
        <v>599</v>
      </c>
      <c r="AT865" t="s">
        <v>599</v>
      </c>
    </row>
    <row r="866" spans="1:46" ht="30" x14ac:dyDescent="0.25">
      <c r="A866" s="2">
        <v>12400</v>
      </c>
      <c r="B866" s="10">
        <v>2195091</v>
      </c>
      <c r="C866" s="10">
        <v>1</v>
      </c>
      <c r="D866" s="9">
        <v>5</v>
      </c>
      <c r="E866" s="11" t="s">
        <v>594</v>
      </c>
      <c r="F866" s="12" t="s">
        <v>529</v>
      </c>
      <c r="G866" s="9">
        <v>5</v>
      </c>
      <c r="H866" s="34"/>
      <c r="I866" s="55" t="str">
        <f t="shared" si="27"/>
        <v>https://permalinkbnd.bnportugal.gov.pt/viewer/277332/?offset=#page=5&amp;viewer=picture&amp;o=info&amp;n=0&amp;q=</v>
      </c>
      <c r="J866" s="45"/>
      <c r="K866" s="45"/>
      <c r="L866" s="45"/>
      <c r="M866" t="s">
        <v>594</v>
      </c>
      <c r="N866">
        <v>277332</v>
      </c>
      <c r="O866" t="str">
        <f t="shared" si="26"/>
        <v>https://permalinkbnd.bnportugal.gov.pt/viewer/277332/?offset=#page=5&amp;viewer=picture&amp;o=info&amp;n=0&amp;q=</v>
      </c>
      <c r="P866">
        <v>2195091</v>
      </c>
      <c r="Q866" t="s">
        <v>594</v>
      </c>
      <c r="R866" t="s">
        <v>3499</v>
      </c>
      <c r="S866" t="s">
        <v>1178</v>
      </c>
      <c r="T866" t="s">
        <v>1192</v>
      </c>
      <c r="U866" t="s">
        <v>599</v>
      </c>
      <c r="V866" t="s">
        <v>3500</v>
      </c>
      <c r="W866" t="s">
        <v>3501</v>
      </c>
      <c r="X866" t="s">
        <v>599</v>
      </c>
      <c r="Y866" t="s">
        <v>1182</v>
      </c>
      <c r="Z866" t="s">
        <v>3502</v>
      </c>
      <c r="AA866">
        <v>1880</v>
      </c>
      <c r="AB866">
        <v>1880</v>
      </c>
      <c r="AC866" t="s">
        <v>1872</v>
      </c>
      <c r="AD866" t="s">
        <v>599</v>
      </c>
      <c r="AE866" t="s">
        <v>599</v>
      </c>
      <c r="AF866" t="s">
        <v>599</v>
      </c>
      <c r="AG866" t="s">
        <v>599</v>
      </c>
      <c r="AH866" t="s">
        <v>599</v>
      </c>
      <c r="AI866" t="s">
        <v>599</v>
      </c>
      <c r="AJ866" t="s">
        <v>3503</v>
      </c>
      <c r="AK866" t="s">
        <v>599</v>
      </c>
      <c r="AL866" t="s">
        <v>3504</v>
      </c>
      <c r="AM866" t="s">
        <v>1190</v>
      </c>
      <c r="AN866" t="s">
        <v>599</v>
      </c>
      <c r="AO866" t="s">
        <v>599</v>
      </c>
      <c r="AP866" t="s">
        <v>599</v>
      </c>
      <c r="AQ866" t="s">
        <v>599</v>
      </c>
      <c r="AR866" t="s">
        <v>599</v>
      </c>
      <c r="AS866" t="s">
        <v>599</v>
      </c>
      <c r="AT866" t="s">
        <v>599</v>
      </c>
    </row>
    <row r="867" spans="1:46" ht="30" x14ac:dyDescent="0.25">
      <c r="A867" s="2">
        <v>12405</v>
      </c>
      <c r="B867" s="10">
        <v>2195211</v>
      </c>
      <c r="C867" s="10">
        <v>1</v>
      </c>
      <c r="D867" s="9">
        <v>11</v>
      </c>
      <c r="E867" s="11" t="s">
        <v>595</v>
      </c>
      <c r="F867" s="12" t="s">
        <v>596</v>
      </c>
      <c r="G867" s="9"/>
      <c r="H867" s="34"/>
      <c r="I867" s="55" t="str">
        <f t="shared" si="27"/>
        <v>https://permalinkbnd.bnportugal.gov.pt/viewer/277834/?offset=#page=11&amp;viewer=picture&amp;o=info&amp;n=0&amp;q=</v>
      </c>
      <c r="J867" s="45"/>
      <c r="K867" s="45"/>
      <c r="L867" s="45"/>
      <c r="M867" t="s">
        <v>595</v>
      </c>
      <c r="N867">
        <v>277834</v>
      </c>
      <c r="O867" t="str">
        <f t="shared" si="26"/>
        <v>https://permalinkbnd.bnportugal.gov.pt/viewer/277834/?offset=#page=11&amp;viewer=picture&amp;o=info&amp;n=0&amp;q=</v>
      </c>
      <c r="P867">
        <v>2195211</v>
      </c>
      <c r="Q867" t="s">
        <v>595</v>
      </c>
      <c r="R867" t="s">
        <v>3505</v>
      </c>
      <c r="S867" t="s">
        <v>1178</v>
      </c>
      <c r="T867" t="s">
        <v>1192</v>
      </c>
      <c r="U867" t="s">
        <v>599</v>
      </c>
      <c r="V867" t="s">
        <v>3506</v>
      </c>
      <c r="W867" t="s">
        <v>599</v>
      </c>
      <c r="X867" t="s">
        <v>599</v>
      </c>
      <c r="Y867" t="s">
        <v>1182</v>
      </c>
      <c r="Z867" t="s">
        <v>3507</v>
      </c>
      <c r="AA867">
        <v>1880</v>
      </c>
      <c r="AB867">
        <v>1880</v>
      </c>
      <c r="AC867" t="s">
        <v>3508</v>
      </c>
      <c r="AD867" t="s">
        <v>599</v>
      </c>
      <c r="AE867" t="s">
        <v>599</v>
      </c>
      <c r="AF867" t="s">
        <v>599</v>
      </c>
      <c r="AG867" t="s">
        <v>599</v>
      </c>
      <c r="AH867" t="s">
        <v>599</v>
      </c>
      <c r="AI867" t="s">
        <v>599</v>
      </c>
      <c r="AJ867" t="s">
        <v>3509</v>
      </c>
      <c r="AK867" t="s">
        <v>599</v>
      </c>
      <c r="AL867" t="s">
        <v>3510</v>
      </c>
      <c r="AM867" t="s">
        <v>1190</v>
      </c>
      <c r="AN867" t="s">
        <v>599</v>
      </c>
      <c r="AO867" t="s">
        <v>599</v>
      </c>
      <c r="AP867" t="s">
        <v>3511</v>
      </c>
      <c r="AQ867" t="s">
        <v>599</v>
      </c>
      <c r="AR867" t="s">
        <v>599</v>
      </c>
      <c r="AS867" t="s">
        <v>599</v>
      </c>
      <c r="AT867" t="s">
        <v>599</v>
      </c>
    </row>
  </sheetData>
  <hyperlinks>
    <hyperlink ref="E27" r:id="rId1" xr:uid="{8F1B9ADE-C445-4B83-AED0-B0BFE464BDED}"/>
    <hyperlink ref="E473" r:id="rId2" xr:uid="{1699F0F7-DAF6-4E14-9296-A90802BEBAD7}"/>
    <hyperlink ref="E474" r:id="rId3" xr:uid="{F548EC44-B346-4564-97B6-626357EF57F9}"/>
    <hyperlink ref="E475:E479" r:id="rId4" display="https://purl.pt/44192" xr:uid="{EAE7A8FD-76DC-416E-A728-1AA5A9DD645C}"/>
    <hyperlink ref="E480" r:id="rId5" xr:uid="{16FE3836-34C6-4737-95BF-67F7344CB47A}"/>
    <hyperlink ref="E45" r:id="rId6" xr:uid="{E15FD913-97CE-4A8E-997B-F3CD9D8A8890}"/>
    <hyperlink ref="E3" r:id="rId7" xr:uid="{085CD7B1-B89E-4165-8837-D17FF8A7C022}"/>
    <hyperlink ref="E2" r:id="rId8" xr:uid="{79340195-0D14-4B4E-96E1-5D3194806ABF}"/>
  </hyperlinks>
  <pageMargins left="0.7" right="0.7" top="0.75" bottom="0.75" header="0.3" footer="0.3"/>
  <tableParts count="2">
    <tablePart r:id="rId9"/>
    <tablePart r:id="rId10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00FC09-100A-4605-B73D-B78C92C8CE98}">
          <x14:formula1>
            <xm:f>categorias!$D$1:$D$28</xm:f>
          </x14:formula1>
          <xm:sqref>J2:N867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41E0-CB65-4579-B7A7-87019D06A315}">
  <dimension ref="A1:AU867"/>
  <sheetViews>
    <sheetView topLeftCell="B1" zoomScaleNormal="100" workbookViewId="0">
      <pane ySplit="1" topLeftCell="A2" activePane="bottomLeft" state="frozen"/>
      <selection activeCell="B1" sqref="B1"/>
      <selection pane="bottomLeft" activeCell="B1" sqref="A1:XFD1048576"/>
    </sheetView>
  </sheetViews>
  <sheetFormatPr defaultRowHeight="15" x14ac:dyDescent="0.25"/>
  <cols>
    <col min="1" max="1" width="0" hidden="1" customWidth="1"/>
    <col min="2" max="2" width="18.42578125" style="4" bestFit="1" customWidth="1"/>
    <col min="3" max="3" width="17.140625" style="4" bestFit="1" customWidth="1"/>
    <col min="4" max="4" width="10.28515625" bestFit="1" customWidth="1"/>
    <col min="5" max="5" width="26" customWidth="1"/>
    <col min="6" max="6" width="20.28515625" style="8" customWidth="1"/>
    <col min="7" max="7" width="59.7109375" style="8" customWidth="1"/>
    <col min="8" max="8" width="75.7109375" style="8" customWidth="1"/>
    <col min="9" max="9" width="25.85546875" style="8" customWidth="1"/>
    <col min="10" max="10" width="84.28515625" style="8" customWidth="1"/>
    <col min="14" max="14" width="34.7109375" customWidth="1"/>
    <col min="16" max="16" width="99.85546875" bestFit="1" customWidth="1"/>
  </cols>
  <sheetData>
    <row r="1" spans="1:47" ht="18.75" x14ac:dyDescent="0.3">
      <c r="A1" s="1" t="s">
        <v>0</v>
      </c>
      <c r="B1" s="5" t="s">
        <v>598</v>
      </c>
      <c r="C1" s="5" t="s">
        <v>597</v>
      </c>
      <c r="D1" s="6" t="s">
        <v>4</v>
      </c>
      <c r="E1" s="6" t="s">
        <v>1</v>
      </c>
      <c r="F1" s="6"/>
      <c r="G1" s="7" t="s">
        <v>2</v>
      </c>
      <c r="H1" s="6" t="s">
        <v>3</v>
      </c>
      <c r="I1" s="37" t="s">
        <v>1143</v>
      </c>
      <c r="J1" s="51" t="s">
        <v>5</v>
      </c>
      <c r="K1" s="44" t="s">
        <v>1132</v>
      </c>
      <c r="L1" s="44" t="s">
        <v>1133</v>
      </c>
      <c r="M1" s="44" t="s">
        <v>1134</v>
      </c>
      <c r="N1" t="s">
        <v>1146</v>
      </c>
      <c r="O1" t="s">
        <v>1144</v>
      </c>
      <c r="P1" t="s">
        <v>1145</v>
      </c>
      <c r="Q1" t="s">
        <v>1147</v>
      </c>
      <c r="R1" t="s">
        <v>1</v>
      </c>
      <c r="S1" t="s">
        <v>1148</v>
      </c>
      <c r="T1" t="s">
        <v>1149</v>
      </c>
      <c r="U1" t="s">
        <v>1150</v>
      </c>
      <c r="V1" t="s">
        <v>1151</v>
      </c>
      <c r="W1" t="s">
        <v>1152</v>
      </c>
      <c r="X1" t="s">
        <v>1153</v>
      </c>
      <c r="Y1" t="s">
        <v>1154</v>
      </c>
      <c r="Z1" t="s">
        <v>1155</v>
      </c>
      <c r="AA1" t="s">
        <v>1156</v>
      </c>
      <c r="AB1" t="s">
        <v>1157</v>
      </c>
      <c r="AC1" t="s">
        <v>1158</v>
      </c>
      <c r="AD1" t="s">
        <v>1159</v>
      </c>
      <c r="AE1" t="s">
        <v>1160</v>
      </c>
      <c r="AF1" t="s">
        <v>1161</v>
      </c>
      <c r="AG1" t="s">
        <v>1162</v>
      </c>
      <c r="AH1" t="s">
        <v>1163</v>
      </c>
      <c r="AI1" t="s">
        <v>1164</v>
      </c>
      <c r="AJ1" t="s">
        <v>1165</v>
      </c>
      <c r="AK1" t="s">
        <v>1166</v>
      </c>
      <c r="AL1" t="s">
        <v>1167</v>
      </c>
      <c r="AM1" t="s">
        <v>1168</v>
      </c>
      <c r="AN1" t="s">
        <v>1169</v>
      </c>
      <c r="AO1" t="s">
        <v>1170</v>
      </c>
      <c r="AP1" t="s">
        <v>1171</v>
      </c>
      <c r="AQ1" t="s">
        <v>1172</v>
      </c>
      <c r="AR1" t="s">
        <v>1173</v>
      </c>
      <c r="AS1" t="s">
        <v>1174</v>
      </c>
      <c r="AT1" t="s">
        <v>1175</v>
      </c>
      <c r="AU1" t="s">
        <v>1176</v>
      </c>
    </row>
    <row r="2" spans="1:47" s="13" customFormat="1" ht="30" x14ac:dyDescent="0.25">
      <c r="A2" s="9">
        <v>9951</v>
      </c>
      <c r="B2" s="10">
        <v>367428</v>
      </c>
      <c r="C2" s="10">
        <v>1</v>
      </c>
      <c r="D2" s="9">
        <v>1</v>
      </c>
      <c r="E2" s="11" t="s">
        <v>6</v>
      </c>
      <c r="F2" s="11" t="str">
        <f>HYPERLINK(E2)</f>
        <v>https://purl.pt/43428</v>
      </c>
      <c r="G2" s="12">
        <v>1</v>
      </c>
      <c r="H2" s="9">
        <v>1</v>
      </c>
      <c r="I2" s="38"/>
      <c r="J2" s="55" t="str">
        <f>HYPERLINK(P2)</f>
        <v>https://permalinkbnd.bnportugal.gov.pt/viewer/272369/?offset=#page=1&amp;viewer=picture&amp;o=info&amp;n=0&amp;q=</v>
      </c>
      <c r="K2" s="45"/>
      <c r="L2" s="45"/>
      <c r="M2" s="45"/>
      <c r="N2" t="s">
        <v>6</v>
      </c>
      <c r="O2">
        <v>272369</v>
      </c>
      <c r="P2" t="str">
        <f>CONCATENATE("https://permalinkbnd.bnportugal.gov.pt/viewer/",O2,"/?offset=#page=",D2,"&amp;viewer=picture&amp;o=info&amp;n=0&amp;q=")</f>
        <v>https://permalinkbnd.bnportugal.gov.pt/viewer/272369/?offset=#page=1&amp;viewer=picture&amp;o=info&amp;n=0&amp;q=</v>
      </c>
      <c r="Q2">
        <v>367428</v>
      </c>
      <c r="R2" t="s">
        <v>6</v>
      </c>
      <c r="S2" t="s">
        <v>1177</v>
      </c>
      <c r="T2" t="s">
        <v>1178</v>
      </c>
      <c r="U2" t="s">
        <v>1179</v>
      </c>
      <c r="V2" t="s">
        <v>599</v>
      </c>
      <c r="W2" t="s">
        <v>1180</v>
      </c>
      <c r="X2" t="s">
        <v>1181</v>
      </c>
      <c r="Y2" t="s">
        <v>599</v>
      </c>
      <c r="Z2" t="s">
        <v>1182</v>
      </c>
      <c r="AA2" t="s">
        <v>1183</v>
      </c>
      <c r="AB2">
        <v>1882</v>
      </c>
      <c r="AC2">
        <v>1882</v>
      </c>
      <c r="AD2" t="s">
        <v>1184</v>
      </c>
      <c r="AE2" t="s">
        <v>1185</v>
      </c>
      <c r="AF2" t="s">
        <v>599</v>
      </c>
      <c r="AG2" t="s">
        <v>599</v>
      </c>
      <c r="AH2" t="s">
        <v>1186</v>
      </c>
      <c r="AI2" t="s">
        <v>599</v>
      </c>
      <c r="AJ2" t="s">
        <v>599</v>
      </c>
      <c r="AK2" t="s">
        <v>1187</v>
      </c>
      <c r="AL2" t="s">
        <v>1188</v>
      </c>
      <c r="AM2" t="s">
        <v>1189</v>
      </c>
      <c r="AN2" t="s">
        <v>1190</v>
      </c>
      <c r="AO2" t="s">
        <v>599</v>
      </c>
      <c r="AP2" t="s">
        <v>599</v>
      </c>
      <c r="AQ2" t="s">
        <v>599</v>
      </c>
      <c r="AR2" t="s">
        <v>599</v>
      </c>
      <c r="AS2" t="s">
        <v>599</v>
      </c>
      <c r="AT2" t="s">
        <v>599</v>
      </c>
      <c r="AU2" t="s">
        <v>599</v>
      </c>
    </row>
    <row r="3" spans="1:47" s="13" customFormat="1" ht="75" x14ac:dyDescent="0.25">
      <c r="A3" s="9">
        <v>9968</v>
      </c>
      <c r="B3" s="10">
        <v>381074</v>
      </c>
      <c r="C3" s="10">
        <v>1</v>
      </c>
      <c r="D3" s="9">
        <v>499</v>
      </c>
      <c r="E3" s="11" t="s">
        <v>8</v>
      </c>
      <c r="F3" s="11" t="str">
        <f t="shared" ref="F3:F66" si="0">HYPERLINK(E3)</f>
        <v>https://purl.pt/43747</v>
      </c>
      <c r="G3" s="12" t="s">
        <v>9</v>
      </c>
      <c r="H3" s="9" t="s">
        <v>10</v>
      </c>
      <c r="I3" s="38"/>
      <c r="J3" s="55" t="str">
        <f t="shared" ref="J3:J66" si="1">HYPERLINK(P3)</f>
        <v>https://permalinkbnd.bnportugal.gov.pt/viewer/274089/?offset=#page=499&amp;viewer=picture&amp;o=info&amp;n=0&amp;q=</v>
      </c>
      <c r="K3" s="45"/>
      <c r="L3" s="45"/>
      <c r="M3" s="45"/>
      <c r="N3" t="s">
        <v>8</v>
      </c>
      <c r="O3">
        <v>274089</v>
      </c>
      <c r="P3" t="str">
        <f t="shared" ref="P3:P66" si="2">CONCATENATE("https://permalinkbnd.bnportugal.gov.pt/viewer/",O3,"/?offset=#page=",D3,"&amp;viewer=picture&amp;o=info&amp;n=0&amp;q=")</f>
        <v>https://permalinkbnd.bnportugal.gov.pt/viewer/274089/?offset=#page=499&amp;viewer=picture&amp;o=info&amp;n=0&amp;q=</v>
      </c>
      <c r="Q3">
        <v>381074</v>
      </c>
      <c r="R3" t="s">
        <v>8</v>
      </c>
      <c r="S3" t="s">
        <v>1191</v>
      </c>
      <c r="T3" t="s">
        <v>1178</v>
      </c>
      <c r="U3" t="s">
        <v>1192</v>
      </c>
      <c r="V3" t="s">
        <v>599</v>
      </c>
      <c r="W3" t="s">
        <v>1193</v>
      </c>
      <c r="X3" t="s">
        <v>1194</v>
      </c>
      <c r="Y3" t="s">
        <v>599</v>
      </c>
      <c r="Z3" t="s">
        <v>1182</v>
      </c>
      <c r="AA3" t="s">
        <v>1195</v>
      </c>
      <c r="AB3">
        <v>1880</v>
      </c>
      <c r="AC3">
        <v>1880</v>
      </c>
      <c r="AD3" t="s">
        <v>1196</v>
      </c>
      <c r="AE3" t="s">
        <v>1185</v>
      </c>
      <c r="AF3" t="s">
        <v>599</v>
      </c>
      <c r="AG3" t="s">
        <v>599</v>
      </c>
      <c r="AH3" t="s">
        <v>1197</v>
      </c>
      <c r="AI3" t="s">
        <v>599</v>
      </c>
      <c r="AJ3" t="s">
        <v>1198</v>
      </c>
      <c r="AK3" t="s">
        <v>1199</v>
      </c>
      <c r="AL3" t="s">
        <v>1188</v>
      </c>
      <c r="AM3" t="s">
        <v>1200</v>
      </c>
      <c r="AN3" t="s">
        <v>1190</v>
      </c>
      <c r="AO3" t="s">
        <v>599</v>
      </c>
      <c r="AP3" t="s">
        <v>599</v>
      </c>
      <c r="AQ3" t="s">
        <v>599</v>
      </c>
      <c r="AR3" t="s">
        <v>599</v>
      </c>
      <c r="AS3" t="s">
        <v>599</v>
      </c>
      <c r="AT3" t="s">
        <v>599</v>
      </c>
      <c r="AU3" t="s">
        <v>599</v>
      </c>
    </row>
    <row r="4" spans="1:47" s="13" customFormat="1" ht="90" x14ac:dyDescent="0.25">
      <c r="A4" s="9">
        <v>9993</v>
      </c>
      <c r="B4" s="10">
        <v>381465</v>
      </c>
      <c r="C4" s="10">
        <v>1</v>
      </c>
      <c r="D4" s="9">
        <v>644</v>
      </c>
      <c r="E4" s="11" t="s">
        <v>11</v>
      </c>
      <c r="F4" s="11" t="str">
        <f t="shared" si="0"/>
        <v>https://purl.pt/43233</v>
      </c>
      <c r="G4" s="12" t="s">
        <v>12</v>
      </c>
      <c r="H4" s="9" t="s">
        <v>13</v>
      </c>
      <c r="I4" s="38"/>
      <c r="J4" s="55" t="str">
        <f t="shared" si="1"/>
        <v>https://permalinkbnd.bnportugal.gov.pt/viewer/271573/?offset=#page=644&amp;viewer=picture&amp;o=info&amp;n=0&amp;q=</v>
      </c>
      <c r="K4" s="45"/>
      <c r="L4" s="45"/>
      <c r="M4" s="45"/>
      <c r="N4" t="s">
        <v>11</v>
      </c>
      <c r="O4">
        <v>271573</v>
      </c>
      <c r="P4" t="str">
        <f t="shared" si="2"/>
        <v>https://permalinkbnd.bnportugal.gov.pt/viewer/271573/?offset=#page=644&amp;viewer=picture&amp;o=info&amp;n=0&amp;q=</v>
      </c>
      <c r="Q4">
        <v>381465</v>
      </c>
      <c r="R4" t="s">
        <v>11</v>
      </c>
      <c r="S4" t="s">
        <v>1201</v>
      </c>
      <c r="T4" t="s">
        <v>1178</v>
      </c>
      <c r="U4" t="s">
        <v>1192</v>
      </c>
      <c r="V4" t="s">
        <v>599</v>
      </c>
      <c r="W4" t="s">
        <v>1193</v>
      </c>
      <c r="X4" t="s">
        <v>1202</v>
      </c>
      <c r="Y4" t="s">
        <v>599</v>
      </c>
      <c r="Z4" t="s">
        <v>1182</v>
      </c>
      <c r="AA4" t="s">
        <v>1203</v>
      </c>
      <c r="AB4">
        <v>1898</v>
      </c>
      <c r="AC4">
        <v>1898</v>
      </c>
      <c r="AD4" t="s">
        <v>1204</v>
      </c>
      <c r="AE4" t="s">
        <v>1185</v>
      </c>
      <c r="AF4" t="s">
        <v>599</v>
      </c>
      <c r="AG4" t="s">
        <v>599</v>
      </c>
      <c r="AH4" t="s">
        <v>1205</v>
      </c>
      <c r="AI4" t="s">
        <v>599</v>
      </c>
      <c r="AJ4" t="s">
        <v>599</v>
      </c>
      <c r="AK4" t="s">
        <v>1206</v>
      </c>
      <c r="AL4" t="s">
        <v>1188</v>
      </c>
      <c r="AM4" t="s">
        <v>1207</v>
      </c>
      <c r="AN4" t="s">
        <v>1190</v>
      </c>
      <c r="AO4" t="s">
        <v>599</v>
      </c>
      <c r="AP4" t="s">
        <v>599</v>
      </c>
      <c r="AQ4" t="s">
        <v>599</v>
      </c>
      <c r="AR4" t="s">
        <v>599</v>
      </c>
      <c r="AS4" t="s">
        <v>599</v>
      </c>
      <c r="AT4" t="s">
        <v>599</v>
      </c>
      <c r="AU4" t="s">
        <v>599</v>
      </c>
    </row>
    <row r="5" spans="1:47" s="13" customFormat="1" ht="30" x14ac:dyDescent="0.25">
      <c r="A5" s="9">
        <v>9994</v>
      </c>
      <c r="B5" s="10">
        <v>381468</v>
      </c>
      <c r="C5" s="10">
        <v>1</v>
      </c>
      <c r="D5" s="9">
        <v>8</v>
      </c>
      <c r="E5" s="11" t="s">
        <v>14</v>
      </c>
      <c r="F5" s="11" t="str">
        <f t="shared" si="0"/>
        <v>https://purl.pt/43745</v>
      </c>
      <c r="G5" s="12" t="s">
        <v>15</v>
      </c>
      <c r="H5" s="9">
        <v>8</v>
      </c>
      <c r="I5" s="38"/>
      <c r="J5" s="55" t="str">
        <f t="shared" si="1"/>
        <v>https://permalinkbnd.bnportugal.gov.pt/viewer/274087/?offset=#page=8&amp;viewer=picture&amp;o=info&amp;n=0&amp;q=</v>
      </c>
      <c r="K5" s="45"/>
      <c r="L5" s="45"/>
      <c r="M5" s="45"/>
      <c r="N5" t="s">
        <v>14</v>
      </c>
      <c r="O5">
        <v>274087</v>
      </c>
      <c r="P5" t="str">
        <f t="shared" si="2"/>
        <v>https://permalinkbnd.bnportugal.gov.pt/viewer/274087/?offset=#page=8&amp;viewer=picture&amp;o=info&amp;n=0&amp;q=</v>
      </c>
      <c r="Q5">
        <v>381468</v>
      </c>
      <c r="R5" t="s">
        <v>14</v>
      </c>
      <c r="S5" t="s">
        <v>1208</v>
      </c>
      <c r="T5" t="s">
        <v>1178</v>
      </c>
      <c r="U5" t="s">
        <v>1209</v>
      </c>
      <c r="V5" t="s">
        <v>1192</v>
      </c>
      <c r="W5" t="s">
        <v>1210</v>
      </c>
      <c r="X5" t="s">
        <v>599</v>
      </c>
      <c r="Y5" t="s">
        <v>599</v>
      </c>
      <c r="Z5" t="s">
        <v>1211</v>
      </c>
      <c r="AA5" t="s">
        <v>1212</v>
      </c>
      <c r="AB5">
        <v>1873</v>
      </c>
      <c r="AC5">
        <v>1873</v>
      </c>
      <c r="AD5" t="s">
        <v>1213</v>
      </c>
      <c r="AE5" t="s">
        <v>1185</v>
      </c>
      <c r="AF5" t="s">
        <v>599</v>
      </c>
      <c r="AG5" t="s">
        <v>599</v>
      </c>
      <c r="AH5" t="s">
        <v>1214</v>
      </c>
      <c r="AI5" t="s">
        <v>599</v>
      </c>
      <c r="AJ5" t="s">
        <v>599</v>
      </c>
      <c r="AK5" t="s">
        <v>1215</v>
      </c>
      <c r="AL5" t="s">
        <v>1188</v>
      </c>
      <c r="AM5" t="s">
        <v>1216</v>
      </c>
      <c r="AN5" t="s">
        <v>1190</v>
      </c>
      <c r="AO5" t="s">
        <v>599</v>
      </c>
      <c r="AP5" t="s">
        <v>599</v>
      </c>
      <c r="AQ5" t="s">
        <v>599</v>
      </c>
      <c r="AR5" t="s">
        <v>599</v>
      </c>
      <c r="AS5" t="s">
        <v>599</v>
      </c>
      <c r="AT5" t="s">
        <v>599</v>
      </c>
      <c r="AU5" t="s">
        <v>599</v>
      </c>
    </row>
    <row r="6" spans="1:47" s="13" customFormat="1" ht="30" x14ac:dyDescent="0.25">
      <c r="A6" s="9">
        <v>9995</v>
      </c>
      <c r="B6" s="10">
        <v>381701</v>
      </c>
      <c r="C6" s="10">
        <v>1</v>
      </c>
      <c r="D6" s="9">
        <v>11</v>
      </c>
      <c r="E6" s="11" t="s">
        <v>16</v>
      </c>
      <c r="F6" s="11" t="str">
        <f t="shared" si="0"/>
        <v>https://purl.pt/43724</v>
      </c>
      <c r="G6" s="12">
        <v>11</v>
      </c>
      <c r="H6" s="9">
        <v>11</v>
      </c>
      <c r="I6" s="38"/>
      <c r="J6" s="55" t="str">
        <f t="shared" si="1"/>
        <v>https://permalinkbnd.bnportugal.gov.pt/viewer/281141/?offset=#page=11&amp;viewer=picture&amp;o=info&amp;n=0&amp;q=</v>
      </c>
      <c r="K6" s="45"/>
      <c r="L6" s="45"/>
      <c r="M6" s="45"/>
      <c r="N6" t="s">
        <v>16</v>
      </c>
      <c r="O6">
        <v>281141</v>
      </c>
      <c r="P6" t="str">
        <f t="shared" si="2"/>
        <v>https://permalinkbnd.bnportugal.gov.pt/viewer/281141/?offset=#page=11&amp;viewer=picture&amp;o=info&amp;n=0&amp;q=</v>
      </c>
      <c r="Q6">
        <v>381701</v>
      </c>
      <c r="R6" t="s">
        <v>16</v>
      </c>
      <c r="S6" t="s">
        <v>1217</v>
      </c>
      <c r="T6" t="s">
        <v>1178</v>
      </c>
      <c r="U6" t="s">
        <v>1218</v>
      </c>
      <c r="V6" t="s">
        <v>1192</v>
      </c>
      <c r="W6" t="s">
        <v>1219</v>
      </c>
      <c r="X6" t="s">
        <v>1220</v>
      </c>
      <c r="Y6" t="s">
        <v>599</v>
      </c>
      <c r="Z6" t="s">
        <v>1182</v>
      </c>
      <c r="AA6" t="s">
        <v>1221</v>
      </c>
      <c r="AB6">
        <v>1873</v>
      </c>
      <c r="AC6">
        <v>1873</v>
      </c>
      <c r="AD6" t="s">
        <v>1222</v>
      </c>
      <c r="AE6" t="s">
        <v>1185</v>
      </c>
      <c r="AF6" t="s">
        <v>599</v>
      </c>
      <c r="AG6" t="s">
        <v>599</v>
      </c>
      <c r="AH6" t="s">
        <v>599</v>
      </c>
      <c r="AI6" t="s">
        <v>599</v>
      </c>
      <c r="AJ6" t="s">
        <v>599</v>
      </c>
      <c r="AK6" t="s">
        <v>1223</v>
      </c>
      <c r="AL6" t="s">
        <v>1188</v>
      </c>
      <c r="AM6" t="s">
        <v>1224</v>
      </c>
      <c r="AN6" t="s">
        <v>1190</v>
      </c>
      <c r="AO6" t="s">
        <v>599</v>
      </c>
      <c r="AP6" t="s">
        <v>599</v>
      </c>
      <c r="AQ6" t="s">
        <v>599</v>
      </c>
      <c r="AR6" t="s">
        <v>599</v>
      </c>
      <c r="AS6" t="s">
        <v>599</v>
      </c>
      <c r="AT6" t="s">
        <v>599</v>
      </c>
      <c r="AU6" t="s">
        <v>599</v>
      </c>
    </row>
    <row r="7" spans="1:47" s="13" customFormat="1" ht="30" x14ac:dyDescent="0.25">
      <c r="A7" s="9">
        <v>9998</v>
      </c>
      <c r="B7" s="10">
        <v>381889</v>
      </c>
      <c r="C7" s="10">
        <v>1</v>
      </c>
      <c r="D7" s="9">
        <v>1</v>
      </c>
      <c r="E7" s="11" t="s">
        <v>17</v>
      </c>
      <c r="F7" s="11" t="str">
        <f t="shared" si="0"/>
        <v>https://purl.pt/43659</v>
      </c>
      <c r="G7" s="12" t="s">
        <v>18</v>
      </c>
      <c r="H7" s="9">
        <v>1</v>
      </c>
      <c r="I7" s="34"/>
      <c r="J7" s="55" t="str">
        <f t="shared" si="1"/>
        <v>https://permalinkbnd.bnportugal.gov.pt/viewer/273118/?offset=#page=1&amp;viewer=picture&amp;o=info&amp;n=0&amp;q=</v>
      </c>
      <c r="K7" s="45"/>
      <c r="L7" s="45"/>
      <c r="M7" s="45"/>
      <c r="N7" t="s">
        <v>17</v>
      </c>
      <c r="O7">
        <v>273118</v>
      </c>
      <c r="P7" t="str">
        <f t="shared" si="2"/>
        <v>https://permalinkbnd.bnportugal.gov.pt/viewer/273118/?offset=#page=1&amp;viewer=picture&amp;o=info&amp;n=0&amp;q=</v>
      </c>
      <c r="Q7">
        <v>381889</v>
      </c>
      <c r="R7" t="s">
        <v>17</v>
      </c>
      <c r="S7" t="s">
        <v>1225</v>
      </c>
      <c r="T7" t="s">
        <v>1226</v>
      </c>
      <c r="U7" t="s">
        <v>1192</v>
      </c>
      <c r="V7" t="s">
        <v>599</v>
      </c>
      <c r="W7" t="s">
        <v>1227</v>
      </c>
      <c r="X7" t="s">
        <v>1228</v>
      </c>
      <c r="Y7" t="s">
        <v>599</v>
      </c>
      <c r="Z7" t="s">
        <v>1182</v>
      </c>
      <c r="AA7" t="s">
        <v>1229</v>
      </c>
      <c r="AB7">
        <v>1880</v>
      </c>
      <c r="AC7">
        <v>1880</v>
      </c>
      <c r="AD7" t="s">
        <v>599</v>
      </c>
      <c r="AE7" t="s">
        <v>599</v>
      </c>
      <c r="AF7" t="s">
        <v>599</v>
      </c>
      <c r="AG7" t="s">
        <v>599</v>
      </c>
      <c r="AH7" t="s">
        <v>599</v>
      </c>
      <c r="AI7" t="s">
        <v>599</v>
      </c>
      <c r="AJ7" t="s">
        <v>1230</v>
      </c>
      <c r="AK7" t="s">
        <v>1231</v>
      </c>
      <c r="AL7" t="s">
        <v>1188</v>
      </c>
      <c r="AM7" t="s">
        <v>1232</v>
      </c>
      <c r="AN7" t="s">
        <v>1190</v>
      </c>
      <c r="AO7" t="s">
        <v>599</v>
      </c>
      <c r="AP7" t="s">
        <v>599</v>
      </c>
      <c r="AQ7" t="s">
        <v>599</v>
      </c>
      <c r="AR7" t="s">
        <v>599</v>
      </c>
      <c r="AS7" t="s">
        <v>599</v>
      </c>
      <c r="AT7" t="s">
        <v>599</v>
      </c>
      <c r="AU7" t="s">
        <v>599</v>
      </c>
    </row>
    <row r="8" spans="1:47" s="13" customFormat="1" ht="30" x14ac:dyDescent="0.25">
      <c r="A8" s="9">
        <v>9999</v>
      </c>
      <c r="B8" s="10">
        <v>381903</v>
      </c>
      <c r="C8" s="10">
        <v>1</v>
      </c>
      <c r="D8" s="9">
        <v>5</v>
      </c>
      <c r="E8" s="11" t="s">
        <v>19</v>
      </c>
      <c r="F8" s="11" t="str">
        <f t="shared" si="0"/>
        <v>https://purl.pt/42920</v>
      </c>
      <c r="G8" s="12" t="s">
        <v>20</v>
      </c>
      <c r="H8" s="9">
        <v>5</v>
      </c>
      <c r="I8" s="34"/>
      <c r="J8" s="55" t="str">
        <f t="shared" si="1"/>
        <v>https://permalinkbnd.bnportugal.gov.pt/viewer/270037/?offset=#page=5&amp;viewer=picture&amp;o=info&amp;n=0&amp;q=</v>
      </c>
      <c r="K8" s="45"/>
      <c r="L8" s="45"/>
      <c r="M8" s="45"/>
      <c r="N8" t="s">
        <v>19</v>
      </c>
      <c r="O8">
        <v>270037</v>
      </c>
      <c r="P8" t="str">
        <f t="shared" si="2"/>
        <v>https://permalinkbnd.bnportugal.gov.pt/viewer/270037/?offset=#page=5&amp;viewer=picture&amp;o=info&amp;n=0&amp;q=</v>
      </c>
      <c r="Q8">
        <v>381903</v>
      </c>
      <c r="R8" t="s">
        <v>19</v>
      </c>
      <c r="S8" t="s">
        <v>1233</v>
      </c>
      <c r="T8" t="s">
        <v>1226</v>
      </c>
      <c r="U8" t="s">
        <v>1234</v>
      </c>
      <c r="V8" t="s">
        <v>599</v>
      </c>
      <c r="W8" t="s">
        <v>1235</v>
      </c>
      <c r="X8" t="s">
        <v>599</v>
      </c>
      <c r="Y8" t="s">
        <v>599</v>
      </c>
      <c r="Z8" t="s">
        <v>1182</v>
      </c>
      <c r="AA8" t="s">
        <v>599</v>
      </c>
      <c r="AB8">
        <v>1880</v>
      </c>
      <c r="AC8">
        <v>1880</v>
      </c>
      <c r="AD8" t="s">
        <v>599</v>
      </c>
      <c r="AE8" t="s">
        <v>599</v>
      </c>
      <c r="AF8" t="s">
        <v>599</v>
      </c>
      <c r="AG8" t="s">
        <v>599</v>
      </c>
      <c r="AH8" t="s">
        <v>599</v>
      </c>
      <c r="AI8" t="s">
        <v>599</v>
      </c>
      <c r="AJ8" t="s">
        <v>599</v>
      </c>
      <c r="AK8" t="s">
        <v>1236</v>
      </c>
      <c r="AL8" t="s">
        <v>1188</v>
      </c>
      <c r="AM8" t="s">
        <v>1237</v>
      </c>
      <c r="AN8" t="s">
        <v>1190</v>
      </c>
      <c r="AO8" t="s">
        <v>599</v>
      </c>
      <c r="AP8" t="s">
        <v>599</v>
      </c>
      <c r="AQ8" t="s">
        <v>599</v>
      </c>
      <c r="AR8" t="s">
        <v>599</v>
      </c>
      <c r="AS8" t="s">
        <v>599</v>
      </c>
      <c r="AT8" t="s">
        <v>599</v>
      </c>
      <c r="AU8" t="s">
        <v>599</v>
      </c>
    </row>
    <row r="9" spans="1:47" s="13" customFormat="1" ht="30" x14ac:dyDescent="0.25">
      <c r="A9" s="9">
        <v>10000</v>
      </c>
      <c r="B9" s="10">
        <v>382749</v>
      </c>
      <c r="C9" s="10">
        <v>1</v>
      </c>
      <c r="D9" s="9">
        <v>7</v>
      </c>
      <c r="E9" s="11" t="s">
        <v>21</v>
      </c>
      <c r="F9" s="11" t="str">
        <f t="shared" si="0"/>
        <v>https://purl.pt/42835</v>
      </c>
      <c r="G9" s="12" t="s">
        <v>22</v>
      </c>
      <c r="H9" s="9"/>
      <c r="I9" s="34"/>
      <c r="J9" s="55" t="str">
        <f t="shared" si="1"/>
        <v>https://permalinkbnd.bnportugal.gov.pt/viewer/270109/?offset=#page=7&amp;viewer=picture&amp;o=info&amp;n=0&amp;q=</v>
      </c>
      <c r="K9" s="45"/>
      <c r="L9" s="45"/>
      <c r="M9" s="45"/>
      <c r="N9" t="s">
        <v>21</v>
      </c>
      <c r="O9">
        <v>270109</v>
      </c>
      <c r="P9" t="str">
        <f t="shared" si="2"/>
        <v>https://permalinkbnd.bnportugal.gov.pt/viewer/270109/?offset=#page=7&amp;viewer=picture&amp;o=info&amp;n=0&amp;q=</v>
      </c>
      <c r="Q9">
        <v>382749</v>
      </c>
      <c r="R9" t="s">
        <v>21</v>
      </c>
      <c r="S9" t="s">
        <v>1238</v>
      </c>
      <c r="T9" t="s">
        <v>1178</v>
      </c>
      <c r="U9" t="s">
        <v>1192</v>
      </c>
      <c r="V9" t="s">
        <v>599</v>
      </c>
      <c r="W9" t="s">
        <v>1239</v>
      </c>
      <c r="X9" t="s">
        <v>1240</v>
      </c>
      <c r="Y9" t="s">
        <v>599</v>
      </c>
      <c r="Z9" t="s">
        <v>1182</v>
      </c>
      <c r="AA9" t="s">
        <v>1221</v>
      </c>
      <c r="AB9">
        <v>1893</v>
      </c>
      <c r="AC9">
        <v>1893</v>
      </c>
      <c r="AD9" t="s">
        <v>1241</v>
      </c>
      <c r="AE9" t="s">
        <v>1185</v>
      </c>
      <c r="AF9" t="s">
        <v>599</v>
      </c>
      <c r="AG9" t="s">
        <v>599</v>
      </c>
      <c r="AH9" t="s">
        <v>1242</v>
      </c>
      <c r="AI9" t="s">
        <v>599</v>
      </c>
      <c r="AJ9" t="s">
        <v>599</v>
      </c>
      <c r="AK9" t="s">
        <v>1243</v>
      </c>
      <c r="AL9" t="s">
        <v>1188</v>
      </c>
      <c r="AM9" t="s">
        <v>1244</v>
      </c>
      <c r="AN9" t="s">
        <v>1190</v>
      </c>
      <c r="AO9" t="s">
        <v>599</v>
      </c>
      <c r="AP9" t="s">
        <v>599</v>
      </c>
      <c r="AQ9" t="s">
        <v>599</v>
      </c>
      <c r="AR9" t="s">
        <v>599</v>
      </c>
      <c r="AS9" t="s">
        <v>599</v>
      </c>
      <c r="AT9" t="s">
        <v>599</v>
      </c>
      <c r="AU9" t="s">
        <v>599</v>
      </c>
    </row>
    <row r="10" spans="1:47" s="13" customFormat="1" ht="30" x14ac:dyDescent="0.25">
      <c r="A10" s="9">
        <v>10003</v>
      </c>
      <c r="B10" s="10">
        <v>382749</v>
      </c>
      <c r="C10" s="14">
        <v>1</v>
      </c>
      <c r="D10" s="15">
        <v>19</v>
      </c>
      <c r="E10" s="11" t="s">
        <v>21</v>
      </c>
      <c r="F10" s="11" t="str">
        <f t="shared" si="0"/>
        <v>https://purl.pt/42835</v>
      </c>
      <c r="G10" s="16"/>
      <c r="I10" s="34"/>
      <c r="J10" s="55" t="str">
        <f t="shared" si="1"/>
        <v>https://permalinkbnd.bnportugal.gov.pt/viewer/270109/?offset=#page=19&amp;viewer=picture&amp;o=info&amp;n=0&amp;q=</v>
      </c>
      <c r="K10" s="45"/>
      <c r="L10" s="45"/>
      <c r="M10" s="45"/>
      <c r="N10" t="s">
        <v>21</v>
      </c>
      <c r="O10">
        <v>270109</v>
      </c>
      <c r="P10" t="str">
        <f t="shared" si="2"/>
        <v>https://permalinkbnd.bnportugal.gov.pt/viewer/270109/?offset=#page=19&amp;viewer=picture&amp;o=info&amp;n=0&amp;q=</v>
      </c>
      <c r="Q10">
        <v>382749</v>
      </c>
      <c r="R10" t="s">
        <v>21</v>
      </c>
      <c r="S10" t="s">
        <v>1238</v>
      </c>
      <c r="T10" t="s">
        <v>1178</v>
      </c>
      <c r="U10" t="s">
        <v>1192</v>
      </c>
      <c r="V10" t="s">
        <v>599</v>
      </c>
      <c r="W10" t="s">
        <v>1239</v>
      </c>
      <c r="X10" t="s">
        <v>1240</v>
      </c>
      <c r="Y10" t="s">
        <v>599</v>
      </c>
      <c r="Z10" t="s">
        <v>1182</v>
      </c>
      <c r="AA10" t="s">
        <v>1221</v>
      </c>
      <c r="AB10">
        <v>1893</v>
      </c>
      <c r="AC10">
        <v>1893</v>
      </c>
      <c r="AD10" t="s">
        <v>1241</v>
      </c>
      <c r="AE10" t="s">
        <v>1185</v>
      </c>
      <c r="AF10" t="s">
        <v>599</v>
      </c>
      <c r="AG10" t="s">
        <v>599</v>
      </c>
      <c r="AH10" t="s">
        <v>1242</v>
      </c>
      <c r="AI10" t="s">
        <v>599</v>
      </c>
      <c r="AJ10" t="s">
        <v>599</v>
      </c>
      <c r="AK10" t="s">
        <v>1243</v>
      </c>
      <c r="AL10" t="s">
        <v>1188</v>
      </c>
      <c r="AM10" t="s">
        <v>1244</v>
      </c>
      <c r="AN10" t="s">
        <v>1190</v>
      </c>
      <c r="AO10" t="s">
        <v>599</v>
      </c>
      <c r="AP10" t="s">
        <v>599</v>
      </c>
      <c r="AQ10" t="s">
        <v>599</v>
      </c>
      <c r="AR10" t="s">
        <v>599</v>
      </c>
      <c r="AS10" t="s">
        <v>599</v>
      </c>
      <c r="AT10" t="s">
        <v>599</v>
      </c>
      <c r="AU10" t="s">
        <v>599</v>
      </c>
    </row>
    <row r="11" spans="1:47" s="13" customFormat="1" ht="30" x14ac:dyDescent="0.25">
      <c r="A11" s="9"/>
      <c r="B11" s="10">
        <v>382749</v>
      </c>
      <c r="C11" s="10">
        <v>1</v>
      </c>
      <c r="D11" s="9">
        <v>23</v>
      </c>
      <c r="E11" s="11" t="s">
        <v>21</v>
      </c>
      <c r="F11" s="11" t="str">
        <f t="shared" si="0"/>
        <v>https://purl.pt/42835</v>
      </c>
      <c r="G11" s="12"/>
      <c r="H11" s="9"/>
      <c r="I11" s="34"/>
      <c r="J11" s="55" t="str">
        <f t="shared" si="1"/>
        <v>https://permalinkbnd.bnportugal.gov.pt/viewer/270109/?offset=#page=23&amp;viewer=picture&amp;o=info&amp;n=0&amp;q=</v>
      </c>
      <c r="K11" s="45"/>
      <c r="L11" s="45"/>
      <c r="M11" s="45"/>
      <c r="N11" t="s">
        <v>21</v>
      </c>
      <c r="O11">
        <v>270109</v>
      </c>
      <c r="P11" t="str">
        <f t="shared" si="2"/>
        <v>https://permalinkbnd.bnportugal.gov.pt/viewer/270109/?offset=#page=23&amp;viewer=picture&amp;o=info&amp;n=0&amp;q=</v>
      </c>
      <c r="Q11">
        <v>382749</v>
      </c>
      <c r="R11" t="s">
        <v>21</v>
      </c>
      <c r="S11" t="s">
        <v>1238</v>
      </c>
      <c r="T11" t="s">
        <v>1178</v>
      </c>
      <c r="U11" t="s">
        <v>1192</v>
      </c>
      <c r="V11" t="s">
        <v>599</v>
      </c>
      <c r="W11" t="s">
        <v>1239</v>
      </c>
      <c r="X11" t="s">
        <v>1240</v>
      </c>
      <c r="Y11" t="s">
        <v>599</v>
      </c>
      <c r="Z11" t="s">
        <v>1182</v>
      </c>
      <c r="AA11" t="s">
        <v>1221</v>
      </c>
      <c r="AB11">
        <v>1893</v>
      </c>
      <c r="AC11">
        <v>1893</v>
      </c>
      <c r="AD11" t="s">
        <v>1241</v>
      </c>
      <c r="AE11" t="s">
        <v>1185</v>
      </c>
      <c r="AF11" t="s">
        <v>599</v>
      </c>
      <c r="AG11" t="s">
        <v>599</v>
      </c>
      <c r="AH11" t="s">
        <v>1242</v>
      </c>
      <c r="AI11" t="s">
        <v>599</v>
      </c>
      <c r="AJ11" t="s">
        <v>599</v>
      </c>
      <c r="AK11" t="s">
        <v>1243</v>
      </c>
      <c r="AL11" t="s">
        <v>1188</v>
      </c>
      <c r="AM11" t="s">
        <v>1244</v>
      </c>
      <c r="AN11" t="s">
        <v>1190</v>
      </c>
      <c r="AO11" t="s">
        <v>599</v>
      </c>
      <c r="AP11" t="s">
        <v>599</v>
      </c>
      <c r="AQ11" t="s">
        <v>599</v>
      </c>
      <c r="AR11" t="s">
        <v>599</v>
      </c>
      <c r="AS11" t="s">
        <v>599</v>
      </c>
      <c r="AT11" t="s">
        <v>599</v>
      </c>
      <c r="AU11" t="s">
        <v>599</v>
      </c>
    </row>
    <row r="12" spans="1:47" s="13" customFormat="1" ht="30" x14ac:dyDescent="0.25">
      <c r="A12" s="9"/>
      <c r="B12" s="10">
        <v>382834</v>
      </c>
      <c r="C12" s="10">
        <v>1</v>
      </c>
      <c r="D12" s="9">
        <v>11</v>
      </c>
      <c r="E12" s="11" t="s">
        <v>23</v>
      </c>
      <c r="F12" s="11" t="str">
        <f t="shared" si="0"/>
        <v>https://purl.pt/43815</v>
      </c>
      <c r="G12" s="12" t="s">
        <v>24</v>
      </c>
      <c r="H12" s="9">
        <v>11</v>
      </c>
      <c r="I12" s="34"/>
      <c r="J12" s="55" t="str">
        <f t="shared" si="1"/>
        <v>https://permalinkbnd.bnportugal.gov.pt/viewer/273316/?offset=#page=11&amp;viewer=picture&amp;o=info&amp;n=0&amp;q=</v>
      </c>
      <c r="K12" s="45"/>
      <c r="L12" s="45"/>
      <c r="M12" s="45"/>
      <c r="N12" t="s">
        <v>23</v>
      </c>
      <c r="O12">
        <v>273316</v>
      </c>
      <c r="P12" t="str">
        <f t="shared" si="2"/>
        <v>https://permalinkbnd.bnportugal.gov.pt/viewer/273316/?offset=#page=11&amp;viewer=picture&amp;o=info&amp;n=0&amp;q=</v>
      </c>
      <c r="Q12">
        <v>382834</v>
      </c>
      <c r="R12" t="s">
        <v>23</v>
      </c>
      <c r="S12" t="s">
        <v>1245</v>
      </c>
      <c r="T12" t="s">
        <v>1178</v>
      </c>
      <c r="U12" t="s">
        <v>1192</v>
      </c>
      <c r="V12" t="s">
        <v>599</v>
      </c>
      <c r="W12" t="s">
        <v>1246</v>
      </c>
      <c r="X12" t="s">
        <v>599</v>
      </c>
      <c r="Y12" t="s">
        <v>599</v>
      </c>
      <c r="Z12" t="s">
        <v>1182</v>
      </c>
      <c r="AA12" t="s">
        <v>1247</v>
      </c>
      <c r="AB12">
        <v>1889</v>
      </c>
      <c r="AC12">
        <v>1889</v>
      </c>
      <c r="AD12" t="s">
        <v>1248</v>
      </c>
      <c r="AE12" t="s">
        <v>1249</v>
      </c>
      <c r="AF12" t="s">
        <v>599</v>
      </c>
      <c r="AG12" t="s">
        <v>599</v>
      </c>
      <c r="AH12" t="s">
        <v>1250</v>
      </c>
      <c r="AI12" t="s">
        <v>599</v>
      </c>
      <c r="AJ12" t="s">
        <v>599</v>
      </c>
      <c r="AK12" t="s">
        <v>1251</v>
      </c>
      <c r="AL12" t="s">
        <v>1188</v>
      </c>
      <c r="AM12" t="s">
        <v>1252</v>
      </c>
      <c r="AN12" t="s">
        <v>1190</v>
      </c>
      <c r="AO12" t="s">
        <v>599</v>
      </c>
      <c r="AP12" t="s">
        <v>599</v>
      </c>
      <c r="AQ12" t="s">
        <v>599</v>
      </c>
      <c r="AR12" t="s">
        <v>599</v>
      </c>
      <c r="AS12" t="s">
        <v>599</v>
      </c>
      <c r="AT12" t="s">
        <v>599</v>
      </c>
      <c r="AU12" t="s">
        <v>599</v>
      </c>
    </row>
    <row r="13" spans="1:47" s="13" customFormat="1" ht="30" x14ac:dyDescent="0.25">
      <c r="A13" s="9">
        <v>10004</v>
      </c>
      <c r="B13" s="10">
        <v>382844</v>
      </c>
      <c r="C13" s="10">
        <v>1</v>
      </c>
      <c r="D13" s="9">
        <v>3</v>
      </c>
      <c r="E13" s="11" t="s">
        <v>25</v>
      </c>
      <c r="F13" s="11" t="str">
        <f t="shared" si="0"/>
        <v>https://purl.pt/43227</v>
      </c>
      <c r="G13" s="12">
        <v>3</v>
      </c>
      <c r="H13" s="9"/>
      <c r="I13" s="34"/>
      <c r="J13" s="55" t="str">
        <f t="shared" si="1"/>
        <v>https://permalinkbnd.bnportugal.gov.pt/viewer/271559/?offset=#page=3&amp;viewer=picture&amp;o=info&amp;n=0&amp;q=</v>
      </c>
      <c r="K13" s="45"/>
      <c r="L13" s="45"/>
      <c r="M13" s="45"/>
      <c r="N13" t="s">
        <v>25</v>
      </c>
      <c r="O13">
        <v>271559</v>
      </c>
      <c r="P13" t="str">
        <f t="shared" si="2"/>
        <v>https://permalinkbnd.bnportugal.gov.pt/viewer/271559/?offset=#page=3&amp;viewer=picture&amp;o=info&amp;n=0&amp;q=</v>
      </c>
      <c r="Q13">
        <v>382844</v>
      </c>
      <c r="R13" t="s">
        <v>25</v>
      </c>
      <c r="S13" t="s">
        <v>1253</v>
      </c>
      <c r="T13" t="s">
        <v>1178</v>
      </c>
      <c r="U13" t="s">
        <v>1192</v>
      </c>
      <c r="V13" t="s">
        <v>599</v>
      </c>
      <c r="W13" t="s">
        <v>1254</v>
      </c>
      <c r="X13" t="s">
        <v>1255</v>
      </c>
      <c r="Y13" t="s">
        <v>599</v>
      </c>
      <c r="Z13" t="s">
        <v>1182</v>
      </c>
      <c r="AA13" t="s">
        <v>1256</v>
      </c>
      <c r="AB13">
        <v>1880</v>
      </c>
      <c r="AC13">
        <v>1880</v>
      </c>
      <c r="AD13" t="s">
        <v>1257</v>
      </c>
      <c r="AE13" t="s">
        <v>1249</v>
      </c>
      <c r="AF13" t="s">
        <v>599</v>
      </c>
      <c r="AG13" t="s">
        <v>599</v>
      </c>
      <c r="AH13" t="s">
        <v>1250</v>
      </c>
      <c r="AI13" t="s">
        <v>599</v>
      </c>
      <c r="AJ13" t="s">
        <v>599</v>
      </c>
      <c r="AK13" t="s">
        <v>1258</v>
      </c>
      <c r="AL13" t="s">
        <v>1188</v>
      </c>
      <c r="AM13" t="s">
        <v>1259</v>
      </c>
      <c r="AN13" t="s">
        <v>1190</v>
      </c>
      <c r="AO13" t="s">
        <v>599</v>
      </c>
      <c r="AP13" t="s">
        <v>599</v>
      </c>
      <c r="AQ13" t="s">
        <v>599</v>
      </c>
      <c r="AR13" t="s">
        <v>599</v>
      </c>
      <c r="AS13" t="s">
        <v>599</v>
      </c>
      <c r="AT13" t="s">
        <v>599</v>
      </c>
      <c r="AU13" t="s">
        <v>599</v>
      </c>
    </row>
    <row r="14" spans="1:47" s="13" customFormat="1" ht="30" x14ac:dyDescent="0.25">
      <c r="A14" s="9">
        <v>10005</v>
      </c>
      <c r="B14" s="10">
        <v>382955</v>
      </c>
      <c r="C14" s="10">
        <v>1</v>
      </c>
      <c r="D14" s="9">
        <v>6</v>
      </c>
      <c r="E14" s="11" t="s">
        <v>26</v>
      </c>
      <c r="F14" s="11" t="str">
        <f t="shared" si="0"/>
        <v>https://purl.pt/43816</v>
      </c>
      <c r="G14" s="12" t="s">
        <v>27</v>
      </c>
      <c r="H14" s="9">
        <v>6</v>
      </c>
      <c r="I14" s="34"/>
      <c r="J14" s="55" t="str">
        <f t="shared" si="1"/>
        <v>https://permalinkbnd.bnportugal.gov.pt/viewer/274171/?offset=#page=6&amp;viewer=picture&amp;o=info&amp;n=0&amp;q=</v>
      </c>
      <c r="K14" s="45"/>
      <c r="L14" s="45"/>
      <c r="M14" s="45"/>
      <c r="N14" t="s">
        <v>26</v>
      </c>
      <c r="O14">
        <v>274171</v>
      </c>
      <c r="P14" t="str">
        <f t="shared" si="2"/>
        <v>https://permalinkbnd.bnportugal.gov.pt/viewer/274171/?offset=#page=6&amp;viewer=picture&amp;o=info&amp;n=0&amp;q=</v>
      </c>
      <c r="Q14">
        <v>382955</v>
      </c>
      <c r="R14" t="s">
        <v>26</v>
      </c>
      <c r="S14" t="s">
        <v>1260</v>
      </c>
      <c r="T14" t="s">
        <v>1178</v>
      </c>
      <c r="U14" t="s">
        <v>1192</v>
      </c>
      <c r="V14" t="s">
        <v>599</v>
      </c>
      <c r="W14" t="s">
        <v>1261</v>
      </c>
      <c r="X14" t="s">
        <v>599</v>
      </c>
      <c r="Y14" t="s">
        <v>599</v>
      </c>
      <c r="Z14" t="s">
        <v>1182</v>
      </c>
      <c r="AA14" t="s">
        <v>1262</v>
      </c>
      <c r="AB14">
        <v>1880</v>
      </c>
      <c r="AC14">
        <v>1880</v>
      </c>
      <c r="AD14" t="s">
        <v>599</v>
      </c>
      <c r="AE14" t="s">
        <v>599</v>
      </c>
      <c r="AF14" t="s">
        <v>1263</v>
      </c>
      <c r="AG14" t="s">
        <v>599</v>
      </c>
      <c r="AH14" t="s">
        <v>1250</v>
      </c>
      <c r="AI14" t="s">
        <v>599</v>
      </c>
      <c r="AJ14" t="s">
        <v>599</v>
      </c>
      <c r="AK14" t="s">
        <v>1264</v>
      </c>
      <c r="AL14" t="s">
        <v>1188</v>
      </c>
      <c r="AM14" t="s">
        <v>1265</v>
      </c>
      <c r="AN14" t="s">
        <v>1190</v>
      </c>
      <c r="AO14" t="s">
        <v>599</v>
      </c>
      <c r="AP14" t="s">
        <v>599</v>
      </c>
      <c r="AQ14" t="s">
        <v>599</v>
      </c>
      <c r="AR14" t="s">
        <v>599</v>
      </c>
      <c r="AS14" t="s">
        <v>599</v>
      </c>
      <c r="AT14" t="s">
        <v>599</v>
      </c>
      <c r="AU14" t="s">
        <v>599</v>
      </c>
    </row>
    <row r="15" spans="1:47" s="13" customFormat="1" ht="30" x14ac:dyDescent="0.25">
      <c r="A15" s="9">
        <v>10007</v>
      </c>
      <c r="B15" s="10">
        <v>382972</v>
      </c>
      <c r="C15" s="10">
        <v>1</v>
      </c>
      <c r="D15" s="9">
        <v>14</v>
      </c>
      <c r="E15" s="11" t="s">
        <v>28</v>
      </c>
      <c r="F15" s="11" t="str">
        <f t="shared" si="0"/>
        <v>https://purl.pt/43819</v>
      </c>
      <c r="G15" s="12" t="s">
        <v>29</v>
      </c>
      <c r="H15" s="9">
        <v>14</v>
      </c>
      <c r="I15" s="34"/>
      <c r="J15" s="55" t="str">
        <f t="shared" si="1"/>
        <v>https://permalinkbnd.bnportugal.gov.pt/viewer/274229/?offset=#page=14&amp;viewer=picture&amp;o=info&amp;n=0&amp;q=</v>
      </c>
      <c r="K15" s="45"/>
      <c r="L15" s="45"/>
      <c r="M15" s="45"/>
      <c r="N15" t="s">
        <v>28</v>
      </c>
      <c r="O15">
        <v>274229</v>
      </c>
      <c r="P15" t="str">
        <f t="shared" si="2"/>
        <v>https://permalinkbnd.bnportugal.gov.pt/viewer/274229/?offset=#page=14&amp;viewer=picture&amp;o=info&amp;n=0&amp;q=</v>
      </c>
      <c r="Q15">
        <v>382972</v>
      </c>
      <c r="R15" t="s">
        <v>28</v>
      </c>
      <c r="S15" t="s">
        <v>1266</v>
      </c>
      <c r="T15" t="s">
        <v>1178</v>
      </c>
      <c r="U15" t="s">
        <v>1192</v>
      </c>
      <c r="V15" t="s">
        <v>599</v>
      </c>
      <c r="W15" t="s">
        <v>1267</v>
      </c>
      <c r="X15" t="s">
        <v>1268</v>
      </c>
      <c r="Y15" t="s">
        <v>599</v>
      </c>
      <c r="Z15" t="s">
        <v>1182</v>
      </c>
      <c r="AA15" t="s">
        <v>1221</v>
      </c>
      <c r="AB15">
        <v>1880</v>
      </c>
      <c r="AC15">
        <v>1880</v>
      </c>
      <c r="AD15" t="s">
        <v>599</v>
      </c>
      <c r="AE15" t="s">
        <v>1269</v>
      </c>
      <c r="AF15" t="s">
        <v>599</v>
      </c>
      <c r="AG15" t="s">
        <v>599</v>
      </c>
      <c r="AH15" t="s">
        <v>599</v>
      </c>
      <c r="AI15" t="s">
        <v>599</v>
      </c>
      <c r="AJ15" t="s">
        <v>599</v>
      </c>
      <c r="AK15" t="s">
        <v>1270</v>
      </c>
      <c r="AL15" t="s">
        <v>1188</v>
      </c>
      <c r="AM15" t="s">
        <v>1271</v>
      </c>
      <c r="AN15" t="s">
        <v>1190</v>
      </c>
      <c r="AO15" t="s">
        <v>599</v>
      </c>
      <c r="AP15" t="s">
        <v>599</v>
      </c>
      <c r="AQ15" t="s">
        <v>599</v>
      </c>
      <c r="AR15" t="s">
        <v>599</v>
      </c>
      <c r="AS15" t="s">
        <v>599</v>
      </c>
      <c r="AT15" t="s">
        <v>599</v>
      </c>
      <c r="AU15" t="s">
        <v>599</v>
      </c>
    </row>
    <row r="16" spans="1:47" s="13" customFormat="1" ht="30" x14ac:dyDescent="0.25">
      <c r="A16" s="9">
        <v>10008</v>
      </c>
      <c r="B16" s="10">
        <v>382978</v>
      </c>
      <c r="C16" s="10">
        <v>1</v>
      </c>
      <c r="D16" s="9">
        <v>7</v>
      </c>
      <c r="E16" s="11" t="s">
        <v>30</v>
      </c>
      <c r="F16" s="11" t="str">
        <f t="shared" si="0"/>
        <v>https://purl.pt/43823</v>
      </c>
      <c r="G16" s="12" t="s">
        <v>31</v>
      </c>
      <c r="H16" s="9" t="s">
        <v>32</v>
      </c>
      <c r="I16" s="34"/>
      <c r="J16" s="55" t="str">
        <f t="shared" si="1"/>
        <v>https://permalinkbnd.bnportugal.gov.pt/viewer/274235/?offset=#page=7&amp;viewer=picture&amp;o=info&amp;n=0&amp;q=</v>
      </c>
      <c r="K16" s="45"/>
      <c r="L16" s="45"/>
      <c r="M16" s="45"/>
      <c r="N16" t="s">
        <v>30</v>
      </c>
      <c r="O16">
        <v>274235</v>
      </c>
      <c r="P16" t="str">
        <f t="shared" si="2"/>
        <v>https://permalinkbnd.bnportugal.gov.pt/viewer/274235/?offset=#page=7&amp;viewer=picture&amp;o=info&amp;n=0&amp;q=</v>
      </c>
      <c r="Q16">
        <v>382978</v>
      </c>
      <c r="R16" t="s">
        <v>30</v>
      </c>
      <c r="S16" t="s">
        <v>1272</v>
      </c>
      <c r="T16" t="s">
        <v>1178</v>
      </c>
      <c r="U16" t="s">
        <v>1192</v>
      </c>
      <c r="V16" t="s">
        <v>599</v>
      </c>
      <c r="W16" t="s">
        <v>1273</v>
      </c>
      <c r="X16" t="s">
        <v>1274</v>
      </c>
      <c r="Y16" t="s">
        <v>599</v>
      </c>
      <c r="Z16" t="s">
        <v>1182</v>
      </c>
      <c r="AA16" t="s">
        <v>1275</v>
      </c>
      <c r="AB16">
        <v>1880</v>
      </c>
      <c r="AC16">
        <v>1880</v>
      </c>
      <c r="AD16" t="s">
        <v>1276</v>
      </c>
      <c r="AE16" t="s">
        <v>599</v>
      </c>
      <c r="AF16" t="s">
        <v>599</v>
      </c>
      <c r="AG16" t="s">
        <v>599</v>
      </c>
      <c r="AH16" t="s">
        <v>1250</v>
      </c>
      <c r="AI16" t="s">
        <v>599</v>
      </c>
      <c r="AJ16" t="s">
        <v>599</v>
      </c>
      <c r="AK16" t="s">
        <v>1277</v>
      </c>
      <c r="AL16" t="s">
        <v>1188</v>
      </c>
      <c r="AM16" t="s">
        <v>1278</v>
      </c>
      <c r="AN16" t="s">
        <v>1190</v>
      </c>
      <c r="AO16" t="s">
        <v>599</v>
      </c>
      <c r="AP16" t="s">
        <v>599</v>
      </c>
      <c r="AQ16" t="s">
        <v>599</v>
      </c>
      <c r="AR16" t="s">
        <v>599</v>
      </c>
      <c r="AS16" t="s">
        <v>599</v>
      </c>
      <c r="AT16" t="s">
        <v>599</v>
      </c>
      <c r="AU16" t="s">
        <v>599</v>
      </c>
    </row>
    <row r="17" spans="1:47" s="13" customFormat="1" ht="30" x14ac:dyDescent="0.25">
      <c r="A17" s="9">
        <v>10009</v>
      </c>
      <c r="B17" s="10">
        <v>382978</v>
      </c>
      <c r="C17" s="10">
        <v>1</v>
      </c>
      <c r="D17" s="9">
        <v>13</v>
      </c>
      <c r="E17" s="11" t="s">
        <v>30</v>
      </c>
      <c r="F17" s="11" t="str">
        <f t="shared" si="0"/>
        <v>https://purl.pt/43823</v>
      </c>
      <c r="G17" s="12" t="s">
        <v>31</v>
      </c>
      <c r="H17" s="9" t="s">
        <v>32</v>
      </c>
      <c r="I17" s="34"/>
      <c r="J17" s="55" t="str">
        <f t="shared" si="1"/>
        <v>https://permalinkbnd.bnportugal.gov.pt/viewer/274235/?offset=#page=13&amp;viewer=picture&amp;o=info&amp;n=0&amp;q=</v>
      </c>
      <c r="K17" s="45"/>
      <c r="L17" s="45"/>
      <c r="M17" s="45"/>
      <c r="N17" t="s">
        <v>30</v>
      </c>
      <c r="O17">
        <v>274235</v>
      </c>
      <c r="P17" t="str">
        <f t="shared" si="2"/>
        <v>https://permalinkbnd.bnportugal.gov.pt/viewer/274235/?offset=#page=13&amp;viewer=picture&amp;o=info&amp;n=0&amp;q=</v>
      </c>
      <c r="Q17">
        <v>382978</v>
      </c>
      <c r="R17" t="s">
        <v>30</v>
      </c>
      <c r="S17" t="s">
        <v>1272</v>
      </c>
      <c r="T17" t="s">
        <v>1178</v>
      </c>
      <c r="U17" t="s">
        <v>1192</v>
      </c>
      <c r="V17" t="s">
        <v>599</v>
      </c>
      <c r="W17" t="s">
        <v>1273</v>
      </c>
      <c r="X17" t="s">
        <v>1274</v>
      </c>
      <c r="Y17" t="s">
        <v>599</v>
      </c>
      <c r="Z17" t="s">
        <v>1182</v>
      </c>
      <c r="AA17" t="s">
        <v>1275</v>
      </c>
      <c r="AB17">
        <v>1880</v>
      </c>
      <c r="AC17">
        <v>1880</v>
      </c>
      <c r="AD17" t="s">
        <v>1276</v>
      </c>
      <c r="AE17" t="s">
        <v>599</v>
      </c>
      <c r="AF17" t="s">
        <v>599</v>
      </c>
      <c r="AG17" t="s">
        <v>599</v>
      </c>
      <c r="AH17" t="s">
        <v>1250</v>
      </c>
      <c r="AI17" t="s">
        <v>599</v>
      </c>
      <c r="AJ17" t="s">
        <v>599</v>
      </c>
      <c r="AK17" t="s">
        <v>1277</v>
      </c>
      <c r="AL17" t="s">
        <v>1188</v>
      </c>
      <c r="AM17" t="s">
        <v>1278</v>
      </c>
      <c r="AN17" t="s">
        <v>1190</v>
      </c>
      <c r="AO17" t="s">
        <v>599</v>
      </c>
      <c r="AP17" t="s">
        <v>599</v>
      </c>
      <c r="AQ17" t="s">
        <v>599</v>
      </c>
      <c r="AR17" t="s">
        <v>599</v>
      </c>
      <c r="AS17" t="s">
        <v>599</v>
      </c>
      <c r="AT17" t="s">
        <v>599</v>
      </c>
      <c r="AU17" t="s">
        <v>599</v>
      </c>
    </row>
    <row r="18" spans="1:47" s="13" customFormat="1" ht="30" x14ac:dyDescent="0.25">
      <c r="A18" s="9">
        <v>10010</v>
      </c>
      <c r="B18" s="10">
        <v>382978</v>
      </c>
      <c r="C18" s="10">
        <v>1</v>
      </c>
      <c r="D18" s="9">
        <v>15</v>
      </c>
      <c r="E18" s="11" t="s">
        <v>30</v>
      </c>
      <c r="F18" s="11" t="str">
        <f t="shared" si="0"/>
        <v>https://purl.pt/43823</v>
      </c>
      <c r="G18" s="12" t="s">
        <v>31</v>
      </c>
      <c r="H18" s="9" t="s">
        <v>32</v>
      </c>
      <c r="I18" s="34"/>
      <c r="J18" s="55" t="str">
        <f t="shared" si="1"/>
        <v>https://permalinkbnd.bnportugal.gov.pt/viewer/274235/?offset=#page=15&amp;viewer=picture&amp;o=info&amp;n=0&amp;q=</v>
      </c>
      <c r="K18" s="45"/>
      <c r="L18" s="45"/>
      <c r="M18" s="45"/>
      <c r="N18" t="s">
        <v>30</v>
      </c>
      <c r="O18">
        <v>274235</v>
      </c>
      <c r="P18" t="str">
        <f t="shared" si="2"/>
        <v>https://permalinkbnd.bnportugal.gov.pt/viewer/274235/?offset=#page=15&amp;viewer=picture&amp;o=info&amp;n=0&amp;q=</v>
      </c>
      <c r="Q18">
        <v>382978</v>
      </c>
      <c r="R18" t="s">
        <v>30</v>
      </c>
      <c r="S18" t="s">
        <v>1272</v>
      </c>
      <c r="T18" t="s">
        <v>1178</v>
      </c>
      <c r="U18" t="s">
        <v>1192</v>
      </c>
      <c r="V18" t="s">
        <v>599</v>
      </c>
      <c r="W18" t="s">
        <v>1273</v>
      </c>
      <c r="X18" t="s">
        <v>1274</v>
      </c>
      <c r="Y18" t="s">
        <v>599</v>
      </c>
      <c r="Z18" t="s">
        <v>1182</v>
      </c>
      <c r="AA18" t="s">
        <v>1275</v>
      </c>
      <c r="AB18">
        <v>1880</v>
      </c>
      <c r="AC18">
        <v>1880</v>
      </c>
      <c r="AD18" t="s">
        <v>1276</v>
      </c>
      <c r="AE18" t="s">
        <v>599</v>
      </c>
      <c r="AF18" t="s">
        <v>599</v>
      </c>
      <c r="AG18" t="s">
        <v>599</v>
      </c>
      <c r="AH18" t="s">
        <v>1250</v>
      </c>
      <c r="AI18" t="s">
        <v>599</v>
      </c>
      <c r="AJ18" t="s">
        <v>599</v>
      </c>
      <c r="AK18" t="s">
        <v>1277</v>
      </c>
      <c r="AL18" t="s">
        <v>1188</v>
      </c>
      <c r="AM18" t="s">
        <v>1278</v>
      </c>
      <c r="AN18" t="s">
        <v>1190</v>
      </c>
      <c r="AO18" t="s">
        <v>599</v>
      </c>
      <c r="AP18" t="s">
        <v>599</v>
      </c>
      <c r="AQ18" t="s">
        <v>599</v>
      </c>
      <c r="AR18" t="s">
        <v>599</v>
      </c>
      <c r="AS18" t="s">
        <v>599</v>
      </c>
      <c r="AT18" t="s">
        <v>599</v>
      </c>
      <c r="AU18" t="s">
        <v>599</v>
      </c>
    </row>
    <row r="19" spans="1:47" s="13" customFormat="1" ht="30" x14ac:dyDescent="0.25">
      <c r="A19" s="9">
        <v>10011</v>
      </c>
      <c r="B19" s="10">
        <v>382981</v>
      </c>
      <c r="C19" s="10">
        <v>1</v>
      </c>
      <c r="D19" s="9">
        <v>9</v>
      </c>
      <c r="E19" s="11" t="s">
        <v>33</v>
      </c>
      <c r="F19" s="11" t="str">
        <f t="shared" si="0"/>
        <v>https://purl.pt/43818</v>
      </c>
      <c r="G19" s="12">
        <v>9</v>
      </c>
      <c r="H19" s="9"/>
      <c r="I19" s="34"/>
      <c r="J19" s="55" t="str">
        <f t="shared" si="1"/>
        <v>https://permalinkbnd.bnportugal.gov.pt/viewer/1880/?offset=#page=9&amp;viewer=picture&amp;o=info&amp;n=0&amp;q=</v>
      </c>
      <c r="K19" s="45"/>
      <c r="L19" s="45"/>
      <c r="M19" s="45"/>
      <c r="N19" t="s">
        <v>33</v>
      </c>
      <c r="O19">
        <v>1880</v>
      </c>
      <c r="P19" t="str">
        <f t="shared" si="2"/>
        <v>https://permalinkbnd.bnportugal.gov.pt/viewer/1880/?offset=#page=9&amp;viewer=picture&amp;o=info&amp;n=0&amp;q=</v>
      </c>
      <c r="Q19">
        <v>382981</v>
      </c>
      <c r="R19" t="s">
        <v>33</v>
      </c>
      <c r="S19" t="s">
        <v>1279</v>
      </c>
      <c r="T19" t="s">
        <v>1178</v>
      </c>
      <c r="U19" t="s">
        <v>1192</v>
      </c>
      <c r="V19" t="s">
        <v>599</v>
      </c>
      <c r="W19" t="s">
        <v>1280</v>
      </c>
      <c r="X19" t="s">
        <v>599</v>
      </c>
      <c r="Y19" t="s">
        <v>599</v>
      </c>
      <c r="Z19" t="s">
        <v>1182</v>
      </c>
      <c r="AA19" t="s">
        <v>1281</v>
      </c>
      <c r="AB19">
        <v>1881</v>
      </c>
      <c r="AC19">
        <v>1881</v>
      </c>
      <c r="AD19" t="s">
        <v>599</v>
      </c>
      <c r="AE19" t="s">
        <v>599</v>
      </c>
      <c r="AF19" t="s">
        <v>599</v>
      </c>
      <c r="AG19" t="s">
        <v>599</v>
      </c>
      <c r="AH19" t="s">
        <v>599</v>
      </c>
      <c r="AI19" t="s">
        <v>599</v>
      </c>
      <c r="AJ19" t="s">
        <v>1282</v>
      </c>
      <c r="AK19" t="s">
        <v>1283</v>
      </c>
      <c r="AL19" t="s">
        <v>1188</v>
      </c>
      <c r="AM19" t="s">
        <v>1284</v>
      </c>
      <c r="AN19" t="s">
        <v>1190</v>
      </c>
      <c r="AO19" t="s">
        <v>599</v>
      </c>
      <c r="AP19" t="s">
        <v>599</v>
      </c>
      <c r="AQ19" t="s">
        <v>599</v>
      </c>
      <c r="AR19" t="s">
        <v>599</v>
      </c>
      <c r="AS19" t="s">
        <v>599</v>
      </c>
      <c r="AT19" t="s">
        <v>599</v>
      </c>
      <c r="AU19" t="s">
        <v>599</v>
      </c>
    </row>
    <row r="20" spans="1:47" s="13" customFormat="1" ht="30" x14ac:dyDescent="0.25">
      <c r="A20" s="9">
        <v>10013</v>
      </c>
      <c r="B20" s="10">
        <v>385945</v>
      </c>
      <c r="C20" s="10">
        <v>1</v>
      </c>
      <c r="D20" s="9">
        <v>15</v>
      </c>
      <c r="E20" s="11" t="s">
        <v>34</v>
      </c>
      <c r="F20" s="11" t="str">
        <f t="shared" si="0"/>
        <v>https://purl.pt/43873</v>
      </c>
      <c r="G20" s="12" t="s">
        <v>35</v>
      </c>
      <c r="H20" s="9">
        <v>15</v>
      </c>
      <c r="I20" s="34"/>
      <c r="J20" s="55" t="str">
        <f t="shared" si="1"/>
        <v>https://permalinkbnd.bnportugal.gov.pt/viewer/273149/?offset=#page=15&amp;viewer=picture&amp;o=info&amp;n=0&amp;q=</v>
      </c>
      <c r="K20" s="45"/>
      <c r="L20" s="45"/>
      <c r="M20" s="45"/>
      <c r="N20" t="s">
        <v>34</v>
      </c>
      <c r="O20">
        <v>273149</v>
      </c>
      <c r="P20" t="str">
        <f t="shared" si="2"/>
        <v>https://permalinkbnd.bnportugal.gov.pt/viewer/273149/?offset=#page=15&amp;viewer=picture&amp;o=info&amp;n=0&amp;q=</v>
      </c>
      <c r="Q20">
        <v>385945</v>
      </c>
      <c r="R20" t="s">
        <v>34</v>
      </c>
      <c r="S20" t="s">
        <v>1285</v>
      </c>
      <c r="T20" t="s">
        <v>1178</v>
      </c>
      <c r="U20" t="s">
        <v>1218</v>
      </c>
      <c r="V20" t="s">
        <v>1192</v>
      </c>
      <c r="W20" t="s">
        <v>1286</v>
      </c>
      <c r="X20" t="s">
        <v>599</v>
      </c>
      <c r="Y20" t="s">
        <v>599</v>
      </c>
      <c r="Z20" t="s">
        <v>1182</v>
      </c>
      <c r="AA20" t="s">
        <v>1287</v>
      </c>
      <c r="AB20">
        <v>1880</v>
      </c>
      <c r="AC20">
        <v>1880</v>
      </c>
      <c r="AD20" t="s">
        <v>1288</v>
      </c>
      <c r="AE20" t="s">
        <v>599</v>
      </c>
      <c r="AF20" t="s">
        <v>599</v>
      </c>
      <c r="AG20" t="s">
        <v>599</v>
      </c>
      <c r="AH20" t="s">
        <v>1289</v>
      </c>
      <c r="AI20" t="s">
        <v>599</v>
      </c>
      <c r="AJ20" t="s">
        <v>599</v>
      </c>
      <c r="AK20" t="s">
        <v>1290</v>
      </c>
      <c r="AL20" t="s">
        <v>1188</v>
      </c>
      <c r="AM20" t="s">
        <v>1291</v>
      </c>
      <c r="AN20" t="s">
        <v>1190</v>
      </c>
      <c r="AO20" t="s">
        <v>599</v>
      </c>
      <c r="AP20" t="s">
        <v>599</v>
      </c>
      <c r="AQ20" t="s">
        <v>599</v>
      </c>
      <c r="AR20" t="s">
        <v>599</v>
      </c>
      <c r="AS20" t="s">
        <v>599</v>
      </c>
      <c r="AT20" t="s">
        <v>599</v>
      </c>
      <c r="AU20" t="s">
        <v>599</v>
      </c>
    </row>
    <row r="21" spans="1:47" s="13" customFormat="1" ht="30" x14ac:dyDescent="0.25">
      <c r="A21" s="9">
        <v>10014</v>
      </c>
      <c r="B21" s="10">
        <v>385949</v>
      </c>
      <c r="C21" s="10">
        <v>1</v>
      </c>
      <c r="D21" s="9">
        <v>1</v>
      </c>
      <c r="E21" s="11" t="s">
        <v>36</v>
      </c>
      <c r="F21" s="11" t="str">
        <f t="shared" si="0"/>
        <v>https://purl.pt/43866</v>
      </c>
      <c r="G21" s="12">
        <v>1</v>
      </c>
      <c r="H21" s="9">
        <v>1</v>
      </c>
      <c r="I21" s="34"/>
      <c r="J21" s="55" t="str">
        <f t="shared" si="1"/>
        <v>https://permalinkbnd.bnportugal.gov.pt/viewer/274256/?offset=#page=1&amp;viewer=picture&amp;o=info&amp;n=0&amp;q=</v>
      </c>
      <c r="K21" s="45"/>
      <c r="L21" s="45"/>
      <c r="M21" s="45"/>
      <c r="N21" t="s">
        <v>36</v>
      </c>
      <c r="O21">
        <v>274256</v>
      </c>
      <c r="P21" t="str">
        <f t="shared" si="2"/>
        <v>https://permalinkbnd.bnportugal.gov.pt/viewer/274256/?offset=#page=1&amp;viewer=picture&amp;o=info&amp;n=0&amp;q=</v>
      </c>
      <c r="Q21">
        <v>385949</v>
      </c>
      <c r="R21" t="s">
        <v>36</v>
      </c>
      <c r="S21" t="s">
        <v>1292</v>
      </c>
      <c r="T21" t="s">
        <v>1178</v>
      </c>
      <c r="U21" t="s">
        <v>1192</v>
      </c>
      <c r="V21" t="s">
        <v>599</v>
      </c>
      <c r="W21" t="s">
        <v>1293</v>
      </c>
      <c r="X21" t="s">
        <v>1294</v>
      </c>
      <c r="Y21" t="s">
        <v>599</v>
      </c>
      <c r="Z21" t="s">
        <v>1182</v>
      </c>
      <c r="AA21" t="s">
        <v>1295</v>
      </c>
      <c r="AB21">
        <v>1880</v>
      </c>
      <c r="AC21">
        <v>1880</v>
      </c>
      <c r="AD21" t="s">
        <v>599</v>
      </c>
      <c r="AE21" t="s">
        <v>599</v>
      </c>
      <c r="AF21" t="s">
        <v>1296</v>
      </c>
      <c r="AG21" t="s">
        <v>599</v>
      </c>
      <c r="AH21" t="s">
        <v>599</v>
      </c>
      <c r="AI21" t="s">
        <v>599</v>
      </c>
      <c r="AJ21" t="s">
        <v>599</v>
      </c>
      <c r="AK21" t="s">
        <v>1297</v>
      </c>
      <c r="AL21" t="s">
        <v>1188</v>
      </c>
      <c r="AM21" t="s">
        <v>1298</v>
      </c>
      <c r="AN21" t="s">
        <v>1190</v>
      </c>
      <c r="AO21" t="s">
        <v>599</v>
      </c>
      <c r="AP21" t="s">
        <v>599</v>
      </c>
      <c r="AQ21" t="s">
        <v>599</v>
      </c>
      <c r="AR21" t="s">
        <v>599</v>
      </c>
      <c r="AS21" t="s">
        <v>599</v>
      </c>
      <c r="AT21" t="s">
        <v>599</v>
      </c>
      <c r="AU21" t="s">
        <v>599</v>
      </c>
    </row>
    <row r="22" spans="1:47" s="13" customFormat="1" ht="30" x14ac:dyDescent="0.25">
      <c r="A22" s="9">
        <v>10015</v>
      </c>
      <c r="B22" s="10">
        <v>386935</v>
      </c>
      <c r="C22" s="10">
        <v>1</v>
      </c>
      <c r="D22" s="9">
        <v>1</v>
      </c>
      <c r="E22" s="11" t="s">
        <v>37</v>
      </c>
      <c r="F22" s="11" t="str">
        <f t="shared" si="0"/>
        <v>https://purl.pt/43871</v>
      </c>
      <c r="G22" s="12">
        <v>1</v>
      </c>
      <c r="H22" s="9"/>
      <c r="I22" s="34"/>
      <c r="J22" s="55" t="str">
        <f t="shared" si="1"/>
        <v>https://permalinkbnd.bnportugal.gov.pt/viewer/273122/?offset=#page=1&amp;viewer=picture&amp;o=info&amp;n=0&amp;q=</v>
      </c>
      <c r="K22" s="45"/>
      <c r="L22" s="45"/>
      <c r="M22" s="45"/>
      <c r="N22" t="s">
        <v>37</v>
      </c>
      <c r="O22">
        <v>273122</v>
      </c>
      <c r="P22" t="str">
        <f t="shared" si="2"/>
        <v>https://permalinkbnd.bnportugal.gov.pt/viewer/273122/?offset=#page=1&amp;viewer=picture&amp;o=info&amp;n=0&amp;q=</v>
      </c>
      <c r="Q22">
        <v>386935</v>
      </c>
      <c r="R22" t="s">
        <v>37</v>
      </c>
      <c r="S22" t="s">
        <v>1299</v>
      </c>
      <c r="T22" t="s">
        <v>1178</v>
      </c>
      <c r="U22" t="s">
        <v>1192</v>
      </c>
      <c r="V22" t="s">
        <v>599</v>
      </c>
      <c r="W22" t="s">
        <v>1300</v>
      </c>
      <c r="X22" t="s">
        <v>1301</v>
      </c>
      <c r="Y22" t="s">
        <v>599</v>
      </c>
      <c r="Z22" t="s">
        <v>1182</v>
      </c>
      <c r="AA22" t="s">
        <v>1302</v>
      </c>
      <c r="AB22">
        <v>1880</v>
      </c>
      <c r="AC22">
        <v>1880</v>
      </c>
      <c r="AD22" t="s">
        <v>599</v>
      </c>
      <c r="AE22" t="s">
        <v>599</v>
      </c>
      <c r="AF22" t="s">
        <v>599</v>
      </c>
      <c r="AG22" t="s">
        <v>599</v>
      </c>
      <c r="AH22" t="s">
        <v>599</v>
      </c>
      <c r="AI22" t="s">
        <v>599</v>
      </c>
      <c r="AJ22" t="s">
        <v>599</v>
      </c>
      <c r="AK22" t="s">
        <v>1303</v>
      </c>
      <c r="AL22" t="s">
        <v>1188</v>
      </c>
      <c r="AM22" t="s">
        <v>1304</v>
      </c>
      <c r="AN22" t="s">
        <v>1190</v>
      </c>
      <c r="AO22" t="s">
        <v>599</v>
      </c>
      <c r="AP22" t="s">
        <v>599</v>
      </c>
      <c r="AQ22" t="s">
        <v>599</v>
      </c>
      <c r="AR22" t="s">
        <v>599</v>
      </c>
      <c r="AS22" t="s">
        <v>599</v>
      </c>
      <c r="AT22" t="s">
        <v>599</v>
      </c>
      <c r="AU22" t="s">
        <v>599</v>
      </c>
    </row>
    <row r="23" spans="1:47" s="13" customFormat="1" ht="30" x14ac:dyDescent="0.25">
      <c r="A23" s="9">
        <v>10016</v>
      </c>
      <c r="B23" s="10">
        <v>386992</v>
      </c>
      <c r="C23" s="10">
        <v>1</v>
      </c>
      <c r="D23" s="9">
        <v>1</v>
      </c>
      <c r="E23" s="11" t="s">
        <v>38</v>
      </c>
      <c r="F23" s="11" t="str">
        <f t="shared" si="0"/>
        <v>https://purl.pt/43661</v>
      </c>
      <c r="G23" s="12">
        <v>1</v>
      </c>
      <c r="H23" s="9">
        <v>1</v>
      </c>
      <c r="I23" s="34"/>
      <c r="J23" s="55" t="str">
        <f t="shared" si="1"/>
        <v>https://permalinkbnd.bnportugal.gov.pt/viewer/273124/?offset=#page=1&amp;viewer=picture&amp;o=info&amp;n=0&amp;q=</v>
      </c>
      <c r="K23" s="45"/>
      <c r="L23" s="45"/>
      <c r="M23" s="45"/>
      <c r="N23" t="s">
        <v>38</v>
      </c>
      <c r="O23">
        <v>273124</v>
      </c>
      <c r="P23" t="str">
        <f t="shared" si="2"/>
        <v>https://permalinkbnd.bnportugal.gov.pt/viewer/273124/?offset=#page=1&amp;viewer=picture&amp;o=info&amp;n=0&amp;q=</v>
      </c>
      <c r="Q23">
        <v>386992</v>
      </c>
      <c r="R23" t="s">
        <v>38</v>
      </c>
      <c r="S23" t="s">
        <v>1305</v>
      </c>
      <c r="T23" t="s">
        <v>1178</v>
      </c>
      <c r="U23" t="s">
        <v>1192</v>
      </c>
      <c r="V23" t="s">
        <v>599</v>
      </c>
      <c r="W23" t="s">
        <v>1306</v>
      </c>
      <c r="X23" t="s">
        <v>599</v>
      </c>
      <c r="Y23" t="s">
        <v>599</v>
      </c>
      <c r="Z23" t="s">
        <v>1182</v>
      </c>
      <c r="AA23" t="s">
        <v>1307</v>
      </c>
      <c r="AB23">
        <v>1880</v>
      </c>
      <c r="AC23">
        <v>1880</v>
      </c>
      <c r="AD23" t="s">
        <v>599</v>
      </c>
      <c r="AE23" t="s">
        <v>599</v>
      </c>
      <c r="AF23" t="s">
        <v>599</v>
      </c>
      <c r="AG23" t="s">
        <v>599</v>
      </c>
      <c r="AH23" t="s">
        <v>1250</v>
      </c>
      <c r="AI23" t="s">
        <v>599</v>
      </c>
      <c r="AJ23" t="s">
        <v>1308</v>
      </c>
      <c r="AK23" t="s">
        <v>1309</v>
      </c>
      <c r="AL23" t="s">
        <v>1188</v>
      </c>
      <c r="AM23" t="s">
        <v>1310</v>
      </c>
      <c r="AN23" t="s">
        <v>1190</v>
      </c>
      <c r="AO23" t="s">
        <v>599</v>
      </c>
      <c r="AP23" t="s">
        <v>599</v>
      </c>
      <c r="AQ23" t="s">
        <v>599</v>
      </c>
      <c r="AR23" t="s">
        <v>599</v>
      </c>
      <c r="AS23" t="s">
        <v>599</v>
      </c>
      <c r="AT23" t="s">
        <v>599</v>
      </c>
      <c r="AU23" t="s">
        <v>599</v>
      </c>
    </row>
    <row r="24" spans="1:47" s="13" customFormat="1" ht="30" x14ac:dyDescent="0.25">
      <c r="A24" s="9">
        <v>10019</v>
      </c>
      <c r="B24" s="10">
        <v>396405</v>
      </c>
      <c r="C24" s="10">
        <v>1</v>
      </c>
      <c r="D24" s="9">
        <v>1</v>
      </c>
      <c r="E24" s="11" t="s">
        <v>39</v>
      </c>
      <c r="F24" s="11" t="str">
        <f t="shared" si="0"/>
        <v>https://purl.pt/6115</v>
      </c>
      <c r="G24" s="12">
        <v>1</v>
      </c>
      <c r="H24" s="9">
        <v>1</v>
      </c>
      <c r="I24" s="34"/>
      <c r="J24" s="55" t="str">
        <f t="shared" si="1"/>
        <v>https://permalinkbnd.bnportugal.gov.pt/viewer/36059/?offset=#page=1&amp;viewer=picture&amp;o=info&amp;n=0&amp;q=</v>
      </c>
      <c r="K24" s="45"/>
      <c r="L24" s="45"/>
      <c r="M24" s="45"/>
      <c r="N24" t="s">
        <v>39</v>
      </c>
      <c r="O24">
        <v>36059</v>
      </c>
      <c r="P24" t="str">
        <f t="shared" si="2"/>
        <v>https://permalinkbnd.bnportugal.gov.pt/viewer/36059/?offset=#page=1&amp;viewer=picture&amp;o=info&amp;n=0&amp;q=</v>
      </c>
      <c r="Q24">
        <v>396405</v>
      </c>
      <c r="R24" t="s">
        <v>39</v>
      </c>
      <c r="S24" t="s">
        <v>1311</v>
      </c>
      <c r="T24" t="s">
        <v>1312</v>
      </c>
      <c r="U24" t="s">
        <v>1192</v>
      </c>
      <c r="V24" t="s">
        <v>599</v>
      </c>
      <c r="W24" t="s">
        <v>1313</v>
      </c>
      <c r="X24" t="s">
        <v>599</v>
      </c>
      <c r="Y24" t="s">
        <v>599</v>
      </c>
      <c r="Z24" t="s">
        <v>1182</v>
      </c>
      <c r="AA24" t="s">
        <v>1314</v>
      </c>
      <c r="AB24">
        <v>1992</v>
      </c>
      <c r="AC24">
        <v>1992</v>
      </c>
      <c r="AD24" t="s">
        <v>1315</v>
      </c>
      <c r="AE24" t="s">
        <v>1316</v>
      </c>
      <c r="AF24" t="s">
        <v>599</v>
      </c>
      <c r="AG24" t="s">
        <v>599</v>
      </c>
      <c r="AH24" t="s">
        <v>599</v>
      </c>
      <c r="AI24" t="s">
        <v>599</v>
      </c>
      <c r="AJ24" t="s">
        <v>599</v>
      </c>
      <c r="AK24" t="s">
        <v>1317</v>
      </c>
      <c r="AL24" t="s">
        <v>599</v>
      </c>
      <c r="AM24" t="s">
        <v>1318</v>
      </c>
      <c r="AN24" t="s">
        <v>1319</v>
      </c>
      <c r="AO24" t="s">
        <v>599</v>
      </c>
      <c r="AP24" t="s">
        <v>599</v>
      </c>
      <c r="AQ24" t="s">
        <v>599</v>
      </c>
      <c r="AR24" t="s">
        <v>599</v>
      </c>
      <c r="AS24" t="s">
        <v>599</v>
      </c>
      <c r="AT24" t="s">
        <v>599</v>
      </c>
      <c r="AU24" t="s">
        <v>599</v>
      </c>
    </row>
    <row r="25" spans="1:47" s="26" customFormat="1" ht="30" x14ac:dyDescent="0.25">
      <c r="A25" s="22">
        <v>10021</v>
      </c>
      <c r="B25" s="23">
        <v>397670</v>
      </c>
      <c r="C25" s="23">
        <v>1</v>
      </c>
      <c r="D25" s="27">
        <v>11</v>
      </c>
      <c r="E25" s="24" t="s">
        <v>40</v>
      </c>
      <c r="F25" s="24" t="str">
        <f t="shared" si="0"/>
        <v>https://purl.pt/43874</v>
      </c>
      <c r="G25" s="25" t="s">
        <v>41</v>
      </c>
      <c r="H25" s="22"/>
      <c r="I25" s="27" t="s">
        <v>624</v>
      </c>
      <c r="J25" s="55" t="str">
        <f t="shared" si="1"/>
        <v>https://permalinkbnd.bnportugal.gov.pt/viewer/273150/?offset=#page=11&amp;viewer=picture&amp;o=info&amp;n=0&amp;q=</v>
      </c>
      <c r="K25" s="45"/>
      <c r="L25" s="45"/>
      <c r="M25" s="45"/>
      <c r="N25" t="s">
        <v>40</v>
      </c>
      <c r="O25">
        <v>273150</v>
      </c>
      <c r="P25" t="str">
        <f t="shared" si="2"/>
        <v>https://permalinkbnd.bnportugal.gov.pt/viewer/273150/?offset=#page=11&amp;viewer=picture&amp;o=info&amp;n=0&amp;q=</v>
      </c>
      <c r="Q25">
        <v>397670</v>
      </c>
      <c r="R25" t="s">
        <v>40</v>
      </c>
      <c r="S25" t="s">
        <v>1320</v>
      </c>
      <c r="T25" t="s">
        <v>1178</v>
      </c>
      <c r="U25" t="s">
        <v>1321</v>
      </c>
      <c r="V25" t="s">
        <v>599</v>
      </c>
      <c r="W25" t="s">
        <v>1322</v>
      </c>
      <c r="X25" t="s">
        <v>599</v>
      </c>
      <c r="Y25" t="s">
        <v>599</v>
      </c>
      <c r="Z25" t="s">
        <v>1182</v>
      </c>
      <c r="AA25" t="s">
        <v>1323</v>
      </c>
      <c r="AB25">
        <v>1880</v>
      </c>
      <c r="AC25">
        <v>1880</v>
      </c>
      <c r="AD25" t="s">
        <v>1324</v>
      </c>
      <c r="AE25" t="s">
        <v>1185</v>
      </c>
      <c r="AF25" t="s">
        <v>599</v>
      </c>
      <c r="AG25" t="s">
        <v>599</v>
      </c>
      <c r="AH25" t="s">
        <v>1325</v>
      </c>
      <c r="AI25" t="s">
        <v>599</v>
      </c>
      <c r="AJ25" t="s">
        <v>599</v>
      </c>
      <c r="AK25" t="s">
        <v>1326</v>
      </c>
      <c r="AL25" t="s">
        <v>1188</v>
      </c>
      <c r="AM25" t="s">
        <v>1327</v>
      </c>
      <c r="AN25" t="s">
        <v>1190</v>
      </c>
      <c r="AO25" t="s">
        <v>1328</v>
      </c>
      <c r="AP25" t="s">
        <v>599</v>
      </c>
      <c r="AQ25" t="s">
        <v>599</v>
      </c>
      <c r="AR25" t="s">
        <v>599</v>
      </c>
      <c r="AS25" t="s">
        <v>599</v>
      </c>
      <c r="AT25" t="s">
        <v>599</v>
      </c>
      <c r="AU25" t="s">
        <v>599</v>
      </c>
    </row>
    <row r="26" spans="1:47" s="13" customFormat="1" ht="30" x14ac:dyDescent="0.25">
      <c r="A26" s="9">
        <v>10024</v>
      </c>
      <c r="B26" s="10">
        <v>397818</v>
      </c>
      <c r="C26" s="10">
        <v>1</v>
      </c>
      <c r="D26" s="9">
        <v>6</v>
      </c>
      <c r="E26" s="11" t="s">
        <v>42</v>
      </c>
      <c r="F26" s="11" t="str">
        <f t="shared" si="0"/>
        <v>https://purl.pt/43426</v>
      </c>
      <c r="G26" s="12" t="s">
        <v>43</v>
      </c>
      <c r="H26" s="9">
        <v>6</v>
      </c>
      <c r="I26" s="34"/>
      <c r="J26" s="55" t="str">
        <f t="shared" si="1"/>
        <v>https://permalinkbnd.bnportugal.gov.pt/viewer/272368/?offset=#page=6&amp;viewer=picture&amp;o=info&amp;n=0&amp;q=</v>
      </c>
      <c r="K26" s="45"/>
      <c r="L26" s="45"/>
      <c r="M26" s="45"/>
      <c r="N26" t="s">
        <v>42</v>
      </c>
      <c r="O26">
        <v>272368</v>
      </c>
      <c r="P26" t="str">
        <f t="shared" si="2"/>
        <v>https://permalinkbnd.bnportugal.gov.pt/viewer/272368/?offset=#page=6&amp;viewer=picture&amp;o=info&amp;n=0&amp;q=</v>
      </c>
      <c r="Q26">
        <v>397818</v>
      </c>
      <c r="R26" t="s">
        <v>42</v>
      </c>
      <c r="S26" t="s">
        <v>1329</v>
      </c>
      <c r="T26" t="s">
        <v>1178</v>
      </c>
      <c r="U26" t="s">
        <v>1192</v>
      </c>
      <c r="V26" t="s">
        <v>599</v>
      </c>
      <c r="W26" t="s">
        <v>1193</v>
      </c>
      <c r="X26" t="s">
        <v>1330</v>
      </c>
      <c r="Y26" t="s">
        <v>599</v>
      </c>
      <c r="Z26" t="s">
        <v>1331</v>
      </c>
      <c r="AA26" t="s">
        <v>1332</v>
      </c>
      <c r="AB26">
        <v>1891</v>
      </c>
      <c r="AC26">
        <v>1891</v>
      </c>
      <c r="AD26" t="s">
        <v>1333</v>
      </c>
      <c r="AE26" t="s">
        <v>1185</v>
      </c>
      <c r="AF26" t="s">
        <v>599</v>
      </c>
      <c r="AG26" t="s">
        <v>599</v>
      </c>
      <c r="AH26" t="s">
        <v>1334</v>
      </c>
      <c r="AI26" t="s">
        <v>599</v>
      </c>
      <c r="AJ26" t="s">
        <v>599</v>
      </c>
      <c r="AK26" t="s">
        <v>1335</v>
      </c>
      <c r="AL26" t="s">
        <v>1188</v>
      </c>
      <c r="AM26" t="s">
        <v>1336</v>
      </c>
      <c r="AN26" t="s">
        <v>1190</v>
      </c>
      <c r="AO26" t="s">
        <v>599</v>
      </c>
      <c r="AP26" t="s">
        <v>599</v>
      </c>
      <c r="AQ26" t="s">
        <v>599</v>
      </c>
      <c r="AR26" t="s">
        <v>599</v>
      </c>
      <c r="AS26" t="s">
        <v>599</v>
      </c>
      <c r="AT26" t="s">
        <v>599</v>
      </c>
      <c r="AU26" t="s">
        <v>599</v>
      </c>
    </row>
    <row r="27" spans="1:47" s="26" customFormat="1" ht="30" x14ac:dyDescent="0.25">
      <c r="A27" s="22">
        <v>10026</v>
      </c>
      <c r="B27" s="23">
        <v>397822</v>
      </c>
      <c r="C27" s="23">
        <v>1</v>
      </c>
      <c r="D27" s="27">
        <v>7</v>
      </c>
      <c r="E27" s="24" t="s">
        <v>44</v>
      </c>
      <c r="F27" s="24" t="str">
        <f t="shared" si="0"/>
        <v>https://purl.pt/43741</v>
      </c>
      <c r="G27" s="25" t="s">
        <v>45</v>
      </c>
      <c r="H27" s="22"/>
      <c r="I27" s="27" t="s">
        <v>615</v>
      </c>
      <c r="J27" s="55" t="str">
        <f t="shared" si="1"/>
        <v>https://permalinkbnd.bnportugal.gov.pt/viewer/274090/?offset=#page=7&amp;viewer=picture&amp;o=info&amp;n=0&amp;q=</v>
      </c>
      <c r="K27" s="45"/>
      <c r="L27" s="45"/>
      <c r="M27" s="45"/>
      <c r="N27" t="s">
        <v>44</v>
      </c>
      <c r="O27">
        <v>274090</v>
      </c>
      <c r="P27" t="str">
        <f t="shared" si="2"/>
        <v>https://permalinkbnd.bnportugal.gov.pt/viewer/274090/?offset=#page=7&amp;viewer=picture&amp;o=info&amp;n=0&amp;q=</v>
      </c>
      <c r="Q27">
        <v>397822</v>
      </c>
      <c r="R27" t="s">
        <v>44</v>
      </c>
      <c r="S27" t="s">
        <v>1337</v>
      </c>
      <c r="T27" t="s">
        <v>1178</v>
      </c>
      <c r="U27" t="s">
        <v>1192</v>
      </c>
      <c r="V27" t="s">
        <v>599</v>
      </c>
      <c r="W27" t="s">
        <v>1193</v>
      </c>
      <c r="X27" t="s">
        <v>599</v>
      </c>
      <c r="Y27" t="s">
        <v>599</v>
      </c>
      <c r="Z27" t="s">
        <v>1338</v>
      </c>
      <c r="AA27" t="s">
        <v>1339</v>
      </c>
      <c r="AB27">
        <v>1898</v>
      </c>
      <c r="AC27">
        <v>1898</v>
      </c>
      <c r="AD27" t="s">
        <v>1340</v>
      </c>
      <c r="AE27" t="s">
        <v>1185</v>
      </c>
      <c r="AF27" t="s">
        <v>599</v>
      </c>
      <c r="AG27" t="s">
        <v>599</v>
      </c>
      <c r="AH27" t="s">
        <v>599</v>
      </c>
      <c r="AI27" t="s">
        <v>599</v>
      </c>
      <c r="AJ27" t="s">
        <v>599</v>
      </c>
      <c r="AK27" t="s">
        <v>1341</v>
      </c>
      <c r="AL27" t="s">
        <v>1188</v>
      </c>
      <c r="AM27" t="s">
        <v>1342</v>
      </c>
      <c r="AN27" t="s">
        <v>1190</v>
      </c>
      <c r="AO27" t="s">
        <v>599</v>
      </c>
      <c r="AP27" t="s">
        <v>599</v>
      </c>
      <c r="AQ27" t="s">
        <v>599</v>
      </c>
      <c r="AR27" t="s">
        <v>599</v>
      </c>
      <c r="AS27" t="s">
        <v>599</v>
      </c>
      <c r="AT27" t="s">
        <v>599</v>
      </c>
      <c r="AU27" t="s">
        <v>599</v>
      </c>
    </row>
    <row r="28" spans="1:47" s="26" customFormat="1" ht="30" x14ac:dyDescent="0.25">
      <c r="A28" s="22">
        <v>10030</v>
      </c>
      <c r="B28" s="23">
        <v>397852</v>
      </c>
      <c r="C28" s="23">
        <v>1</v>
      </c>
      <c r="D28" s="27">
        <v>14</v>
      </c>
      <c r="E28" s="24" t="s">
        <v>46</v>
      </c>
      <c r="F28" s="24" t="str">
        <f t="shared" si="0"/>
        <v>https://purl.pt/43811</v>
      </c>
      <c r="G28" s="25" t="s">
        <v>47</v>
      </c>
      <c r="H28" s="22"/>
      <c r="I28" s="27" t="s">
        <v>623</v>
      </c>
      <c r="J28" s="55" t="str">
        <f t="shared" si="1"/>
        <v>https://permalinkbnd.bnportugal.gov.pt/viewer/274172/?offset=#page=14&amp;viewer=picture&amp;o=info&amp;n=0&amp;q=</v>
      </c>
      <c r="K28" s="45"/>
      <c r="L28" s="45"/>
      <c r="M28" s="45"/>
      <c r="N28" t="s">
        <v>46</v>
      </c>
      <c r="O28">
        <v>274172</v>
      </c>
      <c r="P28" t="str">
        <f t="shared" si="2"/>
        <v>https://permalinkbnd.bnportugal.gov.pt/viewer/274172/?offset=#page=14&amp;viewer=picture&amp;o=info&amp;n=0&amp;q=</v>
      </c>
      <c r="Q28">
        <v>397852</v>
      </c>
      <c r="R28" t="s">
        <v>46</v>
      </c>
      <c r="S28" t="s">
        <v>1343</v>
      </c>
      <c r="T28" t="s">
        <v>1178</v>
      </c>
      <c r="U28" t="s">
        <v>1344</v>
      </c>
      <c r="V28" t="s">
        <v>599</v>
      </c>
      <c r="W28" t="s">
        <v>1345</v>
      </c>
      <c r="X28" t="s">
        <v>1346</v>
      </c>
      <c r="Y28" t="s">
        <v>599</v>
      </c>
      <c r="Z28" t="s">
        <v>1347</v>
      </c>
      <c r="AA28" t="s">
        <v>1221</v>
      </c>
      <c r="AB28">
        <v>1887</v>
      </c>
      <c r="AC28">
        <v>1887</v>
      </c>
      <c r="AD28" t="s">
        <v>1348</v>
      </c>
      <c r="AE28" t="s">
        <v>1185</v>
      </c>
      <c r="AF28" t="s">
        <v>599</v>
      </c>
      <c r="AG28" t="s">
        <v>599</v>
      </c>
      <c r="AH28" t="s">
        <v>1349</v>
      </c>
      <c r="AI28" t="s">
        <v>599</v>
      </c>
      <c r="AJ28" t="s">
        <v>599</v>
      </c>
      <c r="AK28" t="s">
        <v>1350</v>
      </c>
      <c r="AL28" t="s">
        <v>1188</v>
      </c>
      <c r="AM28" t="s">
        <v>1351</v>
      </c>
      <c r="AN28" t="s">
        <v>1190</v>
      </c>
      <c r="AO28" t="s">
        <v>1352</v>
      </c>
      <c r="AP28" t="s">
        <v>599</v>
      </c>
      <c r="AQ28" t="s">
        <v>599</v>
      </c>
      <c r="AR28" t="s">
        <v>599</v>
      </c>
      <c r="AS28" t="s">
        <v>599</v>
      </c>
      <c r="AT28" t="s">
        <v>599</v>
      </c>
      <c r="AU28" t="s">
        <v>599</v>
      </c>
    </row>
    <row r="29" spans="1:47" s="26" customFormat="1" ht="30" x14ac:dyDescent="0.25">
      <c r="A29" s="22">
        <v>10031</v>
      </c>
      <c r="B29" s="23">
        <v>397863</v>
      </c>
      <c r="C29" s="23">
        <v>1</v>
      </c>
      <c r="D29" s="27">
        <v>11</v>
      </c>
      <c r="E29" s="24" t="s">
        <v>48</v>
      </c>
      <c r="F29" s="24" t="str">
        <f t="shared" si="0"/>
        <v>https://purl.pt/43931</v>
      </c>
      <c r="G29" s="25" t="s">
        <v>49</v>
      </c>
      <c r="H29" s="22"/>
      <c r="I29" s="27" t="s">
        <v>624</v>
      </c>
      <c r="J29" s="55" t="str">
        <f t="shared" si="1"/>
        <v>https://permalinkbnd.bnportugal.gov.pt/viewer/273148/?offset=#page=11&amp;viewer=picture&amp;o=info&amp;n=0&amp;q=</v>
      </c>
      <c r="K29" s="45"/>
      <c r="L29" s="45"/>
      <c r="M29" s="45"/>
      <c r="N29" t="s">
        <v>48</v>
      </c>
      <c r="O29">
        <v>273148</v>
      </c>
      <c r="P29" t="str">
        <f t="shared" si="2"/>
        <v>https://permalinkbnd.bnportugal.gov.pt/viewer/273148/?offset=#page=11&amp;viewer=picture&amp;o=info&amp;n=0&amp;q=</v>
      </c>
      <c r="Q29">
        <v>397863</v>
      </c>
      <c r="R29" t="s">
        <v>48</v>
      </c>
      <c r="S29" t="s">
        <v>1353</v>
      </c>
      <c r="T29" t="s">
        <v>1178</v>
      </c>
      <c r="U29" t="s">
        <v>1192</v>
      </c>
      <c r="V29" t="s">
        <v>599</v>
      </c>
      <c r="W29" t="s">
        <v>1354</v>
      </c>
      <c r="X29" t="s">
        <v>599</v>
      </c>
      <c r="Y29" t="s">
        <v>599</v>
      </c>
      <c r="Z29" t="s">
        <v>1355</v>
      </c>
      <c r="AA29" t="s">
        <v>1356</v>
      </c>
      <c r="AB29">
        <v>1884</v>
      </c>
      <c r="AC29">
        <v>1884</v>
      </c>
      <c r="AD29" t="s">
        <v>1357</v>
      </c>
      <c r="AE29" t="s">
        <v>1185</v>
      </c>
      <c r="AF29" t="s">
        <v>599</v>
      </c>
      <c r="AG29" t="s">
        <v>599</v>
      </c>
      <c r="AH29" t="s">
        <v>1358</v>
      </c>
      <c r="AI29" t="s">
        <v>599</v>
      </c>
      <c r="AJ29" t="s">
        <v>599</v>
      </c>
      <c r="AK29" t="s">
        <v>1359</v>
      </c>
      <c r="AL29" t="s">
        <v>1188</v>
      </c>
      <c r="AM29" t="s">
        <v>1360</v>
      </c>
      <c r="AN29" t="s">
        <v>1190</v>
      </c>
      <c r="AO29" t="s">
        <v>599</v>
      </c>
      <c r="AP29" t="s">
        <v>599</v>
      </c>
      <c r="AQ29" t="s">
        <v>599</v>
      </c>
      <c r="AR29" t="s">
        <v>599</v>
      </c>
      <c r="AS29" t="s">
        <v>599</v>
      </c>
      <c r="AT29" t="s">
        <v>599</v>
      </c>
      <c r="AU29" t="s">
        <v>599</v>
      </c>
    </row>
    <row r="30" spans="1:47" s="26" customFormat="1" ht="30" x14ac:dyDescent="0.25">
      <c r="A30" s="22">
        <v>10033</v>
      </c>
      <c r="B30" s="23">
        <v>397876</v>
      </c>
      <c r="C30" s="23">
        <v>1</v>
      </c>
      <c r="D30" s="27">
        <v>9</v>
      </c>
      <c r="E30" s="24" t="s">
        <v>50</v>
      </c>
      <c r="F30" s="24" t="str">
        <f t="shared" si="0"/>
        <v>https://purl.pt/43825</v>
      </c>
      <c r="G30" s="25">
        <v>9</v>
      </c>
      <c r="H30" s="22"/>
      <c r="I30" s="27" t="s">
        <v>622</v>
      </c>
      <c r="J30" s="55" t="str">
        <f t="shared" si="1"/>
        <v>https://permalinkbnd.bnportugal.gov.pt/viewer/274230/?offset=#page=9&amp;viewer=picture&amp;o=info&amp;n=0&amp;q=</v>
      </c>
      <c r="K30" s="45"/>
      <c r="L30" s="45"/>
      <c r="M30" s="45"/>
      <c r="N30" t="s">
        <v>50</v>
      </c>
      <c r="O30">
        <v>274230</v>
      </c>
      <c r="P30" t="str">
        <f t="shared" si="2"/>
        <v>https://permalinkbnd.bnportugal.gov.pt/viewer/274230/?offset=#page=9&amp;viewer=picture&amp;o=info&amp;n=0&amp;q=</v>
      </c>
      <c r="Q30">
        <v>397876</v>
      </c>
      <c r="R30" t="s">
        <v>50</v>
      </c>
      <c r="S30" t="s">
        <v>1361</v>
      </c>
      <c r="T30" t="s">
        <v>1178</v>
      </c>
      <c r="U30" t="s">
        <v>1362</v>
      </c>
      <c r="V30" t="s">
        <v>1192</v>
      </c>
      <c r="W30" t="s">
        <v>1363</v>
      </c>
      <c r="X30" t="s">
        <v>599</v>
      </c>
      <c r="Y30" t="s">
        <v>599</v>
      </c>
      <c r="Z30" t="s">
        <v>1182</v>
      </c>
      <c r="AA30" t="s">
        <v>1364</v>
      </c>
      <c r="AB30">
        <v>1879</v>
      </c>
      <c r="AC30">
        <v>1879</v>
      </c>
      <c r="AD30" t="s">
        <v>1365</v>
      </c>
      <c r="AE30" t="s">
        <v>1185</v>
      </c>
      <c r="AF30" t="s">
        <v>599</v>
      </c>
      <c r="AG30" t="s">
        <v>599</v>
      </c>
      <c r="AH30" t="s">
        <v>1366</v>
      </c>
      <c r="AI30" t="s">
        <v>599</v>
      </c>
      <c r="AJ30" t="s">
        <v>599</v>
      </c>
      <c r="AK30" t="s">
        <v>1367</v>
      </c>
      <c r="AL30" t="s">
        <v>1188</v>
      </c>
      <c r="AM30" t="s">
        <v>1368</v>
      </c>
      <c r="AN30" t="s">
        <v>1190</v>
      </c>
      <c r="AO30" t="s">
        <v>599</v>
      </c>
      <c r="AP30" t="s">
        <v>599</v>
      </c>
      <c r="AQ30" t="s">
        <v>599</v>
      </c>
      <c r="AR30" t="s">
        <v>599</v>
      </c>
      <c r="AS30" t="s">
        <v>599</v>
      </c>
      <c r="AT30" t="s">
        <v>599</v>
      </c>
      <c r="AU30" t="s">
        <v>599</v>
      </c>
    </row>
    <row r="31" spans="1:47" s="13" customFormat="1" ht="30" x14ac:dyDescent="0.25">
      <c r="A31" s="9">
        <v>10034</v>
      </c>
      <c r="B31" s="10">
        <v>397877</v>
      </c>
      <c r="C31" s="10">
        <v>1</v>
      </c>
      <c r="D31" s="9">
        <v>9</v>
      </c>
      <c r="E31" s="11" t="s">
        <v>51</v>
      </c>
      <c r="F31" s="11" t="str">
        <f t="shared" si="0"/>
        <v>https://purl.pt/43875</v>
      </c>
      <c r="G31" s="12" t="s">
        <v>52</v>
      </c>
      <c r="H31" s="9">
        <v>9</v>
      </c>
      <c r="I31" s="34"/>
      <c r="J31" s="55" t="str">
        <f t="shared" si="1"/>
        <v>https://permalinkbnd.bnportugal.gov.pt/viewer/1576/?offset=#page=9&amp;viewer=picture&amp;o=info&amp;n=0&amp;q=</v>
      </c>
      <c r="K31" s="45"/>
      <c r="L31" s="45"/>
      <c r="M31" s="45"/>
      <c r="N31" t="s">
        <v>51</v>
      </c>
      <c r="O31">
        <v>1576</v>
      </c>
      <c r="P31" t="str">
        <f t="shared" si="2"/>
        <v>https://permalinkbnd.bnportugal.gov.pt/viewer/1576/?offset=#page=9&amp;viewer=picture&amp;o=info&amp;n=0&amp;q=</v>
      </c>
      <c r="Q31">
        <v>397877</v>
      </c>
      <c r="R31" t="s">
        <v>51</v>
      </c>
      <c r="S31" t="s">
        <v>1369</v>
      </c>
      <c r="T31" t="s">
        <v>1178</v>
      </c>
      <c r="U31" t="s">
        <v>1192</v>
      </c>
      <c r="V31" t="s">
        <v>599</v>
      </c>
      <c r="W31" t="s">
        <v>1370</v>
      </c>
      <c r="X31" t="s">
        <v>599</v>
      </c>
      <c r="Y31" t="s">
        <v>599</v>
      </c>
      <c r="Z31" t="s">
        <v>1182</v>
      </c>
      <c r="AA31" t="s">
        <v>1371</v>
      </c>
      <c r="AB31">
        <v>1894</v>
      </c>
      <c r="AC31">
        <v>1894</v>
      </c>
      <c r="AD31" t="s">
        <v>1372</v>
      </c>
      <c r="AE31" t="s">
        <v>1185</v>
      </c>
      <c r="AF31" t="s">
        <v>599</v>
      </c>
      <c r="AG31" t="s">
        <v>599</v>
      </c>
      <c r="AH31" t="s">
        <v>1373</v>
      </c>
      <c r="AI31" t="s">
        <v>599</v>
      </c>
      <c r="AJ31" t="s">
        <v>599</v>
      </c>
      <c r="AK31" t="s">
        <v>1374</v>
      </c>
      <c r="AL31" t="s">
        <v>1188</v>
      </c>
      <c r="AM31" t="s">
        <v>1375</v>
      </c>
      <c r="AN31" t="s">
        <v>1190</v>
      </c>
      <c r="AO31" t="s">
        <v>599</v>
      </c>
      <c r="AP31" t="s">
        <v>599</v>
      </c>
      <c r="AQ31" t="s">
        <v>599</v>
      </c>
      <c r="AR31" t="s">
        <v>599</v>
      </c>
      <c r="AS31" t="s">
        <v>599</v>
      </c>
      <c r="AT31" t="s">
        <v>599</v>
      </c>
      <c r="AU31" t="s">
        <v>599</v>
      </c>
    </row>
    <row r="32" spans="1:47" s="13" customFormat="1" ht="30" x14ac:dyDescent="0.25">
      <c r="A32" s="9">
        <v>10035</v>
      </c>
      <c r="B32" s="10">
        <v>401648</v>
      </c>
      <c r="C32" s="10">
        <v>1</v>
      </c>
      <c r="D32" s="9">
        <v>3</v>
      </c>
      <c r="E32" s="11" t="s">
        <v>53</v>
      </c>
      <c r="F32" s="11" t="str">
        <f t="shared" si="0"/>
        <v>https://purl.pt/43662</v>
      </c>
      <c r="G32" s="12" t="s">
        <v>54</v>
      </c>
      <c r="H32" s="9">
        <v>3</v>
      </c>
      <c r="I32" s="34"/>
      <c r="J32" s="55" t="str">
        <f t="shared" si="1"/>
        <v>https://permalinkbnd.bnportugal.gov.pt/viewer/273125/?offset=#page=3&amp;viewer=picture&amp;o=info&amp;n=0&amp;q=</v>
      </c>
      <c r="K32" s="45"/>
      <c r="L32" s="45"/>
      <c r="M32" s="45"/>
      <c r="N32" t="s">
        <v>53</v>
      </c>
      <c r="O32">
        <v>273125</v>
      </c>
      <c r="P32" t="str">
        <f t="shared" si="2"/>
        <v>https://permalinkbnd.bnportugal.gov.pt/viewer/273125/?offset=#page=3&amp;viewer=picture&amp;o=info&amp;n=0&amp;q=</v>
      </c>
      <c r="Q32">
        <v>401648</v>
      </c>
      <c r="R32" t="s">
        <v>53</v>
      </c>
      <c r="S32" t="s">
        <v>1376</v>
      </c>
      <c r="T32" t="s">
        <v>1226</v>
      </c>
      <c r="U32" t="s">
        <v>1192</v>
      </c>
      <c r="V32" t="s">
        <v>599</v>
      </c>
      <c r="W32" t="s">
        <v>1377</v>
      </c>
      <c r="X32" t="s">
        <v>1378</v>
      </c>
      <c r="Y32" t="s">
        <v>599</v>
      </c>
      <c r="Z32" t="s">
        <v>1182</v>
      </c>
      <c r="AA32" t="s">
        <v>1379</v>
      </c>
      <c r="AB32">
        <v>1881</v>
      </c>
      <c r="AC32">
        <v>1881</v>
      </c>
      <c r="AD32" t="s">
        <v>599</v>
      </c>
      <c r="AE32" t="s">
        <v>599</v>
      </c>
      <c r="AF32" t="s">
        <v>599</v>
      </c>
      <c r="AG32" t="s">
        <v>599</v>
      </c>
      <c r="AH32" t="s">
        <v>599</v>
      </c>
      <c r="AI32" t="s">
        <v>599</v>
      </c>
      <c r="AJ32" t="s">
        <v>599</v>
      </c>
      <c r="AK32" t="s">
        <v>1380</v>
      </c>
      <c r="AL32" t="s">
        <v>1188</v>
      </c>
      <c r="AM32" t="s">
        <v>1381</v>
      </c>
      <c r="AN32" t="s">
        <v>1190</v>
      </c>
      <c r="AO32" t="s">
        <v>599</v>
      </c>
      <c r="AP32" t="s">
        <v>599</v>
      </c>
      <c r="AQ32" t="s">
        <v>599</v>
      </c>
      <c r="AR32" t="s">
        <v>599</v>
      </c>
      <c r="AS32" t="s">
        <v>1382</v>
      </c>
      <c r="AT32" t="s">
        <v>599</v>
      </c>
      <c r="AU32" t="s">
        <v>599</v>
      </c>
    </row>
    <row r="33" spans="1:47" s="13" customFormat="1" ht="30" x14ac:dyDescent="0.25">
      <c r="A33" s="9">
        <v>10038</v>
      </c>
      <c r="B33" s="10">
        <v>401658</v>
      </c>
      <c r="C33" s="10">
        <v>1</v>
      </c>
      <c r="D33" s="9">
        <v>1</v>
      </c>
      <c r="E33" s="11" t="s">
        <v>55</v>
      </c>
      <c r="F33" s="11" t="str">
        <f t="shared" si="0"/>
        <v>https://purl.pt/43862</v>
      </c>
      <c r="G33" s="12">
        <v>1</v>
      </c>
      <c r="H33" s="9">
        <v>1</v>
      </c>
      <c r="I33" s="34"/>
      <c r="J33" s="55" t="str">
        <f t="shared" si="1"/>
        <v>https://permalinkbnd.bnportugal.gov.pt/viewer/3/?offset=#page=1&amp;viewer=picture&amp;o=info&amp;n=0&amp;q=</v>
      </c>
      <c r="K33" s="45"/>
      <c r="L33" s="45"/>
      <c r="M33" s="45"/>
      <c r="N33" t="s">
        <v>55</v>
      </c>
      <c r="O33">
        <v>3</v>
      </c>
      <c r="P33" t="str">
        <f t="shared" si="2"/>
        <v>https://permalinkbnd.bnportugal.gov.pt/viewer/3/?offset=#page=1&amp;viewer=picture&amp;o=info&amp;n=0&amp;q=</v>
      </c>
      <c r="Q33">
        <v>401658</v>
      </c>
      <c r="R33" t="s">
        <v>55</v>
      </c>
      <c r="S33" t="s">
        <v>1383</v>
      </c>
      <c r="T33" t="s">
        <v>1178</v>
      </c>
      <c r="U33" t="s">
        <v>1192</v>
      </c>
      <c r="V33" t="s">
        <v>599</v>
      </c>
      <c r="W33" t="s">
        <v>1384</v>
      </c>
      <c r="X33" t="s">
        <v>599</v>
      </c>
      <c r="Y33" t="s">
        <v>599</v>
      </c>
      <c r="Z33" t="s">
        <v>1182</v>
      </c>
      <c r="AA33" t="s">
        <v>1385</v>
      </c>
      <c r="AB33">
        <v>1880</v>
      </c>
      <c r="AC33">
        <v>1880</v>
      </c>
      <c r="AD33" t="s">
        <v>599</v>
      </c>
      <c r="AE33" t="s">
        <v>599</v>
      </c>
      <c r="AF33" t="s">
        <v>599</v>
      </c>
      <c r="AG33" t="s">
        <v>599</v>
      </c>
      <c r="AH33" t="s">
        <v>599</v>
      </c>
      <c r="AI33" t="s">
        <v>599</v>
      </c>
      <c r="AJ33" t="s">
        <v>599</v>
      </c>
      <c r="AK33" t="s">
        <v>1386</v>
      </c>
      <c r="AL33" t="s">
        <v>1188</v>
      </c>
      <c r="AM33" t="s">
        <v>1387</v>
      </c>
      <c r="AN33" t="s">
        <v>1190</v>
      </c>
      <c r="AO33" t="s">
        <v>599</v>
      </c>
      <c r="AP33" t="s">
        <v>599</v>
      </c>
      <c r="AQ33" t="s">
        <v>599</v>
      </c>
      <c r="AR33" t="s">
        <v>599</v>
      </c>
      <c r="AS33" t="s">
        <v>599</v>
      </c>
      <c r="AT33" t="s">
        <v>599</v>
      </c>
      <c r="AU33" t="s">
        <v>599</v>
      </c>
    </row>
    <row r="34" spans="1:47" s="13" customFormat="1" ht="30" x14ac:dyDescent="0.25">
      <c r="A34" s="9">
        <v>10040</v>
      </c>
      <c r="B34" s="10">
        <v>401739</v>
      </c>
      <c r="C34" s="10">
        <v>1</v>
      </c>
      <c r="D34" s="9">
        <v>1</v>
      </c>
      <c r="E34" s="11" t="s">
        <v>56</v>
      </c>
      <c r="F34" s="11" t="str">
        <f t="shared" si="0"/>
        <v>https://purl.pt/43865</v>
      </c>
      <c r="G34" s="12">
        <v>1</v>
      </c>
      <c r="H34" s="9">
        <v>1</v>
      </c>
      <c r="I34" s="34"/>
      <c r="J34" s="55" t="str">
        <f t="shared" si="1"/>
        <v>https://permalinkbnd.bnportugal.gov.pt/viewer/274260/?offset=#page=1&amp;viewer=picture&amp;o=info&amp;n=0&amp;q=</v>
      </c>
      <c r="K34" s="45"/>
      <c r="L34" s="45"/>
      <c r="M34" s="45"/>
      <c r="N34" t="s">
        <v>56</v>
      </c>
      <c r="O34">
        <v>274260</v>
      </c>
      <c r="P34" t="str">
        <f t="shared" si="2"/>
        <v>https://permalinkbnd.bnportugal.gov.pt/viewer/274260/?offset=#page=1&amp;viewer=picture&amp;o=info&amp;n=0&amp;q=</v>
      </c>
      <c r="Q34">
        <v>401739</v>
      </c>
      <c r="R34" t="s">
        <v>56</v>
      </c>
      <c r="S34" t="s">
        <v>1388</v>
      </c>
      <c r="T34" t="s">
        <v>1178</v>
      </c>
      <c r="U34" t="s">
        <v>1192</v>
      </c>
      <c r="V34" t="s">
        <v>599</v>
      </c>
      <c r="W34" t="s">
        <v>1389</v>
      </c>
      <c r="X34" t="s">
        <v>599</v>
      </c>
      <c r="Y34" t="s">
        <v>599</v>
      </c>
      <c r="Z34" t="s">
        <v>1182</v>
      </c>
      <c r="AA34" t="s">
        <v>1390</v>
      </c>
      <c r="AB34">
        <v>1880</v>
      </c>
      <c r="AC34">
        <v>1880</v>
      </c>
      <c r="AD34" t="s">
        <v>1391</v>
      </c>
      <c r="AE34" t="s">
        <v>599</v>
      </c>
      <c r="AF34" t="s">
        <v>599</v>
      </c>
      <c r="AG34" t="s">
        <v>599</v>
      </c>
      <c r="AH34" t="s">
        <v>599</v>
      </c>
      <c r="AI34" t="s">
        <v>599</v>
      </c>
      <c r="AJ34" t="s">
        <v>599</v>
      </c>
      <c r="AK34" t="s">
        <v>1392</v>
      </c>
      <c r="AL34" t="s">
        <v>1188</v>
      </c>
      <c r="AM34" t="s">
        <v>1393</v>
      </c>
      <c r="AN34" t="s">
        <v>1190</v>
      </c>
      <c r="AO34" t="s">
        <v>599</v>
      </c>
      <c r="AP34" t="s">
        <v>599</v>
      </c>
      <c r="AQ34" t="s">
        <v>599</v>
      </c>
      <c r="AR34" t="s">
        <v>599</v>
      </c>
      <c r="AS34" t="s">
        <v>599</v>
      </c>
      <c r="AT34" t="s">
        <v>599</v>
      </c>
      <c r="AU34" t="s">
        <v>599</v>
      </c>
    </row>
    <row r="35" spans="1:47" s="13" customFormat="1" ht="30" x14ac:dyDescent="0.25">
      <c r="A35" s="9">
        <v>10048</v>
      </c>
      <c r="B35" s="10">
        <v>402086</v>
      </c>
      <c r="C35" s="10">
        <v>1</v>
      </c>
      <c r="D35" s="9">
        <v>16</v>
      </c>
      <c r="E35" s="11" t="s">
        <v>57</v>
      </c>
      <c r="F35" s="11" t="str">
        <f t="shared" si="0"/>
        <v>https://purl.pt/43891</v>
      </c>
      <c r="G35" s="12" t="s">
        <v>58</v>
      </c>
      <c r="H35" s="9" t="s">
        <v>59</v>
      </c>
      <c r="I35" s="34"/>
      <c r="J35" s="55" t="str">
        <f t="shared" si="1"/>
        <v>https://permalinkbnd.bnportugal.gov.pt/viewer/274280/?offset=#page=16&amp;viewer=picture&amp;o=info&amp;n=0&amp;q=</v>
      </c>
      <c r="K35" s="45"/>
      <c r="L35" s="45"/>
      <c r="M35" s="45"/>
      <c r="N35" t="s">
        <v>57</v>
      </c>
      <c r="O35">
        <v>274280</v>
      </c>
      <c r="P35" t="str">
        <f t="shared" si="2"/>
        <v>https://permalinkbnd.bnportugal.gov.pt/viewer/274280/?offset=#page=16&amp;viewer=picture&amp;o=info&amp;n=0&amp;q=</v>
      </c>
      <c r="Q35">
        <v>402086</v>
      </c>
      <c r="R35" t="s">
        <v>57</v>
      </c>
      <c r="S35" t="s">
        <v>1394</v>
      </c>
      <c r="T35" t="s">
        <v>1178</v>
      </c>
      <c r="U35" t="s">
        <v>1192</v>
      </c>
      <c r="V35" t="s">
        <v>599</v>
      </c>
      <c r="W35" t="s">
        <v>1395</v>
      </c>
      <c r="X35" t="s">
        <v>1396</v>
      </c>
      <c r="Y35" t="s">
        <v>599</v>
      </c>
      <c r="Z35" t="s">
        <v>1182</v>
      </c>
      <c r="AA35" t="s">
        <v>1221</v>
      </c>
      <c r="AB35">
        <v>1895</v>
      </c>
      <c r="AC35">
        <v>1895</v>
      </c>
      <c r="AD35" t="s">
        <v>1397</v>
      </c>
      <c r="AE35" t="s">
        <v>1398</v>
      </c>
      <c r="AF35" t="s">
        <v>599</v>
      </c>
      <c r="AG35" t="s">
        <v>599</v>
      </c>
      <c r="AH35" t="s">
        <v>1399</v>
      </c>
      <c r="AI35" t="s">
        <v>599</v>
      </c>
      <c r="AJ35" t="s">
        <v>599</v>
      </c>
      <c r="AK35" t="s">
        <v>1400</v>
      </c>
      <c r="AL35" t="s">
        <v>1188</v>
      </c>
      <c r="AM35" t="s">
        <v>1401</v>
      </c>
      <c r="AN35" t="s">
        <v>1190</v>
      </c>
      <c r="AO35" t="s">
        <v>599</v>
      </c>
      <c r="AP35" t="s">
        <v>599</v>
      </c>
      <c r="AQ35" t="s">
        <v>599</v>
      </c>
      <c r="AR35" t="s">
        <v>599</v>
      </c>
      <c r="AS35" t="s">
        <v>599</v>
      </c>
      <c r="AT35" t="s">
        <v>599</v>
      </c>
      <c r="AU35" t="s">
        <v>599</v>
      </c>
    </row>
    <row r="36" spans="1:47" s="13" customFormat="1" ht="30" x14ac:dyDescent="0.25">
      <c r="A36" s="9">
        <v>10049</v>
      </c>
      <c r="B36" s="10">
        <v>402086</v>
      </c>
      <c r="C36" s="10">
        <v>1</v>
      </c>
      <c r="D36" s="9">
        <v>22</v>
      </c>
      <c r="E36" s="11" t="s">
        <v>57</v>
      </c>
      <c r="F36" s="11" t="str">
        <f t="shared" si="0"/>
        <v>https://purl.pt/43891</v>
      </c>
      <c r="G36" s="12" t="s">
        <v>58</v>
      </c>
      <c r="H36" s="9" t="s">
        <v>59</v>
      </c>
      <c r="I36" s="34"/>
      <c r="J36" s="55" t="str">
        <f t="shared" si="1"/>
        <v>https://permalinkbnd.bnportugal.gov.pt/viewer/274280/?offset=#page=22&amp;viewer=picture&amp;o=info&amp;n=0&amp;q=</v>
      </c>
      <c r="K36" s="45"/>
      <c r="L36" s="45"/>
      <c r="M36" s="45"/>
      <c r="N36" t="s">
        <v>57</v>
      </c>
      <c r="O36">
        <v>274280</v>
      </c>
      <c r="P36" t="str">
        <f t="shared" si="2"/>
        <v>https://permalinkbnd.bnportugal.gov.pt/viewer/274280/?offset=#page=22&amp;viewer=picture&amp;o=info&amp;n=0&amp;q=</v>
      </c>
      <c r="Q36">
        <v>402086</v>
      </c>
      <c r="R36" t="s">
        <v>57</v>
      </c>
      <c r="S36" t="s">
        <v>1394</v>
      </c>
      <c r="T36" t="s">
        <v>1178</v>
      </c>
      <c r="U36" t="s">
        <v>1192</v>
      </c>
      <c r="V36" t="s">
        <v>599</v>
      </c>
      <c r="W36" t="s">
        <v>1395</v>
      </c>
      <c r="X36" t="s">
        <v>1396</v>
      </c>
      <c r="Y36" t="s">
        <v>599</v>
      </c>
      <c r="Z36" t="s">
        <v>1182</v>
      </c>
      <c r="AA36" t="s">
        <v>1221</v>
      </c>
      <c r="AB36">
        <v>1895</v>
      </c>
      <c r="AC36">
        <v>1895</v>
      </c>
      <c r="AD36" t="s">
        <v>1397</v>
      </c>
      <c r="AE36" t="s">
        <v>1398</v>
      </c>
      <c r="AF36" t="s">
        <v>599</v>
      </c>
      <c r="AG36" t="s">
        <v>599</v>
      </c>
      <c r="AH36" t="s">
        <v>1399</v>
      </c>
      <c r="AI36" t="s">
        <v>599</v>
      </c>
      <c r="AJ36" t="s">
        <v>599</v>
      </c>
      <c r="AK36" t="s">
        <v>1400</v>
      </c>
      <c r="AL36" t="s">
        <v>1188</v>
      </c>
      <c r="AM36" t="s">
        <v>1401</v>
      </c>
      <c r="AN36" t="s">
        <v>1190</v>
      </c>
      <c r="AO36" t="s">
        <v>599</v>
      </c>
      <c r="AP36" t="s">
        <v>599</v>
      </c>
      <c r="AQ36" t="s">
        <v>599</v>
      </c>
      <c r="AR36" t="s">
        <v>599</v>
      </c>
      <c r="AS36" t="s">
        <v>599</v>
      </c>
      <c r="AT36" t="s">
        <v>599</v>
      </c>
      <c r="AU36" t="s">
        <v>599</v>
      </c>
    </row>
    <row r="37" spans="1:47" s="26" customFormat="1" ht="30" x14ac:dyDescent="0.25">
      <c r="A37" s="22">
        <v>10050</v>
      </c>
      <c r="B37" s="23">
        <v>402917</v>
      </c>
      <c r="C37" s="23">
        <v>1</v>
      </c>
      <c r="D37" s="27">
        <v>9</v>
      </c>
      <c r="E37" s="24" t="s">
        <v>60</v>
      </c>
      <c r="F37" s="24" t="str">
        <f t="shared" si="0"/>
        <v>https://purl.pt/43923</v>
      </c>
      <c r="G37" s="25">
        <v>9</v>
      </c>
      <c r="H37" s="22"/>
      <c r="I37" s="27" t="s">
        <v>622</v>
      </c>
      <c r="J37" s="55" t="str">
        <f t="shared" si="1"/>
        <v>https://permalinkbnd.bnportugal.gov.pt/viewer/273560/?offset=#page=9&amp;viewer=picture&amp;o=info&amp;n=0&amp;q=</v>
      </c>
      <c r="K37" s="45"/>
      <c r="L37" s="45"/>
      <c r="M37" s="45"/>
      <c r="N37" t="s">
        <v>60</v>
      </c>
      <c r="O37">
        <v>273560</v>
      </c>
      <c r="P37" t="str">
        <f t="shared" si="2"/>
        <v>https://permalinkbnd.bnportugal.gov.pt/viewer/273560/?offset=#page=9&amp;viewer=picture&amp;o=info&amp;n=0&amp;q=</v>
      </c>
      <c r="Q37">
        <v>402917</v>
      </c>
      <c r="R37" t="s">
        <v>60</v>
      </c>
      <c r="S37" t="s">
        <v>1402</v>
      </c>
      <c r="T37" t="s">
        <v>1178</v>
      </c>
      <c r="U37" t="s">
        <v>1192</v>
      </c>
      <c r="V37" t="s">
        <v>1403</v>
      </c>
      <c r="W37" t="s">
        <v>1404</v>
      </c>
      <c r="X37" t="s">
        <v>1405</v>
      </c>
      <c r="Y37" t="s">
        <v>599</v>
      </c>
      <c r="Z37" t="s">
        <v>1182</v>
      </c>
      <c r="AA37" t="s">
        <v>1406</v>
      </c>
      <c r="AB37">
        <v>1891</v>
      </c>
      <c r="AC37">
        <v>1891</v>
      </c>
      <c r="AD37" t="s">
        <v>1407</v>
      </c>
      <c r="AE37" t="s">
        <v>1408</v>
      </c>
      <c r="AF37" t="s">
        <v>599</v>
      </c>
      <c r="AG37" t="s">
        <v>599</v>
      </c>
      <c r="AH37" t="s">
        <v>1250</v>
      </c>
      <c r="AI37" t="s">
        <v>599</v>
      </c>
      <c r="AJ37" t="s">
        <v>599</v>
      </c>
      <c r="AK37" t="s">
        <v>1409</v>
      </c>
      <c r="AL37" t="s">
        <v>1188</v>
      </c>
      <c r="AM37" t="s">
        <v>1410</v>
      </c>
      <c r="AN37" t="s">
        <v>1190</v>
      </c>
      <c r="AO37" t="s">
        <v>599</v>
      </c>
      <c r="AP37" t="s">
        <v>599</v>
      </c>
      <c r="AQ37" t="s">
        <v>599</v>
      </c>
      <c r="AR37" t="s">
        <v>599</v>
      </c>
      <c r="AS37" t="s">
        <v>599</v>
      </c>
      <c r="AT37" t="s">
        <v>599</v>
      </c>
      <c r="AU37" t="s">
        <v>599</v>
      </c>
    </row>
    <row r="38" spans="1:47" s="26" customFormat="1" ht="30" x14ac:dyDescent="0.25">
      <c r="A38" s="22">
        <v>10054</v>
      </c>
      <c r="B38" s="23">
        <v>404543</v>
      </c>
      <c r="C38" s="23">
        <v>1</v>
      </c>
      <c r="D38" s="27">
        <v>7</v>
      </c>
      <c r="E38" s="24" t="s">
        <v>61</v>
      </c>
      <c r="F38" s="24" t="str">
        <f t="shared" si="0"/>
        <v>https://purl.pt/43827</v>
      </c>
      <c r="G38" s="25">
        <v>7</v>
      </c>
      <c r="H38" s="22"/>
      <c r="I38" s="27" t="s">
        <v>615</v>
      </c>
      <c r="J38" s="55" t="str">
        <f t="shared" si="1"/>
        <v>https://permalinkbnd.bnportugal.gov.pt/viewer/273347/?offset=#page=7&amp;viewer=picture&amp;o=info&amp;n=0&amp;q=</v>
      </c>
      <c r="K38" s="45"/>
      <c r="L38" s="45"/>
      <c r="M38" s="45"/>
      <c r="N38" t="s">
        <v>61</v>
      </c>
      <c r="O38">
        <v>273347</v>
      </c>
      <c r="P38" t="str">
        <f t="shared" si="2"/>
        <v>https://permalinkbnd.bnportugal.gov.pt/viewer/273347/?offset=#page=7&amp;viewer=picture&amp;o=info&amp;n=0&amp;q=</v>
      </c>
      <c r="Q38">
        <v>404543</v>
      </c>
      <c r="R38" t="s">
        <v>61</v>
      </c>
      <c r="S38" t="s">
        <v>1411</v>
      </c>
      <c r="T38" t="s">
        <v>1178</v>
      </c>
      <c r="U38" t="s">
        <v>1192</v>
      </c>
      <c r="V38" t="s">
        <v>599</v>
      </c>
      <c r="W38" t="s">
        <v>1412</v>
      </c>
      <c r="X38" t="s">
        <v>1413</v>
      </c>
      <c r="Y38" t="s">
        <v>599</v>
      </c>
      <c r="Z38" t="s">
        <v>1182</v>
      </c>
      <c r="AA38" t="s">
        <v>1221</v>
      </c>
      <c r="AB38">
        <v>1889</v>
      </c>
      <c r="AC38">
        <v>1889</v>
      </c>
      <c r="AD38" t="s">
        <v>599</v>
      </c>
      <c r="AE38" t="s">
        <v>1185</v>
      </c>
      <c r="AF38" t="s">
        <v>599</v>
      </c>
      <c r="AG38" t="s">
        <v>599</v>
      </c>
      <c r="AH38" t="s">
        <v>599</v>
      </c>
      <c r="AI38" t="s">
        <v>599</v>
      </c>
      <c r="AJ38" t="s">
        <v>599</v>
      </c>
      <c r="AK38" t="s">
        <v>1414</v>
      </c>
      <c r="AL38" t="s">
        <v>1188</v>
      </c>
      <c r="AM38" t="s">
        <v>1415</v>
      </c>
      <c r="AN38" t="s">
        <v>1190</v>
      </c>
      <c r="AO38" t="s">
        <v>599</v>
      </c>
      <c r="AP38" t="s">
        <v>599</v>
      </c>
      <c r="AQ38" t="s">
        <v>599</v>
      </c>
      <c r="AR38" t="s">
        <v>599</v>
      </c>
      <c r="AS38" t="s">
        <v>599</v>
      </c>
      <c r="AT38" t="s">
        <v>599</v>
      </c>
      <c r="AU38" t="s">
        <v>599</v>
      </c>
    </row>
    <row r="39" spans="1:47" s="13" customFormat="1" ht="30" x14ac:dyDescent="0.25">
      <c r="A39" s="9">
        <v>10055</v>
      </c>
      <c r="B39" s="10">
        <v>404800</v>
      </c>
      <c r="C39" s="10">
        <v>1</v>
      </c>
      <c r="D39" s="9">
        <v>21</v>
      </c>
      <c r="E39" s="11" t="s">
        <v>62</v>
      </c>
      <c r="F39" s="11" t="str">
        <f t="shared" si="0"/>
        <v>https://purl.pt/43914</v>
      </c>
      <c r="G39" s="12" t="s">
        <v>63</v>
      </c>
      <c r="H39" s="9" t="s">
        <v>64</v>
      </c>
      <c r="I39" s="34"/>
      <c r="J39" s="55" t="str">
        <f t="shared" si="1"/>
        <v>https://permalinkbnd.bnportugal.gov.pt/viewer/274348/?offset=#page=21&amp;viewer=picture&amp;o=info&amp;n=0&amp;q=</v>
      </c>
      <c r="K39" s="45"/>
      <c r="L39" s="45"/>
      <c r="M39" s="45"/>
      <c r="N39" t="s">
        <v>62</v>
      </c>
      <c r="O39">
        <v>274348</v>
      </c>
      <c r="P39" t="str">
        <f t="shared" si="2"/>
        <v>https://permalinkbnd.bnportugal.gov.pt/viewer/274348/?offset=#page=21&amp;viewer=picture&amp;o=info&amp;n=0&amp;q=</v>
      </c>
      <c r="Q39">
        <v>404800</v>
      </c>
      <c r="R39" t="s">
        <v>62</v>
      </c>
      <c r="S39" t="s">
        <v>1416</v>
      </c>
      <c r="T39" t="s">
        <v>1178</v>
      </c>
      <c r="U39" t="s">
        <v>1192</v>
      </c>
      <c r="V39" t="s">
        <v>599</v>
      </c>
      <c r="W39" t="s">
        <v>1417</v>
      </c>
      <c r="X39" t="s">
        <v>1418</v>
      </c>
      <c r="Y39" t="s">
        <v>599</v>
      </c>
      <c r="Z39" t="s">
        <v>1182</v>
      </c>
      <c r="AA39" t="s">
        <v>1419</v>
      </c>
      <c r="AB39">
        <v>1898</v>
      </c>
      <c r="AC39">
        <v>1898</v>
      </c>
      <c r="AD39" t="s">
        <v>1420</v>
      </c>
      <c r="AE39" t="s">
        <v>599</v>
      </c>
      <c r="AF39" t="s">
        <v>599</v>
      </c>
      <c r="AG39" t="s">
        <v>599</v>
      </c>
      <c r="AH39" t="s">
        <v>599</v>
      </c>
      <c r="AI39" t="s">
        <v>599</v>
      </c>
      <c r="AJ39" t="s">
        <v>599</v>
      </c>
      <c r="AK39" t="s">
        <v>1421</v>
      </c>
      <c r="AL39" t="s">
        <v>1188</v>
      </c>
      <c r="AM39" t="s">
        <v>1422</v>
      </c>
      <c r="AN39" t="s">
        <v>1190</v>
      </c>
      <c r="AO39" t="s">
        <v>599</v>
      </c>
      <c r="AP39" t="s">
        <v>599</v>
      </c>
      <c r="AQ39" t="s">
        <v>599</v>
      </c>
      <c r="AR39" t="s">
        <v>599</v>
      </c>
      <c r="AS39" t="s">
        <v>599</v>
      </c>
      <c r="AT39" t="s">
        <v>599</v>
      </c>
      <c r="AU39" t="s">
        <v>599</v>
      </c>
    </row>
    <row r="40" spans="1:47" s="13" customFormat="1" ht="30" x14ac:dyDescent="0.25">
      <c r="A40" s="9">
        <v>10056</v>
      </c>
      <c r="B40" s="10">
        <v>404800</v>
      </c>
      <c r="C40" s="10">
        <v>1</v>
      </c>
      <c r="D40" s="9">
        <v>69</v>
      </c>
      <c r="E40" s="11" t="s">
        <v>62</v>
      </c>
      <c r="F40" s="11" t="str">
        <f t="shared" si="0"/>
        <v>https://purl.pt/43914</v>
      </c>
      <c r="G40" s="12" t="s">
        <v>63</v>
      </c>
      <c r="H40" s="9" t="s">
        <v>64</v>
      </c>
      <c r="I40" s="34"/>
      <c r="J40" s="55" t="str">
        <f t="shared" si="1"/>
        <v>https://permalinkbnd.bnportugal.gov.pt/viewer/274348/?offset=#page=69&amp;viewer=picture&amp;o=info&amp;n=0&amp;q=</v>
      </c>
      <c r="K40" s="45"/>
      <c r="L40" s="45"/>
      <c r="M40" s="45"/>
      <c r="N40" t="s">
        <v>62</v>
      </c>
      <c r="O40">
        <v>274348</v>
      </c>
      <c r="P40" t="str">
        <f t="shared" si="2"/>
        <v>https://permalinkbnd.bnportugal.gov.pt/viewer/274348/?offset=#page=69&amp;viewer=picture&amp;o=info&amp;n=0&amp;q=</v>
      </c>
      <c r="Q40">
        <v>404800</v>
      </c>
      <c r="R40" t="s">
        <v>62</v>
      </c>
      <c r="S40" t="s">
        <v>1416</v>
      </c>
      <c r="T40" t="s">
        <v>1178</v>
      </c>
      <c r="U40" t="s">
        <v>1192</v>
      </c>
      <c r="V40" t="s">
        <v>599</v>
      </c>
      <c r="W40" t="s">
        <v>1417</v>
      </c>
      <c r="X40" t="s">
        <v>1418</v>
      </c>
      <c r="Y40" t="s">
        <v>599</v>
      </c>
      <c r="Z40" t="s">
        <v>1182</v>
      </c>
      <c r="AA40" t="s">
        <v>1419</v>
      </c>
      <c r="AB40">
        <v>1898</v>
      </c>
      <c r="AC40">
        <v>1898</v>
      </c>
      <c r="AD40" t="s">
        <v>1420</v>
      </c>
      <c r="AE40" t="s">
        <v>599</v>
      </c>
      <c r="AF40" t="s">
        <v>599</v>
      </c>
      <c r="AG40" t="s">
        <v>599</v>
      </c>
      <c r="AH40" t="s">
        <v>599</v>
      </c>
      <c r="AI40" t="s">
        <v>599</v>
      </c>
      <c r="AJ40" t="s">
        <v>599</v>
      </c>
      <c r="AK40" t="s">
        <v>1421</v>
      </c>
      <c r="AL40" t="s">
        <v>1188</v>
      </c>
      <c r="AM40" t="s">
        <v>1422</v>
      </c>
      <c r="AN40" t="s">
        <v>1190</v>
      </c>
      <c r="AO40" t="s">
        <v>599</v>
      </c>
      <c r="AP40" t="s">
        <v>599</v>
      </c>
      <c r="AQ40" t="s">
        <v>599</v>
      </c>
      <c r="AR40" t="s">
        <v>599</v>
      </c>
      <c r="AS40" t="s">
        <v>599</v>
      </c>
      <c r="AT40" t="s">
        <v>599</v>
      </c>
      <c r="AU40" t="s">
        <v>599</v>
      </c>
    </row>
    <row r="41" spans="1:47" s="13" customFormat="1" ht="30" x14ac:dyDescent="0.25">
      <c r="A41" s="9">
        <v>10057</v>
      </c>
      <c r="B41" s="10">
        <v>410449</v>
      </c>
      <c r="C41" s="10">
        <v>1</v>
      </c>
      <c r="D41" s="9">
        <v>6</v>
      </c>
      <c r="E41" s="11" t="s">
        <v>65</v>
      </c>
      <c r="F41" s="11" t="str">
        <f t="shared" si="0"/>
        <v>https://purl.pt/43911</v>
      </c>
      <c r="G41" s="12" t="s">
        <v>66</v>
      </c>
      <c r="H41" s="9">
        <v>6</v>
      </c>
      <c r="I41" s="34"/>
      <c r="J41" s="55" t="str">
        <f t="shared" si="1"/>
        <v>https://permalinkbnd.bnportugal.gov.pt/viewer/274346/?offset=#page=6&amp;viewer=picture&amp;o=info&amp;n=0&amp;q=</v>
      </c>
      <c r="K41" s="45"/>
      <c r="L41" s="45"/>
      <c r="M41" s="45"/>
      <c r="N41" t="s">
        <v>65</v>
      </c>
      <c r="O41">
        <v>274346</v>
      </c>
      <c r="P41" t="str">
        <f t="shared" si="2"/>
        <v>https://permalinkbnd.bnportugal.gov.pt/viewer/274346/?offset=#page=6&amp;viewer=picture&amp;o=info&amp;n=0&amp;q=</v>
      </c>
      <c r="Q41">
        <v>410449</v>
      </c>
      <c r="R41" t="s">
        <v>65</v>
      </c>
      <c r="S41" t="s">
        <v>1423</v>
      </c>
      <c r="T41" t="s">
        <v>1178</v>
      </c>
      <c r="U41" t="s">
        <v>1209</v>
      </c>
      <c r="V41" t="s">
        <v>1192</v>
      </c>
      <c r="W41" t="s">
        <v>1210</v>
      </c>
      <c r="X41" t="s">
        <v>599</v>
      </c>
      <c r="Y41" t="s">
        <v>599</v>
      </c>
      <c r="Z41" t="s">
        <v>1211</v>
      </c>
      <c r="AA41" t="s">
        <v>1212</v>
      </c>
      <c r="AB41">
        <v>1873</v>
      </c>
      <c r="AC41">
        <v>1873</v>
      </c>
      <c r="AD41" t="s">
        <v>1213</v>
      </c>
      <c r="AE41" t="s">
        <v>1185</v>
      </c>
      <c r="AF41" t="s">
        <v>599</v>
      </c>
      <c r="AG41" t="s">
        <v>599</v>
      </c>
      <c r="AH41" t="s">
        <v>1214</v>
      </c>
      <c r="AI41" t="s">
        <v>599</v>
      </c>
      <c r="AJ41" t="s">
        <v>599</v>
      </c>
      <c r="AK41" t="s">
        <v>1424</v>
      </c>
      <c r="AL41" t="s">
        <v>1188</v>
      </c>
      <c r="AM41" t="s">
        <v>1425</v>
      </c>
      <c r="AN41" t="s">
        <v>1190</v>
      </c>
      <c r="AO41" t="s">
        <v>599</v>
      </c>
      <c r="AP41" t="s">
        <v>599</v>
      </c>
      <c r="AQ41" t="s">
        <v>599</v>
      </c>
      <c r="AR41" t="s">
        <v>599</v>
      </c>
      <c r="AS41" t="s">
        <v>599</v>
      </c>
      <c r="AT41" t="s">
        <v>599</v>
      </c>
      <c r="AU41" t="s">
        <v>599</v>
      </c>
    </row>
    <row r="42" spans="1:47" s="26" customFormat="1" ht="30" x14ac:dyDescent="0.25">
      <c r="A42" s="22">
        <v>10058</v>
      </c>
      <c r="B42" s="23">
        <v>411542</v>
      </c>
      <c r="C42" s="23">
        <v>1</v>
      </c>
      <c r="D42" s="27">
        <v>1</v>
      </c>
      <c r="E42" s="24" t="s">
        <v>67</v>
      </c>
      <c r="F42" s="24" t="str">
        <f t="shared" si="0"/>
        <v>https://purl.pt/43786</v>
      </c>
      <c r="G42" s="25">
        <v>1</v>
      </c>
      <c r="H42" s="22"/>
      <c r="I42" s="27" t="s">
        <v>621</v>
      </c>
      <c r="J42" s="55" t="str">
        <f t="shared" si="1"/>
        <v>https://permalinkbnd.bnportugal.gov.pt/viewer/273798/?offset=#page=1&amp;viewer=picture&amp;o=info&amp;n=0&amp;q=</v>
      </c>
      <c r="K42" s="45"/>
      <c r="L42" s="45"/>
      <c r="M42" s="45"/>
      <c r="N42" t="s">
        <v>67</v>
      </c>
      <c r="O42">
        <v>273798</v>
      </c>
      <c r="P42" t="str">
        <f t="shared" si="2"/>
        <v>https://permalinkbnd.bnportugal.gov.pt/viewer/273798/?offset=#page=1&amp;viewer=picture&amp;o=info&amp;n=0&amp;q=</v>
      </c>
      <c r="Q42">
        <v>411542</v>
      </c>
      <c r="R42" t="s">
        <v>67</v>
      </c>
      <c r="S42" t="s">
        <v>1426</v>
      </c>
      <c r="T42" t="s">
        <v>1178</v>
      </c>
      <c r="U42" t="s">
        <v>1192</v>
      </c>
      <c r="V42" t="s">
        <v>599</v>
      </c>
      <c r="W42" t="s">
        <v>1427</v>
      </c>
      <c r="X42" t="s">
        <v>1428</v>
      </c>
      <c r="Y42" t="s">
        <v>599</v>
      </c>
      <c r="Z42" t="s">
        <v>1182</v>
      </c>
      <c r="AA42" t="s">
        <v>1429</v>
      </c>
      <c r="AB42">
        <v>1897</v>
      </c>
      <c r="AC42">
        <v>1897</v>
      </c>
      <c r="AD42" t="s">
        <v>1430</v>
      </c>
      <c r="AE42" t="s">
        <v>1431</v>
      </c>
      <c r="AF42" t="s">
        <v>599</v>
      </c>
      <c r="AG42" t="s">
        <v>599</v>
      </c>
      <c r="AH42" t="s">
        <v>1432</v>
      </c>
      <c r="AI42" t="s">
        <v>599</v>
      </c>
      <c r="AJ42" t="s">
        <v>599</v>
      </c>
      <c r="AK42" t="s">
        <v>1433</v>
      </c>
      <c r="AL42" t="s">
        <v>1188</v>
      </c>
      <c r="AM42" t="s">
        <v>1434</v>
      </c>
      <c r="AN42" t="s">
        <v>1190</v>
      </c>
      <c r="AO42" t="s">
        <v>599</v>
      </c>
      <c r="AP42" t="s">
        <v>599</v>
      </c>
      <c r="AQ42" t="s">
        <v>599</v>
      </c>
      <c r="AR42" t="s">
        <v>599</v>
      </c>
      <c r="AS42" t="s">
        <v>599</v>
      </c>
      <c r="AT42" t="s">
        <v>599</v>
      </c>
      <c r="AU42" t="s">
        <v>599</v>
      </c>
    </row>
    <row r="43" spans="1:47" s="13" customFormat="1" ht="30" x14ac:dyDescent="0.25">
      <c r="A43" s="9">
        <v>10062</v>
      </c>
      <c r="B43" s="10">
        <v>426512</v>
      </c>
      <c r="C43" s="10">
        <v>1</v>
      </c>
      <c r="D43" s="9">
        <v>1</v>
      </c>
      <c r="E43" s="11" t="s">
        <v>68</v>
      </c>
      <c r="F43" s="11" t="str">
        <f t="shared" si="0"/>
        <v>https://purl.pt/43588</v>
      </c>
      <c r="G43" s="12">
        <v>1</v>
      </c>
      <c r="H43" s="9">
        <v>1</v>
      </c>
      <c r="I43" s="34"/>
      <c r="J43" s="55" t="str">
        <f t="shared" si="1"/>
        <v>https://permalinkbnd.bnportugal.gov.pt/viewer/272882/?offset=#page=1&amp;viewer=picture&amp;o=info&amp;n=0&amp;q=</v>
      </c>
      <c r="K43" s="45"/>
      <c r="L43" s="45"/>
      <c r="M43" s="45"/>
      <c r="N43" t="s">
        <v>68</v>
      </c>
      <c r="O43">
        <v>272882</v>
      </c>
      <c r="P43" t="str">
        <f t="shared" si="2"/>
        <v>https://permalinkbnd.bnportugal.gov.pt/viewer/272882/?offset=#page=1&amp;viewer=picture&amp;o=info&amp;n=0&amp;q=</v>
      </c>
      <c r="Q43">
        <v>426512</v>
      </c>
      <c r="R43" t="s">
        <v>68</v>
      </c>
      <c r="S43" t="s">
        <v>1435</v>
      </c>
      <c r="T43" t="s">
        <v>1178</v>
      </c>
      <c r="U43" t="s">
        <v>1192</v>
      </c>
      <c r="V43" t="s">
        <v>599</v>
      </c>
      <c r="W43" t="s">
        <v>1293</v>
      </c>
      <c r="X43" t="s">
        <v>1436</v>
      </c>
      <c r="Y43" t="s">
        <v>599</v>
      </c>
      <c r="Z43" t="s">
        <v>1182</v>
      </c>
      <c r="AA43" t="s">
        <v>1437</v>
      </c>
      <c r="AB43">
        <v>1870</v>
      </c>
      <c r="AC43">
        <v>1870</v>
      </c>
      <c r="AD43" t="s">
        <v>1438</v>
      </c>
      <c r="AE43" t="s">
        <v>1439</v>
      </c>
      <c r="AF43" t="s">
        <v>599</v>
      </c>
      <c r="AG43" t="s">
        <v>599</v>
      </c>
      <c r="AH43" t="s">
        <v>599</v>
      </c>
      <c r="AI43" t="s">
        <v>599</v>
      </c>
      <c r="AJ43" t="s">
        <v>599</v>
      </c>
      <c r="AK43" t="s">
        <v>1440</v>
      </c>
      <c r="AL43" t="s">
        <v>1441</v>
      </c>
      <c r="AM43" t="s">
        <v>1442</v>
      </c>
      <c r="AN43" t="s">
        <v>1190</v>
      </c>
      <c r="AO43" t="s">
        <v>599</v>
      </c>
      <c r="AP43" t="s">
        <v>599</v>
      </c>
      <c r="AQ43" t="s">
        <v>599</v>
      </c>
      <c r="AR43" t="s">
        <v>599</v>
      </c>
      <c r="AS43" t="s">
        <v>599</v>
      </c>
      <c r="AT43" t="s">
        <v>1443</v>
      </c>
      <c r="AU43" t="s">
        <v>599</v>
      </c>
    </row>
    <row r="44" spans="1:47" s="13" customFormat="1" ht="30" x14ac:dyDescent="0.25">
      <c r="A44" s="9">
        <v>10063</v>
      </c>
      <c r="B44" s="10">
        <v>446302</v>
      </c>
      <c r="C44" s="10">
        <v>1</v>
      </c>
      <c r="D44" s="9">
        <v>11</v>
      </c>
      <c r="E44" s="11" t="s">
        <v>69</v>
      </c>
      <c r="F44" s="11" t="str">
        <f t="shared" si="0"/>
        <v>https://purl.pt/43429</v>
      </c>
      <c r="G44" s="12">
        <v>11</v>
      </c>
      <c r="H44" s="9"/>
      <c r="I44" s="34"/>
      <c r="J44" s="55" t="str">
        <f t="shared" si="1"/>
        <v>https://permalinkbnd.bnportugal.gov.pt/viewer/1880/?offset=#page=11&amp;viewer=picture&amp;o=info&amp;n=0&amp;q=</v>
      </c>
      <c r="K44" s="45"/>
      <c r="L44" s="45"/>
      <c r="M44" s="45"/>
      <c r="N44" t="s">
        <v>69</v>
      </c>
      <c r="O44">
        <v>1880</v>
      </c>
      <c r="P44" t="str">
        <f t="shared" si="2"/>
        <v>https://permalinkbnd.bnportugal.gov.pt/viewer/1880/?offset=#page=11&amp;viewer=picture&amp;o=info&amp;n=0&amp;q=</v>
      </c>
      <c r="Q44">
        <v>446302</v>
      </c>
      <c r="R44" t="s">
        <v>69</v>
      </c>
      <c r="S44" t="s">
        <v>1444</v>
      </c>
      <c r="T44" t="s">
        <v>1178</v>
      </c>
      <c r="U44" t="s">
        <v>1192</v>
      </c>
      <c r="V44" t="s">
        <v>599</v>
      </c>
      <c r="W44" t="s">
        <v>1445</v>
      </c>
      <c r="X44" t="s">
        <v>599</v>
      </c>
      <c r="Y44" t="s">
        <v>599</v>
      </c>
      <c r="Z44" t="s">
        <v>1182</v>
      </c>
      <c r="AA44" t="s">
        <v>1446</v>
      </c>
      <c r="AB44">
        <v>1887</v>
      </c>
      <c r="AC44">
        <v>1887</v>
      </c>
      <c r="AD44" t="s">
        <v>1447</v>
      </c>
      <c r="AE44" t="s">
        <v>599</v>
      </c>
      <c r="AF44" t="s">
        <v>599</v>
      </c>
      <c r="AG44" t="s">
        <v>599</v>
      </c>
      <c r="AH44" t="s">
        <v>599</v>
      </c>
      <c r="AI44" t="s">
        <v>599</v>
      </c>
      <c r="AJ44" t="s">
        <v>1448</v>
      </c>
      <c r="AK44" t="s">
        <v>1449</v>
      </c>
      <c r="AL44" t="s">
        <v>1188</v>
      </c>
      <c r="AM44" t="s">
        <v>1450</v>
      </c>
      <c r="AN44" t="s">
        <v>1190</v>
      </c>
      <c r="AO44" t="s">
        <v>1451</v>
      </c>
      <c r="AP44" t="s">
        <v>599</v>
      </c>
      <c r="AQ44" t="s">
        <v>599</v>
      </c>
      <c r="AR44" t="s">
        <v>599</v>
      </c>
      <c r="AS44" t="s">
        <v>599</v>
      </c>
      <c r="AT44" t="s">
        <v>599</v>
      </c>
      <c r="AU44" t="s">
        <v>599</v>
      </c>
    </row>
    <row r="45" spans="1:47" s="13" customFormat="1" ht="30" x14ac:dyDescent="0.25">
      <c r="A45" s="9">
        <v>10064</v>
      </c>
      <c r="B45" s="10">
        <v>452363</v>
      </c>
      <c r="C45" s="10">
        <v>1</v>
      </c>
      <c r="D45" s="9">
        <v>1</v>
      </c>
      <c r="E45" s="11" t="s">
        <v>70</v>
      </c>
      <c r="F45" s="11" t="str">
        <f t="shared" si="0"/>
        <v>https://purl.pt/11841</v>
      </c>
      <c r="G45" s="12" t="s">
        <v>71</v>
      </c>
      <c r="H45" s="9">
        <v>1</v>
      </c>
      <c r="I45" s="34"/>
      <c r="J45" s="55" t="str">
        <f t="shared" si="1"/>
        <v>https://permalinkbnd.bnportugal.gov.pt/viewer/35644/?offset=#page=1&amp;viewer=picture&amp;o=info&amp;n=0&amp;q=</v>
      </c>
      <c r="K45" s="45"/>
      <c r="L45" s="45"/>
      <c r="M45" s="45"/>
      <c r="N45" t="s">
        <v>70</v>
      </c>
      <c r="O45">
        <v>35644</v>
      </c>
      <c r="P45" t="str">
        <f t="shared" si="2"/>
        <v>https://permalinkbnd.bnportugal.gov.pt/viewer/35644/?offset=#page=1&amp;viewer=picture&amp;o=info&amp;n=0&amp;q=</v>
      </c>
      <c r="Q45">
        <v>452363</v>
      </c>
      <c r="R45" t="s">
        <v>70</v>
      </c>
      <c r="S45" t="s">
        <v>1452</v>
      </c>
      <c r="T45" t="s">
        <v>1312</v>
      </c>
      <c r="U45" t="s">
        <v>1192</v>
      </c>
      <c r="V45" t="s">
        <v>599</v>
      </c>
      <c r="W45" t="s">
        <v>1105</v>
      </c>
      <c r="X45" t="s">
        <v>599</v>
      </c>
      <c r="Y45" t="s">
        <v>599</v>
      </c>
      <c r="Z45" t="s">
        <v>1182</v>
      </c>
      <c r="AA45" t="s">
        <v>1453</v>
      </c>
      <c r="AB45">
        <v>1887</v>
      </c>
      <c r="AC45">
        <v>1887</v>
      </c>
      <c r="AD45" t="s">
        <v>1454</v>
      </c>
      <c r="AE45" t="s">
        <v>1455</v>
      </c>
      <c r="AF45" t="s">
        <v>599</v>
      </c>
      <c r="AG45" t="s">
        <v>599</v>
      </c>
      <c r="AH45" t="s">
        <v>1456</v>
      </c>
      <c r="AI45" t="s">
        <v>599</v>
      </c>
      <c r="AJ45" t="s">
        <v>599</v>
      </c>
      <c r="AK45" t="s">
        <v>1457</v>
      </c>
      <c r="AL45" t="s">
        <v>599</v>
      </c>
      <c r="AM45" t="s">
        <v>1458</v>
      </c>
      <c r="AN45" t="s">
        <v>1190</v>
      </c>
      <c r="AO45" t="s">
        <v>599</v>
      </c>
      <c r="AP45" t="s">
        <v>1459</v>
      </c>
      <c r="AQ45" t="s">
        <v>599</v>
      </c>
      <c r="AR45" t="s">
        <v>599</v>
      </c>
      <c r="AS45" t="s">
        <v>599</v>
      </c>
      <c r="AT45" t="s">
        <v>599</v>
      </c>
      <c r="AU45" t="s">
        <v>599</v>
      </c>
    </row>
    <row r="46" spans="1:47" s="13" customFormat="1" ht="30" x14ac:dyDescent="0.25">
      <c r="A46" s="9">
        <v>10073</v>
      </c>
      <c r="B46" s="10">
        <v>453897</v>
      </c>
      <c r="C46" s="10">
        <v>1</v>
      </c>
      <c r="D46" s="9">
        <v>9</v>
      </c>
      <c r="E46" s="11" t="s">
        <v>72</v>
      </c>
      <c r="F46" s="11" t="str">
        <f t="shared" si="0"/>
        <v>https://purl.pt/43792</v>
      </c>
      <c r="G46" s="12">
        <v>9</v>
      </c>
      <c r="H46" s="9">
        <v>9</v>
      </c>
      <c r="I46" s="34"/>
      <c r="J46" s="55" t="str">
        <f t="shared" si="1"/>
        <v>https://permalinkbnd.bnportugal.gov.pt/viewer/1880/?offset=#page=9&amp;viewer=picture&amp;o=info&amp;n=0&amp;q=</v>
      </c>
      <c r="K46" s="45"/>
      <c r="L46" s="45"/>
      <c r="M46" s="45"/>
      <c r="N46" t="s">
        <v>72</v>
      </c>
      <c r="O46">
        <v>1880</v>
      </c>
      <c r="P46" t="str">
        <f t="shared" si="2"/>
        <v>https://permalinkbnd.bnportugal.gov.pt/viewer/1880/?offset=#page=9&amp;viewer=picture&amp;o=info&amp;n=0&amp;q=</v>
      </c>
      <c r="Q46">
        <v>453897</v>
      </c>
      <c r="R46" t="s">
        <v>72</v>
      </c>
      <c r="S46" t="s">
        <v>1460</v>
      </c>
      <c r="T46" t="s">
        <v>1178</v>
      </c>
      <c r="U46" t="s">
        <v>1192</v>
      </c>
      <c r="V46" t="s">
        <v>599</v>
      </c>
      <c r="W46" t="s">
        <v>1461</v>
      </c>
      <c r="X46" t="s">
        <v>599</v>
      </c>
      <c r="Y46" t="s">
        <v>599</v>
      </c>
      <c r="Z46" t="s">
        <v>1182</v>
      </c>
      <c r="AA46" t="s">
        <v>1462</v>
      </c>
      <c r="AB46">
        <v>1880</v>
      </c>
      <c r="AC46">
        <v>1880</v>
      </c>
      <c r="AD46" t="s">
        <v>1463</v>
      </c>
      <c r="AE46" t="s">
        <v>599</v>
      </c>
      <c r="AF46" t="s">
        <v>599</v>
      </c>
      <c r="AG46" t="s">
        <v>599</v>
      </c>
      <c r="AH46" t="s">
        <v>599</v>
      </c>
      <c r="AI46" t="s">
        <v>599</v>
      </c>
      <c r="AJ46" t="s">
        <v>599</v>
      </c>
      <c r="AK46" t="s">
        <v>1464</v>
      </c>
      <c r="AL46" t="s">
        <v>1188</v>
      </c>
      <c r="AM46" t="s">
        <v>1465</v>
      </c>
      <c r="AN46" t="s">
        <v>1190</v>
      </c>
      <c r="AO46" t="s">
        <v>599</v>
      </c>
      <c r="AP46" t="s">
        <v>599</v>
      </c>
      <c r="AQ46" t="s">
        <v>599</v>
      </c>
      <c r="AR46" t="s">
        <v>599</v>
      </c>
      <c r="AS46" t="s">
        <v>1466</v>
      </c>
      <c r="AT46" t="s">
        <v>599</v>
      </c>
      <c r="AU46" t="s">
        <v>599</v>
      </c>
    </row>
    <row r="47" spans="1:47" s="13" customFormat="1" ht="30" x14ac:dyDescent="0.25">
      <c r="A47" s="9">
        <v>10075</v>
      </c>
      <c r="B47" s="10">
        <v>454218</v>
      </c>
      <c r="C47" s="10">
        <v>1</v>
      </c>
      <c r="D47" s="9">
        <v>3</v>
      </c>
      <c r="E47" s="11" t="s">
        <v>73</v>
      </c>
      <c r="F47" s="11" t="str">
        <f t="shared" si="0"/>
        <v>https://purl.pt/43793</v>
      </c>
      <c r="G47" s="12">
        <v>3</v>
      </c>
      <c r="H47" s="9">
        <v>3</v>
      </c>
      <c r="I47" s="34"/>
      <c r="J47" s="55" t="str">
        <f t="shared" si="1"/>
        <v>https://permalinkbnd.bnportugal.gov.pt/viewer/273923/?offset=#page=3&amp;viewer=picture&amp;o=info&amp;n=0&amp;q=</v>
      </c>
      <c r="K47" s="45"/>
      <c r="L47" s="45"/>
      <c r="M47" s="45"/>
      <c r="N47" t="s">
        <v>73</v>
      </c>
      <c r="O47">
        <v>273923</v>
      </c>
      <c r="P47" t="str">
        <f t="shared" si="2"/>
        <v>https://permalinkbnd.bnportugal.gov.pt/viewer/273923/?offset=#page=3&amp;viewer=picture&amp;o=info&amp;n=0&amp;q=</v>
      </c>
      <c r="Q47">
        <v>454218</v>
      </c>
      <c r="R47" t="s">
        <v>73</v>
      </c>
      <c r="S47" t="s">
        <v>1467</v>
      </c>
      <c r="T47" t="s">
        <v>1178</v>
      </c>
      <c r="U47" t="s">
        <v>1192</v>
      </c>
      <c r="V47" t="s">
        <v>599</v>
      </c>
      <c r="W47" t="s">
        <v>1468</v>
      </c>
      <c r="X47" t="s">
        <v>599</v>
      </c>
      <c r="Y47" t="s">
        <v>599</v>
      </c>
      <c r="Z47" t="s">
        <v>1182</v>
      </c>
      <c r="AA47" t="s">
        <v>1469</v>
      </c>
      <c r="AB47">
        <v>1881</v>
      </c>
      <c r="AC47">
        <v>1881</v>
      </c>
      <c r="AD47" t="s">
        <v>1470</v>
      </c>
      <c r="AE47" t="s">
        <v>599</v>
      </c>
      <c r="AF47" t="s">
        <v>599</v>
      </c>
      <c r="AG47" t="s">
        <v>599</v>
      </c>
      <c r="AH47" t="s">
        <v>599</v>
      </c>
      <c r="AI47" t="s">
        <v>599</v>
      </c>
      <c r="AJ47" t="s">
        <v>599</v>
      </c>
      <c r="AK47" t="s">
        <v>1471</v>
      </c>
      <c r="AL47" t="s">
        <v>1188</v>
      </c>
      <c r="AM47" t="s">
        <v>1472</v>
      </c>
      <c r="AN47" t="s">
        <v>1190</v>
      </c>
      <c r="AO47" t="s">
        <v>599</v>
      </c>
      <c r="AP47" t="s">
        <v>599</v>
      </c>
      <c r="AQ47" t="s">
        <v>599</v>
      </c>
      <c r="AR47" t="s">
        <v>599</v>
      </c>
      <c r="AS47" t="s">
        <v>1473</v>
      </c>
      <c r="AT47" t="s">
        <v>599</v>
      </c>
      <c r="AU47" t="s">
        <v>599</v>
      </c>
    </row>
    <row r="48" spans="1:47" s="13" customFormat="1" ht="30" x14ac:dyDescent="0.25">
      <c r="A48" s="9">
        <v>10088</v>
      </c>
      <c r="B48" s="10">
        <v>455268</v>
      </c>
      <c r="C48" s="10">
        <v>1</v>
      </c>
      <c r="D48" s="9">
        <v>8</v>
      </c>
      <c r="E48" s="11" t="s">
        <v>74</v>
      </c>
      <c r="F48" s="11" t="str">
        <f t="shared" si="0"/>
        <v>https://purl.pt/42934</v>
      </c>
      <c r="G48" s="12" t="s">
        <v>75</v>
      </c>
      <c r="H48" s="9" t="s">
        <v>76</v>
      </c>
      <c r="I48" s="34"/>
      <c r="J48" s="55" t="str">
        <f t="shared" si="1"/>
        <v>https://permalinkbnd.bnportugal.gov.pt/viewer/270331/?offset=#page=8&amp;viewer=picture&amp;o=info&amp;n=0&amp;q=</v>
      </c>
      <c r="K48" s="45"/>
      <c r="L48" s="45"/>
      <c r="M48" s="45"/>
      <c r="N48" t="s">
        <v>74</v>
      </c>
      <c r="O48">
        <v>270331</v>
      </c>
      <c r="P48" t="str">
        <f t="shared" si="2"/>
        <v>https://permalinkbnd.bnportugal.gov.pt/viewer/270331/?offset=#page=8&amp;viewer=picture&amp;o=info&amp;n=0&amp;q=</v>
      </c>
      <c r="Q48">
        <v>455268</v>
      </c>
      <c r="R48" t="s">
        <v>74</v>
      </c>
      <c r="S48" t="s">
        <v>1474</v>
      </c>
      <c r="T48" t="s">
        <v>1178</v>
      </c>
      <c r="U48" t="s">
        <v>1179</v>
      </c>
      <c r="V48" t="s">
        <v>1192</v>
      </c>
      <c r="W48" t="s">
        <v>1180</v>
      </c>
      <c r="X48" t="s">
        <v>599</v>
      </c>
      <c r="Y48" t="s">
        <v>599</v>
      </c>
      <c r="Z48" t="s">
        <v>1475</v>
      </c>
      <c r="AA48" t="s">
        <v>1476</v>
      </c>
      <c r="AB48">
        <v>1821</v>
      </c>
      <c r="AC48">
        <v>1821</v>
      </c>
      <c r="AD48" t="s">
        <v>1477</v>
      </c>
      <c r="AE48" t="s">
        <v>1185</v>
      </c>
      <c r="AF48" t="s">
        <v>599</v>
      </c>
      <c r="AG48" t="s">
        <v>599</v>
      </c>
      <c r="AH48" t="s">
        <v>1186</v>
      </c>
      <c r="AI48" t="s">
        <v>599</v>
      </c>
      <c r="AJ48" t="s">
        <v>599</v>
      </c>
      <c r="AK48" t="s">
        <v>1478</v>
      </c>
      <c r="AL48" t="s">
        <v>1188</v>
      </c>
      <c r="AM48" t="s">
        <v>1479</v>
      </c>
      <c r="AN48" t="s">
        <v>1190</v>
      </c>
      <c r="AO48" t="s">
        <v>599</v>
      </c>
      <c r="AP48" t="s">
        <v>599</v>
      </c>
      <c r="AQ48" t="s">
        <v>599</v>
      </c>
      <c r="AR48" t="s">
        <v>599</v>
      </c>
      <c r="AS48" t="s">
        <v>599</v>
      </c>
      <c r="AT48" t="s">
        <v>599</v>
      </c>
      <c r="AU48" t="s">
        <v>599</v>
      </c>
    </row>
    <row r="49" spans="1:47" s="13" customFormat="1" ht="30" x14ac:dyDescent="0.25">
      <c r="A49" s="9">
        <v>10089</v>
      </c>
      <c r="B49" s="10">
        <v>455268</v>
      </c>
      <c r="C49" s="10">
        <v>1</v>
      </c>
      <c r="D49" s="9">
        <v>62</v>
      </c>
      <c r="E49" s="11" t="s">
        <v>74</v>
      </c>
      <c r="F49" s="11" t="str">
        <f t="shared" si="0"/>
        <v>https://purl.pt/42934</v>
      </c>
      <c r="G49" s="12" t="s">
        <v>75</v>
      </c>
      <c r="H49" s="9" t="s">
        <v>76</v>
      </c>
      <c r="I49" s="34"/>
      <c r="J49" s="55" t="str">
        <f t="shared" si="1"/>
        <v>https://permalinkbnd.bnportugal.gov.pt/viewer/270331/?offset=#page=62&amp;viewer=picture&amp;o=info&amp;n=0&amp;q=</v>
      </c>
      <c r="K49" s="45"/>
      <c r="L49" s="45"/>
      <c r="M49" s="45"/>
      <c r="N49" t="s">
        <v>74</v>
      </c>
      <c r="O49">
        <v>270331</v>
      </c>
      <c r="P49" t="str">
        <f t="shared" si="2"/>
        <v>https://permalinkbnd.bnportugal.gov.pt/viewer/270331/?offset=#page=62&amp;viewer=picture&amp;o=info&amp;n=0&amp;q=</v>
      </c>
      <c r="Q49">
        <v>455268</v>
      </c>
      <c r="R49" t="s">
        <v>74</v>
      </c>
      <c r="S49" t="s">
        <v>1474</v>
      </c>
      <c r="T49" t="s">
        <v>1178</v>
      </c>
      <c r="U49" t="s">
        <v>1179</v>
      </c>
      <c r="V49" t="s">
        <v>1192</v>
      </c>
      <c r="W49" t="s">
        <v>1180</v>
      </c>
      <c r="X49" t="s">
        <v>599</v>
      </c>
      <c r="Y49" t="s">
        <v>599</v>
      </c>
      <c r="Z49" t="s">
        <v>1475</v>
      </c>
      <c r="AA49" t="s">
        <v>1476</v>
      </c>
      <c r="AB49">
        <v>1821</v>
      </c>
      <c r="AC49">
        <v>1821</v>
      </c>
      <c r="AD49" t="s">
        <v>1477</v>
      </c>
      <c r="AE49" t="s">
        <v>1185</v>
      </c>
      <c r="AF49" t="s">
        <v>599</v>
      </c>
      <c r="AG49" t="s">
        <v>599</v>
      </c>
      <c r="AH49" t="s">
        <v>1186</v>
      </c>
      <c r="AI49" t="s">
        <v>599</v>
      </c>
      <c r="AJ49" t="s">
        <v>599</v>
      </c>
      <c r="AK49" t="s">
        <v>1478</v>
      </c>
      <c r="AL49" t="s">
        <v>1188</v>
      </c>
      <c r="AM49" t="s">
        <v>1479</v>
      </c>
      <c r="AN49" t="s">
        <v>1190</v>
      </c>
      <c r="AO49" t="s">
        <v>599</v>
      </c>
      <c r="AP49" t="s">
        <v>599</v>
      </c>
      <c r="AQ49" t="s">
        <v>599</v>
      </c>
      <c r="AR49" t="s">
        <v>599</v>
      </c>
      <c r="AS49" t="s">
        <v>599</v>
      </c>
      <c r="AT49" t="s">
        <v>599</v>
      </c>
      <c r="AU49" t="s">
        <v>599</v>
      </c>
    </row>
    <row r="50" spans="1:47" s="13" customFormat="1" ht="30" x14ac:dyDescent="0.25">
      <c r="A50" s="9">
        <v>10090</v>
      </c>
      <c r="B50" s="10">
        <v>455268</v>
      </c>
      <c r="C50" s="10">
        <v>2</v>
      </c>
      <c r="D50" s="9">
        <v>8</v>
      </c>
      <c r="E50" s="11" t="s">
        <v>74</v>
      </c>
      <c r="F50" s="11" t="str">
        <f t="shared" si="0"/>
        <v>https://purl.pt/42934</v>
      </c>
      <c r="G50" s="12" t="s">
        <v>75</v>
      </c>
      <c r="H50" s="9" t="s">
        <v>76</v>
      </c>
      <c r="I50" s="34"/>
      <c r="J50" s="55" t="str">
        <f t="shared" si="1"/>
        <v>https://permalinkbnd.bnportugal.gov.pt/viewer/270331/?offset=#page=8&amp;viewer=picture&amp;o=info&amp;n=0&amp;q=</v>
      </c>
      <c r="K50" s="45"/>
      <c r="L50" s="45"/>
      <c r="M50" s="45"/>
      <c r="N50" t="s">
        <v>74</v>
      </c>
      <c r="O50">
        <v>270331</v>
      </c>
      <c r="P50" t="str">
        <f t="shared" si="2"/>
        <v>https://permalinkbnd.bnportugal.gov.pt/viewer/270331/?offset=#page=8&amp;viewer=picture&amp;o=info&amp;n=0&amp;q=</v>
      </c>
      <c r="Q50">
        <v>455268</v>
      </c>
      <c r="R50" t="s">
        <v>74</v>
      </c>
      <c r="S50" t="s">
        <v>1474</v>
      </c>
      <c r="T50" t="s">
        <v>1178</v>
      </c>
      <c r="U50" t="s">
        <v>1179</v>
      </c>
      <c r="V50" t="s">
        <v>1192</v>
      </c>
      <c r="W50" t="s">
        <v>1180</v>
      </c>
      <c r="X50" t="s">
        <v>599</v>
      </c>
      <c r="Y50" t="s">
        <v>599</v>
      </c>
      <c r="Z50" t="s">
        <v>1475</v>
      </c>
      <c r="AA50" t="s">
        <v>1476</v>
      </c>
      <c r="AB50">
        <v>1821</v>
      </c>
      <c r="AC50">
        <v>1821</v>
      </c>
      <c r="AD50" t="s">
        <v>1477</v>
      </c>
      <c r="AE50" t="s">
        <v>1185</v>
      </c>
      <c r="AF50" t="s">
        <v>599</v>
      </c>
      <c r="AG50" t="s">
        <v>599</v>
      </c>
      <c r="AH50" t="s">
        <v>1186</v>
      </c>
      <c r="AI50" t="s">
        <v>599</v>
      </c>
      <c r="AJ50" t="s">
        <v>599</v>
      </c>
      <c r="AK50" t="s">
        <v>1478</v>
      </c>
      <c r="AL50" t="s">
        <v>1188</v>
      </c>
      <c r="AM50" t="s">
        <v>1479</v>
      </c>
      <c r="AN50" t="s">
        <v>1190</v>
      </c>
      <c r="AO50" t="s">
        <v>599</v>
      </c>
      <c r="AP50" t="s">
        <v>599</v>
      </c>
      <c r="AQ50" t="s">
        <v>599</v>
      </c>
      <c r="AR50" t="s">
        <v>599</v>
      </c>
      <c r="AS50" t="s">
        <v>599</v>
      </c>
      <c r="AT50" t="s">
        <v>599</v>
      </c>
      <c r="AU50" t="s">
        <v>599</v>
      </c>
    </row>
    <row r="51" spans="1:47" s="13" customFormat="1" ht="30" x14ac:dyDescent="0.25">
      <c r="A51" s="9">
        <v>10091</v>
      </c>
      <c r="B51" s="10">
        <v>455275</v>
      </c>
      <c r="C51" s="10">
        <v>1</v>
      </c>
      <c r="D51" s="9">
        <v>10</v>
      </c>
      <c r="E51" s="11" t="s">
        <v>77</v>
      </c>
      <c r="F51" s="11" t="str">
        <f t="shared" si="0"/>
        <v>https://purl.pt/42943</v>
      </c>
      <c r="G51" s="12" t="s">
        <v>78</v>
      </c>
      <c r="H51" s="9">
        <v>10</v>
      </c>
      <c r="I51" s="34"/>
      <c r="J51" s="55" t="str">
        <f t="shared" si="1"/>
        <v>https://permalinkbnd.bnportugal.gov.pt/viewer/270345/?offset=#page=10&amp;viewer=picture&amp;o=info&amp;n=0&amp;q=</v>
      </c>
      <c r="K51" s="45"/>
      <c r="L51" s="45"/>
      <c r="M51" s="45"/>
      <c r="N51" t="s">
        <v>77</v>
      </c>
      <c r="O51">
        <v>270345</v>
      </c>
      <c r="P51" t="str">
        <f t="shared" si="2"/>
        <v>https://permalinkbnd.bnportugal.gov.pt/viewer/270345/?offset=#page=10&amp;viewer=picture&amp;o=info&amp;n=0&amp;q=</v>
      </c>
      <c r="Q51">
        <v>455275</v>
      </c>
      <c r="R51" t="s">
        <v>77</v>
      </c>
      <c r="S51" t="s">
        <v>1480</v>
      </c>
      <c r="T51" t="s">
        <v>1178</v>
      </c>
      <c r="U51" t="s">
        <v>1192</v>
      </c>
      <c r="V51" t="s">
        <v>599</v>
      </c>
      <c r="W51" t="s">
        <v>1481</v>
      </c>
      <c r="X51" t="s">
        <v>599</v>
      </c>
      <c r="Y51" t="s">
        <v>599</v>
      </c>
      <c r="Z51" t="s">
        <v>1182</v>
      </c>
      <c r="AA51" t="s">
        <v>1437</v>
      </c>
      <c r="AB51">
        <v>1843</v>
      </c>
      <c r="AC51">
        <v>1843</v>
      </c>
      <c r="AD51" t="s">
        <v>1482</v>
      </c>
      <c r="AE51" t="s">
        <v>1185</v>
      </c>
      <c r="AF51" t="s">
        <v>599</v>
      </c>
      <c r="AG51" t="s">
        <v>599</v>
      </c>
      <c r="AH51" t="s">
        <v>1483</v>
      </c>
      <c r="AI51" t="s">
        <v>599</v>
      </c>
      <c r="AJ51" t="s">
        <v>599</v>
      </c>
      <c r="AK51" t="s">
        <v>1484</v>
      </c>
      <c r="AL51" t="s">
        <v>1188</v>
      </c>
      <c r="AM51" t="s">
        <v>1485</v>
      </c>
      <c r="AN51" t="s">
        <v>1190</v>
      </c>
      <c r="AO51" t="s">
        <v>599</v>
      </c>
      <c r="AP51" t="s">
        <v>599</v>
      </c>
      <c r="AQ51" t="s">
        <v>1486</v>
      </c>
      <c r="AR51" t="s">
        <v>599</v>
      </c>
      <c r="AS51" t="s">
        <v>599</v>
      </c>
      <c r="AT51" t="s">
        <v>599</v>
      </c>
      <c r="AU51" t="s">
        <v>599</v>
      </c>
    </row>
    <row r="52" spans="1:47" s="13" customFormat="1" ht="30" x14ac:dyDescent="0.25">
      <c r="A52" s="9">
        <v>10097</v>
      </c>
      <c r="B52" s="10">
        <v>458290</v>
      </c>
      <c r="C52" s="10">
        <v>1</v>
      </c>
      <c r="D52" s="9">
        <v>10</v>
      </c>
      <c r="E52" s="11" t="s">
        <v>79</v>
      </c>
      <c r="F52" s="11" t="str">
        <f t="shared" si="0"/>
        <v>https://purl.pt/43921</v>
      </c>
      <c r="G52" s="12" t="s">
        <v>80</v>
      </c>
      <c r="H52" s="9">
        <v>10</v>
      </c>
      <c r="I52" s="34" t="s">
        <v>612</v>
      </c>
      <c r="J52" s="55" t="str">
        <f t="shared" si="1"/>
        <v>https://permalinkbnd.bnportugal.gov.pt/viewer/273525/?offset=#page=10&amp;viewer=picture&amp;o=info&amp;n=0&amp;q=</v>
      </c>
      <c r="K52" s="45"/>
      <c r="L52" s="45"/>
      <c r="M52" s="45"/>
      <c r="N52" t="s">
        <v>79</v>
      </c>
      <c r="O52">
        <v>273525</v>
      </c>
      <c r="P52" t="str">
        <f t="shared" si="2"/>
        <v>https://permalinkbnd.bnportugal.gov.pt/viewer/273525/?offset=#page=10&amp;viewer=picture&amp;o=info&amp;n=0&amp;q=</v>
      </c>
      <c r="Q52">
        <v>458290</v>
      </c>
      <c r="R52" t="s">
        <v>79</v>
      </c>
      <c r="S52" t="s">
        <v>1487</v>
      </c>
      <c r="T52" t="s">
        <v>1178</v>
      </c>
      <c r="U52" t="s">
        <v>1321</v>
      </c>
      <c r="V52" t="s">
        <v>1192</v>
      </c>
      <c r="W52" t="s">
        <v>1488</v>
      </c>
      <c r="X52" t="s">
        <v>1489</v>
      </c>
      <c r="Y52" t="s">
        <v>599</v>
      </c>
      <c r="Z52" t="s">
        <v>1182</v>
      </c>
      <c r="AA52" t="s">
        <v>1490</v>
      </c>
      <c r="AB52">
        <v>1890</v>
      </c>
      <c r="AC52">
        <v>1890</v>
      </c>
      <c r="AD52" t="s">
        <v>1491</v>
      </c>
      <c r="AE52" t="s">
        <v>1185</v>
      </c>
      <c r="AF52" t="s">
        <v>599</v>
      </c>
      <c r="AG52" t="s">
        <v>599</v>
      </c>
      <c r="AH52" t="s">
        <v>1492</v>
      </c>
      <c r="AI52" t="s">
        <v>599</v>
      </c>
      <c r="AJ52" t="s">
        <v>599</v>
      </c>
      <c r="AK52" t="s">
        <v>1493</v>
      </c>
      <c r="AL52" t="s">
        <v>1188</v>
      </c>
      <c r="AM52" t="s">
        <v>1494</v>
      </c>
      <c r="AN52" t="s">
        <v>1190</v>
      </c>
      <c r="AO52" t="s">
        <v>599</v>
      </c>
      <c r="AP52" t="s">
        <v>599</v>
      </c>
      <c r="AQ52" t="s">
        <v>599</v>
      </c>
      <c r="AR52" t="s">
        <v>599</v>
      </c>
      <c r="AS52" t="s">
        <v>599</v>
      </c>
      <c r="AT52" t="s">
        <v>599</v>
      </c>
      <c r="AU52" t="s">
        <v>599</v>
      </c>
    </row>
    <row r="53" spans="1:47" s="13" customFormat="1" ht="60" x14ac:dyDescent="0.25">
      <c r="A53" s="9">
        <v>10100</v>
      </c>
      <c r="B53" s="10">
        <v>458655</v>
      </c>
      <c r="C53" s="10">
        <v>1</v>
      </c>
      <c r="D53" s="9">
        <v>11</v>
      </c>
      <c r="E53" s="11" t="s">
        <v>81</v>
      </c>
      <c r="F53" s="11" t="str">
        <f t="shared" si="0"/>
        <v>https://purl.pt/42928</v>
      </c>
      <c r="G53" s="12" t="s">
        <v>82</v>
      </c>
      <c r="H53" s="9" t="s">
        <v>83</v>
      </c>
      <c r="I53" s="34"/>
      <c r="J53" s="55" t="str">
        <f t="shared" si="1"/>
        <v>https://permalinkbnd.bnportugal.gov.pt/viewer/270116/?offset=#page=11&amp;viewer=picture&amp;o=info&amp;n=0&amp;q=</v>
      </c>
      <c r="K53" s="45"/>
      <c r="L53" s="45"/>
      <c r="M53" s="45"/>
      <c r="N53" t="s">
        <v>81</v>
      </c>
      <c r="O53">
        <v>270116</v>
      </c>
      <c r="P53" t="str">
        <f t="shared" si="2"/>
        <v>https://permalinkbnd.bnportugal.gov.pt/viewer/270116/?offset=#page=11&amp;viewer=picture&amp;o=info&amp;n=0&amp;q=</v>
      </c>
      <c r="Q53">
        <v>458655</v>
      </c>
      <c r="R53" t="s">
        <v>81</v>
      </c>
      <c r="S53" t="s">
        <v>1495</v>
      </c>
      <c r="T53" t="s">
        <v>1178</v>
      </c>
      <c r="U53" t="s">
        <v>1192</v>
      </c>
      <c r="V53" t="s">
        <v>599</v>
      </c>
      <c r="W53" t="s">
        <v>1496</v>
      </c>
      <c r="X53" t="s">
        <v>599</v>
      </c>
      <c r="Y53" t="s">
        <v>599</v>
      </c>
      <c r="Z53" t="s">
        <v>1182</v>
      </c>
      <c r="AA53" t="s">
        <v>1497</v>
      </c>
      <c r="AB53">
        <v>1887</v>
      </c>
      <c r="AC53">
        <v>1887</v>
      </c>
      <c r="AD53" t="s">
        <v>1498</v>
      </c>
      <c r="AE53" t="s">
        <v>599</v>
      </c>
      <c r="AF53" t="s">
        <v>599</v>
      </c>
      <c r="AG53" t="s">
        <v>599</v>
      </c>
      <c r="AH53" t="s">
        <v>599</v>
      </c>
      <c r="AI53" t="s">
        <v>599</v>
      </c>
      <c r="AJ53" t="s">
        <v>599</v>
      </c>
      <c r="AK53" t="s">
        <v>1499</v>
      </c>
      <c r="AL53" t="s">
        <v>1188</v>
      </c>
      <c r="AM53" t="s">
        <v>1500</v>
      </c>
      <c r="AN53" t="s">
        <v>1190</v>
      </c>
      <c r="AO53" t="s">
        <v>599</v>
      </c>
      <c r="AP53" t="s">
        <v>599</v>
      </c>
      <c r="AQ53" t="s">
        <v>599</v>
      </c>
      <c r="AR53" t="s">
        <v>599</v>
      </c>
      <c r="AS53" t="s">
        <v>599</v>
      </c>
      <c r="AT53" t="s">
        <v>599</v>
      </c>
      <c r="AU53" t="s">
        <v>599</v>
      </c>
    </row>
    <row r="54" spans="1:47" s="13" customFormat="1" ht="60" x14ac:dyDescent="0.25">
      <c r="A54" s="9">
        <v>10101</v>
      </c>
      <c r="B54" s="10">
        <v>458655</v>
      </c>
      <c r="C54" s="10">
        <v>2</v>
      </c>
      <c r="D54" s="9">
        <v>5</v>
      </c>
      <c r="E54" s="11" t="s">
        <v>81</v>
      </c>
      <c r="F54" s="11" t="str">
        <f t="shared" si="0"/>
        <v>https://purl.pt/42928</v>
      </c>
      <c r="G54" s="12" t="s">
        <v>82</v>
      </c>
      <c r="H54" s="9" t="s">
        <v>83</v>
      </c>
      <c r="I54" s="34"/>
      <c r="J54" s="55" t="str">
        <f t="shared" si="1"/>
        <v>https://permalinkbnd.bnportugal.gov.pt/viewer/270116/?offset=#page=5&amp;viewer=picture&amp;o=info&amp;n=0&amp;q=</v>
      </c>
      <c r="K54" s="45"/>
      <c r="L54" s="45"/>
      <c r="M54" s="45"/>
      <c r="N54" t="s">
        <v>81</v>
      </c>
      <c r="O54">
        <v>270116</v>
      </c>
      <c r="P54" t="str">
        <f t="shared" si="2"/>
        <v>https://permalinkbnd.bnportugal.gov.pt/viewer/270116/?offset=#page=5&amp;viewer=picture&amp;o=info&amp;n=0&amp;q=</v>
      </c>
      <c r="Q54">
        <v>458655</v>
      </c>
      <c r="R54" t="s">
        <v>81</v>
      </c>
      <c r="S54" t="s">
        <v>1495</v>
      </c>
      <c r="T54" t="s">
        <v>1178</v>
      </c>
      <c r="U54" t="s">
        <v>1192</v>
      </c>
      <c r="V54" t="s">
        <v>599</v>
      </c>
      <c r="W54" t="s">
        <v>1496</v>
      </c>
      <c r="X54" t="s">
        <v>599</v>
      </c>
      <c r="Y54" t="s">
        <v>599</v>
      </c>
      <c r="Z54" t="s">
        <v>1182</v>
      </c>
      <c r="AA54" t="s">
        <v>1497</v>
      </c>
      <c r="AB54">
        <v>1887</v>
      </c>
      <c r="AC54">
        <v>1887</v>
      </c>
      <c r="AD54" t="s">
        <v>1498</v>
      </c>
      <c r="AE54" t="s">
        <v>599</v>
      </c>
      <c r="AF54" t="s">
        <v>599</v>
      </c>
      <c r="AG54" t="s">
        <v>599</v>
      </c>
      <c r="AH54" t="s">
        <v>599</v>
      </c>
      <c r="AI54" t="s">
        <v>599</v>
      </c>
      <c r="AJ54" t="s">
        <v>599</v>
      </c>
      <c r="AK54" t="s">
        <v>1499</v>
      </c>
      <c r="AL54" t="s">
        <v>1188</v>
      </c>
      <c r="AM54" t="s">
        <v>1500</v>
      </c>
      <c r="AN54" t="s">
        <v>1190</v>
      </c>
      <c r="AO54" t="s">
        <v>599</v>
      </c>
      <c r="AP54" t="s">
        <v>599</v>
      </c>
      <c r="AQ54" t="s">
        <v>599</v>
      </c>
      <c r="AR54" t="s">
        <v>599</v>
      </c>
      <c r="AS54" t="s">
        <v>599</v>
      </c>
      <c r="AT54" t="s">
        <v>599</v>
      </c>
      <c r="AU54" t="s">
        <v>599</v>
      </c>
    </row>
    <row r="55" spans="1:47" s="32" customFormat="1" ht="60" x14ac:dyDescent="0.25">
      <c r="A55" s="28">
        <v>10102</v>
      </c>
      <c r="B55" s="29">
        <v>458655</v>
      </c>
      <c r="C55" s="29">
        <v>2</v>
      </c>
      <c r="D55" s="28">
        <v>12</v>
      </c>
      <c r="E55" s="30" t="s">
        <v>81</v>
      </c>
      <c r="F55" s="30" t="str">
        <f t="shared" si="0"/>
        <v>https://purl.pt/42928</v>
      </c>
      <c r="G55" s="31" t="s">
        <v>82</v>
      </c>
      <c r="H55" s="28" t="s">
        <v>83</v>
      </c>
      <c r="I55" s="35" t="s">
        <v>613</v>
      </c>
      <c r="J55" s="55" t="str">
        <f t="shared" si="1"/>
        <v>https://permalinkbnd.bnportugal.gov.pt/viewer/270116/?offset=#page=12&amp;viewer=picture&amp;o=info&amp;n=0&amp;q=</v>
      </c>
      <c r="K55" s="45"/>
      <c r="L55" s="45"/>
      <c r="M55" s="45"/>
      <c r="N55" t="s">
        <v>81</v>
      </c>
      <c r="O55">
        <v>270116</v>
      </c>
      <c r="P55" t="str">
        <f t="shared" si="2"/>
        <v>https://permalinkbnd.bnportugal.gov.pt/viewer/270116/?offset=#page=12&amp;viewer=picture&amp;o=info&amp;n=0&amp;q=</v>
      </c>
      <c r="Q55">
        <v>458655</v>
      </c>
      <c r="R55" t="s">
        <v>81</v>
      </c>
      <c r="S55" t="s">
        <v>1495</v>
      </c>
      <c r="T55" t="s">
        <v>1178</v>
      </c>
      <c r="U55" t="s">
        <v>1192</v>
      </c>
      <c r="V55" t="s">
        <v>599</v>
      </c>
      <c r="W55" t="s">
        <v>1496</v>
      </c>
      <c r="X55" t="s">
        <v>599</v>
      </c>
      <c r="Y55" t="s">
        <v>599</v>
      </c>
      <c r="Z55" t="s">
        <v>1182</v>
      </c>
      <c r="AA55" t="s">
        <v>1497</v>
      </c>
      <c r="AB55">
        <v>1887</v>
      </c>
      <c r="AC55">
        <v>1887</v>
      </c>
      <c r="AD55" t="s">
        <v>1498</v>
      </c>
      <c r="AE55" t="s">
        <v>599</v>
      </c>
      <c r="AF55" t="s">
        <v>599</v>
      </c>
      <c r="AG55" t="s">
        <v>599</v>
      </c>
      <c r="AH55" t="s">
        <v>599</v>
      </c>
      <c r="AI55" t="s">
        <v>599</v>
      </c>
      <c r="AJ55" t="s">
        <v>599</v>
      </c>
      <c r="AK55" t="s">
        <v>1499</v>
      </c>
      <c r="AL55" t="s">
        <v>1188</v>
      </c>
      <c r="AM55" t="s">
        <v>1500</v>
      </c>
      <c r="AN55" t="s">
        <v>1190</v>
      </c>
      <c r="AO55" t="s">
        <v>599</v>
      </c>
      <c r="AP55" t="s">
        <v>599</v>
      </c>
      <c r="AQ55" t="s">
        <v>599</v>
      </c>
      <c r="AR55" t="s">
        <v>599</v>
      </c>
      <c r="AS55" t="s">
        <v>599</v>
      </c>
      <c r="AT55" t="s">
        <v>599</v>
      </c>
      <c r="AU55" t="s">
        <v>599</v>
      </c>
    </row>
    <row r="56" spans="1:47" s="32" customFormat="1" ht="60" x14ac:dyDescent="0.25">
      <c r="A56" s="28">
        <v>10103</v>
      </c>
      <c r="B56" s="29">
        <v>458655</v>
      </c>
      <c r="C56" s="29">
        <v>2</v>
      </c>
      <c r="D56" s="28">
        <v>12</v>
      </c>
      <c r="E56" s="30" t="s">
        <v>81</v>
      </c>
      <c r="F56" s="30" t="str">
        <f t="shared" si="0"/>
        <v>https://purl.pt/42928</v>
      </c>
      <c r="G56" s="31" t="s">
        <v>82</v>
      </c>
      <c r="H56" s="28" t="s">
        <v>83</v>
      </c>
      <c r="I56" s="35" t="s">
        <v>613</v>
      </c>
      <c r="J56" s="55" t="str">
        <f t="shared" si="1"/>
        <v>https://permalinkbnd.bnportugal.gov.pt/viewer/270116/?offset=#page=12&amp;viewer=picture&amp;o=info&amp;n=0&amp;q=</v>
      </c>
      <c r="K56" s="45"/>
      <c r="L56" s="45"/>
      <c r="M56" s="45"/>
      <c r="N56" t="s">
        <v>81</v>
      </c>
      <c r="O56">
        <v>270116</v>
      </c>
      <c r="P56" t="str">
        <f t="shared" si="2"/>
        <v>https://permalinkbnd.bnportugal.gov.pt/viewer/270116/?offset=#page=12&amp;viewer=picture&amp;o=info&amp;n=0&amp;q=</v>
      </c>
      <c r="Q56">
        <v>458655</v>
      </c>
      <c r="R56" t="s">
        <v>81</v>
      </c>
      <c r="S56" t="s">
        <v>1495</v>
      </c>
      <c r="T56" t="s">
        <v>1178</v>
      </c>
      <c r="U56" t="s">
        <v>1192</v>
      </c>
      <c r="V56" t="s">
        <v>599</v>
      </c>
      <c r="W56" t="s">
        <v>1496</v>
      </c>
      <c r="X56" t="s">
        <v>599</v>
      </c>
      <c r="Y56" t="s">
        <v>599</v>
      </c>
      <c r="Z56" t="s">
        <v>1182</v>
      </c>
      <c r="AA56" t="s">
        <v>1497</v>
      </c>
      <c r="AB56">
        <v>1887</v>
      </c>
      <c r="AC56">
        <v>1887</v>
      </c>
      <c r="AD56" t="s">
        <v>1498</v>
      </c>
      <c r="AE56" t="s">
        <v>599</v>
      </c>
      <c r="AF56" t="s">
        <v>599</v>
      </c>
      <c r="AG56" t="s">
        <v>599</v>
      </c>
      <c r="AH56" t="s">
        <v>599</v>
      </c>
      <c r="AI56" t="s">
        <v>599</v>
      </c>
      <c r="AJ56" t="s">
        <v>599</v>
      </c>
      <c r="AK56" t="s">
        <v>1499</v>
      </c>
      <c r="AL56" t="s">
        <v>1188</v>
      </c>
      <c r="AM56" t="s">
        <v>1500</v>
      </c>
      <c r="AN56" t="s">
        <v>1190</v>
      </c>
      <c r="AO56" t="s">
        <v>599</v>
      </c>
      <c r="AP56" t="s">
        <v>599</v>
      </c>
      <c r="AQ56" t="s">
        <v>599</v>
      </c>
      <c r="AR56" t="s">
        <v>599</v>
      </c>
      <c r="AS56" t="s">
        <v>599</v>
      </c>
      <c r="AT56" t="s">
        <v>599</v>
      </c>
      <c r="AU56" t="s">
        <v>599</v>
      </c>
    </row>
    <row r="57" spans="1:47" s="32" customFormat="1" ht="60" x14ac:dyDescent="0.25">
      <c r="A57" s="28">
        <v>10104</v>
      </c>
      <c r="B57" s="29">
        <v>458655</v>
      </c>
      <c r="C57" s="29">
        <v>3</v>
      </c>
      <c r="D57" s="28">
        <v>11</v>
      </c>
      <c r="E57" s="30" t="s">
        <v>81</v>
      </c>
      <c r="F57" s="30" t="str">
        <f t="shared" si="0"/>
        <v>https://purl.pt/42928</v>
      </c>
      <c r="G57" s="31" t="s">
        <v>82</v>
      </c>
      <c r="H57" s="28" t="s">
        <v>83</v>
      </c>
      <c r="I57" s="35" t="s">
        <v>613</v>
      </c>
      <c r="J57" s="55" t="str">
        <f t="shared" si="1"/>
        <v>https://permalinkbnd.bnportugal.gov.pt/viewer/270116/?offset=#page=11&amp;viewer=picture&amp;o=info&amp;n=0&amp;q=</v>
      </c>
      <c r="K57" s="45"/>
      <c r="L57" s="45"/>
      <c r="M57" s="45"/>
      <c r="N57" t="s">
        <v>81</v>
      </c>
      <c r="O57">
        <v>270116</v>
      </c>
      <c r="P57" t="str">
        <f t="shared" si="2"/>
        <v>https://permalinkbnd.bnportugal.gov.pt/viewer/270116/?offset=#page=11&amp;viewer=picture&amp;o=info&amp;n=0&amp;q=</v>
      </c>
      <c r="Q57">
        <v>458655</v>
      </c>
      <c r="R57" t="s">
        <v>81</v>
      </c>
      <c r="S57" t="s">
        <v>1495</v>
      </c>
      <c r="T57" t="s">
        <v>1178</v>
      </c>
      <c r="U57" t="s">
        <v>1192</v>
      </c>
      <c r="V57" t="s">
        <v>599</v>
      </c>
      <c r="W57" t="s">
        <v>1496</v>
      </c>
      <c r="X57" t="s">
        <v>599</v>
      </c>
      <c r="Y57" t="s">
        <v>599</v>
      </c>
      <c r="Z57" t="s">
        <v>1182</v>
      </c>
      <c r="AA57" t="s">
        <v>1497</v>
      </c>
      <c r="AB57">
        <v>1887</v>
      </c>
      <c r="AC57">
        <v>1887</v>
      </c>
      <c r="AD57" t="s">
        <v>1498</v>
      </c>
      <c r="AE57" t="s">
        <v>599</v>
      </c>
      <c r="AF57" t="s">
        <v>599</v>
      </c>
      <c r="AG57" t="s">
        <v>599</v>
      </c>
      <c r="AH57" t="s">
        <v>599</v>
      </c>
      <c r="AI57" t="s">
        <v>599</v>
      </c>
      <c r="AJ57" t="s">
        <v>599</v>
      </c>
      <c r="AK57" t="s">
        <v>1499</v>
      </c>
      <c r="AL57" t="s">
        <v>1188</v>
      </c>
      <c r="AM57" t="s">
        <v>1500</v>
      </c>
      <c r="AN57" t="s">
        <v>1190</v>
      </c>
      <c r="AO57" t="s">
        <v>599</v>
      </c>
      <c r="AP57" t="s">
        <v>599</v>
      </c>
      <c r="AQ57" t="s">
        <v>599</v>
      </c>
      <c r="AR57" t="s">
        <v>599</v>
      </c>
      <c r="AS57" t="s">
        <v>599</v>
      </c>
      <c r="AT57" t="s">
        <v>599</v>
      </c>
      <c r="AU57" t="s">
        <v>599</v>
      </c>
    </row>
    <row r="58" spans="1:47" s="32" customFormat="1" ht="60" x14ac:dyDescent="0.25">
      <c r="A58" s="28">
        <v>10105</v>
      </c>
      <c r="B58" s="29">
        <v>458655</v>
      </c>
      <c r="C58" s="29">
        <v>3</v>
      </c>
      <c r="D58" s="28">
        <v>12</v>
      </c>
      <c r="E58" s="30" t="s">
        <v>81</v>
      </c>
      <c r="F58" s="30" t="str">
        <f t="shared" si="0"/>
        <v>https://purl.pt/42928</v>
      </c>
      <c r="G58" s="31" t="s">
        <v>82</v>
      </c>
      <c r="H58" s="28" t="s">
        <v>83</v>
      </c>
      <c r="I58" s="35" t="s">
        <v>613</v>
      </c>
      <c r="J58" s="55" t="str">
        <f t="shared" si="1"/>
        <v>https://permalinkbnd.bnportugal.gov.pt/viewer/270116/?offset=#page=12&amp;viewer=picture&amp;o=info&amp;n=0&amp;q=</v>
      </c>
      <c r="K58" s="45"/>
      <c r="L58" s="45"/>
      <c r="M58" s="45"/>
      <c r="N58" t="s">
        <v>81</v>
      </c>
      <c r="O58">
        <v>270116</v>
      </c>
      <c r="P58" t="str">
        <f t="shared" si="2"/>
        <v>https://permalinkbnd.bnportugal.gov.pt/viewer/270116/?offset=#page=12&amp;viewer=picture&amp;o=info&amp;n=0&amp;q=</v>
      </c>
      <c r="Q58">
        <v>458655</v>
      </c>
      <c r="R58" t="s">
        <v>81</v>
      </c>
      <c r="S58" t="s">
        <v>1495</v>
      </c>
      <c r="T58" t="s">
        <v>1178</v>
      </c>
      <c r="U58" t="s">
        <v>1192</v>
      </c>
      <c r="V58" t="s">
        <v>599</v>
      </c>
      <c r="W58" t="s">
        <v>1496</v>
      </c>
      <c r="X58" t="s">
        <v>599</v>
      </c>
      <c r="Y58" t="s">
        <v>599</v>
      </c>
      <c r="Z58" t="s">
        <v>1182</v>
      </c>
      <c r="AA58" t="s">
        <v>1497</v>
      </c>
      <c r="AB58">
        <v>1887</v>
      </c>
      <c r="AC58">
        <v>1887</v>
      </c>
      <c r="AD58" t="s">
        <v>1498</v>
      </c>
      <c r="AE58" t="s">
        <v>599</v>
      </c>
      <c r="AF58" t="s">
        <v>599</v>
      </c>
      <c r="AG58" t="s">
        <v>599</v>
      </c>
      <c r="AH58" t="s">
        <v>599</v>
      </c>
      <c r="AI58" t="s">
        <v>599</v>
      </c>
      <c r="AJ58" t="s">
        <v>599</v>
      </c>
      <c r="AK58" t="s">
        <v>1499</v>
      </c>
      <c r="AL58" t="s">
        <v>1188</v>
      </c>
      <c r="AM58" t="s">
        <v>1500</v>
      </c>
      <c r="AN58" t="s">
        <v>1190</v>
      </c>
      <c r="AO58" t="s">
        <v>599</v>
      </c>
      <c r="AP58" t="s">
        <v>599</v>
      </c>
      <c r="AQ58" t="s">
        <v>599</v>
      </c>
      <c r="AR58" t="s">
        <v>599</v>
      </c>
      <c r="AS58" t="s">
        <v>599</v>
      </c>
      <c r="AT58" t="s">
        <v>599</v>
      </c>
      <c r="AU58" t="s">
        <v>599</v>
      </c>
    </row>
    <row r="59" spans="1:47" s="26" customFormat="1" ht="30" x14ac:dyDescent="0.25">
      <c r="A59" s="22">
        <v>10107</v>
      </c>
      <c r="B59" s="23">
        <v>465606</v>
      </c>
      <c r="C59" s="23">
        <v>1</v>
      </c>
      <c r="D59" s="27">
        <v>3</v>
      </c>
      <c r="E59" s="24" t="s">
        <v>84</v>
      </c>
      <c r="F59" s="24" t="str">
        <f t="shared" si="0"/>
        <v>https://purl.pt/43836</v>
      </c>
      <c r="G59" s="25">
        <v>3</v>
      </c>
      <c r="H59" s="22"/>
      <c r="I59" s="27" t="s">
        <v>616</v>
      </c>
      <c r="J59" s="55" t="str">
        <f t="shared" si="1"/>
        <v>https://permalinkbnd.bnportugal.gov.pt/viewer/274117/?offset=#page=3&amp;viewer=picture&amp;o=info&amp;n=0&amp;q=</v>
      </c>
      <c r="K59" s="45"/>
      <c r="L59" s="45"/>
      <c r="M59" s="45"/>
      <c r="N59" t="s">
        <v>84</v>
      </c>
      <c r="O59">
        <v>274117</v>
      </c>
      <c r="P59" t="str">
        <f t="shared" si="2"/>
        <v>https://permalinkbnd.bnportugal.gov.pt/viewer/274117/?offset=#page=3&amp;viewer=picture&amp;o=info&amp;n=0&amp;q=</v>
      </c>
      <c r="Q59">
        <v>465606</v>
      </c>
      <c r="R59" t="s">
        <v>84</v>
      </c>
      <c r="S59" t="s">
        <v>1501</v>
      </c>
      <c r="T59" t="s">
        <v>1178</v>
      </c>
      <c r="U59" t="s">
        <v>1502</v>
      </c>
      <c r="V59" t="s">
        <v>599</v>
      </c>
      <c r="W59" t="s">
        <v>1503</v>
      </c>
      <c r="X59" t="s">
        <v>599</v>
      </c>
      <c r="Y59" t="s">
        <v>599</v>
      </c>
      <c r="Z59" t="s">
        <v>1182</v>
      </c>
      <c r="AA59" t="s">
        <v>1504</v>
      </c>
      <c r="AB59">
        <v>1845</v>
      </c>
      <c r="AC59">
        <v>1845</v>
      </c>
      <c r="AD59" t="s">
        <v>1463</v>
      </c>
      <c r="AE59" t="s">
        <v>1505</v>
      </c>
      <c r="AF59" t="s">
        <v>599</v>
      </c>
      <c r="AG59" t="s">
        <v>599</v>
      </c>
      <c r="AH59" t="s">
        <v>1506</v>
      </c>
      <c r="AI59" t="s">
        <v>599</v>
      </c>
      <c r="AJ59" t="s">
        <v>599</v>
      </c>
      <c r="AK59" t="s">
        <v>1507</v>
      </c>
      <c r="AL59" t="s">
        <v>1188</v>
      </c>
      <c r="AM59" t="s">
        <v>1508</v>
      </c>
      <c r="AN59" t="s">
        <v>1190</v>
      </c>
      <c r="AO59" t="s">
        <v>599</v>
      </c>
      <c r="AP59" t="s">
        <v>599</v>
      </c>
      <c r="AQ59" t="s">
        <v>599</v>
      </c>
      <c r="AR59" t="s">
        <v>599</v>
      </c>
      <c r="AS59" t="s">
        <v>599</v>
      </c>
      <c r="AT59" t="s">
        <v>599</v>
      </c>
      <c r="AU59" t="s">
        <v>599</v>
      </c>
    </row>
    <row r="60" spans="1:47" s="26" customFormat="1" ht="30" x14ac:dyDescent="0.25">
      <c r="A60" s="22">
        <v>10112</v>
      </c>
      <c r="B60" s="23">
        <v>471392</v>
      </c>
      <c r="C60" s="23">
        <v>1</v>
      </c>
      <c r="D60" s="27">
        <v>5</v>
      </c>
      <c r="E60" s="24" t="s">
        <v>85</v>
      </c>
      <c r="F60" s="24" t="str">
        <f t="shared" si="0"/>
        <v>https://purl.pt/43854</v>
      </c>
      <c r="G60" s="25">
        <v>5</v>
      </c>
      <c r="H60" s="22"/>
      <c r="I60" s="27" t="s">
        <v>618</v>
      </c>
      <c r="J60" s="55" t="str">
        <f t="shared" si="1"/>
        <v>https://permalinkbnd.bnportugal.gov.pt/viewer/274153/?offset=#page=5&amp;viewer=picture&amp;o=info&amp;n=0&amp;q=</v>
      </c>
      <c r="K60" s="45"/>
      <c r="L60" s="45"/>
      <c r="M60" s="45"/>
      <c r="N60" t="s">
        <v>85</v>
      </c>
      <c r="O60">
        <v>274153</v>
      </c>
      <c r="P60" t="str">
        <f t="shared" si="2"/>
        <v>https://permalinkbnd.bnportugal.gov.pt/viewer/274153/?offset=#page=5&amp;viewer=picture&amp;o=info&amp;n=0&amp;q=</v>
      </c>
      <c r="Q60">
        <v>471392</v>
      </c>
      <c r="R60" t="s">
        <v>85</v>
      </c>
      <c r="S60" t="s">
        <v>1509</v>
      </c>
      <c r="T60" t="s">
        <v>1178</v>
      </c>
      <c r="U60" t="s">
        <v>1179</v>
      </c>
      <c r="V60" t="s">
        <v>599</v>
      </c>
      <c r="W60" t="s">
        <v>1105</v>
      </c>
      <c r="X60" t="s">
        <v>1510</v>
      </c>
      <c r="Y60" t="s">
        <v>599</v>
      </c>
      <c r="Z60" t="s">
        <v>1182</v>
      </c>
      <c r="AA60" t="s">
        <v>1437</v>
      </c>
      <c r="AB60">
        <v>1857</v>
      </c>
      <c r="AC60">
        <v>1857</v>
      </c>
      <c r="AD60" t="s">
        <v>1511</v>
      </c>
      <c r="AE60" t="s">
        <v>1512</v>
      </c>
      <c r="AF60" t="s">
        <v>599</v>
      </c>
      <c r="AG60" t="s">
        <v>599</v>
      </c>
      <c r="AH60" t="s">
        <v>599</v>
      </c>
      <c r="AI60" t="s">
        <v>599</v>
      </c>
      <c r="AJ60" t="s">
        <v>599</v>
      </c>
      <c r="AK60" t="s">
        <v>1513</v>
      </c>
      <c r="AL60" t="s">
        <v>1188</v>
      </c>
      <c r="AM60" t="s">
        <v>1514</v>
      </c>
      <c r="AN60" t="s">
        <v>1190</v>
      </c>
      <c r="AO60" t="s">
        <v>599</v>
      </c>
      <c r="AP60" t="s">
        <v>599</v>
      </c>
      <c r="AQ60" t="s">
        <v>1515</v>
      </c>
      <c r="AR60" t="s">
        <v>599</v>
      </c>
      <c r="AS60" t="s">
        <v>599</v>
      </c>
      <c r="AT60" t="s">
        <v>599</v>
      </c>
      <c r="AU60" t="s">
        <v>599</v>
      </c>
    </row>
    <row r="61" spans="1:47" s="13" customFormat="1" ht="30" x14ac:dyDescent="0.25">
      <c r="A61" s="9">
        <v>10113</v>
      </c>
      <c r="B61" s="10">
        <v>475171</v>
      </c>
      <c r="C61" s="10">
        <v>1</v>
      </c>
      <c r="D61" s="9">
        <v>13</v>
      </c>
      <c r="E61" s="11" t="s">
        <v>86</v>
      </c>
      <c r="F61" s="11" t="str">
        <f t="shared" si="0"/>
        <v>https://purl.pt/43413</v>
      </c>
      <c r="G61" s="12">
        <v>13</v>
      </c>
      <c r="H61" s="9">
        <v>13</v>
      </c>
      <c r="I61" s="34"/>
      <c r="J61" s="55" t="str">
        <f t="shared" si="1"/>
        <v>https://permalinkbnd.bnportugal.gov.pt/viewer/272371/?offset=#page=13&amp;viewer=picture&amp;o=info&amp;n=0&amp;q=</v>
      </c>
      <c r="K61" s="45"/>
      <c r="L61" s="45"/>
      <c r="M61" s="45"/>
      <c r="N61" t="s">
        <v>86</v>
      </c>
      <c r="O61">
        <v>272371</v>
      </c>
      <c r="P61" t="str">
        <f t="shared" si="2"/>
        <v>https://permalinkbnd.bnportugal.gov.pt/viewer/272371/?offset=#page=13&amp;viewer=picture&amp;o=info&amp;n=0&amp;q=</v>
      </c>
      <c r="Q61">
        <v>475171</v>
      </c>
      <c r="R61" t="s">
        <v>86</v>
      </c>
      <c r="S61" t="s">
        <v>1516</v>
      </c>
      <c r="T61" t="s">
        <v>1517</v>
      </c>
      <c r="U61" t="s">
        <v>1518</v>
      </c>
      <c r="V61" t="s">
        <v>1192</v>
      </c>
      <c r="W61" t="s">
        <v>1519</v>
      </c>
      <c r="X61" t="s">
        <v>599</v>
      </c>
      <c r="Y61" t="s">
        <v>599</v>
      </c>
      <c r="Z61" t="s">
        <v>1182</v>
      </c>
      <c r="AA61" t="s">
        <v>599</v>
      </c>
      <c r="AB61">
        <v>1625</v>
      </c>
      <c r="AC61">
        <v>1625</v>
      </c>
      <c r="AD61" t="s">
        <v>1520</v>
      </c>
      <c r="AE61" t="s">
        <v>1185</v>
      </c>
      <c r="AF61" t="s">
        <v>599</v>
      </c>
      <c r="AG61" t="s">
        <v>599</v>
      </c>
      <c r="AH61" t="s">
        <v>1521</v>
      </c>
      <c r="AI61" t="s">
        <v>599</v>
      </c>
      <c r="AJ61" t="s">
        <v>599</v>
      </c>
      <c r="AK61" t="s">
        <v>1522</v>
      </c>
      <c r="AL61" t="s">
        <v>1188</v>
      </c>
      <c r="AM61" t="s">
        <v>1523</v>
      </c>
      <c r="AN61" t="s">
        <v>1190</v>
      </c>
      <c r="AO61" t="s">
        <v>1524</v>
      </c>
      <c r="AP61" t="s">
        <v>1525</v>
      </c>
      <c r="AQ61" t="s">
        <v>599</v>
      </c>
      <c r="AR61" t="s">
        <v>599</v>
      </c>
      <c r="AS61" t="s">
        <v>1526</v>
      </c>
      <c r="AT61" t="s">
        <v>599</v>
      </c>
      <c r="AU61" t="s">
        <v>599</v>
      </c>
    </row>
    <row r="62" spans="1:47" s="26" customFormat="1" ht="30" x14ac:dyDescent="0.25">
      <c r="A62" s="22">
        <v>10116</v>
      </c>
      <c r="B62" s="23">
        <v>475214</v>
      </c>
      <c r="C62" s="23">
        <v>1</v>
      </c>
      <c r="D62" s="27">
        <v>7</v>
      </c>
      <c r="E62" s="24" t="s">
        <v>87</v>
      </c>
      <c r="F62" s="24" t="str">
        <f t="shared" si="0"/>
        <v>https://purl.pt/43856</v>
      </c>
      <c r="G62" s="25">
        <v>7</v>
      </c>
      <c r="H62" s="22"/>
      <c r="I62" s="27" t="s">
        <v>615</v>
      </c>
      <c r="J62" s="55" t="str">
        <f t="shared" si="1"/>
        <v>https://permalinkbnd.bnportugal.gov.pt/viewer/273182/?offset=#page=7&amp;viewer=picture&amp;o=info&amp;n=0&amp;q=</v>
      </c>
      <c r="K62" s="45"/>
      <c r="L62" s="45"/>
      <c r="M62" s="45"/>
      <c r="N62" t="s">
        <v>87</v>
      </c>
      <c r="O62">
        <v>273182</v>
      </c>
      <c r="P62" t="str">
        <f t="shared" si="2"/>
        <v>https://permalinkbnd.bnportugal.gov.pt/viewer/273182/?offset=#page=7&amp;viewer=picture&amp;o=info&amp;n=0&amp;q=</v>
      </c>
      <c r="Q62">
        <v>475214</v>
      </c>
      <c r="R62" t="s">
        <v>87</v>
      </c>
      <c r="S62" t="s">
        <v>1527</v>
      </c>
      <c r="T62" t="s">
        <v>1178</v>
      </c>
      <c r="U62" t="s">
        <v>1528</v>
      </c>
      <c r="V62" t="s">
        <v>599</v>
      </c>
      <c r="W62" t="s">
        <v>1219</v>
      </c>
      <c r="X62" t="s">
        <v>1529</v>
      </c>
      <c r="Y62" t="s">
        <v>599</v>
      </c>
      <c r="Z62" t="s">
        <v>1182</v>
      </c>
      <c r="AA62" t="s">
        <v>1530</v>
      </c>
      <c r="AB62">
        <v>1892</v>
      </c>
      <c r="AC62">
        <v>1892</v>
      </c>
      <c r="AD62" t="s">
        <v>1531</v>
      </c>
      <c r="AE62" t="s">
        <v>1185</v>
      </c>
      <c r="AF62" t="s">
        <v>599</v>
      </c>
      <c r="AG62" t="s">
        <v>599</v>
      </c>
      <c r="AH62" t="s">
        <v>1532</v>
      </c>
      <c r="AI62" t="s">
        <v>599</v>
      </c>
      <c r="AJ62" t="s">
        <v>1533</v>
      </c>
      <c r="AK62" t="s">
        <v>1534</v>
      </c>
      <c r="AL62" t="s">
        <v>1188</v>
      </c>
      <c r="AM62" t="s">
        <v>1535</v>
      </c>
      <c r="AN62" t="s">
        <v>1190</v>
      </c>
      <c r="AO62" t="s">
        <v>1536</v>
      </c>
      <c r="AP62" t="s">
        <v>599</v>
      </c>
      <c r="AQ62" t="s">
        <v>599</v>
      </c>
      <c r="AR62" t="s">
        <v>599</v>
      </c>
      <c r="AS62" t="s">
        <v>599</v>
      </c>
      <c r="AT62" t="s">
        <v>599</v>
      </c>
      <c r="AU62" t="s">
        <v>599</v>
      </c>
    </row>
    <row r="63" spans="1:47" s="13" customFormat="1" ht="30" x14ac:dyDescent="0.25">
      <c r="A63" s="9">
        <v>10119</v>
      </c>
      <c r="B63" s="10">
        <v>475453</v>
      </c>
      <c r="C63" s="10">
        <v>1</v>
      </c>
      <c r="D63" s="9">
        <v>1</v>
      </c>
      <c r="E63" s="11" t="s">
        <v>88</v>
      </c>
      <c r="F63" s="11" t="str">
        <f t="shared" si="0"/>
        <v>https://purl.pt/43768</v>
      </c>
      <c r="G63" s="12">
        <v>1</v>
      </c>
      <c r="H63" s="9">
        <v>1</v>
      </c>
      <c r="I63" s="34"/>
      <c r="J63" s="55" t="str">
        <f t="shared" si="1"/>
        <v>https://permalinkbnd.bnportugal.gov.pt/viewer/273318/?offset=#page=1&amp;viewer=picture&amp;o=info&amp;n=0&amp;q=</v>
      </c>
      <c r="K63" s="45"/>
      <c r="L63" s="45"/>
      <c r="M63" s="45"/>
      <c r="N63" t="s">
        <v>88</v>
      </c>
      <c r="O63">
        <v>273318</v>
      </c>
      <c r="P63" t="str">
        <f t="shared" si="2"/>
        <v>https://permalinkbnd.bnportugal.gov.pt/viewer/273318/?offset=#page=1&amp;viewer=picture&amp;o=info&amp;n=0&amp;q=</v>
      </c>
      <c r="Q63">
        <v>475453</v>
      </c>
      <c r="R63" t="s">
        <v>88</v>
      </c>
      <c r="S63" t="s">
        <v>1537</v>
      </c>
      <c r="T63" t="s">
        <v>1226</v>
      </c>
      <c r="U63" t="s">
        <v>1192</v>
      </c>
      <c r="V63" t="s">
        <v>599</v>
      </c>
      <c r="W63" t="s">
        <v>1538</v>
      </c>
      <c r="X63" t="s">
        <v>1539</v>
      </c>
      <c r="Y63" t="s">
        <v>599</v>
      </c>
      <c r="Z63" t="s">
        <v>1182</v>
      </c>
      <c r="AA63" t="s">
        <v>1437</v>
      </c>
      <c r="AB63">
        <v>1880</v>
      </c>
      <c r="AC63">
        <v>1880</v>
      </c>
      <c r="AD63" t="s">
        <v>599</v>
      </c>
      <c r="AE63" t="s">
        <v>599</v>
      </c>
      <c r="AF63" t="s">
        <v>599</v>
      </c>
      <c r="AG63" t="s">
        <v>599</v>
      </c>
      <c r="AH63" t="s">
        <v>599</v>
      </c>
      <c r="AI63" t="s">
        <v>599</v>
      </c>
      <c r="AJ63" t="s">
        <v>599</v>
      </c>
      <c r="AK63" t="s">
        <v>1540</v>
      </c>
      <c r="AL63" t="s">
        <v>1188</v>
      </c>
      <c r="AM63" t="s">
        <v>1541</v>
      </c>
      <c r="AN63" t="s">
        <v>1190</v>
      </c>
      <c r="AO63" t="s">
        <v>599</v>
      </c>
      <c r="AP63" t="s">
        <v>599</v>
      </c>
      <c r="AQ63" t="s">
        <v>599</v>
      </c>
      <c r="AR63" t="s">
        <v>599</v>
      </c>
      <c r="AS63" t="s">
        <v>599</v>
      </c>
      <c r="AT63" t="s">
        <v>599</v>
      </c>
      <c r="AU63" t="s">
        <v>599</v>
      </c>
    </row>
    <row r="64" spans="1:47" s="13" customFormat="1" ht="30" x14ac:dyDescent="0.25">
      <c r="A64" s="9">
        <v>10120</v>
      </c>
      <c r="B64" s="10">
        <v>475458</v>
      </c>
      <c r="C64" s="10">
        <v>1</v>
      </c>
      <c r="D64" s="9">
        <v>1</v>
      </c>
      <c r="E64" s="11" t="s">
        <v>89</v>
      </c>
      <c r="F64" s="11" t="str">
        <f t="shared" si="0"/>
        <v>https://purl.pt/43675</v>
      </c>
      <c r="G64" s="12">
        <v>1</v>
      </c>
      <c r="H64" s="9">
        <v>1</v>
      </c>
      <c r="I64" s="34"/>
      <c r="J64" s="55" t="str">
        <f t="shared" si="1"/>
        <v>https://permalinkbnd.bnportugal.gov.pt/viewer/273319/?offset=#page=1&amp;viewer=picture&amp;o=info&amp;n=0&amp;q=</v>
      </c>
      <c r="K64" s="45"/>
      <c r="L64" s="45"/>
      <c r="M64" s="45"/>
      <c r="N64" t="s">
        <v>89</v>
      </c>
      <c r="O64">
        <v>273319</v>
      </c>
      <c r="P64" t="str">
        <f t="shared" si="2"/>
        <v>https://permalinkbnd.bnportugal.gov.pt/viewer/273319/?offset=#page=1&amp;viewer=picture&amp;o=info&amp;n=0&amp;q=</v>
      </c>
      <c r="Q64">
        <v>475458</v>
      </c>
      <c r="R64" t="s">
        <v>89</v>
      </c>
      <c r="S64" t="s">
        <v>1542</v>
      </c>
      <c r="T64" t="s">
        <v>1178</v>
      </c>
      <c r="U64" t="s">
        <v>1192</v>
      </c>
      <c r="V64" t="s">
        <v>599</v>
      </c>
      <c r="W64" t="s">
        <v>1193</v>
      </c>
      <c r="X64" t="s">
        <v>1543</v>
      </c>
      <c r="Y64" t="s">
        <v>599</v>
      </c>
      <c r="Z64" t="s">
        <v>1182</v>
      </c>
      <c r="AA64" t="s">
        <v>1544</v>
      </c>
      <c r="AB64">
        <v>1880</v>
      </c>
      <c r="AC64">
        <v>1880</v>
      </c>
      <c r="AD64" t="s">
        <v>1545</v>
      </c>
      <c r="AE64" t="s">
        <v>1546</v>
      </c>
      <c r="AF64" t="s">
        <v>599</v>
      </c>
      <c r="AG64" t="s">
        <v>1185</v>
      </c>
      <c r="AH64" t="s">
        <v>599</v>
      </c>
      <c r="AI64" t="s">
        <v>599</v>
      </c>
      <c r="AJ64" t="s">
        <v>599</v>
      </c>
      <c r="AK64" t="s">
        <v>1547</v>
      </c>
      <c r="AL64" t="s">
        <v>1441</v>
      </c>
      <c r="AM64" t="s">
        <v>1548</v>
      </c>
      <c r="AN64" t="s">
        <v>1190</v>
      </c>
      <c r="AO64" t="s">
        <v>1549</v>
      </c>
      <c r="AP64" t="s">
        <v>599</v>
      </c>
      <c r="AQ64" t="s">
        <v>599</v>
      </c>
      <c r="AR64" t="s">
        <v>599</v>
      </c>
      <c r="AS64" t="s">
        <v>599</v>
      </c>
      <c r="AT64" t="s">
        <v>1443</v>
      </c>
      <c r="AU64" t="s">
        <v>599</v>
      </c>
    </row>
    <row r="65" spans="1:47" s="26" customFormat="1" ht="30" x14ac:dyDescent="0.25">
      <c r="A65" s="22">
        <v>10121</v>
      </c>
      <c r="B65" s="23">
        <v>476957</v>
      </c>
      <c r="C65" s="23">
        <v>1</v>
      </c>
      <c r="D65" s="27">
        <v>5</v>
      </c>
      <c r="E65" s="24" t="s">
        <v>90</v>
      </c>
      <c r="F65" s="24" t="str">
        <f t="shared" si="0"/>
        <v>https://purl.pt/43755</v>
      </c>
      <c r="G65" s="25" t="s">
        <v>91</v>
      </c>
      <c r="H65" s="22"/>
      <c r="I65" s="27" t="s">
        <v>618</v>
      </c>
      <c r="J65" s="55" t="str">
        <f t="shared" si="1"/>
        <v>https://permalinkbnd.bnportugal.gov.pt/viewer/273102/?offset=#page=5&amp;viewer=picture&amp;o=info&amp;n=0&amp;q=</v>
      </c>
      <c r="K65" s="45"/>
      <c r="L65" s="45"/>
      <c r="M65" s="45"/>
      <c r="N65" t="s">
        <v>90</v>
      </c>
      <c r="O65">
        <v>273102</v>
      </c>
      <c r="P65" t="str">
        <f t="shared" si="2"/>
        <v>https://permalinkbnd.bnportugal.gov.pt/viewer/273102/?offset=#page=5&amp;viewer=picture&amp;o=info&amp;n=0&amp;q=</v>
      </c>
      <c r="Q65">
        <v>476957</v>
      </c>
      <c r="R65" t="s">
        <v>90</v>
      </c>
      <c r="S65" t="s">
        <v>1550</v>
      </c>
      <c r="T65" t="s">
        <v>1178</v>
      </c>
      <c r="U65" t="s">
        <v>1192</v>
      </c>
      <c r="V65" t="s">
        <v>599</v>
      </c>
      <c r="W65" t="s">
        <v>1551</v>
      </c>
      <c r="X65" t="s">
        <v>599</v>
      </c>
      <c r="Y65" t="s">
        <v>599</v>
      </c>
      <c r="Z65" t="s">
        <v>1552</v>
      </c>
      <c r="AA65" t="s">
        <v>1553</v>
      </c>
      <c r="AB65">
        <v>1880</v>
      </c>
      <c r="AC65">
        <v>1880</v>
      </c>
      <c r="AD65" t="s">
        <v>1554</v>
      </c>
      <c r="AE65" t="s">
        <v>1185</v>
      </c>
      <c r="AF65" t="s">
        <v>599</v>
      </c>
      <c r="AG65" t="s">
        <v>599</v>
      </c>
      <c r="AH65" t="s">
        <v>599</v>
      </c>
      <c r="AI65" t="s">
        <v>599</v>
      </c>
      <c r="AJ65" t="s">
        <v>599</v>
      </c>
      <c r="AK65" t="s">
        <v>1555</v>
      </c>
      <c r="AL65" t="s">
        <v>1188</v>
      </c>
      <c r="AM65" t="s">
        <v>1556</v>
      </c>
      <c r="AN65" t="s">
        <v>1190</v>
      </c>
      <c r="AO65" t="s">
        <v>599</v>
      </c>
      <c r="AP65" t="s">
        <v>599</v>
      </c>
      <c r="AQ65" t="s">
        <v>599</v>
      </c>
      <c r="AR65" t="s">
        <v>599</v>
      </c>
      <c r="AS65" t="s">
        <v>1193</v>
      </c>
      <c r="AT65" t="s">
        <v>599</v>
      </c>
      <c r="AU65" t="s">
        <v>599</v>
      </c>
    </row>
    <row r="66" spans="1:47" s="13" customFormat="1" ht="30" x14ac:dyDescent="0.25">
      <c r="A66" s="9">
        <v>10138</v>
      </c>
      <c r="B66" s="10">
        <v>479076</v>
      </c>
      <c r="C66" s="10">
        <v>1</v>
      </c>
      <c r="D66" s="9">
        <v>1</v>
      </c>
      <c r="E66" s="11" t="s">
        <v>92</v>
      </c>
      <c r="F66" s="11" t="str">
        <f t="shared" si="0"/>
        <v>https://purl.pt/42929</v>
      </c>
      <c r="G66" s="12" t="s">
        <v>93</v>
      </c>
      <c r="H66" s="9">
        <v>1</v>
      </c>
      <c r="I66" s="34"/>
      <c r="J66" s="55" t="str">
        <f t="shared" si="1"/>
        <v>https://permalinkbnd.bnportugal.gov.pt/viewer/270341/?offset=#page=1&amp;viewer=picture&amp;o=info&amp;n=0&amp;q=</v>
      </c>
      <c r="K66" s="45"/>
      <c r="L66" s="45"/>
      <c r="M66" s="45"/>
      <c r="N66" t="s">
        <v>92</v>
      </c>
      <c r="O66">
        <v>270341</v>
      </c>
      <c r="P66" t="str">
        <f t="shared" si="2"/>
        <v>https://permalinkbnd.bnportugal.gov.pt/viewer/270341/?offset=#page=1&amp;viewer=picture&amp;o=info&amp;n=0&amp;q=</v>
      </c>
      <c r="Q66">
        <v>479076</v>
      </c>
      <c r="R66" t="s">
        <v>92</v>
      </c>
      <c r="S66" t="s">
        <v>1557</v>
      </c>
      <c r="T66" t="s">
        <v>1226</v>
      </c>
      <c r="U66" t="s">
        <v>1234</v>
      </c>
      <c r="V66" t="s">
        <v>599</v>
      </c>
      <c r="W66" t="s">
        <v>1558</v>
      </c>
      <c r="X66" t="s">
        <v>599</v>
      </c>
      <c r="Y66" t="s">
        <v>599</v>
      </c>
      <c r="Z66" t="s">
        <v>1182</v>
      </c>
      <c r="AA66" t="s">
        <v>1559</v>
      </c>
      <c r="AB66">
        <v>1880</v>
      </c>
      <c r="AC66">
        <v>1880</v>
      </c>
      <c r="AD66" t="s">
        <v>599</v>
      </c>
      <c r="AE66" t="s">
        <v>599</v>
      </c>
      <c r="AF66" t="s">
        <v>599</v>
      </c>
      <c r="AG66" t="s">
        <v>599</v>
      </c>
      <c r="AH66" t="s">
        <v>1560</v>
      </c>
      <c r="AI66" t="s">
        <v>599</v>
      </c>
      <c r="AJ66" t="s">
        <v>599</v>
      </c>
      <c r="AK66" t="s">
        <v>1561</v>
      </c>
      <c r="AL66" t="s">
        <v>1188</v>
      </c>
      <c r="AM66" t="s">
        <v>1562</v>
      </c>
      <c r="AN66" t="s">
        <v>1190</v>
      </c>
      <c r="AO66" t="s">
        <v>599</v>
      </c>
      <c r="AP66" t="s">
        <v>599</v>
      </c>
      <c r="AQ66" t="s">
        <v>599</v>
      </c>
      <c r="AR66" t="s">
        <v>599</v>
      </c>
      <c r="AS66" t="s">
        <v>599</v>
      </c>
      <c r="AT66" t="s">
        <v>599</v>
      </c>
      <c r="AU66" t="s">
        <v>599</v>
      </c>
    </row>
    <row r="67" spans="1:47" s="13" customFormat="1" ht="30" x14ac:dyDescent="0.25">
      <c r="A67" s="9">
        <v>10139</v>
      </c>
      <c r="B67" s="10">
        <v>479079</v>
      </c>
      <c r="C67" s="10">
        <v>1</v>
      </c>
      <c r="D67" s="9">
        <v>1</v>
      </c>
      <c r="E67" s="11" t="s">
        <v>94</v>
      </c>
      <c r="F67" s="11" t="str">
        <f t="shared" ref="F67:F130" si="3">HYPERLINK(E67)</f>
        <v>https://purl.pt/42930</v>
      </c>
      <c r="G67" s="12" t="s">
        <v>93</v>
      </c>
      <c r="H67" s="9">
        <v>1</v>
      </c>
      <c r="I67" s="34"/>
      <c r="J67" s="55" t="str">
        <f t="shared" ref="J67:J130" si="4">HYPERLINK(P67)</f>
        <v>https://permalinkbnd.bnportugal.gov.pt/viewer/270336/?offset=#page=1&amp;viewer=picture&amp;o=info&amp;n=0&amp;q=</v>
      </c>
      <c r="K67" s="45"/>
      <c r="L67" s="45"/>
      <c r="M67" s="45"/>
      <c r="N67" t="s">
        <v>94</v>
      </c>
      <c r="O67">
        <v>270336</v>
      </c>
      <c r="P67" t="str">
        <f t="shared" ref="P67:P130" si="5">CONCATENATE("https://permalinkbnd.bnportugal.gov.pt/viewer/",O67,"/?offset=#page=",D67,"&amp;viewer=picture&amp;o=info&amp;n=0&amp;q=")</f>
        <v>https://permalinkbnd.bnportugal.gov.pt/viewer/270336/?offset=#page=1&amp;viewer=picture&amp;o=info&amp;n=0&amp;q=</v>
      </c>
      <c r="Q67">
        <v>479079</v>
      </c>
      <c r="R67" t="s">
        <v>94</v>
      </c>
      <c r="S67" t="s">
        <v>1563</v>
      </c>
      <c r="T67" t="s">
        <v>1226</v>
      </c>
      <c r="U67" t="s">
        <v>1234</v>
      </c>
      <c r="V67" t="s">
        <v>599</v>
      </c>
      <c r="W67" t="s">
        <v>1564</v>
      </c>
      <c r="X67" t="s">
        <v>599</v>
      </c>
      <c r="Y67" t="s">
        <v>599</v>
      </c>
      <c r="Z67" t="s">
        <v>1182</v>
      </c>
      <c r="AA67" t="s">
        <v>1565</v>
      </c>
      <c r="AB67">
        <v>1880</v>
      </c>
      <c r="AC67">
        <v>1880</v>
      </c>
      <c r="AD67" t="s">
        <v>599</v>
      </c>
      <c r="AE67" t="s">
        <v>599</v>
      </c>
      <c r="AF67" t="s">
        <v>599</v>
      </c>
      <c r="AG67" t="s">
        <v>599</v>
      </c>
      <c r="AH67" t="s">
        <v>1566</v>
      </c>
      <c r="AI67" t="s">
        <v>599</v>
      </c>
      <c r="AJ67" t="s">
        <v>599</v>
      </c>
      <c r="AK67" t="s">
        <v>1567</v>
      </c>
      <c r="AL67" t="s">
        <v>1188</v>
      </c>
      <c r="AM67" t="s">
        <v>1568</v>
      </c>
      <c r="AN67" t="s">
        <v>1190</v>
      </c>
      <c r="AO67" t="s">
        <v>599</v>
      </c>
      <c r="AP67" t="s">
        <v>599</v>
      </c>
      <c r="AQ67" t="s">
        <v>599</v>
      </c>
      <c r="AR67" t="s">
        <v>599</v>
      </c>
      <c r="AS67" t="s">
        <v>599</v>
      </c>
      <c r="AT67" t="s">
        <v>599</v>
      </c>
      <c r="AU67" t="s">
        <v>599</v>
      </c>
    </row>
    <row r="68" spans="1:47" s="13" customFormat="1" ht="30" x14ac:dyDescent="0.25">
      <c r="A68" s="9">
        <v>10141</v>
      </c>
      <c r="B68" s="10">
        <v>480058</v>
      </c>
      <c r="C68" s="10">
        <v>1</v>
      </c>
      <c r="D68" s="9">
        <v>1</v>
      </c>
      <c r="E68" s="11" t="s">
        <v>95</v>
      </c>
      <c r="F68" s="11" t="str">
        <f t="shared" si="3"/>
        <v>https://purl.pt/43673</v>
      </c>
      <c r="G68" s="12">
        <v>1</v>
      </c>
      <c r="H68" s="9">
        <v>1</v>
      </c>
      <c r="I68" s="34"/>
      <c r="J68" s="55" t="str">
        <f t="shared" si="4"/>
        <v>https://permalinkbnd.bnportugal.gov.pt/viewer/273314/?offset=#page=1&amp;viewer=picture&amp;o=info&amp;n=0&amp;q=</v>
      </c>
      <c r="K68" s="45"/>
      <c r="L68" s="45"/>
      <c r="M68" s="45"/>
      <c r="N68" t="s">
        <v>95</v>
      </c>
      <c r="O68">
        <v>273314</v>
      </c>
      <c r="P68" t="str">
        <f t="shared" si="5"/>
        <v>https://permalinkbnd.bnportugal.gov.pt/viewer/273314/?offset=#page=1&amp;viewer=picture&amp;o=info&amp;n=0&amp;q=</v>
      </c>
      <c r="Q68">
        <v>480058</v>
      </c>
      <c r="R68" t="s">
        <v>95</v>
      </c>
      <c r="S68" t="s">
        <v>1569</v>
      </c>
      <c r="T68" t="s">
        <v>1226</v>
      </c>
      <c r="U68" t="s">
        <v>1192</v>
      </c>
      <c r="V68" t="s">
        <v>599</v>
      </c>
      <c r="W68" t="s">
        <v>1570</v>
      </c>
      <c r="X68" t="s">
        <v>599</v>
      </c>
      <c r="Y68" t="s">
        <v>599</v>
      </c>
      <c r="Z68" t="s">
        <v>1182</v>
      </c>
      <c r="AA68" t="s">
        <v>1571</v>
      </c>
      <c r="AB68">
        <v>1880</v>
      </c>
      <c r="AC68">
        <v>1880</v>
      </c>
      <c r="AD68" t="s">
        <v>599</v>
      </c>
      <c r="AE68" t="s">
        <v>599</v>
      </c>
      <c r="AF68" t="s">
        <v>599</v>
      </c>
      <c r="AG68" t="s">
        <v>599</v>
      </c>
      <c r="AH68" t="s">
        <v>1572</v>
      </c>
      <c r="AI68" t="s">
        <v>599</v>
      </c>
      <c r="AJ68" t="s">
        <v>599</v>
      </c>
      <c r="AK68" t="s">
        <v>1573</v>
      </c>
      <c r="AL68" t="s">
        <v>1188</v>
      </c>
      <c r="AM68" t="s">
        <v>1574</v>
      </c>
      <c r="AN68" t="s">
        <v>1190</v>
      </c>
      <c r="AO68" t="s">
        <v>599</v>
      </c>
      <c r="AP68" t="s">
        <v>599</v>
      </c>
      <c r="AQ68" t="s">
        <v>599</v>
      </c>
      <c r="AR68" t="s">
        <v>599</v>
      </c>
      <c r="AS68" t="s">
        <v>1575</v>
      </c>
      <c r="AT68" t="s">
        <v>599</v>
      </c>
      <c r="AU68" t="s">
        <v>599</v>
      </c>
    </row>
    <row r="69" spans="1:47" s="26" customFormat="1" ht="30" x14ac:dyDescent="0.25">
      <c r="A69" s="22">
        <v>10147</v>
      </c>
      <c r="B69" s="23">
        <v>357297</v>
      </c>
      <c r="C69" s="23">
        <v>1</v>
      </c>
      <c r="D69" s="27">
        <v>10</v>
      </c>
      <c r="E69" s="24" t="s">
        <v>96</v>
      </c>
      <c r="F69" s="24" t="str">
        <f t="shared" si="3"/>
        <v>https://purl.pt/43384</v>
      </c>
      <c r="G69" s="25" t="s">
        <v>97</v>
      </c>
      <c r="H69" s="22">
        <v>1</v>
      </c>
      <c r="I69" s="27" t="s">
        <v>620</v>
      </c>
      <c r="J69" s="55" t="str">
        <f t="shared" si="4"/>
        <v>https://permalinkbnd.bnportugal.gov.pt/viewer/281908/?offset=#page=10&amp;viewer=picture&amp;o=info&amp;n=0&amp;q=</v>
      </c>
      <c r="K69" s="45"/>
      <c r="L69" s="45"/>
      <c r="M69" s="45"/>
      <c r="N69" t="s">
        <v>96</v>
      </c>
      <c r="O69">
        <v>281908</v>
      </c>
      <c r="P69" t="str">
        <f t="shared" si="5"/>
        <v>https://permalinkbnd.bnportugal.gov.pt/viewer/281908/?offset=#page=10&amp;viewer=picture&amp;o=info&amp;n=0&amp;q=</v>
      </c>
      <c r="Q69">
        <v>357297</v>
      </c>
      <c r="R69" t="s">
        <v>96</v>
      </c>
      <c r="S69" t="s">
        <v>1576</v>
      </c>
      <c r="T69" t="s">
        <v>1178</v>
      </c>
      <c r="U69" t="s">
        <v>1192</v>
      </c>
      <c r="V69" t="s">
        <v>599</v>
      </c>
      <c r="W69" t="s">
        <v>1193</v>
      </c>
      <c r="X69" t="s">
        <v>599</v>
      </c>
      <c r="Y69" t="s">
        <v>599</v>
      </c>
      <c r="Z69" t="s">
        <v>1577</v>
      </c>
      <c r="AA69" t="s">
        <v>1578</v>
      </c>
      <c r="AB69">
        <v>1817</v>
      </c>
      <c r="AC69">
        <v>1817</v>
      </c>
      <c r="AD69" t="s">
        <v>1579</v>
      </c>
      <c r="AE69" t="s">
        <v>1185</v>
      </c>
      <c r="AF69" t="s">
        <v>599</v>
      </c>
      <c r="AG69" t="s">
        <v>599</v>
      </c>
      <c r="AH69" t="s">
        <v>1580</v>
      </c>
      <c r="AI69" t="s">
        <v>599</v>
      </c>
      <c r="AJ69" t="s">
        <v>599</v>
      </c>
      <c r="AK69" t="s">
        <v>1581</v>
      </c>
      <c r="AL69" t="s">
        <v>1188</v>
      </c>
      <c r="AM69" t="s">
        <v>1582</v>
      </c>
      <c r="AN69" t="s">
        <v>1190</v>
      </c>
      <c r="AO69" t="s">
        <v>599</v>
      </c>
      <c r="AP69" t="s">
        <v>599</v>
      </c>
      <c r="AQ69" t="s">
        <v>599</v>
      </c>
      <c r="AR69" t="s">
        <v>599</v>
      </c>
      <c r="AS69" t="s">
        <v>599</v>
      </c>
      <c r="AT69" t="s">
        <v>599</v>
      </c>
      <c r="AU69" t="s">
        <v>599</v>
      </c>
    </row>
    <row r="70" spans="1:47" s="13" customFormat="1" ht="30" x14ac:dyDescent="0.25">
      <c r="A70" s="9">
        <v>10148</v>
      </c>
      <c r="B70" s="10">
        <v>601741</v>
      </c>
      <c r="C70" s="10">
        <v>1</v>
      </c>
      <c r="D70" s="9">
        <v>1</v>
      </c>
      <c r="E70" s="11" t="s">
        <v>98</v>
      </c>
      <c r="F70" s="11" t="str">
        <f t="shared" si="3"/>
        <v>https://purl.pt/1066</v>
      </c>
      <c r="G70" s="12" t="s">
        <v>71</v>
      </c>
      <c r="H70" s="9">
        <v>1</v>
      </c>
      <c r="I70" s="34"/>
      <c r="J70" s="55" t="str">
        <f t="shared" si="4"/>
        <v>https://permalinkbnd.bnportugal.gov.pt/viewer/36540/?offset=#page=1&amp;viewer=picture&amp;o=info&amp;n=0&amp;q=</v>
      </c>
      <c r="K70" s="45"/>
      <c r="L70" s="45"/>
      <c r="M70" s="45"/>
      <c r="N70" t="s">
        <v>98</v>
      </c>
      <c r="O70">
        <v>36540</v>
      </c>
      <c r="P70" t="str">
        <f t="shared" si="5"/>
        <v>https://permalinkbnd.bnportugal.gov.pt/viewer/36540/?offset=#page=1&amp;viewer=picture&amp;o=info&amp;n=0&amp;q=</v>
      </c>
      <c r="Q70">
        <v>601741</v>
      </c>
      <c r="R70" t="s">
        <v>98</v>
      </c>
      <c r="S70" t="s">
        <v>1583</v>
      </c>
      <c r="T70" t="s">
        <v>1312</v>
      </c>
      <c r="U70" t="s">
        <v>1362</v>
      </c>
      <c r="V70" t="s">
        <v>599</v>
      </c>
      <c r="W70" t="s">
        <v>1584</v>
      </c>
      <c r="X70" t="s">
        <v>599</v>
      </c>
      <c r="Y70" t="s">
        <v>599</v>
      </c>
      <c r="Z70" t="s">
        <v>1182</v>
      </c>
      <c r="AA70" t="s">
        <v>1585</v>
      </c>
      <c r="AB70">
        <v>1860</v>
      </c>
      <c r="AC70">
        <v>1860</v>
      </c>
      <c r="AD70" t="s">
        <v>1454</v>
      </c>
      <c r="AE70" t="s">
        <v>599</v>
      </c>
      <c r="AF70" t="s">
        <v>599</v>
      </c>
      <c r="AG70" t="s">
        <v>599</v>
      </c>
      <c r="AH70" t="s">
        <v>599</v>
      </c>
      <c r="AI70" t="s">
        <v>599</v>
      </c>
      <c r="AJ70" t="s">
        <v>599</v>
      </c>
      <c r="AK70" t="s">
        <v>1586</v>
      </c>
      <c r="AL70" t="s">
        <v>599</v>
      </c>
      <c r="AM70" t="s">
        <v>1587</v>
      </c>
      <c r="AN70" t="s">
        <v>1190</v>
      </c>
      <c r="AO70" t="s">
        <v>599</v>
      </c>
      <c r="AP70" t="s">
        <v>599</v>
      </c>
      <c r="AQ70" t="s">
        <v>599</v>
      </c>
      <c r="AR70" t="s">
        <v>599</v>
      </c>
      <c r="AS70" t="s">
        <v>599</v>
      </c>
      <c r="AT70" t="s">
        <v>599</v>
      </c>
      <c r="AU70" t="s">
        <v>599</v>
      </c>
    </row>
    <row r="71" spans="1:47" s="13" customFormat="1" ht="30" x14ac:dyDescent="0.25">
      <c r="A71" s="9">
        <v>10149</v>
      </c>
      <c r="B71" s="10">
        <v>604127</v>
      </c>
      <c r="C71" s="10">
        <v>1</v>
      </c>
      <c r="D71" s="9">
        <v>1</v>
      </c>
      <c r="E71" s="11" t="s">
        <v>99</v>
      </c>
      <c r="F71" s="11" t="str">
        <f t="shared" si="3"/>
        <v>https://purl.pt/27537</v>
      </c>
      <c r="G71" s="12" t="s">
        <v>100</v>
      </c>
      <c r="H71" s="9">
        <v>1</v>
      </c>
      <c r="I71" s="34"/>
      <c r="J71" s="55" t="str">
        <f t="shared" si="4"/>
        <v>https://permalinkbnd.bnportugal.gov.pt/viewer/14040/?offset=#page=1&amp;viewer=picture&amp;o=info&amp;n=0&amp;q=</v>
      </c>
      <c r="K71" s="45"/>
      <c r="L71" s="45"/>
      <c r="M71" s="45"/>
      <c r="N71" t="s">
        <v>99</v>
      </c>
      <c r="O71">
        <v>14040</v>
      </c>
      <c r="P71" t="str">
        <f t="shared" si="5"/>
        <v>https://permalinkbnd.bnportugal.gov.pt/viewer/14040/?offset=#page=1&amp;viewer=picture&amp;o=info&amp;n=0&amp;q=</v>
      </c>
      <c r="Q71">
        <v>604127</v>
      </c>
      <c r="R71" t="s">
        <v>99</v>
      </c>
      <c r="S71" t="s">
        <v>1588</v>
      </c>
      <c r="T71" t="s">
        <v>1589</v>
      </c>
      <c r="U71" t="s">
        <v>1192</v>
      </c>
      <c r="V71" t="s">
        <v>599</v>
      </c>
      <c r="W71" t="s">
        <v>1590</v>
      </c>
      <c r="X71" t="s">
        <v>1591</v>
      </c>
      <c r="Y71" t="s">
        <v>599</v>
      </c>
      <c r="Z71" t="s">
        <v>1182</v>
      </c>
      <c r="AA71" t="s">
        <v>1592</v>
      </c>
      <c r="AB71">
        <v>1883</v>
      </c>
      <c r="AC71">
        <v>1883</v>
      </c>
      <c r="AD71" t="s">
        <v>1593</v>
      </c>
      <c r="AE71" t="s">
        <v>1594</v>
      </c>
      <c r="AF71" t="s">
        <v>599</v>
      </c>
      <c r="AG71" t="s">
        <v>599</v>
      </c>
      <c r="AH71" t="s">
        <v>1250</v>
      </c>
      <c r="AI71" t="s">
        <v>599</v>
      </c>
      <c r="AJ71" t="s">
        <v>599</v>
      </c>
      <c r="AK71" t="s">
        <v>1595</v>
      </c>
      <c r="AL71" t="s">
        <v>599</v>
      </c>
      <c r="AM71" t="s">
        <v>1596</v>
      </c>
      <c r="AN71" t="s">
        <v>1190</v>
      </c>
      <c r="AO71" t="s">
        <v>599</v>
      </c>
      <c r="AP71" t="s">
        <v>599</v>
      </c>
      <c r="AQ71" t="s">
        <v>1597</v>
      </c>
      <c r="AR71" t="s">
        <v>599</v>
      </c>
      <c r="AS71" t="s">
        <v>1598</v>
      </c>
      <c r="AT71" t="s">
        <v>599</v>
      </c>
      <c r="AU71" t="s">
        <v>599</v>
      </c>
    </row>
    <row r="72" spans="1:47" s="13" customFormat="1" ht="30" x14ac:dyDescent="0.25">
      <c r="A72" s="9">
        <v>10150</v>
      </c>
      <c r="B72" s="10">
        <v>613457</v>
      </c>
      <c r="C72" s="10">
        <v>1</v>
      </c>
      <c r="D72" s="9">
        <v>1</v>
      </c>
      <c r="E72" s="11" t="s">
        <v>101</v>
      </c>
      <c r="F72" s="11" t="str">
        <f t="shared" si="3"/>
        <v>https://purl.pt/43563</v>
      </c>
      <c r="G72" s="12">
        <v>1</v>
      </c>
      <c r="H72" s="9">
        <v>1</v>
      </c>
      <c r="I72" s="34"/>
      <c r="J72" s="55" t="str">
        <f t="shared" si="4"/>
        <v>https://permalinkbnd.bnportugal.gov.pt/viewer/272734/?offset=#page=1&amp;viewer=picture&amp;o=info&amp;n=0&amp;q=</v>
      </c>
      <c r="K72" s="45"/>
      <c r="L72" s="45"/>
      <c r="M72" s="45"/>
      <c r="N72" t="s">
        <v>101</v>
      </c>
      <c r="O72">
        <v>272734</v>
      </c>
      <c r="P72" t="str">
        <f t="shared" si="5"/>
        <v>https://permalinkbnd.bnportugal.gov.pt/viewer/272734/?offset=#page=1&amp;viewer=picture&amp;o=info&amp;n=0&amp;q=</v>
      </c>
      <c r="Q72">
        <v>613457</v>
      </c>
      <c r="R72" t="s">
        <v>101</v>
      </c>
      <c r="S72" t="s">
        <v>1599</v>
      </c>
      <c r="T72" t="s">
        <v>1312</v>
      </c>
      <c r="U72" t="s">
        <v>1192</v>
      </c>
      <c r="V72" t="s">
        <v>599</v>
      </c>
      <c r="W72" t="s">
        <v>1105</v>
      </c>
      <c r="X72" t="s">
        <v>599</v>
      </c>
      <c r="Y72" t="s">
        <v>599</v>
      </c>
      <c r="Z72" t="s">
        <v>1182</v>
      </c>
      <c r="AA72" t="s">
        <v>1453</v>
      </c>
      <c r="AB72">
        <v>1968</v>
      </c>
      <c r="AC72">
        <v>1968</v>
      </c>
      <c r="AD72" t="s">
        <v>1315</v>
      </c>
      <c r="AE72" t="s">
        <v>599</v>
      </c>
      <c r="AF72" t="s">
        <v>599</v>
      </c>
      <c r="AG72" t="s">
        <v>599</v>
      </c>
      <c r="AH72" t="s">
        <v>599</v>
      </c>
      <c r="AI72" t="s">
        <v>599</v>
      </c>
      <c r="AJ72" t="s">
        <v>599</v>
      </c>
      <c r="AK72" t="s">
        <v>1600</v>
      </c>
      <c r="AL72" t="s">
        <v>1188</v>
      </c>
      <c r="AM72" t="s">
        <v>1601</v>
      </c>
      <c r="AN72" t="s">
        <v>1190</v>
      </c>
      <c r="AO72" t="s">
        <v>599</v>
      </c>
      <c r="AP72" t="s">
        <v>599</v>
      </c>
      <c r="AQ72" t="s">
        <v>599</v>
      </c>
      <c r="AR72" t="s">
        <v>599</v>
      </c>
      <c r="AS72" t="s">
        <v>599</v>
      </c>
      <c r="AT72" t="s">
        <v>599</v>
      </c>
      <c r="AU72" t="s">
        <v>599</v>
      </c>
    </row>
    <row r="73" spans="1:47" s="13" customFormat="1" ht="30" x14ac:dyDescent="0.25">
      <c r="A73" s="9">
        <v>10151</v>
      </c>
      <c r="B73" s="10">
        <v>614521</v>
      </c>
      <c r="C73" s="10">
        <v>1</v>
      </c>
      <c r="D73" s="9">
        <v>1</v>
      </c>
      <c r="E73" s="11" t="s">
        <v>102</v>
      </c>
      <c r="F73" s="11" t="str">
        <f t="shared" si="3"/>
        <v>https://purl.pt/1127</v>
      </c>
      <c r="G73" s="12">
        <v>1</v>
      </c>
      <c r="H73" s="9">
        <v>1</v>
      </c>
      <c r="I73" s="34"/>
      <c r="J73" s="55" t="str">
        <f t="shared" si="4"/>
        <v>https://permalinkbnd.bnportugal.gov.pt/viewer/36741/?offset=#page=1&amp;viewer=picture&amp;o=info&amp;n=0&amp;q=</v>
      </c>
      <c r="K73" s="45"/>
      <c r="L73" s="45"/>
      <c r="M73" s="45"/>
      <c r="N73" t="s">
        <v>102</v>
      </c>
      <c r="O73">
        <v>36741</v>
      </c>
      <c r="P73" t="str">
        <f t="shared" si="5"/>
        <v>https://permalinkbnd.bnportugal.gov.pt/viewer/36741/?offset=#page=1&amp;viewer=picture&amp;o=info&amp;n=0&amp;q=</v>
      </c>
      <c r="Q73">
        <v>614521</v>
      </c>
      <c r="R73" t="s">
        <v>102</v>
      </c>
      <c r="S73" t="s">
        <v>1602</v>
      </c>
      <c r="T73" t="s">
        <v>1312</v>
      </c>
      <c r="U73" t="s">
        <v>1192</v>
      </c>
      <c r="V73" t="s">
        <v>599</v>
      </c>
      <c r="W73" t="s">
        <v>1603</v>
      </c>
      <c r="X73" t="s">
        <v>599</v>
      </c>
      <c r="Y73" t="s">
        <v>599</v>
      </c>
      <c r="Z73" t="s">
        <v>1182</v>
      </c>
      <c r="AA73" t="s">
        <v>1221</v>
      </c>
      <c r="AB73">
        <v>1873</v>
      </c>
      <c r="AC73">
        <v>1873</v>
      </c>
      <c r="AD73" t="s">
        <v>1454</v>
      </c>
      <c r="AE73" t="s">
        <v>1604</v>
      </c>
      <c r="AF73" t="s">
        <v>599</v>
      </c>
      <c r="AG73" t="s">
        <v>599</v>
      </c>
      <c r="AH73" t="s">
        <v>599</v>
      </c>
      <c r="AI73" t="s">
        <v>599</v>
      </c>
      <c r="AJ73" t="s">
        <v>599</v>
      </c>
      <c r="AK73" t="s">
        <v>1605</v>
      </c>
      <c r="AL73" t="s">
        <v>599</v>
      </c>
      <c r="AM73" t="s">
        <v>1606</v>
      </c>
      <c r="AN73" t="s">
        <v>1190</v>
      </c>
      <c r="AO73" t="s">
        <v>599</v>
      </c>
      <c r="AP73" t="s">
        <v>599</v>
      </c>
      <c r="AQ73" t="s">
        <v>599</v>
      </c>
      <c r="AR73" t="s">
        <v>599</v>
      </c>
      <c r="AS73" t="s">
        <v>1313</v>
      </c>
      <c r="AT73" t="s">
        <v>599</v>
      </c>
      <c r="AU73" t="s">
        <v>599</v>
      </c>
    </row>
    <row r="74" spans="1:47" s="13" customFormat="1" ht="30" x14ac:dyDescent="0.25">
      <c r="A74" s="9">
        <v>10152</v>
      </c>
      <c r="B74" s="10">
        <v>626460</v>
      </c>
      <c r="C74" s="10">
        <v>1</v>
      </c>
      <c r="D74" s="9">
        <v>1</v>
      </c>
      <c r="E74" s="11" t="s">
        <v>103</v>
      </c>
      <c r="F74" s="11" t="str">
        <f t="shared" si="3"/>
        <v>https://purl.pt/12554</v>
      </c>
      <c r="G74" s="12" t="s">
        <v>71</v>
      </c>
      <c r="H74" s="9">
        <v>1</v>
      </c>
      <c r="I74" s="34"/>
      <c r="J74" s="55" t="str">
        <f t="shared" si="4"/>
        <v>https://permalinkbnd.bnportugal.gov.pt/viewer/37180/?offset=#page=1&amp;viewer=picture&amp;o=info&amp;n=0&amp;q=</v>
      </c>
      <c r="K74" s="45"/>
      <c r="L74" s="45"/>
      <c r="M74" s="45"/>
      <c r="N74" t="s">
        <v>103</v>
      </c>
      <c r="O74">
        <v>37180</v>
      </c>
      <c r="P74" t="str">
        <f t="shared" si="5"/>
        <v>https://permalinkbnd.bnportugal.gov.pt/viewer/37180/?offset=#page=1&amp;viewer=picture&amp;o=info&amp;n=0&amp;q=</v>
      </c>
      <c r="Q74">
        <v>626460</v>
      </c>
      <c r="R74" t="s">
        <v>103</v>
      </c>
      <c r="S74" t="s">
        <v>599</v>
      </c>
      <c r="T74" t="s">
        <v>1312</v>
      </c>
      <c r="U74" t="s">
        <v>1362</v>
      </c>
      <c r="V74" t="s">
        <v>599</v>
      </c>
      <c r="W74" t="s">
        <v>1584</v>
      </c>
      <c r="X74" t="s">
        <v>599</v>
      </c>
      <c r="Y74" t="s">
        <v>599</v>
      </c>
      <c r="Z74" t="s">
        <v>1182</v>
      </c>
      <c r="AA74" t="s">
        <v>1607</v>
      </c>
      <c r="AB74">
        <v>1846</v>
      </c>
      <c r="AC74">
        <v>1846</v>
      </c>
      <c r="AD74" t="s">
        <v>1454</v>
      </c>
      <c r="AE74" t="s">
        <v>1608</v>
      </c>
      <c r="AF74" t="s">
        <v>599</v>
      </c>
      <c r="AG74" t="s">
        <v>599</v>
      </c>
      <c r="AH74" t="s">
        <v>599</v>
      </c>
      <c r="AI74" t="s">
        <v>599</v>
      </c>
      <c r="AJ74" t="s">
        <v>599</v>
      </c>
      <c r="AK74" t="s">
        <v>1609</v>
      </c>
      <c r="AL74" t="s">
        <v>599</v>
      </c>
      <c r="AM74" t="s">
        <v>1610</v>
      </c>
      <c r="AN74" t="s">
        <v>1190</v>
      </c>
      <c r="AO74" t="s">
        <v>599</v>
      </c>
      <c r="AP74" t="s">
        <v>599</v>
      </c>
      <c r="AQ74" t="s">
        <v>599</v>
      </c>
      <c r="AR74" t="s">
        <v>599</v>
      </c>
      <c r="AS74" t="s">
        <v>599</v>
      </c>
      <c r="AT74" t="s">
        <v>599</v>
      </c>
      <c r="AU74" t="s">
        <v>599</v>
      </c>
    </row>
    <row r="75" spans="1:47" s="13" customFormat="1" ht="30" x14ac:dyDescent="0.25">
      <c r="A75" s="9">
        <v>10153</v>
      </c>
      <c r="B75" s="10">
        <v>626703</v>
      </c>
      <c r="C75" s="10">
        <v>1</v>
      </c>
      <c r="D75" s="9">
        <v>1</v>
      </c>
      <c r="E75" s="11" t="s">
        <v>104</v>
      </c>
      <c r="F75" s="11" t="str">
        <f t="shared" si="3"/>
        <v>https://purl.pt/12562</v>
      </c>
      <c r="G75" s="12" t="s">
        <v>71</v>
      </c>
      <c r="H75" s="9">
        <v>1</v>
      </c>
      <c r="I75" s="34"/>
      <c r="J75" s="55" t="str">
        <f t="shared" si="4"/>
        <v>https://permalinkbnd.bnportugal.gov.pt/viewer/37208/?offset=#page=1&amp;viewer=picture&amp;o=info&amp;n=0&amp;q=</v>
      </c>
      <c r="K75" s="45"/>
      <c r="L75" s="45"/>
      <c r="M75" s="45"/>
      <c r="N75" t="s">
        <v>104</v>
      </c>
      <c r="O75">
        <v>37208</v>
      </c>
      <c r="P75" t="str">
        <f t="shared" si="5"/>
        <v>https://permalinkbnd.bnportugal.gov.pt/viewer/37208/?offset=#page=1&amp;viewer=picture&amp;o=info&amp;n=0&amp;q=</v>
      </c>
      <c r="Q75">
        <v>626703</v>
      </c>
      <c r="R75" t="s">
        <v>104</v>
      </c>
      <c r="S75" t="s">
        <v>599</v>
      </c>
      <c r="T75" t="s">
        <v>1312</v>
      </c>
      <c r="U75" t="s">
        <v>1403</v>
      </c>
      <c r="V75" t="s">
        <v>599</v>
      </c>
      <c r="W75" t="s">
        <v>1611</v>
      </c>
      <c r="X75" t="s">
        <v>599</v>
      </c>
      <c r="Y75" t="s">
        <v>599</v>
      </c>
      <c r="Z75" t="s">
        <v>1182</v>
      </c>
      <c r="AA75" t="s">
        <v>1453</v>
      </c>
      <c r="AB75">
        <v>1840</v>
      </c>
      <c r="AC75">
        <v>1840</v>
      </c>
      <c r="AD75" t="s">
        <v>1454</v>
      </c>
      <c r="AE75" t="s">
        <v>1612</v>
      </c>
      <c r="AF75" t="s">
        <v>599</v>
      </c>
      <c r="AG75" t="s">
        <v>599</v>
      </c>
      <c r="AH75" t="s">
        <v>1613</v>
      </c>
      <c r="AI75" t="s">
        <v>599</v>
      </c>
      <c r="AJ75" t="s">
        <v>599</v>
      </c>
      <c r="AK75" t="s">
        <v>1614</v>
      </c>
      <c r="AL75" t="s">
        <v>599</v>
      </c>
      <c r="AM75" t="s">
        <v>1615</v>
      </c>
      <c r="AN75" t="s">
        <v>1190</v>
      </c>
      <c r="AO75" t="s">
        <v>599</v>
      </c>
      <c r="AP75" t="s">
        <v>599</v>
      </c>
      <c r="AQ75" t="s">
        <v>599</v>
      </c>
      <c r="AR75" t="s">
        <v>599</v>
      </c>
      <c r="AS75" t="s">
        <v>599</v>
      </c>
      <c r="AT75" t="s">
        <v>599</v>
      </c>
      <c r="AU75" t="s">
        <v>599</v>
      </c>
    </row>
    <row r="76" spans="1:47" s="13" customFormat="1" ht="30" x14ac:dyDescent="0.25">
      <c r="A76" s="9">
        <v>10154</v>
      </c>
      <c r="B76" s="10">
        <v>636335</v>
      </c>
      <c r="C76" s="10">
        <v>1</v>
      </c>
      <c r="D76" s="9">
        <v>1</v>
      </c>
      <c r="E76" s="11" t="s">
        <v>105</v>
      </c>
      <c r="F76" s="11" t="str">
        <f t="shared" si="3"/>
        <v>https://purl.pt/5762</v>
      </c>
      <c r="G76" s="12">
        <v>1</v>
      </c>
      <c r="H76" s="9">
        <v>1</v>
      </c>
      <c r="I76" s="34"/>
      <c r="J76" s="55" t="str">
        <f t="shared" si="4"/>
        <v>https://permalinkbnd.bnportugal.gov.pt/viewer/35147/?offset=#page=1&amp;viewer=picture&amp;o=info&amp;n=0&amp;q=</v>
      </c>
      <c r="K76" s="45"/>
      <c r="L76" s="45"/>
      <c r="M76" s="45"/>
      <c r="N76" t="s">
        <v>105</v>
      </c>
      <c r="O76">
        <v>35147</v>
      </c>
      <c r="P76" t="str">
        <f t="shared" si="5"/>
        <v>https://permalinkbnd.bnportugal.gov.pt/viewer/35147/?offset=#page=1&amp;viewer=picture&amp;o=info&amp;n=0&amp;q=</v>
      </c>
      <c r="Q76">
        <v>636335</v>
      </c>
      <c r="R76" t="s">
        <v>105</v>
      </c>
      <c r="S76" t="s">
        <v>599</v>
      </c>
      <c r="T76" t="s">
        <v>1312</v>
      </c>
      <c r="U76" t="s">
        <v>1192</v>
      </c>
      <c r="V76" t="s">
        <v>599</v>
      </c>
      <c r="W76" t="s">
        <v>1616</v>
      </c>
      <c r="X76" t="s">
        <v>599</v>
      </c>
      <c r="Y76" t="s">
        <v>599</v>
      </c>
      <c r="Z76" t="s">
        <v>1182</v>
      </c>
      <c r="AA76" t="s">
        <v>1437</v>
      </c>
      <c r="AB76">
        <v>1880</v>
      </c>
      <c r="AC76">
        <v>1880</v>
      </c>
      <c r="AD76" t="s">
        <v>1454</v>
      </c>
      <c r="AE76" t="s">
        <v>599</v>
      </c>
      <c r="AF76" t="s">
        <v>599</v>
      </c>
      <c r="AG76" t="s">
        <v>599</v>
      </c>
      <c r="AH76" t="s">
        <v>599</v>
      </c>
      <c r="AI76" t="s">
        <v>599</v>
      </c>
      <c r="AJ76" t="s">
        <v>599</v>
      </c>
      <c r="AK76" t="s">
        <v>1617</v>
      </c>
      <c r="AL76" t="s">
        <v>599</v>
      </c>
      <c r="AM76" t="s">
        <v>1618</v>
      </c>
      <c r="AN76" t="s">
        <v>1190</v>
      </c>
      <c r="AO76" t="s">
        <v>599</v>
      </c>
      <c r="AP76" t="s">
        <v>599</v>
      </c>
      <c r="AQ76" t="s">
        <v>599</v>
      </c>
      <c r="AR76" t="s">
        <v>599</v>
      </c>
      <c r="AS76" t="s">
        <v>1619</v>
      </c>
      <c r="AT76" t="s">
        <v>599</v>
      </c>
      <c r="AU76" t="s">
        <v>599</v>
      </c>
    </row>
    <row r="77" spans="1:47" s="13" customFormat="1" ht="30" x14ac:dyDescent="0.25">
      <c r="A77" s="9">
        <v>10155</v>
      </c>
      <c r="B77" s="10">
        <v>636337</v>
      </c>
      <c r="C77" s="10">
        <v>1</v>
      </c>
      <c r="D77" s="9">
        <v>1</v>
      </c>
      <c r="E77" s="11" t="s">
        <v>106</v>
      </c>
      <c r="F77" s="11" t="str">
        <f t="shared" si="3"/>
        <v>https://purl.pt/5763</v>
      </c>
      <c r="G77" s="12">
        <v>1</v>
      </c>
      <c r="H77" s="9">
        <v>1</v>
      </c>
      <c r="I77" s="34"/>
      <c r="J77" s="55" t="str">
        <f t="shared" si="4"/>
        <v>https://permalinkbnd.bnportugal.gov.pt/viewer/1880/?offset=#page=1&amp;viewer=picture&amp;o=info&amp;n=0&amp;q=</v>
      </c>
      <c r="K77" s="45"/>
      <c r="L77" s="45"/>
      <c r="M77" s="45"/>
      <c r="N77" t="s">
        <v>106</v>
      </c>
      <c r="O77">
        <v>1880</v>
      </c>
      <c r="P77" t="str">
        <f t="shared" si="5"/>
        <v>https://permalinkbnd.bnportugal.gov.pt/viewer/1880/?offset=#page=1&amp;viewer=picture&amp;o=info&amp;n=0&amp;q=</v>
      </c>
      <c r="Q77">
        <v>636337</v>
      </c>
      <c r="R77" t="s">
        <v>106</v>
      </c>
      <c r="S77" t="s">
        <v>1620</v>
      </c>
      <c r="T77" t="s">
        <v>1312</v>
      </c>
      <c r="U77" t="s">
        <v>1192</v>
      </c>
      <c r="V77" t="s">
        <v>599</v>
      </c>
      <c r="W77" t="s">
        <v>1621</v>
      </c>
      <c r="X77" t="s">
        <v>599</v>
      </c>
      <c r="Y77" t="s">
        <v>599</v>
      </c>
      <c r="Z77" t="s">
        <v>1182</v>
      </c>
      <c r="AA77" t="s">
        <v>1437</v>
      </c>
      <c r="AB77">
        <v>1880</v>
      </c>
      <c r="AC77">
        <v>1880</v>
      </c>
      <c r="AD77" t="s">
        <v>1454</v>
      </c>
      <c r="AE77" t="s">
        <v>599</v>
      </c>
      <c r="AF77" t="s">
        <v>599</v>
      </c>
      <c r="AG77" t="s">
        <v>599</v>
      </c>
      <c r="AH77" t="s">
        <v>599</v>
      </c>
      <c r="AI77" t="s">
        <v>599</v>
      </c>
      <c r="AJ77" t="s">
        <v>599</v>
      </c>
      <c r="AK77" t="s">
        <v>1622</v>
      </c>
      <c r="AL77" t="s">
        <v>599</v>
      </c>
      <c r="AM77" t="s">
        <v>1623</v>
      </c>
      <c r="AN77" t="s">
        <v>1190</v>
      </c>
      <c r="AO77" t="s">
        <v>599</v>
      </c>
      <c r="AP77" t="s">
        <v>599</v>
      </c>
      <c r="AQ77" t="s">
        <v>599</v>
      </c>
      <c r="AR77" t="s">
        <v>599</v>
      </c>
      <c r="AS77" t="s">
        <v>599</v>
      </c>
      <c r="AT77" t="s">
        <v>599</v>
      </c>
      <c r="AU77" t="s">
        <v>599</v>
      </c>
    </row>
    <row r="78" spans="1:47" s="13" customFormat="1" ht="30" x14ac:dyDescent="0.25">
      <c r="A78" s="9">
        <v>10156</v>
      </c>
      <c r="B78" s="10">
        <v>636371</v>
      </c>
      <c r="C78" s="10">
        <v>1</v>
      </c>
      <c r="D78" s="9">
        <v>1</v>
      </c>
      <c r="E78" s="11" t="s">
        <v>107</v>
      </c>
      <c r="F78" s="11" t="str">
        <f t="shared" si="3"/>
        <v>https://purl.pt/5756</v>
      </c>
      <c r="G78" s="12" t="s">
        <v>71</v>
      </c>
      <c r="H78" s="9">
        <v>1</v>
      </c>
      <c r="I78" s="34"/>
      <c r="J78" s="55" t="str">
        <f t="shared" si="4"/>
        <v>https://permalinkbnd.bnportugal.gov.pt/viewer/35133/?offset=#page=1&amp;viewer=picture&amp;o=info&amp;n=0&amp;q=</v>
      </c>
      <c r="K78" s="45"/>
      <c r="L78" s="45"/>
      <c r="M78" s="45"/>
      <c r="N78" t="s">
        <v>107</v>
      </c>
      <c r="O78">
        <v>35133</v>
      </c>
      <c r="P78" t="str">
        <f t="shared" si="5"/>
        <v>https://permalinkbnd.bnportugal.gov.pt/viewer/35133/?offset=#page=1&amp;viewer=picture&amp;o=info&amp;n=0&amp;q=</v>
      </c>
      <c r="Q78">
        <v>636371</v>
      </c>
      <c r="R78" t="s">
        <v>107</v>
      </c>
      <c r="S78" t="s">
        <v>1624</v>
      </c>
      <c r="T78" t="s">
        <v>1312</v>
      </c>
      <c r="U78" t="s">
        <v>1192</v>
      </c>
      <c r="V78" t="s">
        <v>599</v>
      </c>
      <c r="W78" t="s">
        <v>1122</v>
      </c>
      <c r="X78" t="s">
        <v>1625</v>
      </c>
      <c r="Y78" t="s">
        <v>599</v>
      </c>
      <c r="Z78" t="s">
        <v>1182</v>
      </c>
      <c r="AA78" t="s">
        <v>1453</v>
      </c>
      <c r="AB78">
        <v>1880</v>
      </c>
      <c r="AC78">
        <v>1880</v>
      </c>
      <c r="AD78" t="s">
        <v>1454</v>
      </c>
      <c r="AE78" t="s">
        <v>1626</v>
      </c>
      <c r="AF78" t="s">
        <v>599</v>
      </c>
      <c r="AG78" t="s">
        <v>599</v>
      </c>
      <c r="AH78" t="s">
        <v>1627</v>
      </c>
      <c r="AI78" t="s">
        <v>599</v>
      </c>
      <c r="AJ78" t="s">
        <v>599</v>
      </c>
      <c r="AK78" t="s">
        <v>1628</v>
      </c>
      <c r="AL78" t="s">
        <v>1629</v>
      </c>
      <c r="AM78" t="s">
        <v>1630</v>
      </c>
      <c r="AN78" t="s">
        <v>1190</v>
      </c>
      <c r="AO78" t="s">
        <v>599</v>
      </c>
      <c r="AP78" t="s">
        <v>599</v>
      </c>
      <c r="AQ78" t="s">
        <v>599</v>
      </c>
      <c r="AR78" t="s">
        <v>599</v>
      </c>
      <c r="AS78" t="s">
        <v>599</v>
      </c>
      <c r="AT78" t="s">
        <v>599</v>
      </c>
      <c r="AU78" t="s">
        <v>599</v>
      </c>
    </row>
    <row r="79" spans="1:47" s="13" customFormat="1" ht="30" x14ac:dyDescent="0.25">
      <c r="A79" s="9">
        <v>10157</v>
      </c>
      <c r="B79" s="10">
        <v>636385</v>
      </c>
      <c r="C79" s="10">
        <v>1</v>
      </c>
      <c r="D79" s="9">
        <v>1</v>
      </c>
      <c r="E79" s="11" t="s">
        <v>108</v>
      </c>
      <c r="F79" s="11" t="str">
        <f t="shared" si="3"/>
        <v>https://purl.pt/5757</v>
      </c>
      <c r="G79" s="12">
        <v>1</v>
      </c>
      <c r="H79" s="9">
        <v>1</v>
      </c>
      <c r="I79" s="34"/>
      <c r="J79" s="55" t="str">
        <f t="shared" si="4"/>
        <v>https://permalinkbnd.bnportugal.gov.pt/viewer/35127/?offset=#page=1&amp;viewer=picture&amp;o=info&amp;n=0&amp;q=</v>
      </c>
      <c r="K79" s="45"/>
      <c r="L79" s="45"/>
      <c r="M79" s="45"/>
      <c r="N79" t="s">
        <v>108</v>
      </c>
      <c r="O79">
        <v>35127</v>
      </c>
      <c r="P79" t="str">
        <f t="shared" si="5"/>
        <v>https://permalinkbnd.bnportugal.gov.pt/viewer/35127/?offset=#page=1&amp;viewer=picture&amp;o=info&amp;n=0&amp;q=</v>
      </c>
      <c r="Q79">
        <v>636385</v>
      </c>
      <c r="R79" t="s">
        <v>108</v>
      </c>
      <c r="S79" t="s">
        <v>1631</v>
      </c>
      <c r="T79" t="s">
        <v>1312</v>
      </c>
      <c r="U79" t="s">
        <v>1192</v>
      </c>
      <c r="V79" t="s">
        <v>599</v>
      </c>
      <c r="W79" t="s">
        <v>1632</v>
      </c>
      <c r="X79" t="s">
        <v>599</v>
      </c>
      <c r="Y79" t="s">
        <v>599</v>
      </c>
      <c r="Z79" t="s">
        <v>1182</v>
      </c>
      <c r="AA79" t="s">
        <v>1453</v>
      </c>
      <c r="AB79">
        <v>1868</v>
      </c>
      <c r="AC79">
        <v>1868</v>
      </c>
      <c r="AD79" t="s">
        <v>1454</v>
      </c>
      <c r="AE79" t="s">
        <v>1604</v>
      </c>
      <c r="AF79" t="s">
        <v>599</v>
      </c>
      <c r="AG79" t="s">
        <v>599</v>
      </c>
      <c r="AH79" t="s">
        <v>1633</v>
      </c>
      <c r="AI79" t="s">
        <v>599</v>
      </c>
      <c r="AJ79" t="s">
        <v>599</v>
      </c>
      <c r="AK79" t="s">
        <v>1634</v>
      </c>
      <c r="AL79" t="s">
        <v>1188</v>
      </c>
      <c r="AM79" t="s">
        <v>1635</v>
      </c>
      <c r="AN79" t="s">
        <v>1190</v>
      </c>
      <c r="AO79" t="s">
        <v>599</v>
      </c>
      <c r="AP79" t="s">
        <v>599</v>
      </c>
      <c r="AQ79" t="s">
        <v>599</v>
      </c>
      <c r="AR79" t="s">
        <v>599</v>
      </c>
      <c r="AS79" t="s">
        <v>599</v>
      </c>
      <c r="AT79" t="s">
        <v>599</v>
      </c>
      <c r="AU79" t="s">
        <v>599</v>
      </c>
    </row>
    <row r="80" spans="1:47" s="13" customFormat="1" ht="30" x14ac:dyDescent="0.25">
      <c r="A80" s="9">
        <v>10158</v>
      </c>
      <c r="B80" s="10">
        <v>636389</v>
      </c>
      <c r="C80" s="10">
        <v>1</v>
      </c>
      <c r="D80" s="9">
        <v>1</v>
      </c>
      <c r="E80" s="11" t="s">
        <v>109</v>
      </c>
      <c r="F80" s="11" t="str">
        <f t="shared" si="3"/>
        <v>https://purl.pt/5761</v>
      </c>
      <c r="G80" s="12" t="s">
        <v>71</v>
      </c>
      <c r="H80" s="9">
        <v>1</v>
      </c>
      <c r="I80" s="34"/>
      <c r="J80" s="55" t="str">
        <f t="shared" si="4"/>
        <v>https://permalinkbnd.bnportugal.gov.pt/viewer/35137/?offset=#page=1&amp;viewer=picture&amp;o=info&amp;n=0&amp;q=</v>
      </c>
      <c r="K80" s="45"/>
      <c r="L80" s="45"/>
      <c r="M80" s="45"/>
      <c r="N80" t="s">
        <v>109</v>
      </c>
      <c r="O80">
        <v>35137</v>
      </c>
      <c r="P80" t="str">
        <f t="shared" si="5"/>
        <v>https://permalinkbnd.bnportugal.gov.pt/viewer/35137/?offset=#page=1&amp;viewer=picture&amp;o=info&amp;n=0&amp;q=</v>
      </c>
      <c r="Q80">
        <v>636389</v>
      </c>
      <c r="R80" t="s">
        <v>109</v>
      </c>
      <c r="S80" t="s">
        <v>1636</v>
      </c>
      <c r="T80" t="s">
        <v>1312</v>
      </c>
      <c r="U80" t="s">
        <v>1192</v>
      </c>
      <c r="V80" t="s">
        <v>599</v>
      </c>
      <c r="W80" t="s">
        <v>1637</v>
      </c>
      <c r="X80" t="s">
        <v>599</v>
      </c>
      <c r="Y80" t="s">
        <v>599</v>
      </c>
      <c r="Z80" t="s">
        <v>1182</v>
      </c>
      <c r="AA80" t="s">
        <v>1453</v>
      </c>
      <c r="AB80">
        <v>1880</v>
      </c>
      <c r="AC80">
        <v>1880</v>
      </c>
      <c r="AD80" t="s">
        <v>1454</v>
      </c>
      <c r="AE80" t="s">
        <v>1638</v>
      </c>
      <c r="AF80" t="s">
        <v>599</v>
      </c>
      <c r="AG80" t="s">
        <v>599</v>
      </c>
      <c r="AH80" t="s">
        <v>599</v>
      </c>
      <c r="AI80" t="s">
        <v>599</v>
      </c>
      <c r="AJ80" t="s">
        <v>599</v>
      </c>
      <c r="AK80" t="s">
        <v>1639</v>
      </c>
      <c r="AL80" t="s">
        <v>599</v>
      </c>
      <c r="AM80" t="s">
        <v>1640</v>
      </c>
      <c r="AN80" t="s">
        <v>1190</v>
      </c>
      <c r="AO80" t="s">
        <v>599</v>
      </c>
      <c r="AP80" t="s">
        <v>599</v>
      </c>
      <c r="AQ80" t="s">
        <v>599</v>
      </c>
      <c r="AR80" t="s">
        <v>599</v>
      </c>
      <c r="AS80" t="s">
        <v>599</v>
      </c>
      <c r="AT80" t="s">
        <v>599</v>
      </c>
      <c r="AU80" t="s">
        <v>599</v>
      </c>
    </row>
    <row r="81" spans="1:47" s="13" customFormat="1" ht="30" x14ac:dyDescent="0.25">
      <c r="A81" s="9">
        <v>10159</v>
      </c>
      <c r="B81" s="10">
        <v>637133</v>
      </c>
      <c r="C81" s="10">
        <v>1</v>
      </c>
      <c r="D81" s="9">
        <v>1</v>
      </c>
      <c r="E81" s="11" t="s">
        <v>110</v>
      </c>
      <c r="F81" s="11" t="str">
        <f t="shared" si="3"/>
        <v>https://purl.pt/4762</v>
      </c>
      <c r="G81" s="12" t="s">
        <v>71</v>
      </c>
      <c r="H81" s="9">
        <v>1</v>
      </c>
      <c r="I81" s="34"/>
      <c r="J81" s="55" t="str">
        <f t="shared" si="4"/>
        <v>https://permalinkbnd.bnportugal.gov.pt/viewer/37203/?offset=#page=1&amp;viewer=picture&amp;o=info&amp;n=0&amp;q=</v>
      </c>
      <c r="K81" s="45"/>
      <c r="L81" s="45"/>
      <c r="M81" s="45"/>
      <c r="N81" t="s">
        <v>110</v>
      </c>
      <c r="O81">
        <v>37203</v>
      </c>
      <c r="P81" t="str">
        <f t="shared" si="5"/>
        <v>https://permalinkbnd.bnportugal.gov.pt/viewer/37203/?offset=#page=1&amp;viewer=picture&amp;o=info&amp;n=0&amp;q=</v>
      </c>
      <c r="Q81">
        <v>637133</v>
      </c>
      <c r="R81" t="s">
        <v>110</v>
      </c>
      <c r="S81" t="s">
        <v>1641</v>
      </c>
      <c r="T81" t="s">
        <v>1312</v>
      </c>
      <c r="U81" t="s">
        <v>1192</v>
      </c>
      <c r="V81" t="s">
        <v>599</v>
      </c>
      <c r="W81" t="s">
        <v>1642</v>
      </c>
      <c r="X81" t="s">
        <v>599</v>
      </c>
      <c r="Y81" t="s">
        <v>599</v>
      </c>
      <c r="Z81" t="s">
        <v>1182</v>
      </c>
      <c r="AA81" t="s">
        <v>1437</v>
      </c>
      <c r="AB81">
        <v>1808</v>
      </c>
      <c r="AC81">
        <v>1808</v>
      </c>
      <c r="AD81" t="s">
        <v>1454</v>
      </c>
      <c r="AE81" t="s">
        <v>1643</v>
      </c>
      <c r="AF81" t="s">
        <v>599</v>
      </c>
      <c r="AG81" t="s">
        <v>599</v>
      </c>
      <c r="AH81" t="s">
        <v>599</v>
      </c>
      <c r="AI81" t="s">
        <v>599</v>
      </c>
      <c r="AJ81" t="s">
        <v>599</v>
      </c>
      <c r="AK81" t="s">
        <v>1644</v>
      </c>
      <c r="AL81" t="s">
        <v>599</v>
      </c>
      <c r="AM81" t="s">
        <v>1645</v>
      </c>
      <c r="AN81" t="s">
        <v>1190</v>
      </c>
      <c r="AO81" t="s">
        <v>599</v>
      </c>
      <c r="AP81" t="s">
        <v>599</v>
      </c>
      <c r="AQ81" t="s">
        <v>599</v>
      </c>
      <c r="AR81" t="s">
        <v>599</v>
      </c>
      <c r="AS81" t="s">
        <v>1646</v>
      </c>
      <c r="AT81" t="s">
        <v>599</v>
      </c>
      <c r="AU81" t="s">
        <v>599</v>
      </c>
    </row>
    <row r="82" spans="1:47" s="13" customFormat="1" ht="30" x14ac:dyDescent="0.25">
      <c r="A82" s="9">
        <v>10160</v>
      </c>
      <c r="B82" s="10">
        <v>637139</v>
      </c>
      <c r="C82" s="10">
        <v>1</v>
      </c>
      <c r="D82" s="9">
        <v>1</v>
      </c>
      <c r="E82" s="11" t="s">
        <v>111</v>
      </c>
      <c r="F82" s="11" t="str">
        <f t="shared" si="3"/>
        <v>https://purl.pt/4760</v>
      </c>
      <c r="G82" s="12" t="s">
        <v>71</v>
      </c>
      <c r="H82" s="9">
        <v>1</v>
      </c>
      <c r="I82" s="34"/>
      <c r="J82" s="55" t="str">
        <f t="shared" si="4"/>
        <v>https://permalinkbnd.bnportugal.gov.pt/viewer/37132/?offset=#page=1&amp;viewer=picture&amp;o=info&amp;n=0&amp;q=</v>
      </c>
      <c r="K82" s="45"/>
      <c r="L82" s="45"/>
      <c r="M82" s="45"/>
      <c r="N82" t="s">
        <v>111</v>
      </c>
      <c r="O82">
        <v>37132</v>
      </c>
      <c r="P82" t="str">
        <f t="shared" si="5"/>
        <v>https://permalinkbnd.bnportugal.gov.pt/viewer/37132/?offset=#page=1&amp;viewer=picture&amp;o=info&amp;n=0&amp;q=</v>
      </c>
      <c r="Q82">
        <v>637139</v>
      </c>
      <c r="R82" t="s">
        <v>111</v>
      </c>
      <c r="S82" t="s">
        <v>1647</v>
      </c>
      <c r="T82" t="s">
        <v>1312</v>
      </c>
      <c r="U82" t="s">
        <v>1192</v>
      </c>
      <c r="V82" t="s">
        <v>599</v>
      </c>
      <c r="W82" t="s">
        <v>1648</v>
      </c>
      <c r="X82" t="s">
        <v>1649</v>
      </c>
      <c r="Y82" t="s">
        <v>599</v>
      </c>
      <c r="Z82" t="s">
        <v>1182</v>
      </c>
      <c r="AA82" t="s">
        <v>1571</v>
      </c>
      <c r="AB82">
        <v>1880</v>
      </c>
      <c r="AC82">
        <v>1880</v>
      </c>
      <c r="AD82" t="s">
        <v>1454</v>
      </c>
      <c r="AE82" t="s">
        <v>599</v>
      </c>
      <c r="AF82" t="s">
        <v>599</v>
      </c>
      <c r="AG82" t="s">
        <v>599</v>
      </c>
      <c r="AH82" t="s">
        <v>599</v>
      </c>
      <c r="AI82" t="s">
        <v>599</v>
      </c>
      <c r="AJ82" t="s">
        <v>1650</v>
      </c>
      <c r="AK82" t="s">
        <v>1651</v>
      </c>
      <c r="AL82" t="s">
        <v>599</v>
      </c>
      <c r="AM82" t="s">
        <v>1652</v>
      </c>
      <c r="AN82" t="s">
        <v>1190</v>
      </c>
      <c r="AO82" t="s">
        <v>599</v>
      </c>
      <c r="AP82" t="s">
        <v>599</v>
      </c>
      <c r="AQ82" t="s">
        <v>599</v>
      </c>
      <c r="AR82" t="s">
        <v>599</v>
      </c>
      <c r="AS82" t="s">
        <v>1653</v>
      </c>
      <c r="AT82" t="s">
        <v>599</v>
      </c>
      <c r="AU82" t="s">
        <v>599</v>
      </c>
    </row>
    <row r="83" spans="1:47" s="13" customFormat="1" ht="30" x14ac:dyDescent="0.25">
      <c r="A83" s="9">
        <v>10162</v>
      </c>
      <c r="B83" s="10">
        <v>665442</v>
      </c>
      <c r="C83" s="10">
        <v>1</v>
      </c>
      <c r="D83" s="9">
        <v>1</v>
      </c>
      <c r="E83" s="11" t="s">
        <v>112</v>
      </c>
      <c r="F83" s="11" t="str">
        <f t="shared" si="3"/>
        <v>https://purl.pt/5904</v>
      </c>
      <c r="G83" s="12">
        <v>1</v>
      </c>
      <c r="H83" s="9">
        <v>1</v>
      </c>
      <c r="I83" s="34"/>
      <c r="J83" s="55" t="str">
        <f t="shared" si="4"/>
        <v>https://permalinkbnd.bnportugal.gov.pt/viewer/34623/?offset=#page=1&amp;viewer=picture&amp;o=info&amp;n=0&amp;q=</v>
      </c>
      <c r="K83" s="45"/>
      <c r="L83" s="45"/>
      <c r="M83" s="45"/>
      <c r="N83" t="s">
        <v>112</v>
      </c>
      <c r="O83">
        <v>34623</v>
      </c>
      <c r="P83" t="str">
        <f t="shared" si="5"/>
        <v>https://permalinkbnd.bnportugal.gov.pt/viewer/34623/?offset=#page=1&amp;viewer=picture&amp;o=info&amp;n=0&amp;q=</v>
      </c>
      <c r="Q83">
        <v>665442</v>
      </c>
      <c r="R83" t="s">
        <v>112</v>
      </c>
      <c r="S83" t="s">
        <v>599</v>
      </c>
      <c r="T83" t="s">
        <v>1312</v>
      </c>
      <c r="U83" t="s">
        <v>599</v>
      </c>
      <c r="V83" t="s">
        <v>599</v>
      </c>
      <c r="W83" t="s">
        <v>1654</v>
      </c>
      <c r="X83" t="s">
        <v>599</v>
      </c>
      <c r="Y83" t="s">
        <v>599</v>
      </c>
      <c r="Z83" t="s">
        <v>1182</v>
      </c>
      <c r="AA83" t="s">
        <v>1453</v>
      </c>
      <c r="AB83">
        <v>1880</v>
      </c>
      <c r="AC83">
        <v>1880</v>
      </c>
      <c r="AD83" t="s">
        <v>1454</v>
      </c>
      <c r="AE83" t="s">
        <v>599</v>
      </c>
      <c r="AF83" t="s">
        <v>599</v>
      </c>
      <c r="AG83" t="s">
        <v>599</v>
      </c>
      <c r="AH83" t="s">
        <v>599</v>
      </c>
      <c r="AI83" t="s">
        <v>599</v>
      </c>
      <c r="AJ83" t="s">
        <v>599</v>
      </c>
      <c r="AK83" t="s">
        <v>1655</v>
      </c>
      <c r="AL83" t="s">
        <v>599</v>
      </c>
      <c r="AM83" t="s">
        <v>1656</v>
      </c>
      <c r="AN83" t="s">
        <v>1190</v>
      </c>
      <c r="AO83" t="s">
        <v>599</v>
      </c>
      <c r="AP83" t="s">
        <v>599</v>
      </c>
      <c r="AQ83" t="s">
        <v>599</v>
      </c>
      <c r="AR83" t="s">
        <v>599</v>
      </c>
      <c r="AS83" t="s">
        <v>599</v>
      </c>
      <c r="AT83" t="s">
        <v>599</v>
      </c>
      <c r="AU83" t="s">
        <v>599</v>
      </c>
    </row>
    <row r="84" spans="1:47" s="13" customFormat="1" ht="30" x14ac:dyDescent="0.25">
      <c r="A84" s="9">
        <v>10163</v>
      </c>
      <c r="B84" s="10">
        <v>700486</v>
      </c>
      <c r="C84" s="10">
        <v>1</v>
      </c>
      <c r="D84" s="9">
        <v>1</v>
      </c>
      <c r="E84" s="11" t="s">
        <v>113</v>
      </c>
      <c r="F84" s="11" t="str">
        <f t="shared" si="3"/>
        <v>https://purl.pt/6773</v>
      </c>
      <c r="G84" s="12">
        <v>1</v>
      </c>
      <c r="H84" s="9">
        <v>1</v>
      </c>
      <c r="I84" s="34"/>
      <c r="J84" s="55" t="str">
        <f t="shared" si="4"/>
        <v>https://permalinkbnd.bnportugal.gov.pt/viewer/37092/?offset=#page=1&amp;viewer=picture&amp;o=info&amp;n=0&amp;q=</v>
      </c>
      <c r="K84" s="45"/>
      <c r="L84" s="45"/>
      <c r="M84" s="45"/>
      <c r="N84" t="s">
        <v>113</v>
      </c>
      <c r="O84">
        <v>37092</v>
      </c>
      <c r="P84" t="str">
        <f t="shared" si="5"/>
        <v>https://permalinkbnd.bnportugal.gov.pt/viewer/37092/?offset=#page=1&amp;viewer=picture&amp;o=info&amp;n=0&amp;q=</v>
      </c>
      <c r="Q84">
        <v>700486</v>
      </c>
      <c r="R84" t="s">
        <v>113</v>
      </c>
      <c r="S84" t="s">
        <v>1657</v>
      </c>
      <c r="T84" t="s">
        <v>1312</v>
      </c>
      <c r="U84" t="s">
        <v>1192</v>
      </c>
      <c r="V84" t="s">
        <v>599</v>
      </c>
      <c r="W84" t="s">
        <v>1658</v>
      </c>
      <c r="X84" t="s">
        <v>599</v>
      </c>
      <c r="Y84" t="s">
        <v>599</v>
      </c>
      <c r="Z84" t="s">
        <v>1182</v>
      </c>
      <c r="AA84" t="s">
        <v>1437</v>
      </c>
      <c r="AB84">
        <v>1893</v>
      </c>
      <c r="AC84">
        <v>1893</v>
      </c>
      <c r="AD84" t="s">
        <v>1454</v>
      </c>
      <c r="AE84" t="s">
        <v>1659</v>
      </c>
      <c r="AF84" t="s">
        <v>599</v>
      </c>
      <c r="AG84" t="s">
        <v>599</v>
      </c>
      <c r="AH84" t="s">
        <v>599</v>
      </c>
      <c r="AI84" t="s">
        <v>599</v>
      </c>
      <c r="AJ84" t="s">
        <v>1660</v>
      </c>
      <c r="AK84" t="s">
        <v>1661</v>
      </c>
      <c r="AL84" t="s">
        <v>599</v>
      </c>
      <c r="AM84" t="s">
        <v>1662</v>
      </c>
      <c r="AN84" t="s">
        <v>1190</v>
      </c>
      <c r="AO84" t="s">
        <v>599</v>
      </c>
      <c r="AP84" t="s">
        <v>599</v>
      </c>
      <c r="AQ84" t="s">
        <v>599</v>
      </c>
      <c r="AR84" t="s">
        <v>599</v>
      </c>
      <c r="AS84" t="s">
        <v>599</v>
      </c>
      <c r="AT84" t="s">
        <v>599</v>
      </c>
      <c r="AU84" t="s">
        <v>599</v>
      </c>
    </row>
    <row r="85" spans="1:47" s="13" customFormat="1" ht="30" x14ac:dyDescent="0.25">
      <c r="A85" s="9">
        <v>10164</v>
      </c>
      <c r="B85" s="10">
        <v>700487</v>
      </c>
      <c r="C85" s="10">
        <v>1</v>
      </c>
      <c r="D85" s="9">
        <v>1</v>
      </c>
      <c r="E85" s="11" t="s">
        <v>114</v>
      </c>
      <c r="F85" s="11" t="str">
        <f t="shared" si="3"/>
        <v>https://purl.pt/6771</v>
      </c>
      <c r="G85" s="12">
        <v>1</v>
      </c>
      <c r="H85" s="9">
        <v>1</v>
      </c>
      <c r="I85" s="34"/>
      <c r="J85" s="55" t="str">
        <f t="shared" si="4"/>
        <v>https://permalinkbnd.bnportugal.gov.pt/viewer/37325/?offset=#page=1&amp;viewer=picture&amp;o=info&amp;n=0&amp;q=</v>
      </c>
      <c r="K85" s="45"/>
      <c r="L85" s="45"/>
      <c r="M85" s="45"/>
      <c r="N85" t="s">
        <v>114</v>
      </c>
      <c r="O85">
        <v>37325</v>
      </c>
      <c r="P85" t="str">
        <f t="shared" si="5"/>
        <v>https://permalinkbnd.bnportugal.gov.pt/viewer/37325/?offset=#page=1&amp;viewer=picture&amp;o=info&amp;n=0&amp;q=</v>
      </c>
      <c r="Q85">
        <v>700487</v>
      </c>
      <c r="R85" t="s">
        <v>114</v>
      </c>
      <c r="S85" t="s">
        <v>1663</v>
      </c>
      <c r="T85" t="s">
        <v>1312</v>
      </c>
      <c r="U85" t="s">
        <v>1192</v>
      </c>
      <c r="V85" t="s">
        <v>599</v>
      </c>
      <c r="W85" t="s">
        <v>1664</v>
      </c>
      <c r="X85" t="s">
        <v>599</v>
      </c>
      <c r="Y85" t="s">
        <v>599</v>
      </c>
      <c r="Z85" t="s">
        <v>1182</v>
      </c>
      <c r="AA85" t="s">
        <v>1437</v>
      </c>
      <c r="AB85">
        <v>1861</v>
      </c>
      <c r="AC85">
        <v>1861</v>
      </c>
      <c r="AD85" t="s">
        <v>1454</v>
      </c>
      <c r="AE85" t="s">
        <v>1665</v>
      </c>
      <c r="AF85" t="s">
        <v>599</v>
      </c>
      <c r="AG85" t="s">
        <v>599</v>
      </c>
      <c r="AH85" t="s">
        <v>599</v>
      </c>
      <c r="AI85" t="s">
        <v>599</v>
      </c>
      <c r="AJ85" t="s">
        <v>599</v>
      </c>
      <c r="AK85" t="s">
        <v>1666</v>
      </c>
      <c r="AL85" t="s">
        <v>599</v>
      </c>
      <c r="AM85" t="s">
        <v>1667</v>
      </c>
      <c r="AN85" t="s">
        <v>1190</v>
      </c>
      <c r="AO85" t="s">
        <v>599</v>
      </c>
      <c r="AP85" t="s">
        <v>599</v>
      </c>
      <c r="AQ85" t="s">
        <v>599</v>
      </c>
      <c r="AR85" t="s">
        <v>599</v>
      </c>
      <c r="AS85" t="s">
        <v>599</v>
      </c>
      <c r="AT85" t="s">
        <v>599</v>
      </c>
      <c r="AU85" t="s">
        <v>599</v>
      </c>
    </row>
    <row r="86" spans="1:47" s="13" customFormat="1" ht="30" x14ac:dyDescent="0.25">
      <c r="A86" s="9">
        <v>10165</v>
      </c>
      <c r="B86" s="10">
        <v>704429</v>
      </c>
      <c r="C86" s="10">
        <v>1</v>
      </c>
      <c r="D86" s="9">
        <v>1</v>
      </c>
      <c r="E86" s="11" t="s">
        <v>115</v>
      </c>
      <c r="F86" s="11" t="str">
        <f t="shared" si="3"/>
        <v>https://purl.pt/1227</v>
      </c>
      <c r="G86" s="12">
        <v>1</v>
      </c>
      <c r="H86" s="9">
        <v>1</v>
      </c>
      <c r="I86" s="34"/>
      <c r="J86" s="55" t="str">
        <f t="shared" si="4"/>
        <v>https://permalinkbnd.bnportugal.gov.pt/viewer/33427/?offset=#page=1&amp;viewer=picture&amp;o=info&amp;n=0&amp;q=</v>
      </c>
      <c r="K86" s="45"/>
      <c r="L86" s="45"/>
      <c r="M86" s="45"/>
      <c r="N86" t="s">
        <v>115</v>
      </c>
      <c r="O86">
        <v>33427</v>
      </c>
      <c r="P86" t="str">
        <f t="shared" si="5"/>
        <v>https://permalinkbnd.bnportugal.gov.pt/viewer/33427/?offset=#page=1&amp;viewer=picture&amp;o=info&amp;n=0&amp;q=</v>
      </c>
      <c r="Q86">
        <v>704429</v>
      </c>
      <c r="R86" t="s">
        <v>115</v>
      </c>
      <c r="S86" t="s">
        <v>1668</v>
      </c>
      <c r="T86" t="s">
        <v>1312</v>
      </c>
      <c r="U86" t="s">
        <v>1192</v>
      </c>
      <c r="V86" t="s">
        <v>599</v>
      </c>
      <c r="W86" t="s">
        <v>1193</v>
      </c>
      <c r="X86" t="s">
        <v>1669</v>
      </c>
      <c r="Y86" t="s">
        <v>599</v>
      </c>
      <c r="Z86" t="s">
        <v>1182</v>
      </c>
      <c r="AA86" t="s">
        <v>599</v>
      </c>
      <c r="AB86">
        <v>1900</v>
      </c>
      <c r="AC86">
        <v>1900</v>
      </c>
      <c r="AD86" t="s">
        <v>1670</v>
      </c>
      <c r="AE86" t="s">
        <v>1671</v>
      </c>
      <c r="AF86" t="s">
        <v>599</v>
      </c>
      <c r="AG86" t="s">
        <v>599</v>
      </c>
      <c r="AH86" t="s">
        <v>599</v>
      </c>
      <c r="AI86" t="s">
        <v>599</v>
      </c>
      <c r="AJ86" t="s">
        <v>599</v>
      </c>
      <c r="AK86" t="s">
        <v>1672</v>
      </c>
      <c r="AL86" t="s">
        <v>599</v>
      </c>
      <c r="AM86" t="s">
        <v>1673</v>
      </c>
      <c r="AN86" t="s">
        <v>1190</v>
      </c>
      <c r="AO86" t="s">
        <v>599</v>
      </c>
      <c r="AP86" t="s">
        <v>1674</v>
      </c>
      <c r="AQ86" t="s">
        <v>599</v>
      </c>
      <c r="AR86" t="s">
        <v>599</v>
      </c>
      <c r="AS86" t="s">
        <v>599</v>
      </c>
      <c r="AT86" t="s">
        <v>599</v>
      </c>
      <c r="AU86" t="s">
        <v>599</v>
      </c>
    </row>
    <row r="87" spans="1:47" s="13" customFormat="1" ht="30" x14ac:dyDescent="0.25">
      <c r="A87" s="9">
        <v>10166</v>
      </c>
      <c r="B87" s="10">
        <v>709106</v>
      </c>
      <c r="C87" s="10">
        <v>1</v>
      </c>
      <c r="D87" s="9">
        <v>1</v>
      </c>
      <c r="E87" s="11" t="s">
        <v>116</v>
      </c>
      <c r="F87" s="11" t="str">
        <f t="shared" si="3"/>
        <v>https://purl.pt/6901</v>
      </c>
      <c r="G87" s="12">
        <v>1</v>
      </c>
      <c r="H87" s="9">
        <v>1</v>
      </c>
      <c r="I87" s="34"/>
      <c r="J87" s="55" t="str">
        <f t="shared" si="4"/>
        <v>https://permalinkbnd.bnportugal.gov.pt/viewer/36374/?offset=#page=1&amp;viewer=picture&amp;o=info&amp;n=0&amp;q=</v>
      </c>
      <c r="K87" s="45"/>
      <c r="L87" s="45"/>
      <c r="M87" s="45"/>
      <c r="N87" t="s">
        <v>116</v>
      </c>
      <c r="O87">
        <v>36374</v>
      </c>
      <c r="P87" t="str">
        <f t="shared" si="5"/>
        <v>https://permalinkbnd.bnportugal.gov.pt/viewer/36374/?offset=#page=1&amp;viewer=picture&amp;o=info&amp;n=0&amp;q=</v>
      </c>
      <c r="Q87">
        <v>709106</v>
      </c>
      <c r="R87" t="s">
        <v>116</v>
      </c>
      <c r="S87" t="s">
        <v>1675</v>
      </c>
      <c r="T87" t="s">
        <v>1312</v>
      </c>
      <c r="U87" t="s">
        <v>1192</v>
      </c>
      <c r="V87" t="s">
        <v>599</v>
      </c>
      <c r="W87" t="s">
        <v>1603</v>
      </c>
      <c r="X87" t="s">
        <v>599</v>
      </c>
      <c r="Y87" t="s">
        <v>599</v>
      </c>
      <c r="Z87" t="s">
        <v>1182</v>
      </c>
      <c r="AA87" t="s">
        <v>1453</v>
      </c>
      <c r="AB87">
        <v>1878</v>
      </c>
      <c r="AC87">
        <v>1878</v>
      </c>
      <c r="AD87" t="s">
        <v>1454</v>
      </c>
      <c r="AE87" t="s">
        <v>1676</v>
      </c>
      <c r="AF87" t="s">
        <v>599</v>
      </c>
      <c r="AG87" t="s">
        <v>599</v>
      </c>
      <c r="AH87" t="s">
        <v>599</v>
      </c>
      <c r="AI87" t="s">
        <v>599</v>
      </c>
      <c r="AJ87" t="s">
        <v>599</v>
      </c>
      <c r="AK87" t="s">
        <v>1677</v>
      </c>
      <c r="AL87" t="s">
        <v>599</v>
      </c>
      <c r="AM87" t="s">
        <v>1678</v>
      </c>
      <c r="AN87" t="s">
        <v>1190</v>
      </c>
      <c r="AO87" t="s">
        <v>599</v>
      </c>
      <c r="AP87" t="s">
        <v>599</v>
      </c>
      <c r="AQ87" t="s">
        <v>599</v>
      </c>
      <c r="AR87" t="s">
        <v>599</v>
      </c>
      <c r="AS87" t="s">
        <v>1313</v>
      </c>
      <c r="AT87" t="s">
        <v>599</v>
      </c>
      <c r="AU87" t="s">
        <v>599</v>
      </c>
    </row>
    <row r="88" spans="1:47" s="13" customFormat="1" ht="30" x14ac:dyDescent="0.25">
      <c r="A88" s="9">
        <v>10167</v>
      </c>
      <c r="B88" s="10">
        <v>709129</v>
      </c>
      <c r="C88" s="10">
        <v>1</v>
      </c>
      <c r="D88" s="9">
        <v>1</v>
      </c>
      <c r="E88" s="11" t="s">
        <v>117</v>
      </c>
      <c r="F88" s="11" t="str">
        <f t="shared" si="3"/>
        <v>https://purl.pt/6844</v>
      </c>
      <c r="G88" s="12">
        <v>1</v>
      </c>
      <c r="H88" s="9">
        <v>1</v>
      </c>
      <c r="I88" s="34"/>
      <c r="J88" s="55" t="str">
        <f t="shared" si="4"/>
        <v>https://permalinkbnd.bnportugal.gov.pt/viewer/36554/?offset=#page=1&amp;viewer=picture&amp;o=info&amp;n=0&amp;q=</v>
      </c>
      <c r="K88" s="45"/>
      <c r="L88" s="45"/>
      <c r="M88" s="45"/>
      <c r="N88" t="s">
        <v>117</v>
      </c>
      <c r="O88">
        <v>36554</v>
      </c>
      <c r="P88" t="str">
        <f t="shared" si="5"/>
        <v>https://permalinkbnd.bnportugal.gov.pt/viewer/36554/?offset=#page=1&amp;viewer=picture&amp;o=info&amp;n=0&amp;q=</v>
      </c>
      <c r="Q88">
        <v>709129</v>
      </c>
      <c r="R88" t="s">
        <v>117</v>
      </c>
      <c r="S88" t="s">
        <v>1679</v>
      </c>
      <c r="T88" t="s">
        <v>1312</v>
      </c>
      <c r="U88" t="s">
        <v>1192</v>
      </c>
      <c r="V88" t="s">
        <v>599</v>
      </c>
      <c r="W88" t="s">
        <v>1680</v>
      </c>
      <c r="X88" t="s">
        <v>1681</v>
      </c>
      <c r="Y88" t="s">
        <v>599</v>
      </c>
      <c r="Z88" t="s">
        <v>1182</v>
      </c>
      <c r="AA88" t="s">
        <v>1682</v>
      </c>
      <c r="AB88">
        <v>1890</v>
      </c>
      <c r="AC88">
        <v>1890</v>
      </c>
      <c r="AD88" t="s">
        <v>1315</v>
      </c>
      <c r="AE88" t="s">
        <v>599</v>
      </c>
      <c r="AF88" t="s">
        <v>599</v>
      </c>
      <c r="AG88" t="s">
        <v>599</v>
      </c>
      <c r="AH88" t="s">
        <v>1683</v>
      </c>
      <c r="AI88" t="s">
        <v>599</v>
      </c>
      <c r="AJ88" t="s">
        <v>599</v>
      </c>
      <c r="AK88" t="s">
        <v>1684</v>
      </c>
      <c r="AL88" t="s">
        <v>599</v>
      </c>
      <c r="AM88" t="s">
        <v>1685</v>
      </c>
      <c r="AN88" t="s">
        <v>1190</v>
      </c>
      <c r="AO88" t="s">
        <v>1686</v>
      </c>
      <c r="AP88" t="s">
        <v>599</v>
      </c>
      <c r="AQ88" t="s">
        <v>599</v>
      </c>
      <c r="AR88" t="s">
        <v>599</v>
      </c>
      <c r="AS88" t="s">
        <v>599</v>
      </c>
      <c r="AT88" t="s">
        <v>599</v>
      </c>
      <c r="AU88" t="s">
        <v>599</v>
      </c>
    </row>
    <row r="89" spans="1:47" s="13" customFormat="1" ht="30" x14ac:dyDescent="0.25">
      <c r="A89" s="9">
        <v>10169</v>
      </c>
      <c r="B89" s="10">
        <v>729122</v>
      </c>
      <c r="C89" s="10">
        <v>1</v>
      </c>
      <c r="D89" s="9">
        <v>1</v>
      </c>
      <c r="E89" s="11" t="s">
        <v>118</v>
      </c>
      <c r="F89" s="11" t="str">
        <f t="shared" si="3"/>
        <v>https://purl.pt/12937</v>
      </c>
      <c r="G89" s="12">
        <v>1</v>
      </c>
      <c r="H89" s="9">
        <v>1</v>
      </c>
      <c r="I89" s="34"/>
      <c r="J89" s="55" t="str">
        <f t="shared" si="4"/>
        <v>https://permalinkbnd.bnportugal.gov.pt/viewer/37663/?offset=#page=1&amp;viewer=picture&amp;o=info&amp;n=0&amp;q=</v>
      </c>
      <c r="K89" s="45"/>
      <c r="L89" s="45"/>
      <c r="M89" s="45"/>
      <c r="N89" t="s">
        <v>118</v>
      </c>
      <c r="O89">
        <v>37663</v>
      </c>
      <c r="P89" t="str">
        <f t="shared" si="5"/>
        <v>https://permalinkbnd.bnportugal.gov.pt/viewer/37663/?offset=#page=1&amp;viewer=picture&amp;o=info&amp;n=0&amp;q=</v>
      </c>
      <c r="Q89">
        <v>729122</v>
      </c>
      <c r="R89" t="s">
        <v>118</v>
      </c>
      <c r="S89" t="s">
        <v>1687</v>
      </c>
      <c r="T89" t="s">
        <v>1312</v>
      </c>
      <c r="U89" t="s">
        <v>1518</v>
      </c>
      <c r="V89" t="s">
        <v>599</v>
      </c>
      <c r="W89" t="s">
        <v>1688</v>
      </c>
      <c r="X89" t="s">
        <v>599</v>
      </c>
      <c r="Y89" t="s">
        <v>599</v>
      </c>
      <c r="Z89" t="s">
        <v>1182</v>
      </c>
      <c r="AA89" t="s">
        <v>1689</v>
      </c>
      <c r="AB89">
        <v>1779</v>
      </c>
      <c r="AC89">
        <v>1779</v>
      </c>
      <c r="AD89" t="s">
        <v>1454</v>
      </c>
      <c r="AE89" t="s">
        <v>1690</v>
      </c>
      <c r="AF89" t="s">
        <v>599</v>
      </c>
      <c r="AG89" t="s">
        <v>599</v>
      </c>
      <c r="AH89" t="s">
        <v>599</v>
      </c>
      <c r="AI89" t="s">
        <v>599</v>
      </c>
      <c r="AJ89" t="s">
        <v>1691</v>
      </c>
      <c r="AK89" t="s">
        <v>1692</v>
      </c>
      <c r="AL89" t="s">
        <v>599</v>
      </c>
      <c r="AM89" t="s">
        <v>1693</v>
      </c>
      <c r="AN89" t="s">
        <v>1190</v>
      </c>
      <c r="AO89" t="s">
        <v>599</v>
      </c>
      <c r="AP89" t="s">
        <v>599</v>
      </c>
      <c r="AQ89" t="s">
        <v>599</v>
      </c>
      <c r="AR89" t="s">
        <v>599</v>
      </c>
      <c r="AS89" t="s">
        <v>599</v>
      </c>
      <c r="AT89" t="s">
        <v>599</v>
      </c>
      <c r="AU89" t="s">
        <v>599</v>
      </c>
    </row>
    <row r="90" spans="1:47" s="13" customFormat="1" ht="30" x14ac:dyDescent="0.25">
      <c r="A90" s="9">
        <v>10170</v>
      </c>
      <c r="B90" s="10">
        <v>730341</v>
      </c>
      <c r="C90" s="10">
        <v>1</v>
      </c>
      <c r="D90" s="9">
        <v>1</v>
      </c>
      <c r="E90" s="11" t="s">
        <v>119</v>
      </c>
      <c r="F90" s="11" t="str">
        <f t="shared" si="3"/>
        <v>https://purl.pt/12929</v>
      </c>
      <c r="G90" s="12" t="s">
        <v>71</v>
      </c>
      <c r="H90" s="9">
        <v>1</v>
      </c>
      <c r="I90" s="34"/>
      <c r="J90" s="55" t="str">
        <f t="shared" si="4"/>
        <v>https://permalinkbnd.bnportugal.gov.pt/viewer/37195/?offset=#page=1&amp;viewer=picture&amp;o=info&amp;n=0&amp;q=</v>
      </c>
      <c r="K90" s="45"/>
      <c r="L90" s="45"/>
      <c r="M90" s="45"/>
      <c r="N90" t="s">
        <v>119</v>
      </c>
      <c r="O90">
        <v>37195</v>
      </c>
      <c r="P90" t="str">
        <f t="shared" si="5"/>
        <v>https://permalinkbnd.bnportugal.gov.pt/viewer/37195/?offset=#page=1&amp;viewer=picture&amp;o=info&amp;n=0&amp;q=</v>
      </c>
      <c r="Q90">
        <v>730341</v>
      </c>
      <c r="R90" t="s">
        <v>119</v>
      </c>
      <c r="S90" t="s">
        <v>599</v>
      </c>
      <c r="T90" t="s">
        <v>1312</v>
      </c>
      <c r="U90" t="s">
        <v>1362</v>
      </c>
      <c r="V90" t="s">
        <v>599</v>
      </c>
      <c r="W90" t="s">
        <v>1584</v>
      </c>
      <c r="X90" t="s">
        <v>599</v>
      </c>
      <c r="Y90" t="s">
        <v>599</v>
      </c>
      <c r="Z90" t="s">
        <v>1182</v>
      </c>
      <c r="AA90" t="s">
        <v>1694</v>
      </c>
      <c r="AB90">
        <v>1841</v>
      </c>
      <c r="AC90">
        <v>1841</v>
      </c>
      <c r="AD90" t="s">
        <v>1454</v>
      </c>
      <c r="AE90" t="s">
        <v>1695</v>
      </c>
      <c r="AF90" t="s">
        <v>599</v>
      </c>
      <c r="AG90" t="s">
        <v>599</v>
      </c>
      <c r="AH90" t="s">
        <v>599</v>
      </c>
      <c r="AI90" t="s">
        <v>599</v>
      </c>
      <c r="AJ90" t="s">
        <v>599</v>
      </c>
      <c r="AK90" t="s">
        <v>1696</v>
      </c>
      <c r="AL90" t="s">
        <v>599</v>
      </c>
      <c r="AM90" t="s">
        <v>1697</v>
      </c>
      <c r="AN90" t="s">
        <v>1190</v>
      </c>
      <c r="AO90" t="s">
        <v>599</v>
      </c>
      <c r="AP90" t="s">
        <v>599</v>
      </c>
      <c r="AQ90" t="s">
        <v>599</v>
      </c>
      <c r="AR90" t="s">
        <v>599</v>
      </c>
      <c r="AS90" t="s">
        <v>599</v>
      </c>
      <c r="AT90" t="s">
        <v>599</v>
      </c>
      <c r="AU90" t="s">
        <v>599</v>
      </c>
    </row>
    <row r="91" spans="1:47" s="13" customFormat="1" ht="30" x14ac:dyDescent="0.25">
      <c r="A91" s="9">
        <v>10171</v>
      </c>
      <c r="B91" s="10">
        <v>733501</v>
      </c>
      <c r="C91" s="10">
        <v>1</v>
      </c>
      <c r="D91" s="9">
        <v>1</v>
      </c>
      <c r="E91" s="11" t="s">
        <v>120</v>
      </c>
      <c r="F91" s="11" t="str">
        <f t="shared" si="3"/>
        <v>https://purl.pt/12938</v>
      </c>
      <c r="G91" s="12">
        <v>1</v>
      </c>
      <c r="H91" s="9">
        <v>1</v>
      </c>
      <c r="I91" s="34"/>
      <c r="J91" s="55" t="str">
        <f t="shared" si="4"/>
        <v>https://permalinkbnd.bnportugal.gov.pt/viewer/37674/?offset=#page=1&amp;viewer=picture&amp;o=info&amp;n=0&amp;q=</v>
      </c>
      <c r="K91" s="45"/>
      <c r="L91" s="45"/>
      <c r="M91" s="45"/>
      <c r="N91" t="s">
        <v>120</v>
      </c>
      <c r="O91">
        <v>37674</v>
      </c>
      <c r="P91" t="str">
        <f t="shared" si="5"/>
        <v>https://permalinkbnd.bnportugal.gov.pt/viewer/37674/?offset=#page=1&amp;viewer=picture&amp;o=info&amp;n=0&amp;q=</v>
      </c>
      <c r="Q91">
        <v>733501</v>
      </c>
      <c r="R91" t="s">
        <v>120</v>
      </c>
      <c r="S91" t="s">
        <v>599</v>
      </c>
      <c r="T91" t="s">
        <v>1312</v>
      </c>
      <c r="U91" t="s">
        <v>1502</v>
      </c>
      <c r="V91" t="s">
        <v>599</v>
      </c>
      <c r="W91" t="s">
        <v>1698</v>
      </c>
      <c r="X91" t="s">
        <v>599</v>
      </c>
      <c r="Y91" t="s">
        <v>599</v>
      </c>
      <c r="Z91" t="s">
        <v>1182</v>
      </c>
      <c r="AA91" t="s">
        <v>1699</v>
      </c>
      <c r="AB91">
        <v>1820</v>
      </c>
      <c r="AC91">
        <v>1820</v>
      </c>
      <c r="AD91" t="s">
        <v>1454</v>
      </c>
      <c r="AE91" t="s">
        <v>1700</v>
      </c>
      <c r="AF91" t="s">
        <v>599</v>
      </c>
      <c r="AG91" t="s">
        <v>599</v>
      </c>
      <c r="AH91" t="s">
        <v>599</v>
      </c>
      <c r="AI91" t="s">
        <v>599</v>
      </c>
      <c r="AJ91" t="s">
        <v>599</v>
      </c>
      <c r="AK91" t="s">
        <v>1701</v>
      </c>
      <c r="AL91" t="s">
        <v>1702</v>
      </c>
      <c r="AM91" t="s">
        <v>1703</v>
      </c>
      <c r="AN91" t="s">
        <v>1190</v>
      </c>
      <c r="AO91" t="s">
        <v>599</v>
      </c>
      <c r="AP91" t="s">
        <v>599</v>
      </c>
      <c r="AQ91" t="s">
        <v>599</v>
      </c>
      <c r="AR91" t="s">
        <v>599</v>
      </c>
      <c r="AS91" t="s">
        <v>599</v>
      </c>
      <c r="AT91" t="s">
        <v>599</v>
      </c>
      <c r="AU91" t="s">
        <v>599</v>
      </c>
    </row>
    <row r="92" spans="1:47" s="13" customFormat="1" ht="30" x14ac:dyDescent="0.25">
      <c r="A92" s="9">
        <v>10172</v>
      </c>
      <c r="B92" s="10">
        <v>742171</v>
      </c>
      <c r="C92" s="10">
        <v>1</v>
      </c>
      <c r="D92" s="9">
        <v>10</v>
      </c>
      <c r="E92" s="11" t="s">
        <v>121</v>
      </c>
      <c r="F92" s="11" t="str">
        <f t="shared" si="3"/>
        <v>https://purl.pt/43810</v>
      </c>
      <c r="G92" s="12" t="s">
        <v>122</v>
      </c>
      <c r="H92" s="9" t="s">
        <v>123</v>
      </c>
      <c r="I92" s="34"/>
      <c r="J92" s="55" t="str">
        <f t="shared" si="4"/>
        <v>https://permalinkbnd.bnportugal.gov.pt/viewer/274166/?offset=#page=10&amp;viewer=picture&amp;o=info&amp;n=0&amp;q=</v>
      </c>
      <c r="K92" s="45"/>
      <c r="L92" s="45"/>
      <c r="M92" s="45"/>
      <c r="N92" t="s">
        <v>121</v>
      </c>
      <c r="O92">
        <v>274166</v>
      </c>
      <c r="P92" t="str">
        <f t="shared" si="5"/>
        <v>https://permalinkbnd.bnportugal.gov.pt/viewer/274166/?offset=#page=10&amp;viewer=picture&amp;o=info&amp;n=0&amp;q=</v>
      </c>
      <c r="Q92">
        <v>742171</v>
      </c>
      <c r="R92" t="s">
        <v>121</v>
      </c>
      <c r="S92" t="s">
        <v>1704</v>
      </c>
      <c r="T92" t="s">
        <v>1178</v>
      </c>
      <c r="U92" t="s">
        <v>1362</v>
      </c>
      <c r="V92" t="s">
        <v>599</v>
      </c>
      <c r="W92" t="s">
        <v>1345</v>
      </c>
      <c r="X92" t="s">
        <v>599</v>
      </c>
      <c r="Y92" t="s">
        <v>599</v>
      </c>
      <c r="Z92" t="s">
        <v>1182</v>
      </c>
      <c r="AA92" t="s">
        <v>1705</v>
      </c>
      <c r="AB92">
        <v>1889</v>
      </c>
      <c r="AC92">
        <v>1889</v>
      </c>
      <c r="AD92" t="s">
        <v>1706</v>
      </c>
      <c r="AE92" t="s">
        <v>1185</v>
      </c>
      <c r="AF92" t="s">
        <v>599</v>
      </c>
      <c r="AG92" t="s">
        <v>599</v>
      </c>
      <c r="AH92" t="s">
        <v>1707</v>
      </c>
      <c r="AI92" t="s">
        <v>599</v>
      </c>
      <c r="AJ92" t="s">
        <v>599</v>
      </c>
      <c r="AK92" t="s">
        <v>1708</v>
      </c>
      <c r="AL92" t="s">
        <v>1188</v>
      </c>
      <c r="AM92" t="s">
        <v>1709</v>
      </c>
      <c r="AN92" t="s">
        <v>1190</v>
      </c>
      <c r="AO92" t="s">
        <v>599</v>
      </c>
      <c r="AP92" t="s">
        <v>599</v>
      </c>
      <c r="AQ92" t="s">
        <v>599</v>
      </c>
      <c r="AR92" t="s">
        <v>599</v>
      </c>
      <c r="AS92" t="s">
        <v>599</v>
      </c>
      <c r="AT92" t="s">
        <v>599</v>
      </c>
      <c r="AU92" t="s">
        <v>599</v>
      </c>
    </row>
    <row r="93" spans="1:47" s="13" customFormat="1" ht="30" x14ac:dyDescent="0.25">
      <c r="A93" s="9">
        <v>10173</v>
      </c>
      <c r="B93" s="10">
        <v>742171</v>
      </c>
      <c r="C93" s="10">
        <v>1</v>
      </c>
      <c r="D93" s="9">
        <v>18</v>
      </c>
      <c r="E93" s="11" t="s">
        <v>121</v>
      </c>
      <c r="F93" s="11" t="str">
        <f t="shared" si="3"/>
        <v>https://purl.pt/43810</v>
      </c>
      <c r="G93" s="12" t="s">
        <v>122</v>
      </c>
      <c r="H93" s="9" t="s">
        <v>123</v>
      </c>
      <c r="I93" s="34"/>
      <c r="J93" s="55" t="str">
        <f t="shared" si="4"/>
        <v>https://permalinkbnd.bnportugal.gov.pt/viewer/274166/?offset=#page=18&amp;viewer=picture&amp;o=info&amp;n=0&amp;q=</v>
      </c>
      <c r="K93" s="45"/>
      <c r="L93" s="45"/>
      <c r="M93" s="45"/>
      <c r="N93" t="s">
        <v>121</v>
      </c>
      <c r="O93">
        <v>274166</v>
      </c>
      <c r="P93" t="str">
        <f t="shared" si="5"/>
        <v>https://permalinkbnd.bnportugal.gov.pt/viewer/274166/?offset=#page=18&amp;viewer=picture&amp;o=info&amp;n=0&amp;q=</v>
      </c>
      <c r="Q93">
        <v>742171</v>
      </c>
      <c r="R93" t="s">
        <v>121</v>
      </c>
      <c r="S93" t="s">
        <v>1704</v>
      </c>
      <c r="T93" t="s">
        <v>1178</v>
      </c>
      <c r="U93" t="s">
        <v>1362</v>
      </c>
      <c r="V93" t="s">
        <v>599</v>
      </c>
      <c r="W93" t="s">
        <v>1345</v>
      </c>
      <c r="X93" t="s">
        <v>599</v>
      </c>
      <c r="Y93" t="s">
        <v>599</v>
      </c>
      <c r="Z93" t="s">
        <v>1182</v>
      </c>
      <c r="AA93" t="s">
        <v>1705</v>
      </c>
      <c r="AB93">
        <v>1889</v>
      </c>
      <c r="AC93">
        <v>1889</v>
      </c>
      <c r="AD93" t="s">
        <v>1706</v>
      </c>
      <c r="AE93" t="s">
        <v>1185</v>
      </c>
      <c r="AF93" t="s">
        <v>599</v>
      </c>
      <c r="AG93" t="s">
        <v>599</v>
      </c>
      <c r="AH93" t="s">
        <v>1707</v>
      </c>
      <c r="AI93" t="s">
        <v>599</v>
      </c>
      <c r="AJ93" t="s">
        <v>599</v>
      </c>
      <c r="AK93" t="s">
        <v>1708</v>
      </c>
      <c r="AL93" t="s">
        <v>1188</v>
      </c>
      <c r="AM93" t="s">
        <v>1709</v>
      </c>
      <c r="AN93" t="s">
        <v>1190</v>
      </c>
      <c r="AO93" t="s">
        <v>599</v>
      </c>
      <c r="AP93" t="s">
        <v>599</v>
      </c>
      <c r="AQ93" t="s">
        <v>599</v>
      </c>
      <c r="AR93" t="s">
        <v>599</v>
      </c>
      <c r="AS93" t="s">
        <v>599</v>
      </c>
      <c r="AT93" t="s">
        <v>599</v>
      </c>
      <c r="AU93" t="s">
        <v>599</v>
      </c>
    </row>
    <row r="94" spans="1:47" s="13" customFormat="1" ht="30" x14ac:dyDescent="0.25">
      <c r="A94" s="9">
        <v>10175</v>
      </c>
      <c r="B94" s="10">
        <v>764770</v>
      </c>
      <c r="C94" s="10">
        <v>1</v>
      </c>
      <c r="D94" s="9">
        <v>7</v>
      </c>
      <c r="E94" s="11" t="s">
        <v>124</v>
      </c>
      <c r="F94" s="11" t="str">
        <f t="shared" si="3"/>
        <v>https://purl.pt/42608</v>
      </c>
      <c r="G94" s="12" t="s">
        <v>125</v>
      </c>
      <c r="H94" s="9">
        <v>7</v>
      </c>
      <c r="I94" s="34"/>
      <c r="J94" s="55" t="str">
        <f t="shared" si="4"/>
        <v>https://permalinkbnd.bnportugal.gov.pt/viewer/270042/?offset=#page=7&amp;viewer=picture&amp;o=info&amp;n=0&amp;q=</v>
      </c>
      <c r="K94" s="45"/>
      <c r="L94" s="45"/>
      <c r="M94" s="45"/>
      <c r="N94" t="s">
        <v>124</v>
      </c>
      <c r="O94">
        <v>270042</v>
      </c>
      <c r="P94" t="str">
        <f t="shared" si="5"/>
        <v>https://permalinkbnd.bnportugal.gov.pt/viewer/270042/?offset=#page=7&amp;viewer=picture&amp;o=info&amp;n=0&amp;q=</v>
      </c>
      <c r="Q94">
        <v>764770</v>
      </c>
      <c r="R94" t="s">
        <v>124</v>
      </c>
      <c r="S94" t="s">
        <v>1710</v>
      </c>
      <c r="T94" t="s">
        <v>1178</v>
      </c>
      <c r="U94" t="s">
        <v>1192</v>
      </c>
      <c r="V94" t="s">
        <v>599</v>
      </c>
      <c r="W94" t="s">
        <v>1551</v>
      </c>
      <c r="X94" t="s">
        <v>599</v>
      </c>
      <c r="Y94" t="s">
        <v>599</v>
      </c>
      <c r="Z94" t="s">
        <v>1182</v>
      </c>
      <c r="AA94" t="s">
        <v>1711</v>
      </c>
      <c r="AB94">
        <v>1609</v>
      </c>
      <c r="AC94">
        <v>1609</v>
      </c>
      <c r="AD94" t="s">
        <v>1712</v>
      </c>
      <c r="AE94" t="s">
        <v>1185</v>
      </c>
      <c r="AF94" t="s">
        <v>599</v>
      </c>
      <c r="AG94" t="s">
        <v>599</v>
      </c>
      <c r="AH94" t="s">
        <v>1713</v>
      </c>
      <c r="AI94" t="s">
        <v>599</v>
      </c>
      <c r="AJ94" t="s">
        <v>599</v>
      </c>
      <c r="AK94" t="s">
        <v>1714</v>
      </c>
      <c r="AL94" t="s">
        <v>1188</v>
      </c>
      <c r="AM94" t="s">
        <v>1715</v>
      </c>
      <c r="AN94" t="s">
        <v>1190</v>
      </c>
      <c r="AO94" t="s">
        <v>599</v>
      </c>
      <c r="AP94" t="s">
        <v>599</v>
      </c>
      <c r="AQ94" t="s">
        <v>599</v>
      </c>
      <c r="AR94" t="s">
        <v>599</v>
      </c>
      <c r="AS94" t="s">
        <v>599</v>
      </c>
      <c r="AT94" t="s">
        <v>599</v>
      </c>
      <c r="AU94" t="s">
        <v>599</v>
      </c>
    </row>
    <row r="95" spans="1:47" s="13" customFormat="1" ht="30" x14ac:dyDescent="0.25">
      <c r="A95" s="9">
        <v>10179</v>
      </c>
      <c r="B95" s="10">
        <v>767226</v>
      </c>
      <c r="C95" s="10">
        <v>1</v>
      </c>
      <c r="D95" s="9">
        <v>4</v>
      </c>
      <c r="E95" s="11" t="s">
        <v>126</v>
      </c>
      <c r="F95" s="11" t="str">
        <f t="shared" si="3"/>
        <v>https://purl.pt/43749</v>
      </c>
      <c r="G95" s="12">
        <v>4</v>
      </c>
      <c r="H95" s="9">
        <v>4</v>
      </c>
      <c r="I95" s="34"/>
      <c r="J95" s="55" t="str">
        <f t="shared" si="4"/>
        <v>https://permalinkbnd.bnportugal.gov.pt/viewer/273943/?offset=#page=4&amp;viewer=picture&amp;o=info&amp;n=0&amp;q=</v>
      </c>
      <c r="K95" s="45"/>
      <c r="L95" s="45"/>
      <c r="M95" s="45"/>
      <c r="N95" t="s">
        <v>126</v>
      </c>
      <c r="O95">
        <v>273943</v>
      </c>
      <c r="P95" t="str">
        <f t="shared" si="5"/>
        <v>https://permalinkbnd.bnportugal.gov.pt/viewer/273943/?offset=#page=4&amp;viewer=picture&amp;o=info&amp;n=0&amp;q=</v>
      </c>
      <c r="Q95">
        <v>767226</v>
      </c>
      <c r="R95" t="s">
        <v>126</v>
      </c>
      <c r="S95" t="s">
        <v>599</v>
      </c>
      <c r="T95" t="s">
        <v>1178</v>
      </c>
      <c r="U95" t="s">
        <v>1192</v>
      </c>
      <c r="V95" t="s">
        <v>599</v>
      </c>
      <c r="W95" t="s">
        <v>1551</v>
      </c>
      <c r="X95" t="s">
        <v>1716</v>
      </c>
      <c r="Y95" t="s">
        <v>599</v>
      </c>
      <c r="Z95" t="s">
        <v>1717</v>
      </c>
      <c r="AA95" t="s">
        <v>1718</v>
      </c>
      <c r="AB95">
        <v>1875</v>
      </c>
      <c r="AC95">
        <v>1875</v>
      </c>
      <c r="AD95" t="s">
        <v>1719</v>
      </c>
      <c r="AE95" t="s">
        <v>1185</v>
      </c>
      <c r="AF95" t="s">
        <v>599</v>
      </c>
      <c r="AG95" t="s">
        <v>599</v>
      </c>
      <c r="AH95" t="s">
        <v>599</v>
      </c>
      <c r="AI95" t="s">
        <v>599</v>
      </c>
      <c r="AJ95" t="s">
        <v>599</v>
      </c>
      <c r="AK95" t="s">
        <v>1720</v>
      </c>
      <c r="AL95" t="s">
        <v>1188</v>
      </c>
      <c r="AM95" t="s">
        <v>1721</v>
      </c>
      <c r="AN95" t="s">
        <v>1190</v>
      </c>
      <c r="AO95" t="s">
        <v>599</v>
      </c>
      <c r="AP95" t="s">
        <v>599</v>
      </c>
      <c r="AQ95" t="s">
        <v>599</v>
      </c>
      <c r="AR95" t="s">
        <v>599</v>
      </c>
      <c r="AS95" t="s">
        <v>599</v>
      </c>
      <c r="AT95" t="s">
        <v>599</v>
      </c>
      <c r="AU95" t="s">
        <v>599</v>
      </c>
    </row>
    <row r="96" spans="1:47" s="13" customFormat="1" ht="30" x14ac:dyDescent="0.25">
      <c r="A96" s="9">
        <v>10181</v>
      </c>
      <c r="B96" s="10">
        <v>767525</v>
      </c>
      <c r="C96" s="10">
        <v>1</v>
      </c>
      <c r="D96" s="9">
        <v>3</v>
      </c>
      <c r="E96" s="11" t="s">
        <v>127</v>
      </c>
      <c r="F96" s="11" t="str">
        <f t="shared" si="3"/>
        <v>https://purl.pt/43772</v>
      </c>
      <c r="G96" s="12">
        <v>3</v>
      </c>
      <c r="H96" s="9">
        <v>3</v>
      </c>
      <c r="I96" s="34"/>
      <c r="J96" s="55" t="str">
        <f t="shared" si="4"/>
        <v>https://permalinkbnd.bnportugal.gov.pt/viewer/273427/?offset=#page=3&amp;viewer=picture&amp;o=info&amp;n=0&amp;q=</v>
      </c>
      <c r="K96" s="45"/>
      <c r="L96" s="45"/>
      <c r="M96" s="45"/>
      <c r="N96" t="s">
        <v>127</v>
      </c>
      <c r="O96">
        <v>273427</v>
      </c>
      <c r="P96" t="str">
        <f t="shared" si="5"/>
        <v>https://permalinkbnd.bnportugal.gov.pt/viewer/273427/?offset=#page=3&amp;viewer=picture&amp;o=info&amp;n=0&amp;q=</v>
      </c>
      <c r="Q96">
        <v>767525</v>
      </c>
      <c r="R96" t="s">
        <v>127</v>
      </c>
      <c r="S96" t="s">
        <v>1722</v>
      </c>
      <c r="T96" t="s">
        <v>1178</v>
      </c>
      <c r="U96" t="s">
        <v>1192</v>
      </c>
      <c r="V96" t="s">
        <v>599</v>
      </c>
      <c r="W96" t="s">
        <v>1723</v>
      </c>
      <c r="X96" t="s">
        <v>1724</v>
      </c>
      <c r="Y96" t="s">
        <v>599</v>
      </c>
      <c r="Z96" t="s">
        <v>1182</v>
      </c>
      <c r="AA96" t="s">
        <v>1725</v>
      </c>
      <c r="AB96">
        <v>1881</v>
      </c>
      <c r="AC96">
        <v>1881</v>
      </c>
      <c r="AD96" t="s">
        <v>1726</v>
      </c>
      <c r="AE96" t="s">
        <v>599</v>
      </c>
      <c r="AF96" t="s">
        <v>1727</v>
      </c>
      <c r="AG96" t="s">
        <v>599</v>
      </c>
      <c r="AH96" t="s">
        <v>1432</v>
      </c>
      <c r="AI96" t="s">
        <v>599</v>
      </c>
      <c r="AJ96" t="s">
        <v>599</v>
      </c>
      <c r="AK96" t="s">
        <v>1728</v>
      </c>
      <c r="AL96" t="s">
        <v>1188</v>
      </c>
      <c r="AM96" t="s">
        <v>1729</v>
      </c>
      <c r="AN96" t="s">
        <v>1190</v>
      </c>
      <c r="AO96" t="s">
        <v>599</v>
      </c>
      <c r="AP96" t="s">
        <v>599</v>
      </c>
      <c r="AQ96" t="s">
        <v>599</v>
      </c>
      <c r="AR96" t="s">
        <v>599</v>
      </c>
      <c r="AS96" t="s">
        <v>599</v>
      </c>
      <c r="AT96" t="s">
        <v>599</v>
      </c>
      <c r="AU96" t="s">
        <v>599</v>
      </c>
    </row>
    <row r="97" spans="1:47" s="13" customFormat="1" ht="30" x14ac:dyDescent="0.25">
      <c r="A97" s="9">
        <v>10187</v>
      </c>
      <c r="B97" s="10">
        <v>782745</v>
      </c>
      <c r="C97" s="10">
        <v>1</v>
      </c>
      <c r="D97" s="9">
        <v>6</v>
      </c>
      <c r="E97" s="11" t="s">
        <v>128</v>
      </c>
      <c r="F97" s="11" t="str">
        <f t="shared" si="3"/>
        <v>https://purl.pt/43415</v>
      </c>
      <c r="G97" s="12" t="s">
        <v>129</v>
      </c>
      <c r="H97" s="9">
        <v>6</v>
      </c>
      <c r="I97" s="34"/>
      <c r="J97" s="55" t="str">
        <f t="shared" si="4"/>
        <v>https://permalinkbnd.bnportugal.gov.pt/viewer/272372/?offset=#page=6&amp;viewer=picture&amp;o=info&amp;n=0&amp;q=</v>
      </c>
      <c r="K97" s="45"/>
      <c r="L97" s="45"/>
      <c r="M97" s="45"/>
      <c r="N97" t="s">
        <v>128</v>
      </c>
      <c r="O97">
        <v>272372</v>
      </c>
      <c r="P97" t="str">
        <f t="shared" si="5"/>
        <v>https://permalinkbnd.bnportugal.gov.pt/viewer/272372/?offset=#page=6&amp;viewer=picture&amp;o=info&amp;n=0&amp;q=</v>
      </c>
      <c r="Q97">
        <v>782745</v>
      </c>
      <c r="R97" t="s">
        <v>128</v>
      </c>
      <c r="S97" t="s">
        <v>1730</v>
      </c>
      <c r="T97" t="s">
        <v>1178</v>
      </c>
      <c r="U97" t="s">
        <v>1192</v>
      </c>
      <c r="V97" t="s">
        <v>599</v>
      </c>
      <c r="W97" t="s">
        <v>1551</v>
      </c>
      <c r="X97" t="s">
        <v>1330</v>
      </c>
      <c r="Y97" t="s">
        <v>599</v>
      </c>
      <c r="Z97" t="s">
        <v>1731</v>
      </c>
      <c r="AA97" t="s">
        <v>1732</v>
      </c>
      <c r="AB97">
        <v>1889</v>
      </c>
      <c r="AC97">
        <v>1889</v>
      </c>
      <c r="AD97" t="s">
        <v>1733</v>
      </c>
      <c r="AE97" t="s">
        <v>1185</v>
      </c>
      <c r="AF97" t="s">
        <v>599</v>
      </c>
      <c r="AG97" t="s">
        <v>599</v>
      </c>
      <c r="AH97" t="s">
        <v>599</v>
      </c>
      <c r="AI97" t="s">
        <v>599</v>
      </c>
      <c r="AJ97" t="s">
        <v>599</v>
      </c>
      <c r="AK97" t="s">
        <v>1734</v>
      </c>
      <c r="AL97" t="s">
        <v>1188</v>
      </c>
      <c r="AM97" t="s">
        <v>1735</v>
      </c>
      <c r="AN97" t="s">
        <v>1190</v>
      </c>
      <c r="AO97" t="s">
        <v>599</v>
      </c>
      <c r="AP97" t="s">
        <v>599</v>
      </c>
      <c r="AQ97" t="s">
        <v>599</v>
      </c>
      <c r="AR97" t="s">
        <v>599</v>
      </c>
      <c r="AS97" t="s">
        <v>599</v>
      </c>
      <c r="AT97" t="s">
        <v>599</v>
      </c>
      <c r="AU97" t="s">
        <v>599</v>
      </c>
    </row>
    <row r="98" spans="1:47" s="13" customFormat="1" ht="30" x14ac:dyDescent="0.25">
      <c r="A98" s="9">
        <v>10191</v>
      </c>
      <c r="B98" s="10">
        <v>784907</v>
      </c>
      <c r="C98" s="10">
        <v>1</v>
      </c>
      <c r="D98" s="9">
        <v>21</v>
      </c>
      <c r="E98" s="11" t="s">
        <v>130</v>
      </c>
      <c r="F98" s="11" t="str">
        <f t="shared" si="3"/>
        <v>https://purl.pt/43424</v>
      </c>
      <c r="G98" s="12" t="s">
        <v>131</v>
      </c>
      <c r="H98" s="9" t="s">
        <v>132</v>
      </c>
      <c r="I98" s="34"/>
      <c r="J98" s="55" t="str">
        <f t="shared" si="4"/>
        <v>https://permalinkbnd.bnportugal.gov.pt/viewer/272381/?offset=#page=21&amp;viewer=picture&amp;o=info&amp;n=0&amp;q=</v>
      </c>
      <c r="K98" s="45"/>
      <c r="L98" s="45"/>
      <c r="M98" s="45"/>
      <c r="N98" t="s">
        <v>130</v>
      </c>
      <c r="O98">
        <v>272381</v>
      </c>
      <c r="P98" t="str">
        <f t="shared" si="5"/>
        <v>https://permalinkbnd.bnportugal.gov.pt/viewer/272381/?offset=#page=21&amp;viewer=picture&amp;o=info&amp;n=0&amp;q=</v>
      </c>
      <c r="Q98">
        <v>784907</v>
      </c>
      <c r="R98" t="s">
        <v>130</v>
      </c>
      <c r="S98" t="s">
        <v>1736</v>
      </c>
      <c r="T98" t="s">
        <v>1178</v>
      </c>
      <c r="U98" t="s">
        <v>1192</v>
      </c>
      <c r="V98" t="s">
        <v>599</v>
      </c>
      <c r="W98" t="s">
        <v>1737</v>
      </c>
      <c r="X98" t="s">
        <v>599</v>
      </c>
      <c r="Y98" t="s">
        <v>599</v>
      </c>
      <c r="Z98" t="s">
        <v>1182</v>
      </c>
      <c r="AA98" t="s">
        <v>1738</v>
      </c>
      <c r="AB98">
        <v>1836</v>
      </c>
      <c r="AC98">
        <v>1836</v>
      </c>
      <c r="AD98" t="s">
        <v>599</v>
      </c>
      <c r="AE98" t="s">
        <v>1185</v>
      </c>
      <c r="AF98" t="s">
        <v>599</v>
      </c>
      <c r="AG98" t="s">
        <v>599</v>
      </c>
      <c r="AH98" t="s">
        <v>599</v>
      </c>
      <c r="AI98" t="s">
        <v>599</v>
      </c>
      <c r="AJ98" t="s">
        <v>599</v>
      </c>
      <c r="AK98" t="s">
        <v>1739</v>
      </c>
      <c r="AL98" t="s">
        <v>1188</v>
      </c>
      <c r="AM98" t="s">
        <v>1740</v>
      </c>
      <c r="AN98" t="s">
        <v>1190</v>
      </c>
      <c r="AO98" t="s">
        <v>599</v>
      </c>
      <c r="AP98" t="s">
        <v>599</v>
      </c>
      <c r="AQ98" t="s">
        <v>599</v>
      </c>
      <c r="AR98" t="s">
        <v>599</v>
      </c>
      <c r="AS98" t="s">
        <v>599</v>
      </c>
      <c r="AT98" t="s">
        <v>599</v>
      </c>
      <c r="AU98" t="s">
        <v>599</v>
      </c>
    </row>
    <row r="99" spans="1:47" s="13" customFormat="1" ht="30" x14ac:dyDescent="0.25">
      <c r="A99" s="9">
        <v>10192</v>
      </c>
      <c r="B99" s="10">
        <v>784907</v>
      </c>
      <c r="C99" s="10">
        <v>1</v>
      </c>
      <c r="D99" s="9">
        <v>24</v>
      </c>
      <c r="E99" s="11" t="s">
        <v>130</v>
      </c>
      <c r="F99" s="11" t="str">
        <f t="shared" si="3"/>
        <v>https://purl.pt/43424</v>
      </c>
      <c r="G99" s="12" t="s">
        <v>131</v>
      </c>
      <c r="H99" s="9" t="s">
        <v>132</v>
      </c>
      <c r="I99" s="34"/>
      <c r="J99" s="55" t="str">
        <f t="shared" si="4"/>
        <v>https://permalinkbnd.bnportugal.gov.pt/viewer/272381/?offset=#page=24&amp;viewer=picture&amp;o=info&amp;n=0&amp;q=</v>
      </c>
      <c r="K99" s="45"/>
      <c r="L99" s="45"/>
      <c r="M99" s="45"/>
      <c r="N99" t="s">
        <v>130</v>
      </c>
      <c r="O99">
        <v>272381</v>
      </c>
      <c r="P99" t="str">
        <f t="shared" si="5"/>
        <v>https://permalinkbnd.bnportugal.gov.pt/viewer/272381/?offset=#page=24&amp;viewer=picture&amp;o=info&amp;n=0&amp;q=</v>
      </c>
      <c r="Q99">
        <v>784907</v>
      </c>
      <c r="R99" t="s">
        <v>130</v>
      </c>
      <c r="S99" t="s">
        <v>1736</v>
      </c>
      <c r="T99" t="s">
        <v>1178</v>
      </c>
      <c r="U99" t="s">
        <v>1192</v>
      </c>
      <c r="V99" t="s">
        <v>599</v>
      </c>
      <c r="W99" t="s">
        <v>1737</v>
      </c>
      <c r="X99" t="s">
        <v>599</v>
      </c>
      <c r="Y99" t="s">
        <v>599</v>
      </c>
      <c r="Z99" t="s">
        <v>1182</v>
      </c>
      <c r="AA99" t="s">
        <v>1738</v>
      </c>
      <c r="AB99">
        <v>1836</v>
      </c>
      <c r="AC99">
        <v>1836</v>
      </c>
      <c r="AD99" t="s">
        <v>599</v>
      </c>
      <c r="AE99" t="s">
        <v>1185</v>
      </c>
      <c r="AF99" t="s">
        <v>599</v>
      </c>
      <c r="AG99" t="s">
        <v>599</v>
      </c>
      <c r="AH99" t="s">
        <v>599</v>
      </c>
      <c r="AI99" t="s">
        <v>599</v>
      </c>
      <c r="AJ99" t="s">
        <v>599</v>
      </c>
      <c r="AK99" t="s">
        <v>1739</v>
      </c>
      <c r="AL99" t="s">
        <v>1188</v>
      </c>
      <c r="AM99" t="s">
        <v>1740</v>
      </c>
      <c r="AN99" t="s">
        <v>1190</v>
      </c>
      <c r="AO99" t="s">
        <v>599</v>
      </c>
      <c r="AP99" t="s">
        <v>599</v>
      </c>
      <c r="AQ99" t="s">
        <v>599</v>
      </c>
      <c r="AR99" t="s">
        <v>599</v>
      </c>
      <c r="AS99" t="s">
        <v>599</v>
      </c>
      <c r="AT99" t="s">
        <v>599</v>
      </c>
      <c r="AU99" t="s">
        <v>599</v>
      </c>
    </row>
    <row r="100" spans="1:47" s="13" customFormat="1" ht="30" x14ac:dyDescent="0.25">
      <c r="A100" s="9">
        <v>10193</v>
      </c>
      <c r="B100" s="10">
        <v>784907</v>
      </c>
      <c r="C100" s="10">
        <v>1</v>
      </c>
      <c r="D100" s="9">
        <v>25</v>
      </c>
      <c r="E100" s="11" t="s">
        <v>130</v>
      </c>
      <c r="F100" s="11" t="str">
        <f t="shared" si="3"/>
        <v>https://purl.pt/43424</v>
      </c>
      <c r="G100" s="12" t="s">
        <v>131</v>
      </c>
      <c r="H100" s="9" t="s">
        <v>132</v>
      </c>
      <c r="I100" s="34"/>
      <c r="J100" s="55" t="str">
        <f t="shared" si="4"/>
        <v>https://permalinkbnd.bnportugal.gov.pt/viewer/272381/?offset=#page=25&amp;viewer=picture&amp;o=info&amp;n=0&amp;q=</v>
      </c>
      <c r="K100" s="45"/>
      <c r="L100" s="45"/>
      <c r="M100" s="45"/>
      <c r="N100" t="s">
        <v>130</v>
      </c>
      <c r="O100">
        <v>272381</v>
      </c>
      <c r="P100" t="str">
        <f t="shared" si="5"/>
        <v>https://permalinkbnd.bnportugal.gov.pt/viewer/272381/?offset=#page=25&amp;viewer=picture&amp;o=info&amp;n=0&amp;q=</v>
      </c>
      <c r="Q100">
        <v>784907</v>
      </c>
      <c r="R100" t="s">
        <v>130</v>
      </c>
      <c r="S100" t="s">
        <v>1736</v>
      </c>
      <c r="T100" t="s">
        <v>1178</v>
      </c>
      <c r="U100" t="s">
        <v>1192</v>
      </c>
      <c r="V100" t="s">
        <v>599</v>
      </c>
      <c r="W100" t="s">
        <v>1737</v>
      </c>
      <c r="X100" t="s">
        <v>599</v>
      </c>
      <c r="Y100" t="s">
        <v>599</v>
      </c>
      <c r="Z100" t="s">
        <v>1182</v>
      </c>
      <c r="AA100" t="s">
        <v>1738</v>
      </c>
      <c r="AB100">
        <v>1836</v>
      </c>
      <c r="AC100">
        <v>1836</v>
      </c>
      <c r="AD100" t="s">
        <v>599</v>
      </c>
      <c r="AE100" t="s">
        <v>1185</v>
      </c>
      <c r="AF100" t="s">
        <v>599</v>
      </c>
      <c r="AG100" t="s">
        <v>599</v>
      </c>
      <c r="AH100" t="s">
        <v>599</v>
      </c>
      <c r="AI100" t="s">
        <v>599</v>
      </c>
      <c r="AJ100" t="s">
        <v>599</v>
      </c>
      <c r="AK100" t="s">
        <v>1739</v>
      </c>
      <c r="AL100" t="s">
        <v>1188</v>
      </c>
      <c r="AM100" t="s">
        <v>1740</v>
      </c>
      <c r="AN100" t="s">
        <v>1190</v>
      </c>
      <c r="AO100" t="s">
        <v>599</v>
      </c>
      <c r="AP100" t="s">
        <v>599</v>
      </c>
      <c r="AQ100" t="s">
        <v>599</v>
      </c>
      <c r="AR100" t="s">
        <v>599</v>
      </c>
      <c r="AS100" t="s">
        <v>599</v>
      </c>
      <c r="AT100" t="s">
        <v>599</v>
      </c>
      <c r="AU100" t="s">
        <v>599</v>
      </c>
    </row>
    <row r="101" spans="1:47" s="13" customFormat="1" ht="30" x14ac:dyDescent="0.25">
      <c r="A101" s="9">
        <v>10194</v>
      </c>
      <c r="B101" s="10">
        <v>784907</v>
      </c>
      <c r="C101" s="10">
        <v>1</v>
      </c>
      <c r="D101" s="9">
        <v>28</v>
      </c>
      <c r="E101" s="11" t="s">
        <v>130</v>
      </c>
      <c r="F101" s="11" t="str">
        <f t="shared" si="3"/>
        <v>https://purl.pt/43424</v>
      </c>
      <c r="G101" s="12" t="s">
        <v>131</v>
      </c>
      <c r="H101" s="9" t="s">
        <v>132</v>
      </c>
      <c r="I101" s="34"/>
      <c r="J101" s="55" t="str">
        <f t="shared" si="4"/>
        <v>https://permalinkbnd.bnportugal.gov.pt/viewer/272381/?offset=#page=28&amp;viewer=picture&amp;o=info&amp;n=0&amp;q=</v>
      </c>
      <c r="K101" s="45"/>
      <c r="L101" s="45"/>
      <c r="M101" s="45"/>
      <c r="N101" t="s">
        <v>130</v>
      </c>
      <c r="O101">
        <v>272381</v>
      </c>
      <c r="P101" t="str">
        <f t="shared" si="5"/>
        <v>https://permalinkbnd.bnportugal.gov.pt/viewer/272381/?offset=#page=28&amp;viewer=picture&amp;o=info&amp;n=0&amp;q=</v>
      </c>
      <c r="Q101">
        <v>784907</v>
      </c>
      <c r="R101" t="s">
        <v>130</v>
      </c>
      <c r="S101" t="s">
        <v>599</v>
      </c>
      <c r="T101" t="s">
        <v>1178</v>
      </c>
      <c r="U101" t="s">
        <v>1192</v>
      </c>
      <c r="V101" t="s">
        <v>599</v>
      </c>
      <c r="W101" t="s">
        <v>1737</v>
      </c>
      <c r="X101" t="s">
        <v>599</v>
      </c>
      <c r="Y101" t="s">
        <v>599</v>
      </c>
      <c r="Z101" t="s">
        <v>1182</v>
      </c>
      <c r="AA101" t="s">
        <v>1738</v>
      </c>
      <c r="AB101">
        <v>1836</v>
      </c>
      <c r="AC101">
        <v>1836</v>
      </c>
      <c r="AD101" t="s">
        <v>599</v>
      </c>
      <c r="AE101" t="s">
        <v>1185</v>
      </c>
      <c r="AF101" t="s">
        <v>599</v>
      </c>
      <c r="AG101" t="s">
        <v>599</v>
      </c>
      <c r="AH101" t="s">
        <v>599</v>
      </c>
      <c r="AI101" t="s">
        <v>599</v>
      </c>
      <c r="AJ101" t="s">
        <v>599</v>
      </c>
      <c r="AK101" t="s">
        <v>1739</v>
      </c>
      <c r="AL101" t="s">
        <v>1188</v>
      </c>
      <c r="AM101" t="s">
        <v>1740</v>
      </c>
      <c r="AN101" t="s">
        <v>1190</v>
      </c>
      <c r="AO101" t="s">
        <v>599</v>
      </c>
      <c r="AP101" t="s">
        <v>599</v>
      </c>
      <c r="AQ101" t="s">
        <v>599</v>
      </c>
      <c r="AR101" t="s">
        <v>599</v>
      </c>
      <c r="AS101" t="s">
        <v>599</v>
      </c>
      <c r="AT101" t="s">
        <v>599</v>
      </c>
      <c r="AU101" t="s">
        <v>599</v>
      </c>
    </row>
    <row r="102" spans="1:47" s="13" customFormat="1" ht="30" x14ac:dyDescent="0.25">
      <c r="A102" s="9">
        <v>10195</v>
      </c>
      <c r="B102" s="10">
        <v>784907</v>
      </c>
      <c r="C102" s="10">
        <v>1</v>
      </c>
      <c r="D102" s="9">
        <v>29</v>
      </c>
      <c r="E102" s="11" t="s">
        <v>130</v>
      </c>
      <c r="F102" s="11" t="str">
        <f t="shared" si="3"/>
        <v>https://purl.pt/43424</v>
      </c>
      <c r="G102" s="12" t="s">
        <v>131</v>
      </c>
      <c r="H102" s="9" t="s">
        <v>132</v>
      </c>
      <c r="I102" s="34"/>
      <c r="J102" s="55" t="str">
        <f t="shared" si="4"/>
        <v>https://permalinkbnd.bnportugal.gov.pt/viewer/272381/?offset=#page=29&amp;viewer=picture&amp;o=info&amp;n=0&amp;q=</v>
      </c>
      <c r="K102" s="45"/>
      <c r="L102" s="45"/>
      <c r="M102" s="45"/>
      <c r="N102" t="s">
        <v>130</v>
      </c>
      <c r="O102">
        <v>272381</v>
      </c>
      <c r="P102" t="str">
        <f t="shared" si="5"/>
        <v>https://permalinkbnd.bnportugal.gov.pt/viewer/272381/?offset=#page=29&amp;viewer=picture&amp;o=info&amp;n=0&amp;q=</v>
      </c>
      <c r="Q102">
        <v>784907</v>
      </c>
      <c r="R102" t="s">
        <v>130</v>
      </c>
      <c r="S102" t="s">
        <v>599</v>
      </c>
      <c r="T102" t="s">
        <v>1178</v>
      </c>
      <c r="U102" t="s">
        <v>1192</v>
      </c>
      <c r="V102" t="s">
        <v>599</v>
      </c>
      <c r="W102" t="s">
        <v>1737</v>
      </c>
      <c r="X102" t="s">
        <v>599</v>
      </c>
      <c r="Y102" t="s">
        <v>599</v>
      </c>
      <c r="Z102" t="s">
        <v>1182</v>
      </c>
      <c r="AA102" t="s">
        <v>1738</v>
      </c>
      <c r="AB102">
        <v>1836</v>
      </c>
      <c r="AC102">
        <v>1836</v>
      </c>
      <c r="AD102" t="s">
        <v>599</v>
      </c>
      <c r="AE102" t="s">
        <v>1185</v>
      </c>
      <c r="AF102" t="s">
        <v>599</v>
      </c>
      <c r="AG102" t="s">
        <v>599</v>
      </c>
      <c r="AH102" t="s">
        <v>599</v>
      </c>
      <c r="AI102" t="s">
        <v>599</v>
      </c>
      <c r="AJ102" t="s">
        <v>599</v>
      </c>
      <c r="AK102" t="s">
        <v>1739</v>
      </c>
      <c r="AL102" t="s">
        <v>1188</v>
      </c>
      <c r="AM102" t="s">
        <v>1740</v>
      </c>
      <c r="AN102" t="s">
        <v>1190</v>
      </c>
      <c r="AO102" t="s">
        <v>599</v>
      </c>
      <c r="AP102" t="s">
        <v>599</v>
      </c>
      <c r="AQ102" t="s">
        <v>599</v>
      </c>
      <c r="AR102" t="s">
        <v>599</v>
      </c>
      <c r="AS102" t="s">
        <v>599</v>
      </c>
      <c r="AT102" t="s">
        <v>599</v>
      </c>
      <c r="AU102" t="s">
        <v>599</v>
      </c>
    </row>
    <row r="103" spans="1:47" s="13" customFormat="1" ht="30" x14ac:dyDescent="0.25">
      <c r="A103" s="9">
        <v>10196</v>
      </c>
      <c r="B103" s="10">
        <v>784907</v>
      </c>
      <c r="C103" s="10">
        <v>1</v>
      </c>
      <c r="D103" s="9">
        <v>32</v>
      </c>
      <c r="E103" s="11" t="s">
        <v>130</v>
      </c>
      <c r="F103" s="11" t="str">
        <f t="shared" si="3"/>
        <v>https://purl.pt/43424</v>
      </c>
      <c r="G103" s="12" t="s">
        <v>131</v>
      </c>
      <c r="H103" s="9" t="s">
        <v>132</v>
      </c>
      <c r="I103" s="34"/>
      <c r="J103" s="55" t="str">
        <f t="shared" si="4"/>
        <v>https://permalinkbnd.bnportugal.gov.pt/viewer/272381/?offset=#page=32&amp;viewer=picture&amp;o=info&amp;n=0&amp;q=</v>
      </c>
      <c r="K103" s="45"/>
      <c r="L103" s="45"/>
      <c r="M103" s="45"/>
      <c r="N103" t="s">
        <v>130</v>
      </c>
      <c r="O103">
        <v>272381</v>
      </c>
      <c r="P103" t="str">
        <f t="shared" si="5"/>
        <v>https://permalinkbnd.bnportugal.gov.pt/viewer/272381/?offset=#page=32&amp;viewer=picture&amp;o=info&amp;n=0&amp;q=</v>
      </c>
      <c r="Q103">
        <v>784907</v>
      </c>
      <c r="R103" t="s">
        <v>130</v>
      </c>
      <c r="S103" t="s">
        <v>1736</v>
      </c>
      <c r="T103" t="s">
        <v>1178</v>
      </c>
      <c r="U103" t="s">
        <v>1192</v>
      </c>
      <c r="V103" t="s">
        <v>599</v>
      </c>
      <c r="W103" t="s">
        <v>1737</v>
      </c>
      <c r="X103" t="s">
        <v>599</v>
      </c>
      <c r="Y103" t="s">
        <v>599</v>
      </c>
      <c r="Z103" t="s">
        <v>1182</v>
      </c>
      <c r="AA103" t="s">
        <v>1738</v>
      </c>
      <c r="AB103">
        <v>1836</v>
      </c>
      <c r="AC103">
        <v>1836</v>
      </c>
      <c r="AD103" t="s">
        <v>599</v>
      </c>
      <c r="AE103" t="s">
        <v>1185</v>
      </c>
      <c r="AF103" t="s">
        <v>599</v>
      </c>
      <c r="AG103" t="s">
        <v>599</v>
      </c>
      <c r="AH103" t="s">
        <v>599</v>
      </c>
      <c r="AI103" t="s">
        <v>599</v>
      </c>
      <c r="AJ103" t="s">
        <v>599</v>
      </c>
      <c r="AK103" t="s">
        <v>1739</v>
      </c>
      <c r="AL103" t="s">
        <v>1188</v>
      </c>
      <c r="AM103" t="s">
        <v>1740</v>
      </c>
      <c r="AN103" t="s">
        <v>1190</v>
      </c>
      <c r="AO103" t="s">
        <v>599</v>
      </c>
      <c r="AP103" t="s">
        <v>599</v>
      </c>
      <c r="AQ103" t="s">
        <v>599</v>
      </c>
      <c r="AR103" t="s">
        <v>599</v>
      </c>
      <c r="AS103" t="s">
        <v>599</v>
      </c>
      <c r="AT103" t="s">
        <v>599</v>
      </c>
      <c r="AU103" t="s">
        <v>599</v>
      </c>
    </row>
    <row r="104" spans="1:47" s="13" customFormat="1" ht="30" x14ac:dyDescent="0.25">
      <c r="A104" s="9">
        <v>10197</v>
      </c>
      <c r="B104" s="10">
        <v>784907</v>
      </c>
      <c r="C104" s="10">
        <v>1</v>
      </c>
      <c r="D104" s="9">
        <v>33</v>
      </c>
      <c r="E104" s="11" t="s">
        <v>130</v>
      </c>
      <c r="F104" s="11" t="str">
        <f t="shared" si="3"/>
        <v>https://purl.pt/43424</v>
      </c>
      <c r="G104" s="12" t="s">
        <v>131</v>
      </c>
      <c r="H104" s="9" t="s">
        <v>132</v>
      </c>
      <c r="I104" s="34"/>
      <c r="J104" s="55" t="str">
        <f t="shared" si="4"/>
        <v>https://permalinkbnd.bnportugal.gov.pt/viewer/272381/?offset=#page=33&amp;viewer=picture&amp;o=info&amp;n=0&amp;q=</v>
      </c>
      <c r="K104" s="45"/>
      <c r="L104" s="45"/>
      <c r="M104" s="45"/>
      <c r="N104" t="s">
        <v>130</v>
      </c>
      <c r="O104">
        <v>272381</v>
      </c>
      <c r="P104" t="str">
        <f t="shared" si="5"/>
        <v>https://permalinkbnd.bnportugal.gov.pt/viewer/272381/?offset=#page=33&amp;viewer=picture&amp;o=info&amp;n=0&amp;q=</v>
      </c>
      <c r="Q104">
        <v>784907</v>
      </c>
      <c r="R104" t="s">
        <v>130</v>
      </c>
      <c r="S104" t="s">
        <v>1736</v>
      </c>
      <c r="T104" t="s">
        <v>1178</v>
      </c>
      <c r="U104" t="s">
        <v>1192</v>
      </c>
      <c r="V104" t="s">
        <v>599</v>
      </c>
      <c r="W104" t="s">
        <v>1737</v>
      </c>
      <c r="X104" t="s">
        <v>599</v>
      </c>
      <c r="Y104" t="s">
        <v>599</v>
      </c>
      <c r="Z104" t="s">
        <v>1182</v>
      </c>
      <c r="AA104" t="s">
        <v>1738</v>
      </c>
      <c r="AB104">
        <v>1836</v>
      </c>
      <c r="AC104">
        <v>1836</v>
      </c>
      <c r="AD104" t="s">
        <v>599</v>
      </c>
      <c r="AE104" t="s">
        <v>1185</v>
      </c>
      <c r="AF104" t="s">
        <v>599</v>
      </c>
      <c r="AG104" t="s">
        <v>599</v>
      </c>
      <c r="AH104" t="s">
        <v>599</v>
      </c>
      <c r="AI104" t="s">
        <v>599</v>
      </c>
      <c r="AJ104" t="s">
        <v>599</v>
      </c>
      <c r="AK104" t="s">
        <v>1739</v>
      </c>
      <c r="AL104" t="s">
        <v>1188</v>
      </c>
      <c r="AM104" t="s">
        <v>1740</v>
      </c>
      <c r="AN104" t="s">
        <v>1190</v>
      </c>
      <c r="AO104" t="s">
        <v>599</v>
      </c>
      <c r="AP104" t="s">
        <v>599</v>
      </c>
      <c r="AQ104" t="s">
        <v>599</v>
      </c>
      <c r="AR104" t="s">
        <v>599</v>
      </c>
      <c r="AS104" t="s">
        <v>599</v>
      </c>
      <c r="AT104" t="s">
        <v>599</v>
      </c>
      <c r="AU104" t="s">
        <v>599</v>
      </c>
    </row>
    <row r="105" spans="1:47" s="13" customFormat="1" ht="30" x14ac:dyDescent="0.25">
      <c r="A105" s="9">
        <v>10198</v>
      </c>
      <c r="B105" s="10">
        <v>784907</v>
      </c>
      <c r="C105" s="10">
        <v>1</v>
      </c>
      <c r="D105" s="9">
        <v>36</v>
      </c>
      <c r="E105" s="11" t="s">
        <v>130</v>
      </c>
      <c r="F105" s="11" t="str">
        <f t="shared" si="3"/>
        <v>https://purl.pt/43424</v>
      </c>
      <c r="G105" s="12" t="s">
        <v>131</v>
      </c>
      <c r="H105" s="9" t="s">
        <v>132</v>
      </c>
      <c r="I105" s="34"/>
      <c r="J105" s="55" t="str">
        <f t="shared" si="4"/>
        <v>https://permalinkbnd.bnportugal.gov.pt/viewer/272381/?offset=#page=36&amp;viewer=picture&amp;o=info&amp;n=0&amp;q=</v>
      </c>
      <c r="K105" s="45"/>
      <c r="L105" s="45"/>
      <c r="M105" s="45"/>
      <c r="N105" t="s">
        <v>130</v>
      </c>
      <c r="O105">
        <v>272381</v>
      </c>
      <c r="P105" t="str">
        <f t="shared" si="5"/>
        <v>https://permalinkbnd.bnportugal.gov.pt/viewer/272381/?offset=#page=36&amp;viewer=picture&amp;o=info&amp;n=0&amp;q=</v>
      </c>
      <c r="Q105">
        <v>784907</v>
      </c>
      <c r="R105" t="s">
        <v>130</v>
      </c>
      <c r="S105" t="s">
        <v>599</v>
      </c>
      <c r="T105" t="s">
        <v>1178</v>
      </c>
      <c r="U105" t="s">
        <v>1192</v>
      </c>
      <c r="V105" t="s">
        <v>599</v>
      </c>
      <c r="W105" t="s">
        <v>1737</v>
      </c>
      <c r="X105" t="s">
        <v>599</v>
      </c>
      <c r="Y105" t="s">
        <v>599</v>
      </c>
      <c r="Z105" t="s">
        <v>1182</v>
      </c>
      <c r="AA105" t="s">
        <v>1738</v>
      </c>
      <c r="AB105">
        <v>1836</v>
      </c>
      <c r="AC105">
        <v>1836</v>
      </c>
      <c r="AD105" t="s">
        <v>599</v>
      </c>
      <c r="AE105" t="s">
        <v>1185</v>
      </c>
      <c r="AF105" t="s">
        <v>599</v>
      </c>
      <c r="AG105" t="s">
        <v>599</v>
      </c>
      <c r="AH105" t="s">
        <v>599</v>
      </c>
      <c r="AI105" t="s">
        <v>599</v>
      </c>
      <c r="AJ105" t="s">
        <v>599</v>
      </c>
      <c r="AK105" t="s">
        <v>1739</v>
      </c>
      <c r="AL105" t="s">
        <v>1188</v>
      </c>
      <c r="AM105" t="s">
        <v>1740</v>
      </c>
      <c r="AN105" t="s">
        <v>1190</v>
      </c>
      <c r="AO105" t="s">
        <v>599</v>
      </c>
      <c r="AP105" t="s">
        <v>599</v>
      </c>
      <c r="AQ105" t="s">
        <v>599</v>
      </c>
      <c r="AR105" t="s">
        <v>599</v>
      </c>
      <c r="AS105" t="s">
        <v>599</v>
      </c>
      <c r="AT105" t="s">
        <v>599</v>
      </c>
      <c r="AU105" t="s">
        <v>599</v>
      </c>
    </row>
    <row r="106" spans="1:47" s="13" customFormat="1" ht="30" x14ac:dyDescent="0.25">
      <c r="A106" s="9">
        <v>10199</v>
      </c>
      <c r="B106" s="10">
        <v>784907</v>
      </c>
      <c r="C106" s="10">
        <v>1</v>
      </c>
      <c r="D106" s="9">
        <v>37</v>
      </c>
      <c r="E106" s="11" t="s">
        <v>130</v>
      </c>
      <c r="F106" s="11" t="str">
        <f t="shared" si="3"/>
        <v>https://purl.pt/43424</v>
      </c>
      <c r="G106" s="12" t="s">
        <v>131</v>
      </c>
      <c r="H106" s="9" t="s">
        <v>132</v>
      </c>
      <c r="I106" s="34"/>
      <c r="J106" s="55" t="str">
        <f t="shared" si="4"/>
        <v>https://permalinkbnd.bnportugal.gov.pt/viewer/272381/?offset=#page=37&amp;viewer=picture&amp;o=info&amp;n=0&amp;q=</v>
      </c>
      <c r="K106" s="45"/>
      <c r="L106" s="45"/>
      <c r="M106" s="45"/>
      <c r="N106" t="s">
        <v>130</v>
      </c>
      <c r="O106">
        <v>272381</v>
      </c>
      <c r="P106" t="str">
        <f t="shared" si="5"/>
        <v>https://permalinkbnd.bnportugal.gov.pt/viewer/272381/?offset=#page=37&amp;viewer=picture&amp;o=info&amp;n=0&amp;q=</v>
      </c>
      <c r="Q106">
        <v>784907</v>
      </c>
      <c r="R106" t="s">
        <v>130</v>
      </c>
      <c r="S106" t="s">
        <v>599</v>
      </c>
      <c r="T106" t="s">
        <v>1178</v>
      </c>
      <c r="U106" t="s">
        <v>1192</v>
      </c>
      <c r="V106" t="s">
        <v>599</v>
      </c>
      <c r="W106" t="s">
        <v>1737</v>
      </c>
      <c r="X106" t="s">
        <v>599</v>
      </c>
      <c r="Y106" t="s">
        <v>599</v>
      </c>
      <c r="Z106" t="s">
        <v>1182</v>
      </c>
      <c r="AA106" t="s">
        <v>1738</v>
      </c>
      <c r="AB106">
        <v>1836</v>
      </c>
      <c r="AC106">
        <v>1836</v>
      </c>
      <c r="AD106" t="s">
        <v>599</v>
      </c>
      <c r="AE106" t="s">
        <v>1185</v>
      </c>
      <c r="AF106" t="s">
        <v>599</v>
      </c>
      <c r="AG106" t="s">
        <v>599</v>
      </c>
      <c r="AH106" t="s">
        <v>599</v>
      </c>
      <c r="AI106" t="s">
        <v>599</v>
      </c>
      <c r="AJ106" t="s">
        <v>599</v>
      </c>
      <c r="AK106" t="s">
        <v>1739</v>
      </c>
      <c r="AL106" t="s">
        <v>1188</v>
      </c>
      <c r="AM106" t="s">
        <v>1740</v>
      </c>
      <c r="AN106" t="s">
        <v>1190</v>
      </c>
      <c r="AO106" t="s">
        <v>599</v>
      </c>
      <c r="AP106" t="s">
        <v>599</v>
      </c>
      <c r="AQ106" t="s">
        <v>599</v>
      </c>
      <c r="AR106" t="s">
        <v>599</v>
      </c>
      <c r="AS106" t="s">
        <v>599</v>
      </c>
      <c r="AT106" t="s">
        <v>599</v>
      </c>
      <c r="AU106" t="s">
        <v>599</v>
      </c>
    </row>
    <row r="107" spans="1:47" s="13" customFormat="1" ht="30" x14ac:dyDescent="0.25">
      <c r="A107" s="9">
        <v>10200</v>
      </c>
      <c r="B107" s="10">
        <v>784907</v>
      </c>
      <c r="C107" s="10">
        <v>1</v>
      </c>
      <c r="D107" s="9">
        <v>40</v>
      </c>
      <c r="E107" s="11" t="s">
        <v>130</v>
      </c>
      <c r="F107" s="11" t="str">
        <f t="shared" si="3"/>
        <v>https://purl.pt/43424</v>
      </c>
      <c r="G107" s="12" t="s">
        <v>131</v>
      </c>
      <c r="H107" s="9" t="s">
        <v>132</v>
      </c>
      <c r="I107" s="34"/>
      <c r="J107" s="55" t="str">
        <f t="shared" si="4"/>
        <v>https://permalinkbnd.bnportugal.gov.pt/viewer/272381/?offset=#page=40&amp;viewer=picture&amp;o=info&amp;n=0&amp;q=</v>
      </c>
      <c r="K107" s="45"/>
      <c r="L107" s="45"/>
      <c r="M107" s="45"/>
      <c r="N107" t="s">
        <v>130</v>
      </c>
      <c r="O107">
        <v>272381</v>
      </c>
      <c r="P107" t="str">
        <f t="shared" si="5"/>
        <v>https://permalinkbnd.bnportugal.gov.pt/viewer/272381/?offset=#page=40&amp;viewer=picture&amp;o=info&amp;n=0&amp;q=</v>
      </c>
      <c r="Q107">
        <v>784907</v>
      </c>
      <c r="R107" t="s">
        <v>130</v>
      </c>
      <c r="S107" t="s">
        <v>599</v>
      </c>
      <c r="T107" t="s">
        <v>1178</v>
      </c>
      <c r="U107" t="s">
        <v>1192</v>
      </c>
      <c r="V107" t="s">
        <v>599</v>
      </c>
      <c r="W107" t="s">
        <v>1737</v>
      </c>
      <c r="X107" t="s">
        <v>599</v>
      </c>
      <c r="Y107" t="s">
        <v>599</v>
      </c>
      <c r="Z107" t="s">
        <v>1182</v>
      </c>
      <c r="AA107" t="s">
        <v>1738</v>
      </c>
      <c r="AB107">
        <v>1836</v>
      </c>
      <c r="AC107">
        <v>1836</v>
      </c>
      <c r="AD107" t="s">
        <v>599</v>
      </c>
      <c r="AE107" t="s">
        <v>1185</v>
      </c>
      <c r="AF107" t="s">
        <v>599</v>
      </c>
      <c r="AG107" t="s">
        <v>599</v>
      </c>
      <c r="AH107" t="s">
        <v>599</v>
      </c>
      <c r="AI107" t="s">
        <v>599</v>
      </c>
      <c r="AJ107" t="s">
        <v>599</v>
      </c>
      <c r="AK107" t="s">
        <v>1739</v>
      </c>
      <c r="AL107" t="s">
        <v>1188</v>
      </c>
      <c r="AM107" t="s">
        <v>1740</v>
      </c>
      <c r="AN107" t="s">
        <v>1190</v>
      </c>
      <c r="AO107" t="s">
        <v>599</v>
      </c>
      <c r="AP107" t="s">
        <v>599</v>
      </c>
      <c r="AQ107" t="s">
        <v>599</v>
      </c>
      <c r="AR107" t="s">
        <v>599</v>
      </c>
      <c r="AS107" t="s">
        <v>599</v>
      </c>
      <c r="AT107" t="s">
        <v>599</v>
      </c>
      <c r="AU107" t="s">
        <v>599</v>
      </c>
    </row>
    <row r="108" spans="1:47" s="13" customFormat="1" ht="30" x14ac:dyDescent="0.25">
      <c r="A108" s="9">
        <v>10201</v>
      </c>
      <c r="B108" s="10">
        <v>784907</v>
      </c>
      <c r="C108" s="10">
        <v>1</v>
      </c>
      <c r="D108" s="9">
        <v>41</v>
      </c>
      <c r="E108" s="11" t="s">
        <v>130</v>
      </c>
      <c r="F108" s="11" t="str">
        <f t="shared" si="3"/>
        <v>https://purl.pt/43424</v>
      </c>
      <c r="G108" s="12" t="s">
        <v>131</v>
      </c>
      <c r="H108" s="9" t="s">
        <v>132</v>
      </c>
      <c r="I108" s="34"/>
      <c r="J108" s="55" t="str">
        <f t="shared" si="4"/>
        <v>https://permalinkbnd.bnportugal.gov.pt/viewer/272381/?offset=#page=41&amp;viewer=picture&amp;o=info&amp;n=0&amp;q=</v>
      </c>
      <c r="K108" s="45"/>
      <c r="L108" s="45"/>
      <c r="M108" s="45"/>
      <c r="N108" t="s">
        <v>130</v>
      </c>
      <c r="O108">
        <v>272381</v>
      </c>
      <c r="P108" t="str">
        <f t="shared" si="5"/>
        <v>https://permalinkbnd.bnportugal.gov.pt/viewer/272381/?offset=#page=41&amp;viewer=picture&amp;o=info&amp;n=0&amp;q=</v>
      </c>
      <c r="Q108">
        <v>784907</v>
      </c>
      <c r="R108" t="s">
        <v>130</v>
      </c>
      <c r="S108" t="s">
        <v>599</v>
      </c>
      <c r="T108" t="s">
        <v>1178</v>
      </c>
      <c r="U108" t="s">
        <v>1192</v>
      </c>
      <c r="V108" t="s">
        <v>599</v>
      </c>
      <c r="W108" t="s">
        <v>1737</v>
      </c>
      <c r="X108" t="s">
        <v>599</v>
      </c>
      <c r="Y108" t="s">
        <v>599</v>
      </c>
      <c r="Z108" t="s">
        <v>1182</v>
      </c>
      <c r="AA108" t="s">
        <v>1738</v>
      </c>
      <c r="AB108">
        <v>1836</v>
      </c>
      <c r="AC108">
        <v>1836</v>
      </c>
      <c r="AD108" t="s">
        <v>599</v>
      </c>
      <c r="AE108" t="s">
        <v>1185</v>
      </c>
      <c r="AF108" t="s">
        <v>599</v>
      </c>
      <c r="AG108" t="s">
        <v>599</v>
      </c>
      <c r="AH108" t="s">
        <v>599</v>
      </c>
      <c r="AI108" t="s">
        <v>599</v>
      </c>
      <c r="AJ108" t="s">
        <v>599</v>
      </c>
      <c r="AK108" t="s">
        <v>1739</v>
      </c>
      <c r="AL108" t="s">
        <v>1188</v>
      </c>
      <c r="AM108" t="s">
        <v>1740</v>
      </c>
      <c r="AN108" t="s">
        <v>1190</v>
      </c>
      <c r="AO108" t="s">
        <v>599</v>
      </c>
      <c r="AP108" t="s">
        <v>599</v>
      </c>
      <c r="AQ108" t="s">
        <v>599</v>
      </c>
      <c r="AR108" t="s">
        <v>599</v>
      </c>
      <c r="AS108" t="s">
        <v>599</v>
      </c>
      <c r="AT108" t="s">
        <v>599</v>
      </c>
      <c r="AU108" t="s">
        <v>599</v>
      </c>
    </row>
    <row r="109" spans="1:47" s="13" customFormat="1" ht="30" x14ac:dyDescent="0.25">
      <c r="A109" s="9">
        <v>10203</v>
      </c>
      <c r="B109" s="10">
        <v>785080</v>
      </c>
      <c r="C109" s="10">
        <v>1</v>
      </c>
      <c r="D109" s="9">
        <v>10</v>
      </c>
      <c r="E109" s="11" t="s">
        <v>133</v>
      </c>
      <c r="F109" s="11" t="str">
        <f t="shared" si="3"/>
        <v>https://purl.pt/43416</v>
      </c>
      <c r="G109" s="12">
        <v>10</v>
      </c>
      <c r="H109" s="9">
        <v>10</v>
      </c>
      <c r="I109" s="34"/>
      <c r="J109" s="55" t="str">
        <f t="shared" si="4"/>
        <v>https://permalinkbnd.bnportugal.gov.pt/viewer/280474/?offset=#page=10&amp;viewer=picture&amp;o=info&amp;n=0&amp;q=</v>
      </c>
      <c r="K109" s="45"/>
      <c r="L109" s="45"/>
      <c r="M109" s="45"/>
      <c r="N109" t="s">
        <v>133</v>
      </c>
      <c r="O109">
        <v>280474</v>
      </c>
      <c r="P109" t="str">
        <f t="shared" si="5"/>
        <v>https://permalinkbnd.bnportugal.gov.pt/viewer/280474/?offset=#page=10&amp;viewer=picture&amp;o=info&amp;n=0&amp;q=</v>
      </c>
      <c r="Q109">
        <v>785080</v>
      </c>
      <c r="R109" t="s">
        <v>133</v>
      </c>
      <c r="S109" t="s">
        <v>1741</v>
      </c>
      <c r="T109" t="s">
        <v>1178</v>
      </c>
      <c r="U109" t="s">
        <v>1502</v>
      </c>
      <c r="V109" t="s">
        <v>1192</v>
      </c>
      <c r="W109" t="s">
        <v>1742</v>
      </c>
      <c r="X109" t="s">
        <v>599</v>
      </c>
      <c r="Y109" t="s">
        <v>599</v>
      </c>
      <c r="Z109" t="s">
        <v>1743</v>
      </c>
      <c r="AA109" t="s">
        <v>1744</v>
      </c>
      <c r="AB109">
        <v>1824</v>
      </c>
      <c r="AC109">
        <v>1824</v>
      </c>
      <c r="AD109" t="s">
        <v>1745</v>
      </c>
      <c r="AE109" t="s">
        <v>1185</v>
      </c>
      <c r="AF109" t="s">
        <v>599</v>
      </c>
      <c r="AG109" t="s">
        <v>599</v>
      </c>
      <c r="AH109" t="s">
        <v>1746</v>
      </c>
      <c r="AI109" t="s">
        <v>599</v>
      </c>
      <c r="AJ109" t="s">
        <v>599</v>
      </c>
      <c r="AK109" t="s">
        <v>1747</v>
      </c>
      <c r="AL109" t="s">
        <v>1188</v>
      </c>
      <c r="AM109" t="s">
        <v>1748</v>
      </c>
      <c r="AN109" t="s">
        <v>1190</v>
      </c>
      <c r="AO109" t="s">
        <v>599</v>
      </c>
      <c r="AP109" t="s">
        <v>599</v>
      </c>
      <c r="AQ109" t="s">
        <v>599</v>
      </c>
      <c r="AR109" t="s">
        <v>599</v>
      </c>
      <c r="AS109" t="s">
        <v>599</v>
      </c>
      <c r="AT109" t="s">
        <v>599</v>
      </c>
      <c r="AU109" t="s">
        <v>599</v>
      </c>
    </row>
    <row r="110" spans="1:47" s="13" customFormat="1" ht="30" x14ac:dyDescent="0.25">
      <c r="A110" s="9">
        <v>10205</v>
      </c>
      <c r="B110" s="10">
        <v>788850</v>
      </c>
      <c r="C110" s="10">
        <v>1</v>
      </c>
      <c r="D110" s="9">
        <v>8</v>
      </c>
      <c r="E110" s="11" t="s">
        <v>134</v>
      </c>
      <c r="F110" s="11" t="str">
        <f t="shared" si="3"/>
        <v>https://purl.pt/43407</v>
      </c>
      <c r="G110" s="12" t="s">
        <v>135</v>
      </c>
      <c r="H110" s="9">
        <v>8</v>
      </c>
      <c r="I110" s="34"/>
      <c r="J110" s="55" t="str">
        <f t="shared" si="4"/>
        <v>https://permalinkbnd.bnportugal.gov.pt/viewer/272359/?offset=#page=8&amp;viewer=picture&amp;o=info&amp;n=0&amp;q=</v>
      </c>
      <c r="K110" s="45"/>
      <c r="L110" s="45"/>
      <c r="M110" s="45"/>
      <c r="N110" t="s">
        <v>134</v>
      </c>
      <c r="O110">
        <v>272359</v>
      </c>
      <c r="P110" t="str">
        <f t="shared" si="5"/>
        <v>https://permalinkbnd.bnportugal.gov.pt/viewer/272359/?offset=#page=8&amp;viewer=picture&amp;o=info&amp;n=0&amp;q=</v>
      </c>
      <c r="Q110">
        <v>788850</v>
      </c>
      <c r="R110" t="s">
        <v>134</v>
      </c>
      <c r="S110" t="s">
        <v>1749</v>
      </c>
      <c r="T110" t="s">
        <v>1178</v>
      </c>
      <c r="U110" t="s">
        <v>1362</v>
      </c>
      <c r="V110" t="s">
        <v>1192</v>
      </c>
      <c r="W110" t="s">
        <v>1750</v>
      </c>
      <c r="X110" t="s">
        <v>599</v>
      </c>
      <c r="Y110" t="s">
        <v>599</v>
      </c>
      <c r="Z110" t="s">
        <v>1182</v>
      </c>
      <c r="AA110" t="s">
        <v>1751</v>
      </c>
      <c r="AB110">
        <v>1828</v>
      </c>
      <c r="AC110">
        <v>1828</v>
      </c>
      <c r="AD110" t="s">
        <v>1752</v>
      </c>
      <c r="AE110" t="s">
        <v>1185</v>
      </c>
      <c r="AF110" t="s">
        <v>599</v>
      </c>
      <c r="AG110" t="s">
        <v>599</v>
      </c>
      <c r="AH110" t="s">
        <v>1753</v>
      </c>
      <c r="AI110" t="s">
        <v>599</v>
      </c>
      <c r="AJ110" t="s">
        <v>599</v>
      </c>
      <c r="AK110" t="s">
        <v>1754</v>
      </c>
      <c r="AL110" t="s">
        <v>1188</v>
      </c>
      <c r="AM110" t="s">
        <v>1755</v>
      </c>
      <c r="AN110" t="s">
        <v>1190</v>
      </c>
      <c r="AO110" t="s">
        <v>599</v>
      </c>
      <c r="AP110" t="s">
        <v>599</v>
      </c>
      <c r="AQ110" t="s">
        <v>599</v>
      </c>
      <c r="AR110" t="s">
        <v>599</v>
      </c>
      <c r="AS110" t="s">
        <v>599</v>
      </c>
      <c r="AT110" t="s">
        <v>599</v>
      </c>
      <c r="AU110" t="s">
        <v>599</v>
      </c>
    </row>
    <row r="111" spans="1:47" s="13" customFormat="1" ht="45" x14ac:dyDescent="0.25">
      <c r="A111" s="9">
        <v>10206</v>
      </c>
      <c r="B111" s="10">
        <v>788899</v>
      </c>
      <c r="C111" s="10">
        <v>1</v>
      </c>
      <c r="D111" s="9">
        <v>216</v>
      </c>
      <c r="E111" s="11" t="s">
        <v>136</v>
      </c>
      <c r="F111" s="11" t="str">
        <f t="shared" si="3"/>
        <v>https://purl.pt/43414</v>
      </c>
      <c r="G111" s="12" t="s">
        <v>137</v>
      </c>
      <c r="H111" s="9">
        <v>216</v>
      </c>
      <c r="I111" s="34"/>
      <c r="J111" s="55" t="str">
        <f t="shared" si="4"/>
        <v>https://permalinkbnd.bnportugal.gov.pt/viewer/272367/?offset=#page=216&amp;viewer=picture&amp;o=info&amp;n=0&amp;q=</v>
      </c>
      <c r="K111" s="45"/>
      <c r="L111" s="45"/>
      <c r="M111" s="45"/>
      <c r="N111" t="s">
        <v>136</v>
      </c>
      <c r="O111">
        <v>272367</v>
      </c>
      <c r="P111" t="str">
        <f t="shared" si="5"/>
        <v>https://permalinkbnd.bnportugal.gov.pt/viewer/272367/?offset=#page=216&amp;viewer=picture&amp;o=info&amp;n=0&amp;q=</v>
      </c>
      <c r="Q111">
        <v>788899</v>
      </c>
      <c r="R111" t="s">
        <v>136</v>
      </c>
      <c r="S111" t="s">
        <v>1756</v>
      </c>
      <c r="T111" t="s">
        <v>1178</v>
      </c>
      <c r="U111" t="s">
        <v>1502</v>
      </c>
      <c r="V111" t="s">
        <v>1362</v>
      </c>
      <c r="W111" t="s">
        <v>1757</v>
      </c>
      <c r="X111" t="s">
        <v>1758</v>
      </c>
      <c r="Y111" t="s">
        <v>599</v>
      </c>
      <c r="Z111" t="s">
        <v>1182</v>
      </c>
      <c r="AA111" t="s">
        <v>1759</v>
      </c>
      <c r="AB111">
        <v>1809</v>
      </c>
      <c r="AC111">
        <v>1809</v>
      </c>
      <c r="AD111" t="s">
        <v>1760</v>
      </c>
      <c r="AE111" t="s">
        <v>599</v>
      </c>
      <c r="AF111" t="s">
        <v>599</v>
      </c>
      <c r="AG111" t="s">
        <v>599</v>
      </c>
      <c r="AH111" t="s">
        <v>1761</v>
      </c>
      <c r="AI111" t="s">
        <v>599</v>
      </c>
      <c r="AJ111" t="s">
        <v>599</v>
      </c>
      <c r="AK111" t="s">
        <v>1762</v>
      </c>
      <c r="AL111" t="s">
        <v>1188</v>
      </c>
      <c r="AM111" t="s">
        <v>1763</v>
      </c>
      <c r="AN111" t="s">
        <v>1190</v>
      </c>
      <c r="AO111" t="s">
        <v>599</v>
      </c>
      <c r="AP111" t="s">
        <v>599</v>
      </c>
      <c r="AQ111" t="s">
        <v>599</v>
      </c>
      <c r="AR111" t="s">
        <v>599</v>
      </c>
      <c r="AS111" t="s">
        <v>599</v>
      </c>
      <c r="AT111" t="s">
        <v>599</v>
      </c>
      <c r="AU111" t="s">
        <v>599</v>
      </c>
    </row>
    <row r="112" spans="1:47" s="13" customFormat="1" ht="30" x14ac:dyDescent="0.25">
      <c r="A112" s="9">
        <v>10211</v>
      </c>
      <c r="B112" s="10">
        <v>798614</v>
      </c>
      <c r="C112" s="10">
        <v>1</v>
      </c>
      <c r="D112" s="9">
        <v>10</v>
      </c>
      <c r="E112" s="11" t="s">
        <v>138</v>
      </c>
      <c r="F112" s="11" t="str">
        <f t="shared" si="3"/>
        <v>https://purl.pt/43421</v>
      </c>
      <c r="G112" s="12" t="s">
        <v>139</v>
      </c>
      <c r="H112" s="9">
        <v>10</v>
      </c>
      <c r="I112" s="34"/>
      <c r="J112" s="55" t="str">
        <f t="shared" si="4"/>
        <v>https://permalinkbnd.bnportugal.gov.pt/viewer/272379/?offset=#page=10&amp;viewer=picture&amp;o=info&amp;n=0&amp;q=</v>
      </c>
      <c r="K112" s="45"/>
      <c r="L112" s="45"/>
      <c r="M112" s="45"/>
      <c r="N112" t="s">
        <v>138</v>
      </c>
      <c r="O112">
        <v>272379</v>
      </c>
      <c r="P112" t="str">
        <f t="shared" si="5"/>
        <v>https://permalinkbnd.bnportugal.gov.pt/viewer/272379/?offset=#page=10&amp;viewer=picture&amp;o=info&amp;n=0&amp;q=</v>
      </c>
      <c r="Q112">
        <v>798614</v>
      </c>
      <c r="R112" t="s">
        <v>138</v>
      </c>
      <c r="S112" t="s">
        <v>1764</v>
      </c>
      <c r="T112" t="s">
        <v>1178</v>
      </c>
      <c r="U112" t="s">
        <v>1502</v>
      </c>
      <c r="V112" t="s">
        <v>1192</v>
      </c>
      <c r="W112" t="s">
        <v>1765</v>
      </c>
      <c r="X112" t="s">
        <v>599</v>
      </c>
      <c r="Y112" t="s">
        <v>599</v>
      </c>
      <c r="Z112" t="s">
        <v>1182</v>
      </c>
      <c r="AA112" t="s">
        <v>1766</v>
      </c>
      <c r="AB112">
        <v>1854</v>
      </c>
      <c r="AC112">
        <v>1854</v>
      </c>
      <c r="AD112" t="s">
        <v>1767</v>
      </c>
      <c r="AE112" t="s">
        <v>1185</v>
      </c>
      <c r="AF112" t="s">
        <v>599</v>
      </c>
      <c r="AG112" t="s">
        <v>599</v>
      </c>
      <c r="AH112" t="s">
        <v>1768</v>
      </c>
      <c r="AI112" t="s">
        <v>599</v>
      </c>
      <c r="AJ112" t="s">
        <v>599</v>
      </c>
      <c r="AK112" t="s">
        <v>1769</v>
      </c>
      <c r="AL112" t="s">
        <v>1188</v>
      </c>
      <c r="AM112" t="s">
        <v>1770</v>
      </c>
      <c r="AN112" t="s">
        <v>1190</v>
      </c>
      <c r="AO112" t="s">
        <v>599</v>
      </c>
      <c r="AP112" t="s">
        <v>599</v>
      </c>
      <c r="AQ112" t="s">
        <v>599</v>
      </c>
      <c r="AR112" t="s">
        <v>599</v>
      </c>
      <c r="AS112" t="s">
        <v>599</v>
      </c>
      <c r="AT112" t="s">
        <v>599</v>
      </c>
      <c r="AU112" t="s">
        <v>599</v>
      </c>
    </row>
    <row r="113" spans="1:47" s="13" customFormat="1" ht="30" x14ac:dyDescent="0.25">
      <c r="A113" s="9">
        <v>10212</v>
      </c>
      <c r="B113" s="10">
        <v>798623</v>
      </c>
      <c r="C113" s="10">
        <v>1</v>
      </c>
      <c r="D113" s="9">
        <v>8</v>
      </c>
      <c r="E113" s="11" t="s">
        <v>140</v>
      </c>
      <c r="F113" s="11" t="str">
        <f t="shared" si="3"/>
        <v>https://purl.pt/42612</v>
      </c>
      <c r="G113" s="12" t="s">
        <v>141</v>
      </c>
      <c r="H113" s="9">
        <v>8</v>
      </c>
      <c r="I113" s="34"/>
      <c r="J113" s="55" t="str">
        <f t="shared" si="4"/>
        <v>https://permalinkbnd.bnportugal.gov.pt/viewer/272383/?offset=#page=8&amp;viewer=picture&amp;o=info&amp;n=0&amp;q=</v>
      </c>
      <c r="K113" s="45"/>
      <c r="L113" s="45"/>
      <c r="M113" s="45"/>
      <c r="N113" t="s">
        <v>140</v>
      </c>
      <c r="O113">
        <v>272383</v>
      </c>
      <c r="P113" t="str">
        <f t="shared" si="5"/>
        <v>https://permalinkbnd.bnportugal.gov.pt/viewer/272383/?offset=#page=8&amp;viewer=picture&amp;o=info&amp;n=0&amp;q=</v>
      </c>
      <c r="Q113">
        <v>798623</v>
      </c>
      <c r="R113" t="s">
        <v>140</v>
      </c>
      <c r="S113" t="s">
        <v>1771</v>
      </c>
      <c r="T113" t="s">
        <v>1178</v>
      </c>
      <c r="U113" t="s">
        <v>1502</v>
      </c>
      <c r="V113" t="s">
        <v>1192</v>
      </c>
      <c r="W113" t="s">
        <v>1772</v>
      </c>
      <c r="X113" t="s">
        <v>599</v>
      </c>
      <c r="Y113" t="s">
        <v>599</v>
      </c>
      <c r="Z113" t="s">
        <v>1182</v>
      </c>
      <c r="AA113" t="s">
        <v>1773</v>
      </c>
      <c r="AB113">
        <v>1803</v>
      </c>
      <c r="AC113">
        <v>1803</v>
      </c>
      <c r="AD113" t="s">
        <v>1774</v>
      </c>
      <c r="AE113" t="s">
        <v>1185</v>
      </c>
      <c r="AF113" t="s">
        <v>599</v>
      </c>
      <c r="AG113" t="s">
        <v>599</v>
      </c>
      <c r="AH113" t="s">
        <v>1746</v>
      </c>
      <c r="AI113" t="s">
        <v>599</v>
      </c>
      <c r="AJ113" t="s">
        <v>599</v>
      </c>
      <c r="AK113" t="s">
        <v>1775</v>
      </c>
      <c r="AL113" t="s">
        <v>1188</v>
      </c>
      <c r="AM113" t="s">
        <v>1776</v>
      </c>
      <c r="AN113" t="s">
        <v>1190</v>
      </c>
      <c r="AO113" t="s">
        <v>599</v>
      </c>
      <c r="AP113" t="s">
        <v>599</v>
      </c>
      <c r="AQ113" t="s">
        <v>599</v>
      </c>
      <c r="AR113" t="s">
        <v>599</v>
      </c>
      <c r="AS113" t="s">
        <v>599</v>
      </c>
      <c r="AT113" t="s">
        <v>599</v>
      </c>
      <c r="AU113" t="s">
        <v>599</v>
      </c>
    </row>
    <row r="114" spans="1:47" s="26" customFormat="1" ht="30" x14ac:dyDescent="0.25">
      <c r="A114" s="22">
        <v>10215</v>
      </c>
      <c r="B114" s="23">
        <v>798863</v>
      </c>
      <c r="C114" s="23">
        <v>1</v>
      </c>
      <c r="D114" s="27">
        <v>5</v>
      </c>
      <c r="E114" s="24" t="s">
        <v>142</v>
      </c>
      <c r="F114" s="24" t="str">
        <f t="shared" si="3"/>
        <v>https://purl.pt/43430</v>
      </c>
      <c r="G114" s="25" t="s">
        <v>143</v>
      </c>
      <c r="H114" s="22"/>
      <c r="I114" s="27" t="s">
        <v>618</v>
      </c>
      <c r="J114" s="55" t="str">
        <f t="shared" si="4"/>
        <v>https://permalinkbnd.bnportugal.gov.pt/viewer/272376/?offset=#page=5&amp;viewer=picture&amp;o=info&amp;n=0&amp;q=</v>
      </c>
      <c r="K114" s="45"/>
      <c r="L114" s="45"/>
      <c r="M114" s="45"/>
      <c r="N114" t="s">
        <v>142</v>
      </c>
      <c r="O114">
        <v>272376</v>
      </c>
      <c r="P114" t="str">
        <f t="shared" si="5"/>
        <v>https://permalinkbnd.bnportugal.gov.pt/viewer/272376/?offset=#page=5&amp;viewer=picture&amp;o=info&amp;n=0&amp;q=</v>
      </c>
      <c r="Q114">
        <v>798863</v>
      </c>
      <c r="R114" t="s">
        <v>142</v>
      </c>
      <c r="S114" t="s">
        <v>1777</v>
      </c>
      <c r="T114" t="s">
        <v>1178</v>
      </c>
      <c r="U114" t="s">
        <v>1192</v>
      </c>
      <c r="V114" t="s">
        <v>599</v>
      </c>
      <c r="W114" t="s">
        <v>1551</v>
      </c>
      <c r="X114" t="s">
        <v>1778</v>
      </c>
      <c r="Y114" t="s">
        <v>599</v>
      </c>
      <c r="Z114" t="s">
        <v>1779</v>
      </c>
      <c r="AA114" t="s">
        <v>1780</v>
      </c>
      <c r="AB114">
        <v>1843</v>
      </c>
      <c r="AC114">
        <v>1843</v>
      </c>
      <c r="AD114" t="s">
        <v>1781</v>
      </c>
      <c r="AE114" t="s">
        <v>1185</v>
      </c>
      <c r="AF114" t="s">
        <v>599</v>
      </c>
      <c r="AG114" t="s">
        <v>599</v>
      </c>
      <c r="AH114" t="s">
        <v>599</v>
      </c>
      <c r="AI114" t="s">
        <v>599</v>
      </c>
      <c r="AJ114" t="s">
        <v>599</v>
      </c>
      <c r="AK114" t="s">
        <v>1782</v>
      </c>
      <c r="AL114" t="s">
        <v>1188</v>
      </c>
      <c r="AM114" t="s">
        <v>1783</v>
      </c>
      <c r="AN114" t="s">
        <v>1190</v>
      </c>
      <c r="AO114" t="s">
        <v>599</v>
      </c>
      <c r="AP114" t="s">
        <v>599</v>
      </c>
      <c r="AQ114" t="s">
        <v>599</v>
      </c>
      <c r="AR114" t="s">
        <v>599</v>
      </c>
      <c r="AS114" t="s">
        <v>599</v>
      </c>
      <c r="AT114" t="s">
        <v>599</v>
      </c>
      <c r="AU114" t="s">
        <v>599</v>
      </c>
    </row>
    <row r="115" spans="1:47" s="26" customFormat="1" ht="30" x14ac:dyDescent="0.25">
      <c r="A115" s="22">
        <v>10216</v>
      </c>
      <c r="B115" s="23">
        <v>798864</v>
      </c>
      <c r="C115" s="23">
        <v>1</v>
      </c>
      <c r="D115" s="27">
        <v>2</v>
      </c>
      <c r="E115" s="24" t="s">
        <v>144</v>
      </c>
      <c r="F115" s="24" t="str">
        <f t="shared" si="3"/>
        <v>https://purl.pt/43423</v>
      </c>
      <c r="G115" s="25" t="s">
        <v>145</v>
      </c>
      <c r="H115" s="22"/>
      <c r="I115" s="27" t="s">
        <v>619</v>
      </c>
      <c r="J115" s="55" t="str">
        <f t="shared" si="4"/>
        <v>https://permalinkbnd.bnportugal.gov.pt/viewer/272380/?offset=#page=2&amp;viewer=picture&amp;o=info&amp;n=0&amp;q=</v>
      </c>
      <c r="K115" s="45"/>
      <c r="L115" s="45"/>
      <c r="M115" s="45"/>
      <c r="N115" t="s">
        <v>144</v>
      </c>
      <c r="O115">
        <v>272380</v>
      </c>
      <c r="P115" t="str">
        <f t="shared" si="5"/>
        <v>https://permalinkbnd.bnportugal.gov.pt/viewer/272380/?offset=#page=2&amp;viewer=picture&amp;o=info&amp;n=0&amp;q=</v>
      </c>
      <c r="Q115">
        <v>798864</v>
      </c>
      <c r="R115" t="s">
        <v>144</v>
      </c>
      <c r="S115" t="s">
        <v>1784</v>
      </c>
      <c r="T115" t="s">
        <v>1178</v>
      </c>
      <c r="U115" t="s">
        <v>1192</v>
      </c>
      <c r="V115" t="s">
        <v>599</v>
      </c>
      <c r="W115" t="s">
        <v>1551</v>
      </c>
      <c r="X115" t="s">
        <v>1785</v>
      </c>
      <c r="Y115" t="s">
        <v>599</v>
      </c>
      <c r="Z115" t="s">
        <v>1786</v>
      </c>
      <c r="AA115" t="s">
        <v>1787</v>
      </c>
      <c r="AB115">
        <v>1870</v>
      </c>
      <c r="AC115">
        <v>1870</v>
      </c>
      <c r="AD115" t="s">
        <v>1788</v>
      </c>
      <c r="AE115" t="s">
        <v>1185</v>
      </c>
      <c r="AF115" t="s">
        <v>599</v>
      </c>
      <c r="AG115" t="s">
        <v>599</v>
      </c>
      <c r="AH115" t="s">
        <v>599</v>
      </c>
      <c r="AI115" t="s">
        <v>599</v>
      </c>
      <c r="AJ115" t="s">
        <v>599</v>
      </c>
      <c r="AK115" t="s">
        <v>1789</v>
      </c>
      <c r="AL115" t="s">
        <v>1188</v>
      </c>
      <c r="AM115" t="s">
        <v>1790</v>
      </c>
      <c r="AN115" t="s">
        <v>1190</v>
      </c>
      <c r="AO115" t="s">
        <v>599</v>
      </c>
      <c r="AP115" t="s">
        <v>599</v>
      </c>
      <c r="AQ115" t="s">
        <v>599</v>
      </c>
      <c r="AR115" t="s">
        <v>599</v>
      </c>
      <c r="AS115" t="s">
        <v>599</v>
      </c>
      <c r="AT115" t="s">
        <v>599</v>
      </c>
      <c r="AU115" t="s">
        <v>599</v>
      </c>
    </row>
    <row r="116" spans="1:47" s="26" customFormat="1" ht="30" x14ac:dyDescent="0.25">
      <c r="A116" s="22">
        <v>10218</v>
      </c>
      <c r="B116" s="23">
        <v>798881</v>
      </c>
      <c r="C116" s="23">
        <v>1</v>
      </c>
      <c r="D116" s="27">
        <v>5</v>
      </c>
      <c r="E116" s="24" t="s">
        <v>146</v>
      </c>
      <c r="F116" s="24" t="str">
        <f t="shared" si="3"/>
        <v>https://purl.pt/43139</v>
      </c>
      <c r="G116" s="25" t="s">
        <v>143</v>
      </c>
      <c r="H116" s="22"/>
      <c r="I116" s="27" t="s">
        <v>618</v>
      </c>
      <c r="J116" s="55" t="str">
        <f t="shared" si="4"/>
        <v>https://permalinkbnd.bnportugal.gov.pt/viewer/272389/?offset=#page=5&amp;viewer=picture&amp;o=info&amp;n=0&amp;q=</v>
      </c>
      <c r="K116" s="45"/>
      <c r="L116" s="45"/>
      <c r="M116" s="45"/>
      <c r="N116" t="s">
        <v>146</v>
      </c>
      <c r="O116">
        <v>272389</v>
      </c>
      <c r="P116" t="str">
        <f t="shared" si="5"/>
        <v>https://permalinkbnd.bnportugal.gov.pt/viewer/272389/?offset=#page=5&amp;viewer=picture&amp;o=info&amp;n=0&amp;q=</v>
      </c>
      <c r="Q116">
        <v>798881</v>
      </c>
      <c r="R116" t="s">
        <v>146</v>
      </c>
      <c r="S116" t="s">
        <v>1791</v>
      </c>
      <c r="T116" t="s">
        <v>1178</v>
      </c>
      <c r="U116" t="s">
        <v>1192</v>
      </c>
      <c r="V116" t="s">
        <v>599</v>
      </c>
      <c r="W116" t="s">
        <v>1792</v>
      </c>
      <c r="X116" t="s">
        <v>599</v>
      </c>
      <c r="Y116" t="s">
        <v>599</v>
      </c>
      <c r="Z116" t="s">
        <v>1182</v>
      </c>
      <c r="AA116" t="s">
        <v>1793</v>
      </c>
      <c r="AB116">
        <v>1883</v>
      </c>
      <c r="AC116">
        <v>1883</v>
      </c>
      <c r="AD116" t="s">
        <v>1276</v>
      </c>
      <c r="AE116" t="s">
        <v>1794</v>
      </c>
      <c r="AF116" t="s">
        <v>599</v>
      </c>
      <c r="AG116" t="s">
        <v>599</v>
      </c>
      <c r="AH116" t="s">
        <v>599</v>
      </c>
      <c r="AI116" t="s">
        <v>599</v>
      </c>
      <c r="AJ116" t="s">
        <v>599</v>
      </c>
      <c r="AK116" t="s">
        <v>1795</v>
      </c>
      <c r="AL116" t="s">
        <v>1188</v>
      </c>
      <c r="AM116" t="s">
        <v>1796</v>
      </c>
      <c r="AN116" t="s">
        <v>1190</v>
      </c>
      <c r="AO116" t="s">
        <v>599</v>
      </c>
      <c r="AP116" t="s">
        <v>599</v>
      </c>
      <c r="AQ116" t="s">
        <v>599</v>
      </c>
      <c r="AR116" t="s">
        <v>599</v>
      </c>
      <c r="AS116" t="s">
        <v>1797</v>
      </c>
      <c r="AT116" t="s">
        <v>599</v>
      </c>
      <c r="AU116" t="s">
        <v>599</v>
      </c>
    </row>
    <row r="117" spans="1:47" s="13" customFormat="1" ht="30" x14ac:dyDescent="0.25">
      <c r="A117" s="9">
        <v>10225</v>
      </c>
      <c r="B117" s="10">
        <v>800848</v>
      </c>
      <c r="C117" s="10">
        <v>1</v>
      </c>
      <c r="D117" s="9">
        <v>5</v>
      </c>
      <c r="E117" s="11" t="s">
        <v>147</v>
      </c>
      <c r="F117" s="11" t="str">
        <f t="shared" si="3"/>
        <v>https://purl.pt/43379</v>
      </c>
      <c r="G117" s="12" t="s">
        <v>148</v>
      </c>
      <c r="H117" s="9">
        <v>5</v>
      </c>
      <c r="I117" s="34"/>
      <c r="J117" s="55" t="str">
        <f t="shared" si="4"/>
        <v>https://permalinkbnd.bnportugal.gov.pt/viewer/272392/?offset=#page=5&amp;viewer=picture&amp;o=info&amp;n=0&amp;q=</v>
      </c>
      <c r="K117" s="45"/>
      <c r="L117" s="45"/>
      <c r="M117" s="45"/>
      <c r="N117" t="s">
        <v>147</v>
      </c>
      <c r="O117">
        <v>272392</v>
      </c>
      <c r="P117" t="str">
        <f t="shared" si="5"/>
        <v>https://permalinkbnd.bnportugal.gov.pt/viewer/272392/?offset=#page=5&amp;viewer=picture&amp;o=info&amp;n=0&amp;q=</v>
      </c>
      <c r="Q117">
        <v>800848</v>
      </c>
      <c r="R117" t="s">
        <v>147</v>
      </c>
      <c r="S117" t="s">
        <v>1798</v>
      </c>
      <c r="T117" t="s">
        <v>1178</v>
      </c>
      <c r="U117" t="s">
        <v>1799</v>
      </c>
      <c r="V117" t="s">
        <v>1192</v>
      </c>
      <c r="W117" t="s">
        <v>1800</v>
      </c>
      <c r="X117" t="s">
        <v>599</v>
      </c>
      <c r="Y117" t="s">
        <v>599</v>
      </c>
      <c r="Z117" t="s">
        <v>1182</v>
      </c>
      <c r="AA117" t="s">
        <v>1801</v>
      </c>
      <c r="AB117">
        <v>1883</v>
      </c>
      <c r="AC117">
        <v>1883</v>
      </c>
      <c r="AD117" t="s">
        <v>1802</v>
      </c>
      <c r="AE117" t="s">
        <v>1185</v>
      </c>
      <c r="AF117" t="s">
        <v>599</v>
      </c>
      <c r="AG117" t="s">
        <v>599</v>
      </c>
      <c r="AH117" t="s">
        <v>1803</v>
      </c>
      <c r="AI117" t="s">
        <v>599</v>
      </c>
      <c r="AJ117" t="s">
        <v>599</v>
      </c>
      <c r="AK117" t="s">
        <v>1804</v>
      </c>
      <c r="AL117" t="s">
        <v>1188</v>
      </c>
      <c r="AM117" t="s">
        <v>1805</v>
      </c>
      <c r="AN117" t="s">
        <v>1190</v>
      </c>
      <c r="AO117" t="s">
        <v>599</v>
      </c>
      <c r="AP117" t="s">
        <v>599</v>
      </c>
      <c r="AQ117" t="s">
        <v>599</v>
      </c>
      <c r="AR117" t="s">
        <v>599</v>
      </c>
      <c r="AS117" t="s">
        <v>599</v>
      </c>
      <c r="AT117" t="s">
        <v>599</v>
      </c>
      <c r="AU117" t="s">
        <v>599</v>
      </c>
    </row>
    <row r="118" spans="1:47" s="26" customFormat="1" ht="30" x14ac:dyDescent="0.25">
      <c r="A118" s="22">
        <v>10226</v>
      </c>
      <c r="B118" s="23">
        <v>800863</v>
      </c>
      <c r="C118" s="23">
        <v>1</v>
      </c>
      <c r="D118" s="27">
        <v>7</v>
      </c>
      <c r="E118" s="24" t="s">
        <v>149</v>
      </c>
      <c r="F118" s="24" t="str">
        <f t="shared" si="3"/>
        <v>https://purl.pt/42945</v>
      </c>
      <c r="G118" s="25" t="s">
        <v>150</v>
      </c>
      <c r="H118" s="22"/>
      <c r="I118" s="27" t="s">
        <v>615</v>
      </c>
      <c r="J118" s="55" t="str">
        <f t="shared" si="4"/>
        <v>https://permalinkbnd.bnportugal.gov.pt/viewer/270350/?offset=#page=7&amp;viewer=picture&amp;o=info&amp;n=0&amp;q=</v>
      </c>
      <c r="K118" s="45"/>
      <c r="L118" s="45"/>
      <c r="M118" s="45"/>
      <c r="N118" t="s">
        <v>149</v>
      </c>
      <c r="O118">
        <v>270350</v>
      </c>
      <c r="P118" t="str">
        <f t="shared" si="5"/>
        <v>https://permalinkbnd.bnportugal.gov.pt/viewer/270350/?offset=#page=7&amp;viewer=picture&amp;o=info&amp;n=0&amp;q=</v>
      </c>
      <c r="Q118">
        <v>800863</v>
      </c>
      <c r="R118" t="s">
        <v>149</v>
      </c>
      <c r="S118" t="s">
        <v>1806</v>
      </c>
      <c r="T118" t="s">
        <v>1178</v>
      </c>
      <c r="U118" t="s">
        <v>1192</v>
      </c>
      <c r="V118" t="s">
        <v>599</v>
      </c>
      <c r="W118" t="s">
        <v>1807</v>
      </c>
      <c r="X118" t="s">
        <v>599</v>
      </c>
      <c r="Y118" t="s">
        <v>599</v>
      </c>
      <c r="Z118" t="s">
        <v>1182</v>
      </c>
      <c r="AA118" t="s">
        <v>1808</v>
      </c>
      <c r="AB118">
        <v>1800</v>
      </c>
      <c r="AC118">
        <v>1800</v>
      </c>
      <c r="AD118" t="s">
        <v>1241</v>
      </c>
      <c r="AE118" t="s">
        <v>1809</v>
      </c>
      <c r="AF118" t="s">
        <v>599</v>
      </c>
      <c r="AG118" t="s">
        <v>599</v>
      </c>
      <c r="AH118" t="s">
        <v>1810</v>
      </c>
      <c r="AI118" t="s">
        <v>599</v>
      </c>
      <c r="AJ118" t="s">
        <v>599</v>
      </c>
      <c r="AK118" t="s">
        <v>1811</v>
      </c>
      <c r="AL118" t="s">
        <v>1188</v>
      </c>
      <c r="AM118" t="s">
        <v>1812</v>
      </c>
      <c r="AN118" t="s">
        <v>1190</v>
      </c>
      <c r="AO118" t="s">
        <v>599</v>
      </c>
      <c r="AP118" t="s">
        <v>599</v>
      </c>
      <c r="AQ118" t="s">
        <v>599</v>
      </c>
      <c r="AR118" t="s">
        <v>599</v>
      </c>
      <c r="AS118" t="s">
        <v>599</v>
      </c>
      <c r="AT118" t="s">
        <v>599</v>
      </c>
      <c r="AU118" t="s">
        <v>599</v>
      </c>
    </row>
    <row r="119" spans="1:47" s="26" customFormat="1" ht="30" x14ac:dyDescent="0.25">
      <c r="A119" s="22">
        <v>10227</v>
      </c>
      <c r="B119" s="23">
        <v>800870</v>
      </c>
      <c r="C119" s="23">
        <v>1</v>
      </c>
      <c r="D119" s="27">
        <v>13</v>
      </c>
      <c r="E119" s="24" t="s">
        <v>151</v>
      </c>
      <c r="F119" s="24" t="str">
        <f t="shared" si="3"/>
        <v>https://purl.pt/43887</v>
      </c>
      <c r="G119" s="25" t="s">
        <v>152</v>
      </c>
      <c r="H119" s="22"/>
      <c r="I119" s="27" t="s">
        <v>614</v>
      </c>
      <c r="J119" s="55" t="str">
        <f t="shared" si="4"/>
        <v>https://permalinkbnd.bnportugal.gov.pt/viewer/274038/?offset=#page=13&amp;viewer=picture&amp;o=info&amp;n=0&amp;q=</v>
      </c>
      <c r="K119" s="45"/>
      <c r="L119" s="45"/>
      <c r="M119" s="45"/>
      <c r="N119" t="s">
        <v>151</v>
      </c>
      <c r="O119">
        <v>274038</v>
      </c>
      <c r="P119" t="str">
        <f t="shared" si="5"/>
        <v>https://permalinkbnd.bnportugal.gov.pt/viewer/274038/?offset=#page=13&amp;viewer=picture&amp;o=info&amp;n=0&amp;q=</v>
      </c>
      <c r="Q119">
        <v>800870</v>
      </c>
      <c r="R119" t="s">
        <v>151</v>
      </c>
      <c r="S119" t="s">
        <v>1813</v>
      </c>
      <c r="T119" t="s">
        <v>1178</v>
      </c>
      <c r="U119" t="s">
        <v>1192</v>
      </c>
      <c r="V119" t="s">
        <v>599</v>
      </c>
      <c r="W119" t="s">
        <v>1814</v>
      </c>
      <c r="X119" t="s">
        <v>599</v>
      </c>
      <c r="Y119" t="s">
        <v>599</v>
      </c>
      <c r="Z119" t="s">
        <v>1182</v>
      </c>
      <c r="AA119" t="s">
        <v>1815</v>
      </c>
      <c r="AB119">
        <v>1784</v>
      </c>
      <c r="AC119">
        <v>1784</v>
      </c>
      <c r="AD119" t="s">
        <v>1816</v>
      </c>
      <c r="AE119" t="s">
        <v>1817</v>
      </c>
      <c r="AF119" t="s">
        <v>599</v>
      </c>
      <c r="AG119" t="s">
        <v>599</v>
      </c>
      <c r="AH119" t="s">
        <v>1818</v>
      </c>
      <c r="AI119" t="s">
        <v>599</v>
      </c>
      <c r="AJ119" t="s">
        <v>599</v>
      </c>
      <c r="AK119" t="s">
        <v>1819</v>
      </c>
      <c r="AL119" t="s">
        <v>1188</v>
      </c>
      <c r="AM119" t="s">
        <v>1820</v>
      </c>
      <c r="AN119" t="s">
        <v>1190</v>
      </c>
      <c r="AO119" t="s">
        <v>599</v>
      </c>
      <c r="AP119" t="s">
        <v>599</v>
      </c>
      <c r="AQ119" t="s">
        <v>599</v>
      </c>
      <c r="AR119" t="s">
        <v>599</v>
      </c>
      <c r="AS119" t="s">
        <v>599</v>
      </c>
      <c r="AT119" t="s">
        <v>599</v>
      </c>
      <c r="AU119" t="s">
        <v>599</v>
      </c>
    </row>
    <row r="120" spans="1:47" s="13" customFormat="1" ht="30" x14ac:dyDescent="0.25">
      <c r="A120" s="9">
        <v>10229</v>
      </c>
      <c r="B120" s="10">
        <v>801047</v>
      </c>
      <c r="C120" s="10">
        <v>1</v>
      </c>
      <c r="D120" s="9">
        <v>3</v>
      </c>
      <c r="E120" s="11" t="s">
        <v>153</v>
      </c>
      <c r="F120" s="11" t="str">
        <f t="shared" si="3"/>
        <v>https://purl.pt/43383</v>
      </c>
      <c r="G120" s="12">
        <v>3</v>
      </c>
      <c r="H120" s="9">
        <v>3</v>
      </c>
      <c r="I120" s="34"/>
      <c r="J120" s="55" t="str">
        <f t="shared" si="4"/>
        <v>https://permalinkbnd.bnportugal.gov.pt/viewer/272399/?offset=#page=3&amp;viewer=picture&amp;o=info&amp;n=0&amp;q=</v>
      </c>
      <c r="K120" s="45"/>
      <c r="L120" s="45"/>
      <c r="M120" s="45"/>
      <c r="N120" t="s">
        <v>153</v>
      </c>
      <c r="O120">
        <v>272399</v>
      </c>
      <c r="P120" t="str">
        <f t="shared" si="5"/>
        <v>https://permalinkbnd.bnportugal.gov.pt/viewer/272399/?offset=#page=3&amp;viewer=picture&amp;o=info&amp;n=0&amp;q=</v>
      </c>
      <c r="Q120">
        <v>801047</v>
      </c>
      <c r="R120" t="s">
        <v>153</v>
      </c>
      <c r="S120" t="s">
        <v>599</v>
      </c>
      <c r="T120" t="s">
        <v>1178</v>
      </c>
      <c r="U120" t="s">
        <v>1192</v>
      </c>
      <c r="V120" t="s">
        <v>599</v>
      </c>
      <c r="W120" t="s">
        <v>1821</v>
      </c>
      <c r="X120" t="s">
        <v>1822</v>
      </c>
      <c r="Y120" t="s">
        <v>599</v>
      </c>
      <c r="Z120" t="s">
        <v>1182</v>
      </c>
      <c r="AA120" t="s">
        <v>1437</v>
      </c>
      <c r="AB120">
        <v>1880</v>
      </c>
      <c r="AC120">
        <v>1880</v>
      </c>
      <c r="AD120" t="s">
        <v>1823</v>
      </c>
      <c r="AE120" t="s">
        <v>1824</v>
      </c>
      <c r="AF120" t="s">
        <v>599</v>
      </c>
      <c r="AG120" t="s">
        <v>599</v>
      </c>
      <c r="AH120" t="s">
        <v>599</v>
      </c>
      <c r="AI120" t="s">
        <v>599</v>
      </c>
      <c r="AJ120" t="s">
        <v>599</v>
      </c>
      <c r="AK120" t="s">
        <v>1825</v>
      </c>
      <c r="AL120" t="s">
        <v>1188</v>
      </c>
      <c r="AM120" t="s">
        <v>1826</v>
      </c>
      <c r="AN120" t="s">
        <v>1190</v>
      </c>
      <c r="AO120" t="s">
        <v>599</v>
      </c>
      <c r="AP120" t="s">
        <v>599</v>
      </c>
      <c r="AQ120" t="s">
        <v>599</v>
      </c>
      <c r="AR120" t="s">
        <v>599</v>
      </c>
      <c r="AS120" t="s">
        <v>599</v>
      </c>
      <c r="AT120" t="s">
        <v>599</v>
      </c>
      <c r="AU120" t="s">
        <v>599</v>
      </c>
    </row>
    <row r="121" spans="1:47" s="13" customFormat="1" ht="30" x14ac:dyDescent="0.25">
      <c r="A121" s="9">
        <v>10231</v>
      </c>
      <c r="B121" s="10">
        <v>804699</v>
      </c>
      <c r="C121" s="10">
        <v>1</v>
      </c>
      <c r="D121" s="9">
        <v>8</v>
      </c>
      <c r="E121" s="11" t="s">
        <v>154</v>
      </c>
      <c r="F121" s="11" t="str">
        <f t="shared" si="3"/>
        <v>https://purl.pt/43740</v>
      </c>
      <c r="G121" s="12" t="s">
        <v>155</v>
      </c>
      <c r="H121" s="9">
        <v>8</v>
      </c>
      <c r="I121" s="34"/>
      <c r="J121" s="55" t="str">
        <f t="shared" si="4"/>
        <v>https://permalinkbnd.bnportugal.gov.pt/viewer/274084/?offset=#page=8&amp;viewer=picture&amp;o=info&amp;n=0&amp;q=</v>
      </c>
      <c r="K121" s="45"/>
      <c r="L121" s="45"/>
      <c r="M121" s="45"/>
      <c r="N121" t="s">
        <v>154</v>
      </c>
      <c r="O121">
        <v>274084</v>
      </c>
      <c r="P121" t="str">
        <f t="shared" si="5"/>
        <v>https://permalinkbnd.bnportugal.gov.pt/viewer/274084/?offset=#page=8&amp;viewer=picture&amp;o=info&amp;n=0&amp;q=</v>
      </c>
      <c r="Q121">
        <v>804699</v>
      </c>
      <c r="R121" t="s">
        <v>154</v>
      </c>
      <c r="S121" t="s">
        <v>1827</v>
      </c>
      <c r="T121" t="s">
        <v>1178</v>
      </c>
      <c r="U121" t="s">
        <v>1192</v>
      </c>
      <c r="V121" t="s">
        <v>599</v>
      </c>
      <c r="W121" t="s">
        <v>1551</v>
      </c>
      <c r="X121" t="s">
        <v>1778</v>
      </c>
      <c r="Y121" t="s">
        <v>599</v>
      </c>
      <c r="Z121" t="s">
        <v>1828</v>
      </c>
      <c r="AA121" t="s">
        <v>1829</v>
      </c>
      <c r="AB121">
        <v>1836</v>
      </c>
      <c r="AC121">
        <v>1836</v>
      </c>
      <c r="AD121" t="s">
        <v>1830</v>
      </c>
      <c r="AE121" t="s">
        <v>1185</v>
      </c>
      <c r="AF121" t="s">
        <v>599</v>
      </c>
      <c r="AG121" t="s">
        <v>599</v>
      </c>
      <c r="AH121" t="s">
        <v>1831</v>
      </c>
      <c r="AI121" t="s">
        <v>599</v>
      </c>
      <c r="AJ121" t="s">
        <v>599</v>
      </c>
      <c r="AK121" t="s">
        <v>1832</v>
      </c>
      <c r="AL121" t="s">
        <v>1188</v>
      </c>
      <c r="AM121" t="s">
        <v>1833</v>
      </c>
      <c r="AN121" t="s">
        <v>1190</v>
      </c>
      <c r="AO121" t="s">
        <v>599</v>
      </c>
      <c r="AP121" t="s">
        <v>599</v>
      </c>
      <c r="AQ121" t="s">
        <v>599</v>
      </c>
      <c r="AR121" t="s">
        <v>599</v>
      </c>
      <c r="AS121" t="s">
        <v>599</v>
      </c>
      <c r="AT121" t="s">
        <v>599</v>
      </c>
      <c r="AU121" t="s">
        <v>599</v>
      </c>
    </row>
    <row r="122" spans="1:47" s="13" customFormat="1" ht="30" x14ac:dyDescent="0.25">
      <c r="A122" s="9">
        <v>10232</v>
      </c>
      <c r="B122" s="10">
        <v>804707</v>
      </c>
      <c r="C122" s="10">
        <v>1</v>
      </c>
      <c r="D122" s="9">
        <v>8</v>
      </c>
      <c r="E122" s="11" t="s">
        <v>156</v>
      </c>
      <c r="F122" s="11" t="str">
        <f t="shared" si="3"/>
        <v>https://purl.pt/43403</v>
      </c>
      <c r="G122" s="12" t="s">
        <v>157</v>
      </c>
      <c r="H122" s="9" t="s">
        <v>158</v>
      </c>
      <c r="I122" s="34"/>
      <c r="J122" s="55" t="str">
        <f t="shared" si="4"/>
        <v>https://permalinkbnd.bnportugal.gov.pt/viewer/272355/?offset=#page=8&amp;viewer=picture&amp;o=info&amp;n=0&amp;q=</v>
      </c>
      <c r="K122" s="45"/>
      <c r="L122" s="45"/>
      <c r="M122" s="45"/>
      <c r="N122" t="s">
        <v>156</v>
      </c>
      <c r="O122">
        <v>272355</v>
      </c>
      <c r="P122" t="str">
        <f t="shared" si="5"/>
        <v>https://permalinkbnd.bnportugal.gov.pt/viewer/272355/?offset=#page=8&amp;viewer=picture&amp;o=info&amp;n=0&amp;q=</v>
      </c>
      <c r="Q122">
        <v>804707</v>
      </c>
      <c r="R122" t="s">
        <v>156</v>
      </c>
      <c r="S122" t="s">
        <v>1834</v>
      </c>
      <c r="T122" t="s">
        <v>1178</v>
      </c>
      <c r="U122" t="s">
        <v>1192</v>
      </c>
      <c r="V122" t="s">
        <v>599</v>
      </c>
      <c r="W122" t="s">
        <v>1551</v>
      </c>
      <c r="X122" t="s">
        <v>1835</v>
      </c>
      <c r="Y122" t="s">
        <v>599</v>
      </c>
      <c r="Z122" t="s">
        <v>1182</v>
      </c>
      <c r="AA122" t="s">
        <v>1836</v>
      </c>
      <c r="AB122">
        <v>1840</v>
      </c>
      <c r="AC122">
        <v>1840</v>
      </c>
      <c r="AD122" t="s">
        <v>1837</v>
      </c>
      <c r="AE122" t="s">
        <v>1185</v>
      </c>
      <c r="AF122" t="s">
        <v>599</v>
      </c>
      <c r="AG122" t="s">
        <v>599</v>
      </c>
      <c r="AH122" t="s">
        <v>1838</v>
      </c>
      <c r="AI122" t="s">
        <v>599</v>
      </c>
      <c r="AJ122" t="s">
        <v>599</v>
      </c>
      <c r="AK122" t="s">
        <v>1839</v>
      </c>
      <c r="AL122" t="s">
        <v>1188</v>
      </c>
      <c r="AM122" t="s">
        <v>1840</v>
      </c>
      <c r="AN122" t="s">
        <v>1190</v>
      </c>
      <c r="AO122" t="s">
        <v>599</v>
      </c>
      <c r="AP122" t="s">
        <v>599</v>
      </c>
      <c r="AQ122" t="s">
        <v>599</v>
      </c>
      <c r="AR122" t="s">
        <v>599</v>
      </c>
      <c r="AS122" t="s">
        <v>599</v>
      </c>
      <c r="AT122" t="s">
        <v>599</v>
      </c>
      <c r="AU122" t="s">
        <v>599</v>
      </c>
    </row>
    <row r="123" spans="1:47" s="13" customFormat="1" ht="30" x14ac:dyDescent="0.25">
      <c r="A123" s="9">
        <v>10233</v>
      </c>
      <c r="B123" s="10">
        <v>804707</v>
      </c>
      <c r="C123" s="10">
        <v>1</v>
      </c>
      <c r="D123" s="9">
        <v>42</v>
      </c>
      <c r="E123" s="11" t="s">
        <v>156</v>
      </c>
      <c r="F123" s="11" t="str">
        <f t="shared" si="3"/>
        <v>https://purl.pt/43403</v>
      </c>
      <c r="G123" s="12" t="s">
        <v>157</v>
      </c>
      <c r="H123" s="9" t="s">
        <v>158</v>
      </c>
      <c r="I123" s="34"/>
      <c r="J123" s="55" t="str">
        <f t="shared" si="4"/>
        <v>https://permalinkbnd.bnportugal.gov.pt/viewer/272355/?offset=#page=42&amp;viewer=picture&amp;o=info&amp;n=0&amp;q=</v>
      </c>
      <c r="K123" s="45"/>
      <c r="L123" s="45"/>
      <c r="M123" s="45"/>
      <c r="N123" t="s">
        <v>156</v>
      </c>
      <c r="O123">
        <v>272355</v>
      </c>
      <c r="P123" t="str">
        <f t="shared" si="5"/>
        <v>https://permalinkbnd.bnportugal.gov.pt/viewer/272355/?offset=#page=42&amp;viewer=picture&amp;o=info&amp;n=0&amp;q=</v>
      </c>
      <c r="Q123">
        <v>804707</v>
      </c>
      <c r="R123" t="s">
        <v>156</v>
      </c>
      <c r="S123" t="s">
        <v>1834</v>
      </c>
      <c r="T123" t="s">
        <v>1178</v>
      </c>
      <c r="U123" t="s">
        <v>1192</v>
      </c>
      <c r="V123" t="s">
        <v>599</v>
      </c>
      <c r="W123" t="s">
        <v>1551</v>
      </c>
      <c r="X123" t="s">
        <v>1835</v>
      </c>
      <c r="Y123" t="s">
        <v>599</v>
      </c>
      <c r="Z123" t="s">
        <v>1182</v>
      </c>
      <c r="AA123" t="s">
        <v>1836</v>
      </c>
      <c r="AB123">
        <v>1840</v>
      </c>
      <c r="AC123">
        <v>1840</v>
      </c>
      <c r="AD123" t="s">
        <v>1837</v>
      </c>
      <c r="AE123" t="s">
        <v>1185</v>
      </c>
      <c r="AF123" t="s">
        <v>599</v>
      </c>
      <c r="AG123" t="s">
        <v>599</v>
      </c>
      <c r="AH123" t="s">
        <v>1838</v>
      </c>
      <c r="AI123" t="s">
        <v>599</v>
      </c>
      <c r="AJ123" t="s">
        <v>599</v>
      </c>
      <c r="AK123" t="s">
        <v>1839</v>
      </c>
      <c r="AL123" t="s">
        <v>1188</v>
      </c>
      <c r="AM123" t="s">
        <v>1840</v>
      </c>
      <c r="AN123" t="s">
        <v>1190</v>
      </c>
      <c r="AO123" t="s">
        <v>599</v>
      </c>
      <c r="AP123" t="s">
        <v>599</v>
      </c>
      <c r="AQ123" t="s">
        <v>599</v>
      </c>
      <c r="AR123" t="s">
        <v>599</v>
      </c>
      <c r="AS123" t="s">
        <v>599</v>
      </c>
      <c r="AT123" t="s">
        <v>599</v>
      </c>
      <c r="AU123" t="s">
        <v>599</v>
      </c>
    </row>
    <row r="124" spans="1:47" s="13" customFormat="1" ht="60" x14ac:dyDescent="0.25">
      <c r="A124" s="9">
        <v>10234</v>
      </c>
      <c r="B124" s="10">
        <v>804731</v>
      </c>
      <c r="C124" s="10">
        <v>1</v>
      </c>
      <c r="D124" s="9">
        <v>10</v>
      </c>
      <c r="E124" s="11" t="s">
        <v>159</v>
      </c>
      <c r="F124" s="11" t="str">
        <f t="shared" si="3"/>
        <v>https://purl.pt/42825</v>
      </c>
      <c r="G124" s="12" t="s">
        <v>160</v>
      </c>
      <c r="H124" s="9" t="s">
        <v>161</v>
      </c>
      <c r="I124" s="34"/>
      <c r="J124" s="55" t="str">
        <f t="shared" si="4"/>
        <v>https://permalinkbnd.bnportugal.gov.pt/viewer/270138/?offset=#page=10&amp;viewer=picture&amp;o=info&amp;n=0&amp;q=</v>
      </c>
      <c r="K124" s="45"/>
      <c r="L124" s="45"/>
      <c r="M124" s="45"/>
      <c r="N124" t="s">
        <v>159</v>
      </c>
      <c r="O124">
        <v>270138</v>
      </c>
      <c r="P124" t="str">
        <f t="shared" si="5"/>
        <v>https://permalinkbnd.bnportugal.gov.pt/viewer/270138/?offset=#page=10&amp;viewer=picture&amp;o=info&amp;n=0&amp;q=</v>
      </c>
      <c r="Q124">
        <v>804731</v>
      </c>
      <c r="R124" t="s">
        <v>159</v>
      </c>
      <c r="S124" t="s">
        <v>1841</v>
      </c>
      <c r="T124" t="s">
        <v>1178</v>
      </c>
      <c r="U124" t="s">
        <v>1192</v>
      </c>
      <c r="V124" t="s">
        <v>599</v>
      </c>
      <c r="W124" t="s">
        <v>1842</v>
      </c>
      <c r="X124" t="s">
        <v>1843</v>
      </c>
      <c r="Y124" t="s">
        <v>599</v>
      </c>
      <c r="Z124" t="s">
        <v>1182</v>
      </c>
      <c r="AA124" t="s">
        <v>1221</v>
      </c>
      <c r="AB124">
        <v>1860</v>
      </c>
      <c r="AC124">
        <v>1860</v>
      </c>
      <c r="AD124" t="s">
        <v>1844</v>
      </c>
      <c r="AE124" t="s">
        <v>1185</v>
      </c>
      <c r="AF124" t="s">
        <v>599</v>
      </c>
      <c r="AG124" t="s">
        <v>599</v>
      </c>
      <c r="AH124" t="s">
        <v>1845</v>
      </c>
      <c r="AI124" t="s">
        <v>599</v>
      </c>
      <c r="AJ124" t="s">
        <v>599</v>
      </c>
      <c r="AK124" t="s">
        <v>1846</v>
      </c>
      <c r="AL124" t="s">
        <v>1188</v>
      </c>
      <c r="AM124" t="s">
        <v>1847</v>
      </c>
      <c r="AN124" t="s">
        <v>1190</v>
      </c>
      <c r="AO124" t="s">
        <v>599</v>
      </c>
      <c r="AP124" t="s">
        <v>599</v>
      </c>
      <c r="AQ124" t="s">
        <v>599</v>
      </c>
      <c r="AR124" t="s">
        <v>599</v>
      </c>
      <c r="AS124" t="s">
        <v>599</v>
      </c>
      <c r="AT124" t="s">
        <v>599</v>
      </c>
      <c r="AU124" t="s">
        <v>599</v>
      </c>
    </row>
    <row r="125" spans="1:47" s="21" customFormat="1" ht="60" x14ac:dyDescent="0.25">
      <c r="A125" s="17">
        <v>10235</v>
      </c>
      <c r="B125" s="18">
        <v>804731</v>
      </c>
      <c r="C125" s="18">
        <v>1</v>
      </c>
      <c r="D125" s="17">
        <v>10</v>
      </c>
      <c r="E125" s="19" t="s">
        <v>159</v>
      </c>
      <c r="F125" s="19" t="str">
        <f t="shared" si="3"/>
        <v>https://purl.pt/42825</v>
      </c>
      <c r="G125" s="20" t="s">
        <v>160</v>
      </c>
      <c r="H125" s="17" t="s">
        <v>161</v>
      </c>
      <c r="I125" s="36" t="s">
        <v>625</v>
      </c>
      <c r="J125" s="55" t="str">
        <f t="shared" si="4"/>
        <v>https://permalinkbnd.bnportugal.gov.pt/viewer/270138/?offset=#page=10&amp;viewer=picture&amp;o=info&amp;n=0&amp;q=</v>
      </c>
      <c r="K125" s="45"/>
      <c r="L125" s="45"/>
      <c r="M125" s="45"/>
      <c r="N125" t="s">
        <v>159</v>
      </c>
      <c r="O125">
        <v>270138</v>
      </c>
      <c r="P125" t="str">
        <f t="shared" si="5"/>
        <v>https://permalinkbnd.bnportugal.gov.pt/viewer/270138/?offset=#page=10&amp;viewer=picture&amp;o=info&amp;n=0&amp;q=</v>
      </c>
      <c r="Q125">
        <v>804731</v>
      </c>
      <c r="R125" t="s">
        <v>159</v>
      </c>
      <c r="S125" t="s">
        <v>599</v>
      </c>
      <c r="T125" t="s">
        <v>1178</v>
      </c>
      <c r="U125" t="s">
        <v>1192</v>
      </c>
      <c r="V125" t="s">
        <v>599</v>
      </c>
      <c r="W125" t="s">
        <v>1842</v>
      </c>
      <c r="X125" t="s">
        <v>1843</v>
      </c>
      <c r="Y125" t="s">
        <v>599</v>
      </c>
      <c r="Z125" t="s">
        <v>1182</v>
      </c>
      <c r="AA125" t="s">
        <v>1221</v>
      </c>
      <c r="AB125">
        <v>1860</v>
      </c>
      <c r="AC125">
        <v>1860</v>
      </c>
      <c r="AD125" t="s">
        <v>1844</v>
      </c>
      <c r="AE125" t="s">
        <v>1185</v>
      </c>
      <c r="AF125" t="s">
        <v>599</v>
      </c>
      <c r="AG125" t="s">
        <v>599</v>
      </c>
      <c r="AH125" t="s">
        <v>1845</v>
      </c>
      <c r="AI125" t="s">
        <v>599</v>
      </c>
      <c r="AJ125" t="s">
        <v>599</v>
      </c>
      <c r="AK125" t="s">
        <v>1846</v>
      </c>
      <c r="AL125" t="s">
        <v>1188</v>
      </c>
      <c r="AM125" t="s">
        <v>1847</v>
      </c>
      <c r="AN125" t="s">
        <v>1190</v>
      </c>
      <c r="AO125" t="s">
        <v>599</v>
      </c>
      <c r="AP125" t="s">
        <v>599</v>
      </c>
      <c r="AQ125" t="s">
        <v>599</v>
      </c>
      <c r="AR125" t="s">
        <v>599</v>
      </c>
      <c r="AS125" t="s">
        <v>599</v>
      </c>
      <c r="AT125" t="s">
        <v>599</v>
      </c>
      <c r="AU125" t="s">
        <v>599</v>
      </c>
    </row>
    <row r="126" spans="1:47" s="32" customFormat="1" ht="60" x14ac:dyDescent="0.25">
      <c r="A126" s="28">
        <v>10236</v>
      </c>
      <c r="B126" s="29">
        <v>804731</v>
      </c>
      <c r="C126" s="29">
        <v>1</v>
      </c>
      <c r="D126" s="28">
        <v>43</v>
      </c>
      <c r="E126" s="30" t="s">
        <v>159</v>
      </c>
      <c r="F126" s="30" t="str">
        <f t="shared" si="3"/>
        <v>https://purl.pt/42825</v>
      </c>
      <c r="G126" s="31" t="s">
        <v>160</v>
      </c>
      <c r="H126" s="28" t="s">
        <v>161</v>
      </c>
      <c r="I126" s="35" t="s">
        <v>613</v>
      </c>
      <c r="J126" s="55" t="str">
        <f t="shared" si="4"/>
        <v>https://permalinkbnd.bnportugal.gov.pt/viewer/270138/?offset=#page=43&amp;viewer=picture&amp;o=info&amp;n=0&amp;q=</v>
      </c>
      <c r="K126" s="45"/>
      <c r="L126" s="45"/>
      <c r="M126" s="45"/>
      <c r="N126" t="s">
        <v>159</v>
      </c>
      <c r="O126">
        <v>270138</v>
      </c>
      <c r="P126" t="str">
        <f t="shared" si="5"/>
        <v>https://permalinkbnd.bnportugal.gov.pt/viewer/270138/?offset=#page=43&amp;viewer=picture&amp;o=info&amp;n=0&amp;q=</v>
      </c>
      <c r="Q126">
        <v>804731</v>
      </c>
      <c r="R126" t="s">
        <v>159</v>
      </c>
      <c r="S126" t="s">
        <v>599</v>
      </c>
      <c r="T126" t="s">
        <v>1178</v>
      </c>
      <c r="U126" t="s">
        <v>1192</v>
      </c>
      <c r="V126" t="s">
        <v>599</v>
      </c>
      <c r="W126" t="s">
        <v>1842</v>
      </c>
      <c r="X126" t="s">
        <v>1843</v>
      </c>
      <c r="Y126" t="s">
        <v>599</v>
      </c>
      <c r="Z126" t="s">
        <v>1182</v>
      </c>
      <c r="AA126" t="s">
        <v>1221</v>
      </c>
      <c r="AB126">
        <v>1860</v>
      </c>
      <c r="AC126">
        <v>1860</v>
      </c>
      <c r="AD126" t="s">
        <v>1844</v>
      </c>
      <c r="AE126" t="s">
        <v>1185</v>
      </c>
      <c r="AF126" t="s">
        <v>599</v>
      </c>
      <c r="AG126" t="s">
        <v>599</v>
      </c>
      <c r="AH126" t="s">
        <v>1845</v>
      </c>
      <c r="AI126" t="s">
        <v>599</v>
      </c>
      <c r="AJ126" t="s">
        <v>599</v>
      </c>
      <c r="AK126" t="s">
        <v>1846</v>
      </c>
      <c r="AL126" t="s">
        <v>1188</v>
      </c>
      <c r="AM126" t="s">
        <v>1847</v>
      </c>
      <c r="AN126" t="s">
        <v>1190</v>
      </c>
      <c r="AO126" t="s">
        <v>599</v>
      </c>
      <c r="AP126" t="s">
        <v>599</v>
      </c>
      <c r="AQ126" t="s">
        <v>599</v>
      </c>
      <c r="AR126" t="s">
        <v>599</v>
      </c>
      <c r="AS126" t="s">
        <v>599</v>
      </c>
      <c r="AT126" t="s">
        <v>599</v>
      </c>
      <c r="AU126" t="s">
        <v>599</v>
      </c>
    </row>
    <row r="127" spans="1:47" s="32" customFormat="1" ht="60" x14ac:dyDescent="0.25">
      <c r="A127" s="28">
        <v>10237</v>
      </c>
      <c r="B127" s="29">
        <v>804731</v>
      </c>
      <c r="C127" s="29">
        <v>1</v>
      </c>
      <c r="D127" s="28">
        <v>174</v>
      </c>
      <c r="E127" s="30" t="s">
        <v>159</v>
      </c>
      <c r="F127" s="30" t="str">
        <f t="shared" si="3"/>
        <v>https://purl.pt/42825</v>
      </c>
      <c r="G127" s="31" t="s">
        <v>160</v>
      </c>
      <c r="H127" s="28" t="s">
        <v>161</v>
      </c>
      <c r="I127" s="35" t="s">
        <v>613</v>
      </c>
      <c r="J127" s="55" t="str">
        <f t="shared" si="4"/>
        <v>https://permalinkbnd.bnportugal.gov.pt/viewer/270138/?offset=#page=174&amp;viewer=picture&amp;o=info&amp;n=0&amp;q=</v>
      </c>
      <c r="K127" s="45"/>
      <c r="L127" s="45"/>
      <c r="M127" s="45"/>
      <c r="N127" t="s">
        <v>159</v>
      </c>
      <c r="O127">
        <v>270138</v>
      </c>
      <c r="P127" t="str">
        <f t="shared" si="5"/>
        <v>https://permalinkbnd.bnportugal.gov.pt/viewer/270138/?offset=#page=174&amp;viewer=picture&amp;o=info&amp;n=0&amp;q=</v>
      </c>
      <c r="Q127">
        <v>804731</v>
      </c>
      <c r="R127" t="s">
        <v>159</v>
      </c>
      <c r="S127" t="s">
        <v>1841</v>
      </c>
      <c r="T127" t="s">
        <v>1178</v>
      </c>
      <c r="U127" t="s">
        <v>1192</v>
      </c>
      <c r="V127" t="s">
        <v>599</v>
      </c>
      <c r="W127" t="s">
        <v>1842</v>
      </c>
      <c r="X127" t="s">
        <v>1843</v>
      </c>
      <c r="Y127" t="s">
        <v>599</v>
      </c>
      <c r="Z127" t="s">
        <v>1182</v>
      </c>
      <c r="AA127" t="s">
        <v>1221</v>
      </c>
      <c r="AB127">
        <v>1860</v>
      </c>
      <c r="AC127">
        <v>1860</v>
      </c>
      <c r="AD127" t="s">
        <v>1844</v>
      </c>
      <c r="AE127" t="s">
        <v>1185</v>
      </c>
      <c r="AF127" t="s">
        <v>599</v>
      </c>
      <c r="AG127" t="s">
        <v>599</v>
      </c>
      <c r="AH127" t="s">
        <v>1845</v>
      </c>
      <c r="AI127" t="s">
        <v>599</v>
      </c>
      <c r="AJ127" t="s">
        <v>599</v>
      </c>
      <c r="AK127" t="s">
        <v>1846</v>
      </c>
      <c r="AL127" t="s">
        <v>1188</v>
      </c>
      <c r="AM127" t="s">
        <v>1847</v>
      </c>
      <c r="AN127" t="s">
        <v>1190</v>
      </c>
      <c r="AO127" t="s">
        <v>599</v>
      </c>
      <c r="AP127" t="s">
        <v>599</v>
      </c>
      <c r="AQ127" t="s">
        <v>599</v>
      </c>
      <c r="AR127" t="s">
        <v>599</v>
      </c>
      <c r="AS127" t="s">
        <v>599</v>
      </c>
      <c r="AT127" t="s">
        <v>599</v>
      </c>
      <c r="AU127" t="s">
        <v>599</v>
      </c>
    </row>
    <row r="128" spans="1:47" s="32" customFormat="1" ht="60" x14ac:dyDescent="0.25">
      <c r="A128" s="28">
        <v>10238</v>
      </c>
      <c r="B128" s="29">
        <v>804731</v>
      </c>
      <c r="C128" s="29">
        <v>1</v>
      </c>
      <c r="D128" s="28">
        <v>388</v>
      </c>
      <c r="E128" s="30" t="s">
        <v>159</v>
      </c>
      <c r="F128" s="30" t="str">
        <f t="shared" si="3"/>
        <v>https://purl.pt/42825</v>
      </c>
      <c r="G128" s="31" t="s">
        <v>160</v>
      </c>
      <c r="H128" s="28" t="s">
        <v>161</v>
      </c>
      <c r="I128" s="35" t="s">
        <v>613</v>
      </c>
      <c r="J128" s="55" t="str">
        <f t="shared" si="4"/>
        <v>https://permalinkbnd.bnportugal.gov.pt/viewer/270138/?offset=#page=388&amp;viewer=picture&amp;o=info&amp;n=0&amp;q=</v>
      </c>
      <c r="K128" s="45"/>
      <c r="L128" s="45"/>
      <c r="M128" s="45"/>
      <c r="N128" t="s">
        <v>159</v>
      </c>
      <c r="O128">
        <v>270138</v>
      </c>
      <c r="P128" t="str">
        <f t="shared" si="5"/>
        <v>https://permalinkbnd.bnportugal.gov.pt/viewer/270138/?offset=#page=388&amp;viewer=picture&amp;o=info&amp;n=0&amp;q=</v>
      </c>
      <c r="Q128">
        <v>804731</v>
      </c>
      <c r="R128" t="s">
        <v>159</v>
      </c>
      <c r="S128" t="s">
        <v>599</v>
      </c>
      <c r="T128" t="s">
        <v>1178</v>
      </c>
      <c r="U128" t="s">
        <v>1192</v>
      </c>
      <c r="V128" t="s">
        <v>599</v>
      </c>
      <c r="W128" t="s">
        <v>1842</v>
      </c>
      <c r="X128" t="s">
        <v>1843</v>
      </c>
      <c r="Y128" t="s">
        <v>599</v>
      </c>
      <c r="Z128" t="s">
        <v>1182</v>
      </c>
      <c r="AA128" t="s">
        <v>1221</v>
      </c>
      <c r="AB128">
        <v>1860</v>
      </c>
      <c r="AC128">
        <v>1860</v>
      </c>
      <c r="AD128" t="s">
        <v>1844</v>
      </c>
      <c r="AE128" t="s">
        <v>1185</v>
      </c>
      <c r="AF128" t="s">
        <v>599</v>
      </c>
      <c r="AG128" t="s">
        <v>599</v>
      </c>
      <c r="AH128" t="s">
        <v>1845</v>
      </c>
      <c r="AI128" t="s">
        <v>599</v>
      </c>
      <c r="AJ128" t="s">
        <v>599</v>
      </c>
      <c r="AK128" t="s">
        <v>1846</v>
      </c>
      <c r="AL128" t="s">
        <v>1188</v>
      </c>
      <c r="AM128" t="s">
        <v>1847</v>
      </c>
      <c r="AN128" t="s">
        <v>1190</v>
      </c>
      <c r="AO128" t="s">
        <v>599</v>
      </c>
      <c r="AP128" t="s">
        <v>599</v>
      </c>
      <c r="AQ128" t="s">
        <v>599</v>
      </c>
      <c r="AR128" t="s">
        <v>599</v>
      </c>
      <c r="AS128" t="s">
        <v>599</v>
      </c>
      <c r="AT128" t="s">
        <v>599</v>
      </c>
      <c r="AU128" t="s">
        <v>599</v>
      </c>
    </row>
    <row r="129" spans="1:47" s="32" customFormat="1" ht="30" x14ac:dyDescent="0.25">
      <c r="A129" s="28">
        <v>10239</v>
      </c>
      <c r="B129" s="29">
        <v>805036</v>
      </c>
      <c r="C129" s="29">
        <v>1</v>
      </c>
      <c r="D129" s="28">
        <v>7</v>
      </c>
      <c r="E129" s="30" t="s">
        <v>162</v>
      </c>
      <c r="F129" s="30" t="str">
        <f t="shared" si="3"/>
        <v>https://purl.pt/42615</v>
      </c>
      <c r="G129" s="31">
        <v>7</v>
      </c>
      <c r="H129" s="28">
        <v>7</v>
      </c>
      <c r="I129" s="35" t="s">
        <v>626</v>
      </c>
      <c r="J129" s="55" t="str">
        <f t="shared" si="4"/>
        <v>https://permalinkbnd.bnportugal.gov.pt/viewer/270047/?offset=#page=7&amp;viewer=picture&amp;o=info&amp;n=0&amp;q=</v>
      </c>
      <c r="K129" s="45"/>
      <c r="L129" s="45"/>
      <c r="M129" s="45"/>
      <c r="N129" t="s">
        <v>162</v>
      </c>
      <c r="O129">
        <v>270047</v>
      </c>
      <c r="P129" t="str">
        <f t="shared" si="5"/>
        <v>https://permalinkbnd.bnportugal.gov.pt/viewer/270047/?offset=#page=7&amp;viewer=picture&amp;o=info&amp;n=0&amp;q=</v>
      </c>
      <c r="Q129">
        <v>805036</v>
      </c>
      <c r="R129" t="s">
        <v>162</v>
      </c>
      <c r="S129" t="s">
        <v>1848</v>
      </c>
      <c r="T129" t="s">
        <v>1178</v>
      </c>
      <c r="U129" t="s">
        <v>1192</v>
      </c>
      <c r="V129" t="s">
        <v>599</v>
      </c>
      <c r="W129" t="s">
        <v>1849</v>
      </c>
      <c r="X129" t="s">
        <v>1850</v>
      </c>
      <c r="Y129" t="s">
        <v>599</v>
      </c>
      <c r="Z129" t="s">
        <v>1182</v>
      </c>
      <c r="AA129" t="s">
        <v>1437</v>
      </c>
      <c r="AB129">
        <v>1886</v>
      </c>
      <c r="AC129">
        <v>1886</v>
      </c>
      <c r="AD129" t="s">
        <v>1851</v>
      </c>
      <c r="AE129" t="s">
        <v>1185</v>
      </c>
      <c r="AF129" t="s">
        <v>599</v>
      </c>
      <c r="AG129" t="s">
        <v>599</v>
      </c>
      <c r="AH129" t="s">
        <v>1852</v>
      </c>
      <c r="AI129" t="s">
        <v>599</v>
      </c>
      <c r="AJ129" t="s">
        <v>599</v>
      </c>
      <c r="AK129" t="s">
        <v>1853</v>
      </c>
      <c r="AL129" t="s">
        <v>599</v>
      </c>
      <c r="AM129" t="s">
        <v>1854</v>
      </c>
      <c r="AN129" t="s">
        <v>1190</v>
      </c>
      <c r="AO129" t="s">
        <v>599</v>
      </c>
      <c r="AP129" t="s">
        <v>599</v>
      </c>
      <c r="AQ129" t="s">
        <v>599</v>
      </c>
      <c r="AR129" t="s">
        <v>599</v>
      </c>
      <c r="AS129" t="s">
        <v>599</v>
      </c>
      <c r="AT129" t="s">
        <v>599</v>
      </c>
      <c r="AU129" t="s">
        <v>599</v>
      </c>
    </row>
    <row r="130" spans="1:47" s="26" customFormat="1" ht="30" x14ac:dyDescent="0.25">
      <c r="A130" s="22">
        <v>10242</v>
      </c>
      <c r="B130" s="23">
        <v>807561</v>
      </c>
      <c r="C130" s="23">
        <v>1</v>
      </c>
      <c r="D130" s="27">
        <v>8</v>
      </c>
      <c r="E130" s="24" t="s">
        <v>163</v>
      </c>
      <c r="F130" s="24" t="str">
        <f t="shared" si="3"/>
        <v>https://purl.pt/43817</v>
      </c>
      <c r="G130" s="25" t="s">
        <v>164</v>
      </c>
      <c r="H130" s="22"/>
      <c r="I130" s="27" t="s">
        <v>617</v>
      </c>
      <c r="J130" s="55" t="str">
        <f t="shared" si="4"/>
        <v>https://permalinkbnd.bnportugal.gov.pt/viewer/274169/?offset=#page=8&amp;viewer=picture&amp;o=info&amp;n=0&amp;q=</v>
      </c>
      <c r="K130" s="45"/>
      <c r="L130" s="45"/>
      <c r="M130" s="45"/>
      <c r="N130" t="s">
        <v>163</v>
      </c>
      <c r="O130">
        <v>274169</v>
      </c>
      <c r="P130" t="str">
        <f t="shared" si="5"/>
        <v>https://permalinkbnd.bnportugal.gov.pt/viewer/274169/?offset=#page=8&amp;viewer=picture&amp;o=info&amp;n=0&amp;q=</v>
      </c>
      <c r="Q130">
        <v>807561</v>
      </c>
      <c r="R130" t="s">
        <v>163</v>
      </c>
      <c r="S130" t="s">
        <v>1855</v>
      </c>
      <c r="T130" t="s">
        <v>1178</v>
      </c>
      <c r="U130" t="s">
        <v>1179</v>
      </c>
      <c r="V130" t="s">
        <v>1192</v>
      </c>
      <c r="W130" t="s">
        <v>1180</v>
      </c>
      <c r="X130" t="s">
        <v>1181</v>
      </c>
      <c r="Y130" t="s">
        <v>599</v>
      </c>
      <c r="Z130" t="s">
        <v>1182</v>
      </c>
      <c r="AA130" t="s">
        <v>1856</v>
      </c>
      <c r="AB130">
        <v>1862</v>
      </c>
      <c r="AC130">
        <v>1862</v>
      </c>
      <c r="AD130" t="s">
        <v>1857</v>
      </c>
      <c r="AE130" t="s">
        <v>1185</v>
      </c>
      <c r="AF130" t="s">
        <v>599</v>
      </c>
      <c r="AG130" t="s">
        <v>599</v>
      </c>
      <c r="AH130" t="s">
        <v>1858</v>
      </c>
      <c r="AI130" t="s">
        <v>599</v>
      </c>
      <c r="AJ130" t="s">
        <v>599</v>
      </c>
      <c r="AK130" t="s">
        <v>1859</v>
      </c>
      <c r="AL130" t="s">
        <v>1188</v>
      </c>
      <c r="AM130" t="s">
        <v>1860</v>
      </c>
      <c r="AN130" t="s">
        <v>1190</v>
      </c>
      <c r="AO130" t="s">
        <v>599</v>
      </c>
      <c r="AP130" t="s">
        <v>599</v>
      </c>
      <c r="AQ130" t="s">
        <v>599</v>
      </c>
      <c r="AR130" t="s">
        <v>599</v>
      </c>
      <c r="AS130" t="s">
        <v>599</v>
      </c>
      <c r="AT130" t="s">
        <v>599</v>
      </c>
      <c r="AU130" t="s">
        <v>599</v>
      </c>
    </row>
    <row r="131" spans="1:47" s="13" customFormat="1" ht="30" x14ac:dyDescent="0.25">
      <c r="A131" s="9">
        <v>10243</v>
      </c>
      <c r="B131" s="10">
        <v>807567</v>
      </c>
      <c r="C131" s="10">
        <v>1</v>
      </c>
      <c r="D131" s="9">
        <v>54</v>
      </c>
      <c r="E131" s="11" t="s">
        <v>165</v>
      </c>
      <c r="F131" s="11" t="str">
        <f t="shared" ref="F131:F194" si="6">HYPERLINK(E131)</f>
        <v>https://purl.pt/42617</v>
      </c>
      <c r="G131" s="12" t="s">
        <v>166</v>
      </c>
      <c r="H131" s="9">
        <v>54</v>
      </c>
      <c r="I131" s="34"/>
      <c r="J131" s="55" t="str">
        <f t="shared" ref="J131:J194" si="7">HYPERLINK(P131)</f>
        <v>https://permalinkbnd.bnportugal.gov.pt/viewer/270089/?offset=#page=54&amp;viewer=picture&amp;o=info&amp;n=0&amp;q=</v>
      </c>
      <c r="K131" s="45"/>
      <c r="L131" s="45"/>
      <c r="M131" s="45"/>
      <c r="N131" t="s">
        <v>165</v>
      </c>
      <c r="O131">
        <v>270089</v>
      </c>
      <c r="P131" t="str">
        <f t="shared" ref="P131:P194" si="8">CONCATENATE("https://permalinkbnd.bnportugal.gov.pt/viewer/",O131,"/?offset=#page=",D131,"&amp;viewer=picture&amp;o=info&amp;n=0&amp;q=")</f>
        <v>https://permalinkbnd.bnportugal.gov.pt/viewer/270089/?offset=#page=54&amp;viewer=picture&amp;o=info&amp;n=0&amp;q=</v>
      </c>
      <c r="Q131">
        <v>807567</v>
      </c>
      <c r="R131" t="s">
        <v>165</v>
      </c>
      <c r="S131" t="s">
        <v>1861</v>
      </c>
      <c r="T131" t="s">
        <v>1178</v>
      </c>
      <c r="U131" t="s">
        <v>1502</v>
      </c>
      <c r="V131" t="s">
        <v>1192</v>
      </c>
      <c r="W131" t="s">
        <v>1862</v>
      </c>
      <c r="X131" t="s">
        <v>1863</v>
      </c>
      <c r="Y131" t="s">
        <v>599</v>
      </c>
      <c r="Z131" t="s">
        <v>1864</v>
      </c>
      <c r="AA131" t="s">
        <v>1865</v>
      </c>
      <c r="AB131">
        <v>1791</v>
      </c>
      <c r="AC131">
        <v>1791</v>
      </c>
      <c r="AD131" t="s">
        <v>1241</v>
      </c>
      <c r="AE131" t="s">
        <v>1185</v>
      </c>
      <c r="AF131" t="s">
        <v>599</v>
      </c>
      <c r="AG131" t="s">
        <v>599</v>
      </c>
      <c r="AH131" t="s">
        <v>1866</v>
      </c>
      <c r="AI131" t="s">
        <v>599</v>
      </c>
      <c r="AJ131" t="s">
        <v>599</v>
      </c>
      <c r="AK131" t="s">
        <v>1867</v>
      </c>
      <c r="AL131" t="s">
        <v>1188</v>
      </c>
      <c r="AM131" t="s">
        <v>1868</v>
      </c>
      <c r="AN131" t="s">
        <v>1190</v>
      </c>
      <c r="AO131" t="s">
        <v>599</v>
      </c>
      <c r="AP131" t="s">
        <v>599</v>
      </c>
      <c r="AQ131" t="s">
        <v>599</v>
      </c>
      <c r="AR131" t="s">
        <v>599</v>
      </c>
      <c r="AS131" t="s">
        <v>599</v>
      </c>
      <c r="AT131" t="s">
        <v>599</v>
      </c>
      <c r="AU131" t="s">
        <v>599</v>
      </c>
    </row>
    <row r="132" spans="1:47" s="26" customFormat="1" ht="30" x14ac:dyDescent="0.25">
      <c r="A132" s="22">
        <v>10246</v>
      </c>
      <c r="B132" s="23">
        <v>807675</v>
      </c>
      <c r="C132" s="23">
        <v>1</v>
      </c>
      <c r="D132" s="33" t="s">
        <v>627</v>
      </c>
      <c r="E132" s="24" t="s">
        <v>167</v>
      </c>
      <c r="F132" s="24" t="str">
        <f t="shared" si="6"/>
        <v>https://purl.pt/43868</v>
      </c>
      <c r="G132" s="25" t="s">
        <v>168</v>
      </c>
      <c r="H132" s="22"/>
      <c r="I132" s="27" t="s">
        <v>621</v>
      </c>
      <c r="J132" s="55" t="str">
        <f t="shared" si="7"/>
        <v>https://permalinkbnd.bnportugal.gov.pt/viewer/281023/?offset=#page=1 vs. 9&amp;viewer=picture&amp;o=info&amp;n=0&amp;q=</v>
      </c>
      <c r="K132" s="45"/>
      <c r="L132" s="45"/>
      <c r="M132" s="45"/>
      <c r="N132" t="s">
        <v>167</v>
      </c>
      <c r="O132">
        <v>281023</v>
      </c>
      <c r="P132" t="str">
        <f t="shared" si="8"/>
        <v>https://permalinkbnd.bnportugal.gov.pt/viewer/281023/?offset=#page=1 vs. 9&amp;viewer=picture&amp;o=info&amp;n=0&amp;q=</v>
      </c>
      <c r="Q132">
        <v>807675</v>
      </c>
      <c r="R132" t="s">
        <v>167</v>
      </c>
      <c r="S132" t="s">
        <v>599</v>
      </c>
      <c r="T132" t="s">
        <v>1178</v>
      </c>
      <c r="U132" t="s">
        <v>1179</v>
      </c>
      <c r="V132" t="s">
        <v>1192</v>
      </c>
      <c r="W132" t="s">
        <v>1869</v>
      </c>
      <c r="X132" t="s">
        <v>599</v>
      </c>
      <c r="Y132" t="s">
        <v>599</v>
      </c>
      <c r="Z132" t="s">
        <v>1870</v>
      </c>
      <c r="AA132" t="s">
        <v>1871</v>
      </c>
      <c r="AB132">
        <v>1884</v>
      </c>
      <c r="AC132">
        <v>1884</v>
      </c>
      <c r="AD132" t="s">
        <v>1872</v>
      </c>
      <c r="AE132" t="s">
        <v>1185</v>
      </c>
      <c r="AF132" t="s">
        <v>599</v>
      </c>
      <c r="AG132" t="s">
        <v>599</v>
      </c>
      <c r="AH132" t="s">
        <v>1873</v>
      </c>
      <c r="AI132" t="s">
        <v>599</v>
      </c>
      <c r="AJ132" t="s">
        <v>599</v>
      </c>
      <c r="AK132" t="s">
        <v>1874</v>
      </c>
      <c r="AL132" t="s">
        <v>1188</v>
      </c>
      <c r="AM132" t="s">
        <v>1875</v>
      </c>
      <c r="AN132" t="s">
        <v>1190</v>
      </c>
      <c r="AO132" t="s">
        <v>599</v>
      </c>
      <c r="AP132" t="s">
        <v>599</v>
      </c>
      <c r="AQ132" t="s">
        <v>599</v>
      </c>
      <c r="AR132" t="s">
        <v>599</v>
      </c>
      <c r="AS132" t="s">
        <v>599</v>
      </c>
      <c r="AT132" t="s">
        <v>599</v>
      </c>
      <c r="AU132" t="s">
        <v>599</v>
      </c>
    </row>
    <row r="133" spans="1:47" s="13" customFormat="1" ht="30" x14ac:dyDescent="0.25">
      <c r="A133" s="9">
        <v>10247</v>
      </c>
      <c r="B133" s="10">
        <v>808481</v>
      </c>
      <c r="C133" s="10">
        <v>1</v>
      </c>
      <c r="D133" s="9">
        <v>17</v>
      </c>
      <c r="E133" s="11" t="s">
        <v>169</v>
      </c>
      <c r="F133" s="11" t="str">
        <f t="shared" si="6"/>
        <v>https://purl.pt/43870</v>
      </c>
      <c r="G133" s="12" t="s">
        <v>170</v>
      </c>
      <c r="H133" s="9"/>
      <c r="I133" s="34" t="s">
        <v>628</v>
      </c>
      <c r="J133" s="55" t="str">
        <f t="shared" si="7"/>
        <v>https://permalinkbnd.bnportugal.gov.pt/viewer/274252/?offset=#page=17&amp;viewer=picture&amp;o=info&amp;n=0&amp;q=</v>
      </c>
      <c r="K133" s="45"/>
      <c r="L133" s="45"/>
      <c r="M133" s="45"/>
      <c r="N133" t="s">
        <v>169</v>
      </c>
      <c r="O133">
        <v>274252</v>
      </c>
      <c r="P133" t="str">
        <f t="shared" si="8"/>
        <v>https://permalinkbnd.bnportugal.gov.pt/viewer/274252/?offset=#page=17&amp;viewer=picture&amp;o=info&amp;n=0&amp;q=</v>
      </c>
      <c r="Q133">
        <v>808481</v>
      </c>
      <c r="R133" t="s">
        <v>169</v>
      </c>
      <c r="S133" t="s">
        <v>1876</v>
      </c>
      <c r="T133" t="s">
        <v>1178</v>
      </c>
      <c r="U133" t="s">
        <v>1192</v>
      </c>
      <c r="V133" t="s">
        <v>599</v>
      </c>
      <c r="W133" t="s">
        <v>1877</v>
      </c>
      <c r="X133" t="s">
        <v>599</v>
      </c>
      <c r="Y133" t="s">
        <v>599</v>
      </c>
      <c r="Z133" t="s">
        <v>1182</v>
      </c>
      <c r="AA133" t="s">
        <v>1878</v>
      </c>
      <c r="AB133">
        <v>1887</v>
      </c>
      <c r="AC133">
        <v>1887</v>
      </c>
      <c r="AD133" t="s">
        <v>1879</v>
      </c>
      <c r="AE133" t="s">
        <v>1185</v>
      </c>
      <c r="AF133" t="s">
        <v>599</v>
      </c>
      <c r="AG133" t="s">
        <v>599</v>
      </c>
      <c r="AH133" t="s">
        <v>1880</v>
      </c>
      <c r="AI133" t="s">
        <v>599</v>
      </c>
      <c r="AJ133" t="s">
        <v>599</v>
      </c>
      <c r="AK133" t="s">
        <v>1881</v>
      </c>
      <c r="AL133" t="s">
        <v>1188</v>
      </c>
      <c r="AM133" t="s">
        <v>1882</v>
      </c>
      <c r="AN133" t="s">
        <v>1190</v>
      </c>
      <c r="AO133" t="s">
        <v>599</v>
      </c>
      <c r="AP133" t="s">
        <v>599</v>
      </c>
      <c r="AQ133" t="s">
        <v>1883</v>
      </c>
      <c r="AR133" t="s">
        <v>599</v>
      </c>
      <c r="AS133" t="s">
        <v>599</v>
      </c>
      <c r="AT133" t="s">
        <v>599</v>
      </c>
      <c r="AU133" t="s">
        <v>599</v>
      </c>
    </row>
    <row r="134" spans="1:47" s="13" customFormat="1" ht="30" x14ac:dyDescent="0.25">
      <c r="A134" s="9"/>
      <c r="B134" s="10">
        <v>808481</v>
      </c>
      <c r="C134" s="10">
        <v>1</v>
      </c>
      <c r="D134" s="9">
        <v>26</v>
      </c>
      <c r="E134" s="11" t="s">
        <v>169</v>
      </c>
      <c r="F134" s="11" t="str">
        <f t="shared" si="6"/>
        <v>https://purl.pt/43870</v>
      </c>
      <c r="G134" s="12" t="s">
        <v>170</v>
      </c>
      <c r="H134" s="9"/>
      <c r="I134" s="34"/>
      <c r="J134" s="55" t="str">
        <f t="shared" si="7"/>
        <v>https://permalinkbnd.bnportugal.gov.pt/viewer/274252/?offset=#page=26&amp;viewer=picture&amp;o=info&amp;n=0&amp;q=</v>
      </c>
      <c r="K134" s="45"/>
      <c r="L134" s="45"/>
      <c r="M134" s="45"/>
      <c r="N134" t="s">
        <v>169</v>
      </c>
      <c r="O134">
        <v>274252</v>
      </c>
      <c r="P134" t="str">
        <f t="shared" si="8"/>
        <v>https://permalinkbnd.bnportugal.gov.pt/viewer/274252/?offset=#page=26&amp;viewer=picture&amp;o=info&amp;n=0&amp;q=</v>
      </c>
      <c r="Q134">
        <v>808481</v>
      </c>
      <c r="R134" t="s">
        <v>169</v>
      </c>
      <c r="S134" t="s">
        <v>599</v>
      </c>
      <c r="T134" t="s">
        <v>1178</v>
      </c>
      <c r="U134" t="s">
        <v>1192</v>
      </c>
      <c r="V134" t="s">
        <v>599</v>
      </c>
      <c r="W134" t="s">
        <v>1877</v>
      </c>
      <c r="X134" t="s">
        <v>599</v>
      </c>
      <c r="Y134" t="s">
        <v>599</v>
      </c>
      <c r="Z134" t="s">
        <v>1182</v>
      </c>
      <c r="AA134" t="s">
        <v>1878</v>
      </c>
      <c r="AB134">
        <v>1887</v>
      </c>
      <c r="AC134">
        <v>1887</v>
      </c>
      <c r="AD134" t="s">
        <v>1879</v>
      </c>
      <c r="AE134" t="s">
        <v>1185</v>
      </c>
      <c r="AF134" t="s">
        <v>599</v>
      </c>
      <c r="AG134" t="s">
        <v>599</v>
      </c>
      <c r="AH134" t="s">
        <v>1880</v>
      </c>
      <c r="AI134" t="s">
        <v>599</v>
      </c>
      <c r="AJ134" t="s">
        <v>599</v>
      </c>
      <c r="AK134" t="s">
        <v>1881</v>
      </c>
      <c r="AL134" t="s">
        <v>1188</v>
      </c>
      <c r="AM134" t="s">
        <v>1882</v>
      </c>
      <c r="AN134" t="s">
        <v>1190</v>
      </c>
      <c r="AO134" t="s">
        <v>599</v>
      </c>
      <c r="AP134" t="s">
        <v>599</v>
      </c>
      <c r="AQ134" t="s">
        <v>1883</v>
      </c>
      <c r="AR134" t="s">
        <v>599</v>
      </c>
      <c r="AS134" t="s">
        <v>599</v>
      </c>
      <c r="AT134" t="s">
        <v>599</v>
      </c>
      <c r="AU134" t="s">
        <v>599</v>
      </c>
    </row>
    <row r="135" spans="1:47" s="13" customFormat="1" ht="30" x14ac:dyDescent="0.25">
      <c r="A135" s="9"/>
      <c r="B135" s="10">
        <v>808481</v>
      </c>
      <c r="C135" s="10">
        <v>1</v>
      </c>
      <c r="D135" s="9">
        <v>29</v>
      </c>
      <c r="E135" s="11" t="s">
        <v>169</v>
      </c>
      <c r="F135" s="11" t="str">
        <f t="shared" si="6"/>
        <v>https://purl.pt/43870</v>
      </c>
      <c r="G135" s="12" t="s">
        <v>170</v>
      </c>
      <c r="H135" s="9"/>
      <c r="I135" s="34" t="s">
        <v>628</v>
      </c>
      <c r="J135" s="55" t="str">
        <f t="shared" si="7"/>
        <v>https://permalinkbnd.bnportugal.gov.pt/viewer/274252/?offset=#page=29&amp;viewer=picture&amp;o=info&amp;n=0&amp;q=</v>
      </c>
      <c r="K135" s="45"/>
      <c r="L135" s="45"/>
      <c r="M135" s="45"/>
      <c r="N135" t="s">
        <v>169</v>
      </c>
      <c r="O135">
        <v>274252</v>
      </c>
      <c r="P135" t="str">
        <f t="shared" si="8"/>
        <v>https://permalinkbnd.bnportugal.gov.pt/viewer/274252/?offset=#page=29&amp;viewer=picture&amp;o=info&amp;n=0&amp;q=</v>
      </c>
      <c r="Q135">
        <v>808481</v>
      </c>
      <c r="R135" t="s">
        <v>169</v>
      </c>
      <c r="S135" t="s">
        <v>1876</v>
      </c>
      <c r="T135" t="s">
        <v>1178</v>
      </c>
      <c r="U135" t="s">
        <v>1192</v>
      </c>
      <c r="V135" t="s">
        <v>599</v>
      </c>
      <c r="W135" t="s">
        <v>1877</v>
      </c>
      <c r="X135" t="s">
        <v>599</v>
      </c>
      <c r="Y135" t="s">
        <v>599</v>
      </c>
      <c r="Z135" t="s">
        <v>1182</v>
      </c>
      <c r="AA135" t="s">
        <v>1878</v>
      </c>
      <c r="AB135">
        <v>1887</v>
      </c>
      <c r="AC135">
        <v>1887</v>
      </c>
      <c r="AD135" t="s">
        <v>1879</v>
      </c>
      <c r="AE135" t="s">
        <v>1185</v>
      </c>
      <c r="AF135" t="s">
        <v>599</v>
      </c>
      <c r="AG135" t="s">
        <v>599</v>
      </c>
      <c r="AH135" t="s">
        <v>1880</v>
      </c>
      <c r="AI135" t="s">
        <v>599</v>
      </c>
      <c r="AJ135" t="s">
        <v>599</v>
      </c>
      <c r="AK135" t="s">
        <v>1881</v>
      </c>
      <c r="AL135" t="s">
        <v>1188</v>
      </c>
      <c r="AM135" t="s">
        <v>1882</v>
      </c>
      <c r="AN135" t="s">
        <v>1190</v>
      </c>
      <c r="AO135" t="s">
        <v>599</v>
      </c>
      <c r="AP135" t="s">
        <v>599</v>
      </c>
      <c r="AQ135" t="s">
        <v>1883</v>
      </c>
      <c r="AR135" t="s">
        <v>599</v>
      </c>
      <c r="AS135" t="s">
        <v>599</v>
      </c>
      <c r="AT135" t="s">
        <v>599</v>
      </c>
      <c r="AU135" t="s">
        <v>599</v>
      </c>
    </row>
    <row r="136" spans="1:47" s="13" customFormat="1" ht="30" x14ac:dyDescent="0.25">
      <c r="A136" s="9">
        <v>10249</v>
      </c>
      <c r="B136" s="10">
        <v>808497</v>
      </c>
      <c r="C136" s="10">
        <v>1</v>
      </c>
      <c r="D136" s="9">
        <v>7</v>
      </c>
      <c r="E136" s="11" t="s">
        <v>171</v>
      </c>
      <c r="F136" s="11" t="str">
        <f t="shared" si="6"/>
        <v>https://purl.pt/43932</v>
      </c>
      <c r="G136" s="12" t="s">
        <v>172</v>
      </c>
      <c r="H136" s="9"/>
      <c r="I136" s="34"/>
      <c r="J136" s="55" t="str">
        <f t="shared" si="7"/>
        <v>https://permalinkbnd.bnportugal.gov.pt/viewer/273233/?offset=#page=7&amp;viewer=picture&amp;o=info&amp;n=0&amp;q=</v>
      </c>
      <c r="K136" s="45"/>
      <c r="L136" s="45"/>
      <c r="M136" s="45"/>
      <c r="N136" t="s">
        <v>171</v>
      </c>
      <c r="O136">
        <v>273233</v>
      </c>
      <c r="P136" t="str">
        <f t="shared" si="8"/>
        <v>https://permalinkbnd.bnportugal.gov.pt/viewer/273233/?offset=#page=7&amp;viewer=picture&amp;o=info&amp;n=0&amp;q=</v>
      </c>
      <c r="Q136">
        <v>808497</v>
      </c>
      <c r="R136" t="s">
        <v>171</v>
      </c>
      <c r="S136" t="s">
        <v>1884</v>
      </c>
      <c r="T136" t="s">
        <v>1178</v>
      </c>
      <c r="U136" t="s">
        <v>1885</v>
      </c>
      <c r="V136" t="s">
        <v>1192</v>
      </c>
      <c r="W136" t="s">
        <v>1886</v>
      </c>
      <c r="X136" t="s">
        <v>599</v>
      </c>
      <c r="Y136" t="s">
        <v>599</v>
      </c>
      <c r="Z136" t="s">
        <v>1182</v>
      </c>
      <c r="AA136" t="s">
        <v>1887</v>
      </c>
      <c r="AB136">
        <v>1893</v>
      </c>
      <c r="AC136">
        <v>1893</v>
      </c>
      <c r="AD136" t="s">
        <v>1888</v>
      </c>
      <c r="AE136" t="s">
        <v>599</v>
      </c>
      <c r="AF136" t="s">
        <v>599</v>
      </c>
      <c r="AG136" t="s">
        <v>599</v>
      </c>
      <c r="AH136" t="s">
        <v>1873</v>
      </c>
      <c r="AI136" t="s">
        <v>599</v>
      </c>
      <c r="AJ136" t="s">
        <v>599</v>
      </c>
      <c r="AK136" t="s">
        <v>1889</v>
      </c>
      <c r="AL136" t="s">
        <v>1188</v>
      </c>
      <c r="AM136" t="s">
        <v>1890</v>
      </c>
      <c r="AN136" t="s">
        <v>1190</v>
      </c>
      <c r="AO136" t="s">
        <v>599</v>
      </c>
      <c r="AP136" t="s">
        <v>599</v>
      </c>
      <c r="AQ136" t="s">
        <v>599</v>
      </c>
      <c r="AR136" t="s">
        <v>599</v>
      </c>
      <c r="AS136" t="s">
        <v>599</v>
      </c>
      <c r="AT136" t="s">
        <v>599</v>
      </c>
      <c r="AU136" t="s">
        <v>599</v>
      </c>
    </row>
    <row r="137" spans="1:47" s="13" customFormat="1" ht="30" x14ac:dyDescent="0.25">
      <c r="A137" s="9">
        <v>10250</v>
      </c>
      <c r="B137" s="10">
        <v>808502</v>
      </c>
      <c r="C137" s="10">
        <v>1</v>
      </c>
      <c r="D137" s="9">
        <v>12</v>
      </c>
      <c r="E137" s="11" t="s">
        <v>173</v>
      </c>
      <c r="F137" s="11" t="str">
        <f t="shared" si="6"/>
        <v>https://purl.pt/42915</v>
      </c>
      <c r="G137" s="12" t="s">
        <v>174</v>
      </c>
      <c r="H137" s="9"/>
      <c r="I137" s="34"/>
      <c r="J137" s="55" t="str">
        <f t="shared" si="7"/>
        <v>https://permalinkbnd.bnportugal.gov.pt/viewer/270086/?offset=#page=12&amp;viewer=picture&amp;o=info&amp;n=0&amp;q=</v>
      </c>
      <c r="K137" s="45"/>
      <c r="L137" s="45"/>
      <c r="M137" s="45"/>
      <c r="N137" t="s">
        <v>173</v>
      </c>
      <c r="O137">
        <v>270086</v>
      </c>
      <c r="P137" t="str">
        <f t="shared" si="8"/>
        <v>https://permalinkbnd.bnportugal.gov.pt/viewer/270086/?offset=#page=12&amp;viewer=picture&amp;o=info&amp;n=0&amp;q=</v>
      </c>
      <c r="Q137">
        <v>808502</v>
      </c>
      <c r="R137" t="s">
        <v>173</v>
      </c>
      <c r="S137" t="s">
        <v>1891</v>
      </c>
      <c r="T137" t="s">
        <v>1178</v>
      </c>
      <c r="U137" t="s">
        <v>1885</v>
      </c>
      <c r="V137" t="s">
        <v>1192</v>
      </c>
      <c r="W137" t="s">
        <v>1892</v>
      </c>
      <c r="X137" t="s">
        <v>599</v>
      </c>
      <c r="Y137" t="s">
        <v>599</v>
      </c>
      <c r="Z137" t="s">
        <v>1182</v>
      </c>
      <c r="AA137" t="s">
        <v>1446</v>
      </c>
      <c r="AB137">
        <v>1890</v>
      </c>
      <c r="AC137">
        <v>1890</v>
      </c>
      <c r="AD137" t="s">
        <v>1241</v>
      </c>
      <c r="AE137" t="s">
        <v>599</v>
      </c>
      <c r="AF137" t="s">
        <v>599</v>
      </c>
      <c r="AG137" t="s">
        <v>1185</v>
      </c>
      <c r="AH137" t="s">
        <v>1873</v>
      </c>
      <c r="AI137" t="s">
        <v>599</v>
      </c>
      <c r="AJ137" t="s">
        <v>599</v>
      </c>
      <c r="AK137" t="s">
        <v>1893</v>
      </c>
      <c r="AL137" t="s">
        <v>1188</v>
      </c>
      <c r="AM137" t="s">
        <v>1894</v>
      </c>
      <c r="AN137" t="s">
        <v>1190</v>
      </c>
      <c r="AO137" t="s">
        <v>599</v>
      </c>
      <c r="AP137" t="s">
        <v>599</v>
      </c>
      <c r="AQ137" t="s">
        <v>599</v>
      </c>
      <c r="AR137" t="s">
        <v>599</v>
      </c>
      <c r="AS137" t="s">
        <v>599</v>
      </c>
      <c r="AT137" t="s">
        <v>599</v>
      </c>
      <c r="AU137" t="s">
        <v>599</v>
      </c>
    </row>
    <row r="138" spans="1:47" s="13" customFormat="1" ht="30" x14ac:dyDescent="0.25">
      <c r="A138" s="9">
        <v>10251</v>
      </c>
      <c r="B138" s="10">
        <v>808536</v>
      </c>
      <c r="C138" s="10">
        <v>1</v>
      </c>
      <c r="D138" s="9">
        <v>7</v>
      </c>
      <c r="E138" s="11" t="s">
        <v>175</v>
      </c>
      <c r="F138" s="11" t="str">
        <f t="shared" si="6"/>
        <v>https://purl.pt/42822</v>
      </c>
      <c r="G138" s="12" t="s">
        <v>176</v>
      </c>
      <c r="H138" s="9"/>
      <c r="I138" s="34"/>
      <c r="J138" s="55" t="str">
        <f t="shared" si="7"/>
        <v>https://permalinkbnd.bnportugal.gov.pt/viewer/270087/?offset=#page=7&amp;viewer=picture&amp;o=info&amp;n=0&amp;q=</v>
      </c>
      <c r="K138" s="45"/>
      <c r="L138" s="45"/>
      <c r="M138" s="45"/>
      <c r="N138" t="s">
        <v>175</v>
      </c>
      <c r="O138">
        <v>270087</v>
      </c>
      <c r="P138" t="str">
        <f t="shared" si="8"/>
        <v>https://permalinkbnd.bnportugal.gov.pt/viewer/270087/?offset=#page=7&amp;viewer=picture&amp;o=info&amp;n=0&amp;q=</v>
      </c>
      <c r="Q138">
        <v>808536</v>
      </c>
      <c r="R138" t="s">
        <v>175</v>
      </c>
      <c r="S138" t="s">
        <v>599</v>
      </c>
      <c r="T138" t="s">
        <v>1178</v>
      </c>
      <c r="U138" t="s">
        <v>1179</v>
      </c>
      <c r="V138" t="s">
        <v>1192</v>
      </c>
      <c r="W138" t="s">
        <v>1895</v>
      </c>
      <c r="X138" t="s">
        <v>599</v>
      </c>
      <c r="Y138" t="s">
        <v>599</v>
      </c>
      <c r="Z138" t="s">
        <v>1182</v>
      </c>
      <c r="AA138" t="s">
        <v>1896</v>
      </c>
      <c r="AB138">
        <v>1899</v>
      </c>
      <c r="AC138">
        <v>1899</v>
      </c>
      <c r="AD138" t="s">
        <v>1241</v>
      </c>
      <c r="AE138" t="s">
        <v>599</v>
      </c>
      <c r="AF138" t="s">
        <v>599</v>
      </c>
      <c r="AG138" t="s">
        <v>599</v>
      </c>
      <c r="AH138" t="s">
        <v>1873</v>
      </c>
      <c r="AI138" t="s">
        <v>599</v>
      </c>
      <c r="AJ138" t="s">
        <v>599</v>
      </c>
      <c r="AK138" t="s">
        <v>1897</v>
      </c>
      <c r="AL138" t="s">
        <v>1188</v>
      </c>
      <c r="AM138" t="s">
        <v>1898</v>
      </c>
      <c r="AN138" t="s">
        <v>1190</v>
      </c>
      <c r="AO138" t="s">
        <v>599</v>
      </c>
      <c r="AP138" t="s">
        <v>599</v>
      </c>
      <c r="AQ138" t="s">
        <v>599</v>
      </c>
      <c r="AR138" t="s">
        <v>599</v>
      </c>
      <c r="AS138" t="s">
        <v>599</v>
      </c>
      <c r="AT138" t="s">
        <v>599</v>
      </c>
      <c r="AU138" t="s">
        <v>599</v>
      </c>
    </row>
    <row r="139" spans="1:47" s="13" customFormat="1" ht="30" x14ac:dyDescent="0.25">
      <c r="A139" s="9"/>
      <c r="B139" s="10">
        <v>808536</v>
      </c>
      <c r="C139" s="10">
        <v>1</v>
      </c>
      <c r="D139" s="9">
        <v>17</v>
      </c>
      <c r="E139" s="11" t="s">
        <v>175</v>
      </c>
      <c r="F139" s="11" t="str">
        <f t="shared" si="6"/>
        <v>https://purl.pt/42822</v>
      </c>
      <c r="G139" s="12" t="s">
        <v>176</v>
      </c>
      <c r="H139" s="9"/>
      <c r="I139" s="34"/>
      <c r="J139" s="55" t="str">
        <f t="shared" si="7"/>
        <v>https://permalinkbnd.bnportugal.gov.pt/viewer/270087/?offset=#page=17&amp;viewer=picture&amp;o=info&amp;n=0&amp;q=</v>
      </c>
      <c r="K139" s="45"/>
      <c r="L139" s="45"/>
      <c r="M139" s="45"/>
      <c r="N139" t="s">
        <v>175</v>
      </c>
      <c r="O139">
        <v>270087</v>
      </c>
      <c r="P139" t="str">
        <f t="shared" si="8"/>
        <v>https://permalinkbnd.bnportugal.gov.pt/viewer/270087/?offset=#page=17&amp;viewer=picture&amp;o=info&amp;n=0&amp;q=</v>
      </c>
      <c r="Q139">
        <v>808536</v>
      </c>
      <c r="R139" t="s">
        <v>175</v>
      </c>
      <c r="S139" t="s">
        <v>1899</v>
      </c>
      <c r="T139" t="s">
        <v>1178</v>
      </c>
      <c r="U139" t="s">
        <v>1179</v>
      </c>
      <c r="V139" t="s">
        <v>1192</v>
      </c>
      <c r="W139" t="s">
        <v>1895</v>
      </c>
      <c r="X139" t="s">
        <v>599</v>
      </c>
      <c r="Y139" t="s">
        <v>599</v>
      </c>
      <c r="Z139" t="s">
        <v>1182</v>
      </c>
      <c r="AA139" t="s">
        <v>1896</v>
      </c>
      <c r="AB139">
        <v>1899</v>
      </c>
      <c r="AC139">
        <v>1899</v>
      </c>
      <c r="AD139" t="s">
        <v>1241</v>
      </c>
      <c r="AE139" t="s">
        <v>599</v>
      </c>
      <c r="AF139" t="s">
        <v>599</v>
      </c>
      <c r="AG139" t="s">
        <v>599</v>
      </c>
      <c r="AH139" t="s">
        <v>1873</v>
      </c>
      <c r="AI139" t="s">
        <v>599</v>
      </c>
      <c r="AJ139" t="s">
        <v>599</v>
      </c>
      <c r="AK139" t="s">
        <v>1897</v>
      </c>
      <c r="AL139" t="s">
        <v>1188</v>
      </c>
      <c r="AM139" t="s">
        <v>1898</v>
      </c>
      <c r="AN139" t="s">
        <v>1190</v>
      </c>
      <c r="AO139" t="s">
        <v>599</v>
      </c>
      <c r="AP139" t="s">
        <v>599</v>
      </c>
      <c r="AQ139" t="s">
        <v>599</v>
      </c>
      <c r="AR139" t="s">
        <v>599</v>
      </c>
      <c r="AS139" t="s">
        <v>599</v>
      </c>
      <c r="AT139" t="s">
        <v>599</v>
      </c>
      <c r="AU139" t="s">
        <v>599</v>
      </c>
    </row>
    <row r="140" spans="1:47" s="13" customFormat="1" ht="30" x14ac:dyDescent="0.25">
      <c r="A140" s="9"/>
      <c r="B140" s="10">
        <v>808536</v>
      </c>
      <c r="C140" s="10">
        <v>1</v>
      </c>
      <c r="D140" s="9">
        <v>79</v>
      </c>
      <c r="E140" s="11" t="s">
        <v>175</v>
      </c>
      <c r="F140" s="11" t="str">
        <f t="shared" si="6"/>
        <v>https://purl.pt/42822</v>
      </c>
      <c r="G140" s="12" t="s">
        <v>176</v>
      </c>
      <c r="H140" s="9"/>
      <c r="I140" s="34"/>
      <c r="J140" s="55" t="str">
        <f t="shared" si="7"/>
        <v>https://permalinkbnd.bnportugal.gov.pt/viewer/270087/?offset=#page=79&amp;viewer=picture&amp;o=info&amp;n=0&amp;q=</v>
      </c>
      <c r="K140" s="45"/>
      <c r="L140" s="45"/>
      <c r="M140" s="45"/>
      <c r="N140" t="s">
        <v>175</v>
      </c>
      <c r="O140">
        <v>270087</v>
      </c>
      <c r="P140" t="str">
        <f t="shared" si="8"/>
        <v>https://permalinkbnd.bnportugal.gov.pt/viewer/270087/?offset=#page=79&amp;viewer=picture&amp;o=info&amp;n=0&amp;q=</v>
      </c>
      <c r="Q140">
        <v>808536</v>
      </c>
      <c r="R140" t="s">
        <v>175</v>
      </c>
      <c r="S140" t="s">
        <v>1899</v>
      </c>
      <c r="T140" t="s">
        <v>1178</v>
      </c>
      <c r="U140" t="s">
        <v>1179</v>
      </c>
      <c r="V140" t="s">
        <v>1192</v>
      </c>
      <c r="W140" t="s">
        <v>1895</v>
      </c>
      <c r="X140" t="s">
        <v>599</v>
      </c>
      <c r="Y140" t="s">
        <v>599</v>
      </c>
      <c r="Z140" t="s">
        <v>1182</v>
      </c>
      <c r="AA140" t="s">
        <v>1896</v>
      </c>
      <c r="AB140">
        <v>1899</v>
      </c>
      <c r="AC140">
        <v>1899</v>
      </c>
      <c r="AD140" t="s">
        <v>1241</v>
      </c>
      <c r="AE140" t="s">
        <v>599</v>
      </c>
      <c r="AF140" t="s">
        <v>599</v>
      </c>
      <c r="AG140" t="s">
        <v>599</v>
      </c>
      <c r="AH140" t="s">
        <v>1873</v>
      </c>
      <c r="AI140" t="s">
        <v>599</v>
      </c>
      <c r="AJ140" t="s">
        <v>599</v>
      </c>
      <c r="AK140" t="s">
        <v>1897</v>
      </c>
      <c r="AL140" t="s">
        <v>1188</v>
      </c>
      <c r="AM140" t="s">
        <v>1898</v>
      </c>
      <c r="AN140" t="s">
        <v>1190</v>
      </c>
      <c r="AO140" t="s">
        <v>599</v>
      </c>
      <c r="AP140" t="s">
        <v>599</v>
      </c>
      <c r="AQ140" t="s">
        <v>599</v>
      </c>
      <c r="AR140" t="s">
        <v>599</v>
      </c>
      <c r="AS140" t="s">
        <v>599</v>
      </c>
      <c r="AT140" t="s">
        <v>599</v>
      </c>
      <c r="AU140" t="s">
        <v>599</v>
      </c>
    </row>
    <row r="141" spans="1:47" s="13" customFormat="1" ht="30" x14ac:dyDescent="0.25">
      <c r="A141" s="9"/>
      <c r="B141" s="10">
        <v>808536</v>
      </c>
      <c r="C141" s="10">
        <v>1</v>
      </c>
      <c r="D141" s="9">
        <v>89</v>
      </c>
      <c r="E141" s="11" t="s">
        <v>175</v>
      </c>
      <c r="F141" s="11" t="str">
        <f t="shared" si="6"/>
        <v>https://purl.pt/42822</v>
      </c>
      <c r="G141" s="12" t="s">
        <v>176</v>
      </c>
      <c r="H141" s="9"/>
      <c r="I141" s="34"/>
      <c r="J141" s="55" t="str">
        <f t="shared" si="7"/>
        <v>https://permalinkbnd.bnportugal.gov.pt/viewer/270087/?offset=#page=89&amp;viewer=picture&amp;o=info&amp;n=0&amp;q=</v>
      </c>
      <c r="K141" s="45"/>
      <c r="L141" s="45"/>
      <c r="M141" s="45"/>
      <c r="N141" t="s">
        <v>175</v>
      </c>
      <c r="O141">
        <v>270087</v>
      </c>
      <c r="P141" t="str">
        <f t="shared" si="8"/>
        <v>https://permalinkbnd.bnportugal.gov.pt/viewer/270087/?offset=#page=89&amp;viewer=picture&amp;o=info&amp;n=0&amp;q=</v>
      </c>
      <c r="Q141">
        <v>808536</v>
      </c>
      <c r="R141" t="s">
        <v>175</v>
      </c>
      <c r="S141" t="s">
        <v>599</v>
      </c>
      <c r="T141" t="s">
        <v>1178</v>
      </c>
      <c r="U141" t="s">
        <v>1179</v>
      </c>
      <c r="V141" t="s">
        <v>1192</v>
      </c>
      <c r="W141" t="s">
        <v>1895</v>
      </c>
      <c r="X141" t="s">
        <v>599</v>
      </c>
      <c r="Y141" t="s">
        <v>599</v>
      </c>
      <c r="Z141" t="s">
        <v>1182</v>
      </c>
      <c r="AA141" t="s">
        <v>1896</v>
      </c>
      <c r="AB141">
        <v>1899</v>
      </c>
      <c r="AC141">
        <v>1899</v>
      </c>
      <c r="AD141" t="s">
        <v>1241</v>
      </c>
      <c r="AE141" t="s">
        <v>599</v>
      </c>
      <c r="AF141" t="s">
        <v>599</v>
      </c>
      <c r="AG141" t="s">
        <v>599</v>
      </c>
      <c r="AH141" t="s">
        <v>1873</v>
      </c>
      <c r="AI141" t="s">
        <v>599</v>
      </c>
      <c r="AJ141" t="s">
        <v>599</v>
      </c>
      <c r="AK141" t="s">
        <v>1897</v>
      </c>
      <c r="AL141" t="s">
        <v>1188</v>
      </c>
      <c r="AM141" t="s">
        <v>1898</v>
      </c>
      <c r="AN141" t="s">
        <v>1190</v>
      </c>
      <c r="AO141" t="s">
        <v>599</v>
      </c>
      <c r="AP141" t="s">
        <v>599</v>
      </c>
      <c r="AQ141" t="s">
        <v>599</v>
      </c>
      <c r="AR141" t="s">
        <v>599</v>
      </c>
      <c r="AS141" t="s">
        <v>599</v>
      </c>
      <c r="AT141" t="s">
        <v>599</v>
      </c>
      <c r="AU141" t="s">
        <v>599</v>
      </c>
    </row>
    <row r="142" spans="1:47" s="13" customFormat="1" ht="30" x14ac:dyDescent="0.25">
      <c r="A142" s="9"/>
      <c r="B142" s="10">
        <v>808536</v>
      </c>
      <c r="C142" s="10">
        <v>1</v>
      </c>
      <c r="D142" s="9">
        <v>97</v>
      </c>
      <c r="E142" s="11" t="s">
        <v>175</v>
      </c>
      <c r="F142" s="11" t="str">
        <f t="shared" si="6"/>
        <v>https://purl.pt/42822</v>
      </c>
      <c r="G142" s="12" t="s">
        <v>176</v>
      </c>
      <c r="H142" s="9"/>
      <c r="I142" s="34"/>
      <c r="J142" s="55" t="str">
        <f t="shared" si="7"/>
        <v>https://permalinkbnd.bnportugal.gov.pt/viewer/270087/?offset=#page=97&amp;viewer=picture&amp;o=info&amp;n=0&amp;q=</v>
      </c>
      <c r="K142" s="45"/>
      <c r="L142" s="45"/>
      <c r="M142" s="45"/>
      <c r="N142" t="s">
        <v>175</v>
      </c>
      <c r="O142">
        <v>270087</v>
      </c>
      <c r="P142" t="str">
        <f t="shared" si="8"/>
        <v>https://permalinkbnd.bnportugal.gov.pt/viewer/270087/?offset=#page=97&amp;viewer=picture&amp;o=info&amp;n=0&amp;q=</v>
      </c>
      <c r="Q142">
        <v>808536</v>
      </c>
      <c r="R142" t="s">
        <v>175</v>
      </c>
      <c r="S142" t="s">
        <v>599</v>
      </c>
      <c r="T142" t="s">
        <v>1178</v>
      </c>
      <c r="U142" t="s">
        <v>1179</v>
      </c>
      <c r="V142" t="s">
        <v>1192</v>
      </c>
      <c r="W142" t="s">
        <v>1895</v>
      </c>
      <c r="X142" t="s">
        <v>599</v>
      </c>
      <c r="Y142" t="s">
        <v>599</v>
      </c>
      <c r="Z142" t="s">
        <v>1182</v>
      </c>
      <c r="AA142" t="s">
        <v>1896</v>
      </c>
      <c r="AB142">
        <v>1899</v>
      </c>
      <c r="AC142">
        <v>1899</v>
      </c>
      <c r="AD142" t="s">
        <v>1241</v>
      </c>
      <c r="AE142" t="s">
        <v>599</v>
      </c>
      <c r="AF142" t="s">
        <v>599</v>
      </c>
      <c r="AG142" t="s">
        <v>599</v>
      </c>
      <c r="AH142" t="s">
        <v>1873</v>
      </c>
      <c r="AI142" t="s">
        <v>599</v>
      </c>
      <c r="AJ142" t="s">
        <v>599</v>
      </c>
      <c r="AK142" t="s">
        <v>1897</v>
      </c>
      <c r="AL142" t="s">
        <v>1188</v>
      </c>
      <c r="AM142" t="s">
        <v>1898</v>
      </c>
      <c r="AN142" t="s">
        <v>1190</v>
      </c>
      <c r="AO142" t="s">
        <v>599</v>
      </c>
      <c r="AP142" t="s">
        <v>599</v>
      </c>
      <c r="AQ142" t="s">
        <v>599</v>
      </c>
      <c r="AR142" t="s">
        <v>599</v>
      </c>
      <c r="AS142" t="s">
        <v>599</v>
      </c>
      <c r="AT142" t="s">
        <v>599</v>
      </c>
      <c r="AU142" t="s">
        <v>599</v>
      </c>
    </row>
    <row r="143" spans="1:47" s="13" customFormat="1" ht="30" x14ac:dyDescent="0.25">
      <c r="A143" s="9"/>
      <c r="B143" s="10">
        <v>808536</v>
      </c>
      <c r="C143" s="10">
        <v>1</v>
      </c>
      <c r="D143" s="9">
        <v>104</v>
      </c>
      <c r="E143" s="11" t="s">
        <v>175</v>
      </c>
      <c r="F143" s="11" t="str">
        <f t="shared" si="6"/>
        <v>https://purl.pt/42822</v>
      </c>
      <c r="G143" s="12" t="s">
        <v>176</v>
      </c>
      <c r="H143" s="9"/>
      <c r="I143" s="34"/>
      <c r="J143" s="55" t="str">
        <f t="shared" si="7"/>
        <v>https://permalinkbnd.bnportugal.gov.pt/viewer/270087/?offset=#page=104&amp;viewer=picture&amp;o=info&amp;n=0&amp;q=</v>
      </c>
      <c r="K143" s="45"/>
      <c r="L143" s="45"/>
      <c r="M143" s="45"/>
      <c r="N143" t="s">
        <v>175</v>
      </c>
      <c r="O143">
        <v>270087</v>
      </c>
      <c r="P143" t="str">
        <f t="shared" si="8"/>
        <v>https://permalinkbnd.bnportugal.gov.pt/viewer/270087/?offset=#page=104&amp;viewer=picture&amp;o=info&amp;n=0&amp;q=</v>
      </c>
      <c r="Q143">
        <v>808536</v>
      </c>
      <c r="R143" t="s">
        <v>175</v>
      </c>
      <c r="S143" t="s">
        <v>599</v>
      </c>
      <c r="T143" t="s">
        <v>1178</v>
      </c>
      <c r="U143" t="s">
        <v>1179</v>
      </c>
      <c r="V143" t="s">
        <v>1192</v>
      </c>
      <c r="W143" t="s">
        <v>1895</v>
      </c>
      <c r="X143" t="s">
        <v>599</v>
      </c>
      <c r="Y143" t="s">
        <v>599</v>
      </c>
      <c r="Z143" t="s">
        <v>1182</v>
      </c>
      <c r="AA143" t="s">
        <v>1896</v>
      </c>
      <c r="AB143">
        <v>1899</v>
      </c>
      <c r="AC143">
        <v>1899</v>
      </c>
      <c r="AD143" t="s">
        <v>1241</v>
      </c>
      <c r="AE143" t="s">
        <v>599</v>
      </c>
      <c r="AF143" t="s">
        <v>599</v>
      </c>
      <c r="AG143" t="s">
        <v>599</v>
      </c>
      <c r="AH143" t="s">
        <v>1873</v>
      </c>
      <c r="AI143" t="s">
        <v>599</v>
      </c>
      <c r="AJ143" t="s">
        <v>599</v>
      </c>
      <c r="AK143" t="s">
        <v>1897</v>
      </c>
      <c r="AL143" t="s">
        <v>1188</v>
      </c>
      <c r="AM143" t="s">
        <v>1898</v>
      </c>
      <c r="AN143" t="s">
        <v>1190</v>
      </c>
      <c r="AO143" t="s">
        <v>599</v>
      </c>
      <c r="AP143" t="s">
        <v>599</v>
      </c>
      <c r="AQ143" t="s">
        <v>599</v>
      </c>
      <c r="AR143" t="s">
        <v>599</v>
      </c>
      <c r="AS143" t="s">
        <v>599</v>
      </c>
      <c r="AT143" t="s">
        <v>599</v>
      </c>
      <c r="AU143" t="s">
        <v>599</v>
      </c>
    </row>
    <row r="144" spans="1:47" s="13" customFormat="1" ht="30" x14ac:dyDescent="0.25">
      <c r="A144" s="9"/>
      <c r="B144" s="10">
        <v>808536</v>
      </c>
      <c r="C144" s="10">
        <v>1</v>
      </c>
      <c r="D144" s="9">
        <v>105</v>
      </c>
      <c r="E144" s="11" t="s">
        <v>175</v>
      </c>
      <c r="F144" s="11" t="str">
        <f t="shared" si="6"/>
        <v>https://purl.pt/42822</v>
      </c>
      <c r="G144" s="12" t="s">
        <v>176</v>
      </c>
      <c r="H144" s="9"/>
      <c r="I144" s="34"/>
      <c r="J144" s="55" t="str">
        <f t="shared" si="7"/>
        <v>https://permalinkbnd.bnportugal.gov.pt/viewer/270087/?offset=#page=105&amp;viewer=picture&amp;o=info&amp;n=0&amp;q=</v>
      </c>
      <c r="K144" s="45"/>
      <c r="L144" s="45"/>
      <c r="M144" s="45"/>
      <c r="N144" t="s">
        <v>175</v>
      </c>
      <c r="O144">
        <v>270087</v>
      </c>
      <c r="P144" t="str">
        <f t="shared" si="8"/>
        <v>https://permalinkbnd.bnportugal.gov.pt/viewer/270087/?offset=#page=105&amp;viewer=picture&amp;o=info&amp;n=0&amp;q=</v>
      </c>
      <c r="Q144">
        <v>808536</v>
      </c>
      <c r="R144" t="s">
        <v>175</v>
      </c>
      <c r="S144" t="s">
        <v>599</v>
      </c>
      <c r="T144" t="s">
        <v>1178</v>
      </c>
      <c r="U144" t="s">
        <v>1179</v>
      </c>
      <c r="V144" t="s">
        <v>1192</v>
      </c>
      <c r="W144" t="s">
        <v>1895</v>
      </c>
      <c r="X144" t="s">
        <v>599</v>
      </c>
      <c r="Y144" t="s">
        <v>599</v>
      </c>
      <c r="Z144" t="s">
        <v>1182</v>
      </c>
      <c r="AA144" t="s">
        <v>1896</v>
      </c>
      <c r="AB144">
        <v>1899</v>
      </c>
      <c r="AC144">
        <v>1899</v>
      </c>
      <c r="AD144" t="s">
        <v>1241</v>
      </c>
      <c r="AE144" t="s">
        <v>599</v>
      </c>
      <c r="AF144" t="s">
        <v>599</v>
      </c>
      <c r="AG144" t="s">
        <v>599</v>
      </c>
      <c r="AH144" t="s">
        <v>1873</v>
      </c>
      <c r="AI144" t="s">
        <v>599</v>
      </c>
      <c r="AJ144" t="s">
        <v>599</v>
      </c>
      <c r="AK144" t="s">
        <v>1897</v>
      </c>
      <c r="AL144" t="s">
        <v>1188</v>
      </c>
      <c r="AM144" t="s">
        <v>1898</v>
      </c>
      <c r="AN144" t="s">
        <v>1190</v>
      </c>
      <c r="AO144" t="s">
        <v>599</v>
      </c>
      <c r="AP144" t="s">
        <v>599</v>
      </c>
      <c r="AQ144" t="s">
        <v>599</v>
      </c>
      <c r="AR144" t="s">
        <v>599</v>
      </c>
      <c r="AS144" t="s">
        <v>599</v>
      </c>
      <c r="AT144" t="s">
        <v>599</v>
      </c>
      <c r="AU144" t="s">
        <v>599</v>
      </c>
    </row>
    <row r="145" spans="1:47" s="13" customFormat="1" ht="30" x14ac:dyDescent="0.25">
      <c r="A145" s="9">
        <v>10252</v>
      </c>
      <c r="B145" s="10">
        <v>808766</v>
      </c>
      <c r="C145" s="10">
        <v>1</v>
      </c>
      <c r="D145" s="9">
        <v>10</v>
      </c>
      <c r="E145" s="11" t="s">
        <v>177</v>
      </c>
      <c r="F145" s="11" t="str">
        <f t="shared" si="6"/>
        <v>https://purl.pt/43857</v>
      </c>
      <c r="G145" s="12" t="s">
        <v>178</v>
      </c>
      <c r="H145" s="9">
        <v>10</v>
      </c>
      <c r="I145" s="34"/>
      <c r="J145" s="55" t="str">
        <f t="shared" si="7"/>
        <v>https://permalinkbnd.bnportugal.gov.pt/viewer/273350/?offset=#page=10&amp;viewer=picture&amp;o=info&amp;n=0&amp;q=</v>
      </c>
      <c r="K145" s="45"/>
      <c r="L145" s="45"/>
      <c r="M145" s="45"/>
      <c r="N145" t="s">
        <v>177</v>
      </c>
      <c r="O145">
        <v>273350</v>
      </c>
      <c r="P145" t="str">
        <f t="shared" si="8"/>
        <v>https://permalinkbnd.bnportugal.gov.pt/viewer/273350/?offset=#page=10&amp;viewer=picture&amp;o=info&amp;n=0&amp;q=</v>
      </c>
      <c r="Q145">
        <v>808766</v>
      </c>
      <c r="R145" t="s">
        <v>177</v>
      </c>
      <c r="S145" t="s">
        <v>599</v>
      </c>
      <c r="T145" t="s">
        <v>1178</v>
      </c>
      <c r="U145" t="s">
        <v>1900</v>
      </c>
      <c r="V145" t="s">
        <v>1192</v>
      </c>
      <c r="W145" t="s">
        <v>1901</v>
      </c>
      <c r="X145" t="s">
        <v>599</v>
      </c>
      <c r="Y145" t="s">
        <v>599</v>
      </c>
      <c r="Z145" t="s">
        <v>1182</v>
      </c>
      <c r="AA145" t="s">
        <v>1902</v>
      </c>
      <c r="AB145">
        <v>1899</v>
      </c>
      <c r="AC145">
        <v>1899</v>
      </c>
      <c r="AD145" t="s">
        <v>1903</v>
      </c>
      <c r="AE145" t="s">
        <v>1185</v>
      </c>
      <c r="AF145" t="s">
        <v>599</v>
      </c>
      <c r="AG145" t="s">
        <v>599</v>
      </c>
      <c r="AH145" t="s">
        <v>1904</v>
      </c>
      <c r="AI145" t="s">
        <v>599</v>
      </c>
      <c r="AJ145" t="s">
        <v>599</v>
      </c>
      <c r="AK145" t="s">
        <v>1905</v>
      </c>
      <c r="AL145" t="s">
        <v>1188</v>
      </c>
      <c r="AM145" t="s">
        <v>1906</v>
      </c>
      <c r="AN145" t="s">
        <v>1190</v>
      </c>
      <c r="AO145" t="s">
        <v>599</v>
      </c>
      <c r="AP145" t="s">
        <v>599</v>
      </c>
      <c r="AQ145" t="s">
        <v>599</v>
      </c>
      <c r="AR145" t="s">
        <v>599</v>
      </c>
      <c r="AS145" t="s">
        <v>599</v>
      </c>
      <c r="AT145" t="s">
        <v>599</v>
      </c>
      <c r="AU145" t="s">
        <v>599</v>
      </c>
    </row>
    <row r="146" spans="1:47" s="13" customFormat="1" ht="30" x14ac:dyDescent="0.25">
      <c r="A146" s="9">
        <v>10254</v>
      </c>
      <c r="B146" s="10">
        <v>810040</v>
      </c>
      <c r="C146" s="10">
        <v>1</v>
      </c>
      <c r="D146" s="9">
        <v>11</v>
      </c>
      <c r="E146" s="11" t="s">
        <v>23</v>
      </c>
      <c r="F146" s="11" t="str">
        <f t="shared" si="6"/>
        <v>https://purl.pt/43815</v>
      </c>
      <c r="G146" s="12" t="s">
        <v>179</v>
      </c>
      <c r="H146" s="9">
        <v>11</v>
      </c>
      <c r="I146" s="34"/>
      <c r="J146" s="55" t="str">
        <f t="shared" si="7"/>
        <v>https://permalinkbnd.bnportugal.gov.pt/viewer/273316/?offset=#page=11&amp;viewer=picture&amp;o=info&amp;n=0&amp;q=</v>
      </c>
      <c r="K146" s="45"/>
      <c r="L146" s="45"/>
      <c r="M146" s="45"/>
      <c r="N146" t="s">
        <v>23</v>
      </c>
      <c r="O146">
        <v>273316</v>
      </c>
      <c r="P146" t="str">
        <f t="shared" si="8"/>
        <v>https://permalinkbnd.bnportugal.gov.pt/viewer/273316/?offset=#page=11&amp;viewer=picture&amp;o=info&amp;n=0&amp;q=</v>
      </c>
      <c r="Q146">
        <v>810040</v>
      </c>
      <c r="R146" t="s">
        <v>23</v>
      </c>
      <c r="S146" t="s">
        <v>1245</v>
      </c>
      <c r="T146" t="s">
        <v>1178</v>
      </c>
      <c r="U146" t="s">
        <v>1192</v>
      </c>
      <c r="V146" t="s">
        <v>599</v>
      </c>
      <c r="W146" t="s">
        <v>1907</v>
      </c>
      <c r="X146" t="s">
        <v>1908</v>
      </c>
      <c r="Y146" t="s">
        <v>599</v>
      </c>
      <c r="Z146" t="s">
        <v>1182</v>
      </c>
      <c r="AA146" t="s">
        <v>1909</v>
      </c>
      <c r="AB146">
        <v>1898</v>
      </c>
      <c r="AC146">
        <v>1898</v>
      </c>
      <c r="AD146" t="s">
        <v>1910</v>
      </c>
      <c r="AE146" t="s">
        <v>1911</v>
      </c>
      <c r="AF146" t="s">
        <v>599</v>
      </c>
      <c r="AG146" t="s">
        <v>599</v>
      </c>
      <c r="AH146" t="s">
        <v>1432</v>
      </c>
      <c r="AI146" t="s">
        <v>599</v>
      </c>
      <c r="AJ146" t="s">
        <v>599</v>
      </c>
      <c r="AK146" t="s">
        <v>1912</v>
      </c>
      <c r="AL146" t="s">
        <v>1188</v>
      </c>
      <c r="AM146" t="s">
        <v>1913</v>
      </c>
      <c r="AN146" t="s">
        <v>1190</v>
      </c>
      <c r="AO146" t="s">
        <v>599</v>
      </c>
      <c r="AP146" t="s">
        <v>599</v>
      </c>
      <c r="AQ146" t="s">
        <v>599</v>
      </c>
      <c r="AR146" t="s">
        <v>599</v>
      </c>
      <c r="AS146" t="s">
        <v>599</v>
      </c>
      <c r="AT146" t="s">
        <v>599</v>
      </c>
      <c r="AU146" t="s">
        <v>599</v>
      </c>
    </row>
    <row r="147" spans="1:47" s="13" customFormat="1" ht="30" x14ac:dyDescent="0.25">
      <c r="A147" s="9">
        <v>10255</v>
      </c>
      <c r="B147" s="10">
        <v>810055</v>
      </c>
      <c r="C147" s="10">
        <v>1</v>
      </c>
      <c r="D147" s="9">
        <v>1</v>
      </c>
      <c r="E147" s="11" t="s">
        <v>180</v>
      </c>
      <c r="F147" s="11" t="str">
        <f t="shared" si="6"/>
        <v>https://purl.pt/43756</v>
      </c>
      <c r="G147" s="12" t="s">
        <v>181</v>
      </c>
      <c r="H147" s="9"/>
      <c r="I147" s="34"/>
      <c r="J147" s="55" t="str">
        <f t="shared" si="7"/>
        <v>https://permalinkbnd.bnportugal.gov.pt/viewer/273346/?offset=#page=1&amp;viewer=picture&amp;o=info&amp;n=0&amp;q=</v>
      </c>
      <c r="K147" s="45"/>
      <c r="L147" s="45"/>
      <c r="M147" s="45"/>
      <c r="N147" t="s">
        <v>180</v>
      </c>
      <c r="O147">
        <v>273346</v>
      </c>
      <c r="P147" t="str">
        <f t="shared" si="8"/>
        <v>https://permalinkbnd.bnportugal.gov.pt/viewer/273346/?offset=#page=1&amp;viewer=picture&amp;o=info&amp;n=0&amp;q=</v>
      </c>
      <c r="Q147">
        <v>810055</v>
      </c>
      <c r="R147" t="s">
        <v>180</v>
      </c>
      <c r="S147" t="s">
        <v>599</v>
      </c>
      <c r="T147" t="s">
        <v>1178</v>
      </c>
      <c r="U147" t="s">
        <v>1914</v>
      </c>
      <c r="V147" t="s">
        <v>1192</v>
      </c>
      <c r="W147" t="s">
        <v>1915</v>
      </c>
      <c r="X147" t="s">
        <v>1916</v>
      </c>
      <c r="Y147" t="s">
        <v>599</v>
      </c>
      <c r="Z147" t="s">
        <v>1182</v>
      </c>
      <c r="AA147" t="s">
        <v>1909</v>
      </c>
      <c r="AB147">
        <v>1898</v>
      </c>
      <c r="AC147">
        <v>1898</v>
      </c>
      <c r="AD147" t="s">
        <v>1917</v>
      </c>
      <c r="AE147" t="s">
        <v>1918</v>
      </c>
      <c r="AF147" t="s">
        <v>599</v>
      </c>
      <c r="AG147" t="s">
        <v>599</v>
      </c>
      <c r="AH147" t="s">
        <v>1919</v>
      </c>
      <c r="AI147" t="s">
        <v>599</v>
      </c>
      <c r="AJ147" t="s">
        <v>599</v>
      </c>
      <c r="AK147" t="s">
        <v>1920</v>
      </c>
      <c r="AL147" t="s">
        <v>1188</v>
      </c>
      <c r="AM147" t="s">
        <v>1921</v>
      </c>
      <c r="AN147" t="s">
        <v>1190</v>
      </c>
      <c r="AO147" t="s">
        <v>599</v>
      </c>
      <c r="AP147" t="s">
        <v>599</v>
      </c>
      <c r="AQ147" t="s">
        <v>599</v>
      </c>
      <c r="AR147" t="s">
        <v>599</v>
      </c>
      <c r="AS147" t="s">
        <v>599</v>
      </c>
      <c r="AT147" t="s">
        <v>599</v>
      </c>
      <c r="AU147" t="s">
        <v>599</v>
      </c>
    </row>
    <row r="148" spans="1:47" s="13" customFormat="1" ht="30" x14ac:dyDescent="0.25">
      <c r="A148" s="9"/>
      <c r="B148" s="10">
        <v>810055</v>
      </c>
      <c r="C148" s="10">
        <v>1</v>
      </c>
      <c r="D148" s="9">
        <v>5</v>
      </c>
      <c r="E148" s="11" t="s">
        <v>180</v>
      </c>
      <c r="F148" s="11" t="str">
        <f t="shared" si="6"/>
        <v>https://purl.pt/43756</v>
      </c>
      <c r="G148" s="12" t="s">
        <v>600</v>
      </c>
      <c r="H148" s="9"/>
      <c r="I148" s="34"/>
      <c r="J148" s="55" t="str">
        <f t="shared" si="7"/>
        <v>https://permalinkbnd.bnportugal.gov.pt/viewer/273346/?offset=#page=5&amp;viewer=picture&amp;o=info&amp;n=0&amp;q=</v>
      </c>
      <c r="K148" s="45"/>
      <c r="L148" s="45"/>
      <c r="M148" s="45"/>
      <c r="N148" t="s">
        <v>180</v>
      </c>
      <c r="O148">
        <v>273346</v>
      </c>
      <c r="P148" t="str">
        <f t="shared" si="8"/>
        <v>https://permalinkbnd.bnportugal.gov.pt/viewer/273346/?offset=#page=5&amp;viewer=picture&amp;o=info&amp;n=0&amp;q=</v>
      </c>
      <c r="Q148">
        <v>810055</v>
      </c>
      <c r="R148" t="s">
        <v>180</v>
      </c>
      <c r="S148" t="s">
        <v>1922</v>
      </c>
      <c r="T148" t="s">
        <v>1178</v>
      </c>
      <c r="U148" t="s">
        <v>1914</v>
      </c>
      <c r="V148" t="s">
        <v>1192</v>
      </c>
      <c r="W148" t="s">
        <v>1915</v>
      </c>
      <c r="X148" t="s">
        <v>1916</v>
      </c>
      <c r="Y148" t="s">
        <v>599</v>
      </c>
      <c r="Z148" t="s">
        <v>1182</v>
      </c>
      <c r="AA148" t="s">
        <v>1909</v>
      </c>
      <c r="AB148">
        <v>1898</v>
      </c>
      <c r="AC148">
        <v>1898</v>
      </c>
      <c r="AD148" t="s">
        <v>1917</v>
      </c>
      <c r="AE148" t="s">
        <v>1918</v>
      </c>
      <c r="AF148" t="s">
        <v>599</v>
      </c>
      <c r="AG148" t="s">
        <v>599</v>
      </c>
      <c r="AH148" t="s">
        <v>1919</v>
      </c>
      <c r="AI148" t="s">
        <v>599</v>
      </c>
      <c r="AJ148" t="s">
        <v>599</v>
      </c>
      <c r="AK148" t="s">
        <v>1920</v>
      </c>
      <c r="AL148" t="s">
        <v>1188</v>
      </c>
      <c r="AM148" t="s">
        <v>1921</v>
      </c>
      <c r="AN148" t="s">
        <v>1190</v>
      </c>
      <c r="AO148" t="s">
        <v>599</v>
      </c>
      <c r="AP148" t="s">
        <v>599</v>
      </c>
      <c r="AQ148" t="s">
        <v>599</v>
      </c>
      <c r="AR148" t="s">
        <v>599</v>
      </c>
      <c r="AS148" t="s">
        <v>599</v>
      </c>
      <c r="AT148" t="s">
        <v>599</v>
      </c>
      <c r="AU148" t="s">
        <v>599</v>
      </c>
    </row>
    <row r="149" spans="1:47" s="26" customFormat="1" ht="30" x14ac:dyDescent="0.25">
      <c r="A149" s="22">
        <v>10256</v>
      </c>
      <c r="B149" s="23">
        <v>810381</v>
      </c>
      <c r="C149" s="23">
        <v>1</v>
      </c>
      <c r="D149" s="27">
        <v>7</v>
      </c>
      <c r="E149" s="24" t="s">
        <v>182</v>
      </c>
      <c r="F149" s="24" t="str">
        <f t="shared" si="6"/>
        <v>https://purl.pt/43913</v>
      </c>
      <c r="G149" s="25">
        <v>7</v>
      </c>
      <c r="H149" s="22"/>
      <c r="I149" s="27" t="s">
        <v>615</v>
      </c>
      <c r="J149" s="55" t="str">
        <f t="shared" si="7"/>
        <v>https://permalinkbnd.bnportugal.gov.pt/viewer/274342/?offset=#page=7&amp;viewer=picture&amp;o=info&amp;n=0&amp;q=</v>
      </c>
      <c r="K149" s="45"/>
      <c r="L149" s="45"/>
      <c r="M149" s="45"/>
      <c r="N149" t="s">
        <v>182</v>
      </c>
      <c r="O149">
        <v>274342</v>
      </c>
      <c r="P149" t="str">
        <f t="shared" si="8"/>
        <v>https://permalinkbnd.bnportugal.gov.pt/viewer/274342/?offset=#page=7&amp;viewer=picture&amp;o=info&amp;n=0&amp;q=</v>
      </c>
      <c r="Q149">
        <v>810381</v>
      </c>
      <c r="R149" t="s">
        <v>182</v>
      </c>
      <c r="S149" t="s">
        <v>1923</v>
      </c>
      <c r="T149" t="s">
        <v>1178</v>
      </c>
      <c r="U149" t="s">
        <v>1209</v>
      </c>
      <c r="V149" t="s">
        <v>599</v>
      </c>
      <c r="W149" t="s">
        <v>1924</v>
      </c>
      <c r="X149" t="s">
        <v>599</v>
      </c>
      <c r="Y149" t="s">
        <v>599</v>
      </c>
      <c r="Z149" t="s">
        <v>1182</v>
      </c>
      <c r="AA149" t="s">
        <v>1925</v>
      </c>
      <c r="AB149">
        <v>1873</v>
      </c>
      <c r="AC149">
        <v>1873</v>
      </c>
      <c r="AD149" t="s">
        <v>1926</v>
      </c>
      <c r="AE149" t="s">
        <v>1927</v>
      </c>
      <c r="AF149" t="s">
        <v>599</v>
      </c>
      <c r="AG149" t="s">
        <v>1928</v>
      </c>
      <c r="AH149" t="s">
        <v>599</v>
      </c>
      <c r="AI149" t="s">
        <v>599</v>
      </c>
      <c r="AJ149" t="s">
        <v>1929</v>
      </c>
      <c r="AK149" t="s">
        <v>1930</v>
      </c>
      <c r="AL149" t="s">
        <v>1188</v>
      </c>
      <c r="AM149" t="s">
        <v>1931</v>
      </c>
      <c r="AN149" t="s">
        <v>1190</v>
      </c>
      <c r="AO149" t="s">
        <v>599</v>
      </c>
      <c r="AP149" t="s">
        <v>599</v>
      </c>
      <c r="AQ149" t="s">
        <v>1932</v>
      </c>
      <c r="AR149" t="s">
        <v>599</v>
      </c>
      <c r="AS149" t="s">
        <v>599</v>
      </c>
      <c r="AT149" t="s">
        <v>599</v>
      </c>
      <c r="AU149" t="s">
        <v>599</v>
      </c>
    </row>
    <row r="150" spans="1:47" s="13" customFormat="1" ht="30" x14ac:dyDescent="0.25">
      <c r="A150" s="9">
        <v>10264</v>
      </c>
      <c r="B150" s="10">
        <v>847196</v>
      </c>
      <c r="C150" s="10">
        <v>1</v>
      </c>
      <c r="D150" s="9">
        <v>3</v>
      </c>
      <c r="E150" s="11" t="s">
        <v>183</v>
      </c>
      <c r="F150" s="11" t="str">
        <f t="shared" si="6"/>
        <v>https://purl.pt/43757</v>
      </c>
      <c r="G150" s="12">
        <v>3</v>
      </c>
      <c r="H150" s="9">
        <v>3</v>
      </c>
      <c r="I150" s="34"/>
      <c r="J150" s="55" t="str">
        <f t="shared" si="7"/>
        <v>https://permalinkbnd.bnportugal.gov.pt/viewer/273439/?offset=#page=3&amp;viewer=picture&amp;o=info&amp;n=0&amp;q=</v>
      </c>
      <c r="K150" s="45"/>
      <c r="L150" s="45"/>
      <c r="M150" s="45"/>
      <c r="N150" t="s">
        <v>183</v>
      </c>
      <c r="O150">
        <v>273439</v>
      </c>
      <c r="P150" t="str">
        <f t="shared" si="8"/>
        <v>https://permalinkbnd.bnportugal.gov.pt/viewer/273439/?offset=#page=3&amp;viewer=picture&amp;o=info&amp;n=0&amp;q=</v>
      </c>
      <c r="Q150">
        <v>847196</v>
      </c>
      <c r="R150" t="s">
        <v>183</v>
      </c>
      <c r="S150" t="s">
        <v>599</v>
      </c>
      <c r="T150" t="s">
        <v>1178</v>
      </c>
      <c r="U150" t="s">
        <v>1192</v>
      </c>
      <c r="V150" t="s">
        <v>599</v>
      </c>
      <c r="W150" t="s">
        <v>1105</v>
      </c>
      <c r="X150" t="s">
        <v>1933</v>
      </c>
      <c r="Y150" t="s">
        <v>599</v>
      </c>
      <c r="Z150" t="s">
        <v>1182</v>
      </c>
      <c r="AA150" t="s">
        <v>1934</v>
      </c>
      <c r="AB150">
        <v>1880</v>
      </c>
      <c r="AC150">
        <v>1880</v>
      </c>
      <c r="AD150" t="s">
        <v>1935</v>
      </c>
      <c r="AE150" t="s">
        <v>1936</v>
      </c>
      <c r="AF150" t="s">
        <v>599</v>
      </c>
      <c r="AG150" t="s">
        <v>599</v>
      </c>
      <c r="AH150" t="s">
        <v>599</v>
      </c>
      <c r="AI150" t="s">
        <v>599</v>
      </c>
      <c r="AJ150" t="s">
        <v>599</v>
      </c>
      <c r="AK150" t="s">
        <v>1937</v>
      </c>
      <c r="AL150" t="s">
        <v>1188</v>
      </c>
      <c r="AM150" t="s">
        <v>1938</v>
      </c>
      <c r="AN150" t="s">
        <v>1190</v>
      </c>
      <c r="AO150" t="s">
        <v>599</v>
      </c>
      <c r="AP150" t="s">
        <v>599</v>
      </c>
      <c r="AQ150" t="s">
        <v>599</v>
      </c>
      <c r="AR150" t="s">
        <v>599</v>
      </c>
      <c r="AS150" t="s">
        <v>599</v>
      </c>
      <c r="AT150" t="s">
        <v>599</v>
      </c>
      <c r="AU150" t="s">
        <v>599</v>
      </c>
    </row>
    <row r="151" spans="1:47" s="26" customFormat="1" ht="30" x14ac:dyDescent="0.25">
      <c r="A151" s="22">
        <v>10277</v>
      </c>
      <c r="B151" s="23">
        <v>851350</v>
      </c>
      <c r="C151" s="23">
        <v>1</v>
      </c>
      <c r="D151" s="27">
        <v>5</v>
      </c>
      <c r="E151" s="24" t="s">
        <v>184</v>
      </c>
      <c r="F151" s="24" t="str">
        <f t="shared" si="6"/>
        <v>https://purl.pt/43922</v>
      </c>
      <c r="G151" s="25" t="s">
        <v>185</v>
      </c>
      <c r="H151" s="22"/>
      <c r="I151" s="27" t="s">
        <v>618</v>
      </c>
      <c r="J151" s="55" t="str">
        <f t="shared" si="7"/>
        <v>https://permalinkbnd.bnportugal.gov.pt/viewer/273527/?offset=#page=5&amp;viewer=picture&amp;o=info&amp;n=0&amp;q=</v>
      </c>
      <c r="K151" s="45"/>
      <c r="L151" s="45"/>
      <c r="M151" s="45"/>
      <c r="N151" t="s">
        <v>184</v>
      </c>
      <c r="O151">
        <v>273527</v>
      </c>
      <c r="P151" t="str">
        <f t="shared" si="8"/>
        <v>https://permalinkbnd.bnportugal.gov.pt/viewer/273527/?offset=#page=5&amp;viewer=picture&amp;o=info&amp;n=0&amp;q=</v>
      </c>
      <c r="Q151">
        <v>851350</v>
      </c>
      <c r="R151" t="s">
        <v>184</v>
      </c>
      <c r="S151" t="s">
        <v>599</v>
      </c>
      <c r="T151" t="s">
        <v>1178</v>
      </c>
      <c r="U151" t="s">
        <v>1192</v>
      </c>
      <c r="V151" t="s">
        <v>599</v>
      </c>
      <c r="W151" t="s">
        <v>1939</v>
      </c>
      <c r="X151" t="s">
        <v>599</v>
      </c>
      <c r="Y151" t="s">
        <v>599</v>
      </c>
      <c r="Z151" t="s">
        <v>1182</v>
      </c>
      <c r="AA151" t="s">
        <v>1940</v>
      </c>
      <c r="AB151">
        <v>1880</v>
      </c>
      <c r="AC151">
        <v>1880</v>
      </c>
      <c r="AD151" t="s">
        <v>1802</v>
      </c>
      <c r="AE151" t="s">
        <v>1941</v>
      </c>
      <c r="AF151" t="s">
        <v>599</v>
      </c>
      <c r="AG151" t="s">
        <v>599</v>
      </c>
      <c r="AH151" t="s">
        <v>599</v>
      </c>
      <c r="AI151" t="s">
        <v>599</v>
      </c>
      <c r="AJ151" t="s">
        <v>599</v>
      </c>
      <c r="AK151" t="s">
        <v>1942</v>
      </c>
      <c r="AL151" t="s">
        <v>1188</v>
      </c>
      <c r="AM151" t="s">
        <v>1943</v>
      </c>
      <c r="AN151" t="s">
        <v>1190</v>
      </c>
      <c r="AO151" t="s">
        <v>599</v>
      </c>
      <c r="AP151" t="s">
        <v>599</v>
      </c>
      <c r="AQ151" t="s">
        <v>599</v>
      </c>
      <c r="AR151" t="s">
        <v>599</v>
      </c>
      <c r="AS151" t="s">
        <v>599</v>
      </c>
      <c r="AT151" t="s">
        <v>599</v>
      </c>
      <c r="AU151" t="s">
        <v>599</v>
      </c>
    </row>
    <row r="152" spans="1:47" s="26" customFormat="1" ht="30" x14ac:dyDescent="0.25">
      <c r="A152" s="22">
        <v>10285</v>
      </c>
      <c r="B152" s="23">
        <v>852833</v>
      </c>
      <c r="C152" s="23">
        <v>1</v>
      </c>
      <c r="D152" s="27">
        <v>11</v>
      </c>
      <c r="E152" s="24" t="s">
        <v>186</v>
      </c>
      <c r="F152" s="24" t="str">
        <f t="shared" si="6"/>
        <v>https://purl.pt/43927</v>
      </c>
      <c r="G152" s="25">
        <v>11</v>
      </c>
      <c r="H152" s="22"/>
      <c r="I152" s="27" t="s">
        <v>624</v>
      </c>
      <c r="J152" s="55" t="str">
        <f t="shared" si="7"/>
        <v>https://permalinkbnd.bnportugal.gov.pt/viewer/273731/?offset=#page=11&amp;viewer=picture&amp;o=info&amp;n=0&amp;q=</v>
      </c>
      <c r="K152" s="45"/>
      <c r="L152" s="45"/>
      <c r="M152" s="45"/>
      <c r="N152" t="s">
        <v>186</v>
      </c>
      <c r="O152">
        <v>273731</v>
      </c>
      <c r="P152" t="str">
        <f t="shared" si="8"/>
        <v>https://permalinkbnd.bnportugal.gov.pt/viewer/273731/?offset=#page=11&amp;viewer=picture&amp;o=info&amp;n=0&amp;q=</v>
      </c>
      <c r="Q152">
        <v>852833</v>
      </c>
      <c r="R152" t="s">
        <v>186</v>
      </c>
      <c r="S152" t="s">
        <v>599</v>
      </c>
      <c r="T152" t="s">
        <v>1178</v>
      </c>
      <c r="U152" t="s">
        <v>1192</v>
      </c>
      <c r="V152" t="s">
        <v>599</v>
      </c>
      <c r="W152" t="s">
        <v>1944</v>
      </c>
      <c r="X152" t="s">
        <v>599</v>
      </c>
      <c r="Y152" t="s">
        <v>599</v>
      </c>
      <c r="Z152" t="s">
        <v>1182</v>
      </c>
      <c r="AA152" t="s">
        <v>1945</v>
      </c>
      <c r="AB152">
        <v>1891</v>
      </c>
      <c r="AC152">
        <v>1891</v>
      </c>
      <c r="AD152" t="s">
        <v>1946</v>
      </c>
      <c r="AE152" t="s">
        <v>1947</v>
      </c>
      <c r="AF152" t="s">
        <v>599</v>
      </c>
      <c r="AG152" t="s">
        <v>599</v>
      </c>
      <c r="AH152" t="s">
        <v>599</v>
      </c>
      <c r="AI152" t="s">
        <v>599</v>
      </c>
      <c r="AJ152" t="s">
        <v>599</v>
      </c>
      <c r="AK152" t="s">
        <v>1948</v>
      </c>
      <c r="AL152" t="s">
        <v>1188</v>
      </c>
      <c r="AM152" t="s">
        <v>1949</v>
      </c>
      <c r="AN152" t="s">
        <v>1190</v>
      </c>
      <c r="AO152" t="s">
        <v>599</v>
      </c>
      <c r="AP152" t="s">
        <v>599</v>
      </c>
      <c r="AQ152" t="s">
        <v>599</v>
      </c>
      <c r="AR152" t="s">
        <v>599</v>
      </c>
      <c r="AS152" t="s">
        <v>599</v>
      </c>
      <c r="AT152" t="s">
        <v>599</v>
      </c>
      <c r="AU152" t="s">
        <v>599</v>
      </c>
    </row>
    <row r="153" spans="1:47" s="26" customFormat="1" ht="30" x14ac:dyDescent="0.25">
      <c r="A153" s="22">
        <v>10287</v>
      </c>
      <c r="B153" s="23">
        <v>859037</v>
      </c>
      <c r="C153" s="23">
        <v>1</v>
      </c>
      <c r="D153" s="27">
        <v>3</v>
      </c>
      <c r="E153" s="24" t="s">
        <v>187</v>
      </c>
      <c r="F153" s="24" t="str">
        <f t="shared" si="6"/>
        <v>https://purl.pt/43752</v>
      </c>
      <c r="G153" s="25" t="s">
        <v>188</v>
      </c>
      <c r="H153" s="22"/>
      <c r="I153" s="27" t="s">
        <v>616</v>
      </c>
      <c r="J153" s="55" t="str">
        <f t="shared" si="7"/>
        <v>https://permalinkbnd.bnportugal.gov.pt/viewer/272628/?offset=#page=3&amp;viewer=picture&amp;o=info&amp;n=0&amp;q=</v>
      </c>
      <c r="K153" s="45"/>
      <c r="L153" s="45"/>
      <c r="M153" s="45"/>
      <c r="N153" t="s">
        <v>187</v>
      </c>
      <c r="O153">
        <v>272628</v>
      </c>
      <c r="P153" t="str">
        <f t="shared" si="8"/>
        <v>https://permalinkbnd.bnportugal.gov.pt/viewer/272628/?offset=#page=3&amp;viewer=picture&amp;o=info&amp;n=0&amp;q=</v>
      </c>
      <c r="Q153">
        <v>859037</v>
      </c>
      <c r="R153" t="s">
        <v>187</v>
      </c>
      <c r="S153" t="s">
        <v>1950</v>
      </c>
      <c r="T153" t="s">
        <v>1178</v>
      </c>
      <c r="U153" t="s">
        <v>1192</v>
      </c>
      <c r="V153" t="s">
        <v>599</v>
      </c>
      <c r="W153" t="s">
        <v>1951</v>
      </c>
      <c r="X153" t="s">
        <v>599</v>
      </c>
      <c r="Y153" t="s">
        <v>599</v>
      </c>
      <c r="Z153" t="s">
        <v>1182</v>
      </c>
      <c r="AA153" t="s">
        <v>1952</v>
      </c>
      <c r="AB153">
        <v>1920</v>
      </c>
      <c r="AC153">
        <v>1920</v>
      </c>
      <c r="AD153" t="s">
        <v>1953</v>
      </c>
      <c r="AE153" t="s">
        <v>1954</v>
      </c>
      <c r="AF153" t="s">
        <v>599</v>
      </c>
      <c r="AG153" t="s">
        <v>599</v>
      </c>
      <c r="AH153" t="s">
        <v>599</v>
      </c>
      <c r="AI153" t="s">
        <v>599</v>
      </c>
      <c r="AJ153" t="s">
        <v>599</v>
      </c>
      <c r="AK153" t="s">
        <v>1955</v>
      </c>
      <c r="AL153" t="s">
        <v>1188</v>
      </c>
      <c r="AM153" t="s">
        <v>1956</v>
      </c>
      <c r="AN153" t="s">
        <v>1190</v>
      </c>
      <c r="AO153" t="s">
        <v>599</v>
      </c>
      <c r="AP153" t="s">
        <v>599</v>
      </c>
      <c r="AQ153" t="s">
        <v>599</v>
      </c>
      <c r="AR153" t="s">
        <v>599</v>
      </c>
      <c r="AS153" t="s">
        <v>599</v>
      </c>
      <c r="AT153" t="s">
        <v>599</v>
      </c>
      <c r="AU153" t="s">
        <v>599</v>
      </c>
    </row>
    <row r="154" spans="1:47" s="13" customFormat="1" ht="30" x14ac:dyDescent="0.25">
      <c r="A154" s="9">
        <v>10288</v>
      </c>
      <c r="B154" s="10">
        <v>865410</v>
      </c>
      <c r="C154" s="10">
        <v>1</v>
      </c>
      <c r="D154" s="9">
        <v>1</v>
      </c>
      <c r="E154" s="11" t="s">
        <v>189</v>
      </c>
      <c r="F154" s="11" t="str">
        <f t="shared" si="6"/>
        <v>https://purl.pt/42601</v>
      </c>
      <c r="G154" s="12">
        <v>1</v>
      </c>
      <c r="H154" s="9">
        <v>1</v>
      </c>
      <c r="I154" s="34"/>
      <c r="J154" s="55" t="str">
        <f t="shared" si="7"/>
        <v>https://permalinkbnd.bnportugal.gov.pt/viewer/281130/?offset=#page=1&amp;viewer=picture&amp;o=info&amp;n=0&amp;q=</v>
      </c>
      <c r="K154" s="45"/>
      <c r="L154" s="45"/>
      <c r="M154" s="45"/>
      <c r="N154" t="s">
        <v>189</v>
      </c>
      <c r="O154">
        <v>281130</v>
      </c>
      <c r="P154" t="str">
        <f t="shared" si="8"/>
        <v>https://permalinkbnd.bnportugal.gov.pt/viewer/281130/?offset=#page=1&amp;viewer=picture&amp;o=info&amp;n=0&amp;q=</v>
      </c>
      <c r="Q154">
        <v>865410</v>
      </c>
      <c r="R154" t="s">
        <v>189</v>
      </c>
      <c r="S154" t="s">
        <v>1957</v>
      </c>
      <c r="T154" t="s">
        <v>1178</v>
      </c>
      <c r="U154" t="s">
        <v>1192</v>
      </c>
      <c r="V154" t="s">
        <v>599</v>
      </c>
      <c r="W154" t="s">
        <v>1958</v>
      </c>
      <c r="X154" t="s">
        <v>599</v>
      </c>
      <c r="Y154" t="s">
        <v>599</v>
      </c>
      <c r="Z154" t="s">
        <v>1182</v>
      </c>
      <c r="AA154" t="s">
        <v>1959</v>
      </c>
      <c r="AB154">
        <v>1880</v>
      </c>
      <c r="AC154">
        <v>1880</v>
      </c>
      <c r="AD154" t="s">
        <v>599</v>
      </c>
      <c r="AE154" t="s">
        <v>599</v>
      </c>
      <c r="AF154" t="s">
        <v>599</v>
      </c>
      <c r="AG154" t="s">
        <v>599</v>
      </c>
      <c r="AH154" t="s">
        <v>599</v>
      </c>
      <c r="AI154" t="s">
        <v>599</v>
      </c>
      <c r="AJ154" t="s">
        <v>599</v>
      </c>
      <c r="AK154" t="s">
        <v>1960</v>
      </c>
      <c r="AL154" t="s">
        <v>1188</v>
      </c>
      <c r="AM154" t="s">
        <v>1961</v>
      </c>
      <c r="AN154" t="s">
        <v>1190</v>
      </c>
      <c r="AO154" t="s">
        <v>599</v>
      </c>
      <c r="AP154" t="s">
        <v>599</v>
      </c>
      <c r="AQ154" t="s">
        <v>599</v>
      </c>
      <c r="AR154" t="s">
        <v>599</v>
      </c>
      <c r="AS154" t="s">
        <v>1962</v>
      </c>
      <c r="AT154" t="s">
        <v>599</v>
      </c>
      <c r="AU154" t="s">
        <v>599</v>
      </c>
    </row>
    <row r="155" spans="1:47" s="26" customFormat="1" ht="30" x14ac:dyDescent="0.25">
      <c r="A155" s="22">
        <v>10291</v>
      </c>
      <c r="B155" s="23">
        <v>874327</v>
      </c>
      <c r="C155" s="23">
        <v>1</v>
      </c>
      <c r="D155" s="22"/>
      <c r="E155" s="24" t="s">
        <v>190</v>
      </c>
      <c r="F155" s="24" t="str">
        <f t="shared" si="6"/>
        <v>https://purl.pt/43876</v>
      </c>
      <c r="G155" s="25" t="s">
        <v>191</v>
      </c>
      <c r="H155" s="22"/>
      <c r="I155" s="27" t="s">
        <v>616</v>
      </c>
      <c r="J155" s="55" t="str">
        <f t="shared" si="7"/>
        <v>https://permalinkbnd.bnportugal.gov.pt/viewer/273183/?offset=#page=&amp;viewer=picture&amp;o=info&amp;n=0&amp;q=</v>
      </c>
      <c r="K155" s="45"/>
      <c r="L155" s="45"/>
      <c r="M155" s="45"/>
      <c r="N155" t="s">
        <v>190</v>
      </c>
      <c r="O155">
        <v>273183</v>
      </c>
      <c r="P155" t="str">
        <f t="shared" si="8"/>
        <v>https://permalinkbnd.bnportugal.gov.pt/viewer/273183/?offset=#page=&amp;viewer=picture&amp;o=info&amp;n=0&amp;q=</v>
      </c>
      <c r="Q155">
        <v>874327</v>
      </c>
      <c r="R155" t="s">
        <v>190</v>
      </c>
      <c r="S155" t="s">
        <v>1963</v>
      </c>
      <c r="T155" t="s">
        <v>1178</v>
      </c>
      <c r="U155" t="s">
        <v>1362</v>
      </c>
      <c r="V155" t="s">
        <v>599</v>
      </c>
      <c r="W155" t="s">
        <v>1964</v>
      </c>
      <c r="X155" t="s">
        <v>599</v>
      </c>
      <c r="Y155" t="s">
        <v>599</v>
      </c>
      <c r="Z155" t="s">
        <v>1182</v>
      </c>
      <c r="AA155" t="s">
        <v>1965</v>
      </c>
      <c r="AB155">
        <v>1890</v>
      </c>
      <c r="AC155">
        <v>1890</v>
      </c>
      <c r="AD155" t="s">
        <v>1276</v>
      </c>
      <c r="AE155" t="s">
        <v>1966</v>
      </c>
      <c r="AF155" t="s">
        <v>599</v>
      </c>
      <c r="AG155" t="s">
        <v>599</v>
      </c>
      <c r="AH155" t="s">
        <v>1967</v>
      </c>
      <c r="AI155" t="s">
        <v>599</v>
      </c>
      <c r="AJ155" t="s">
        <v>599</v>
      </c>
      <c r="AK155" t="s">
        <v>1968</v>
      </c>
      <c r="AL155" t="s">
        <v>1188</v>
      </c>
      <c r="AM155" t="s">
        <v>1969</v>
      </c>
      <c r="AN155" t="s">
        <v>1190</v>
      </c>
      <c r="AO155" t="s">
        <v>1970</v>
      </c>
      <c r="AP155" t="s">
        <v>599</v>
      </c>
      <c r="AQ155" t="s">
        <v>599</v>
      </c>
      <c r="AR155" t="s">
        <v>599</v>
      </c>
      <c r="AS155" t="s">
        <v>599</v>
      </c>
      <c r="AT155" t="s">
        <v>599</v>
      </c>
      <c r="AU155" t="s">
        <v>599</v>
      </c>
    </row>
    <row r="156" spans="1:47" s="13" customFormat="1" ht="30" x14ac:dyDescent="0.25">
      <c r="A156" s="9">
        <v>10292</v>
      </c>
      <c r="B156" s="10">
        <v>917387</v>
      </c>
      <c r="C156" s="10">
        <v>1</v>
      </c>
      <c r="D156" s="9">
        <v>1</v>
      </c>
      <c r="E156" s="11" t="s">
        <v>192</v>
      </c>
      <c r="F156" s="11" t="str">
        <f t="shared" si="6"/>
        <v>https://purl.pt/43557</v>
      </c>
      <c r="G156" s="12">
        <v>1</v>
      </c>
      <c r="H156" s="9">
        <v>1</v>
      </c>
      <c r="I156" s="34"/>
      <c r="J156" s="55" t="str">
        <f t="shared" si="7"/>
        <v>https://permalinkbnd.bnportugal.gov.pt/viewer/272728/?offset=#page=1&amp;viewer=picture&amp;o=info&amp;n=0&amp;q=</v>
      </c>
      <c r="K156" s="45"/>
      <c r="L156" s="45"/>
      <c r="M156" s="45"/>
      <c r="N156" t="s">
        <v>192</v>
      </c>
      <c r="O156">
        <v>272728</v>
      </c>
      <c r="P156" t="str">
        <f t="shared" si="8"/>
        <v>https://permalinkbnd.bnportugal.gov.pt/viewer/272728/?offset=#page=1&amp;viewer=picture&amp;o=info&amp;n=0&amp;q=</v>
      </c>
      <c r="Q156">
        <v>917387</v>
      </c>
      <c r="R156" t="s">
        <v>192</v>
      </c>
      <c r="S156" t="s">
        <v>1971</v>
      </c>
      <c r="T156" t="s">
        <v>1312</v>
      </c>
      <c r="U156" t="s">
        <v>1192</v>
      </c>
      <c r="V156" t="s">
        <v>599</v>
      </c>
      <c r="W156" t="s">
        <v>1972</v>
      </c>
      <c r="X156" t="s">
        <v>599</v>
      </c>
      <c r="Y156" t="s">
        <v>599</v>
      </c>
      <c r="Z156" t="s">
        <v>1182</v>
      </c>
      <c r="AA156" t="s">
        <v>1973</v>
      </c>
      <c r="AB156">
        <v>1880</v>
      </c>
      <c r="AC156">
        <v>1880</v>
      </c>
      <c r="AD156" t="s">
        <v>1454</v>
      </c>
      <c r="AE156" t="s">
        <v>1974</v>
      </c>
      <c r="AF156" t="s">
        <v>599</v>
      </c>
      <c r="AG156" t="s">
        <v>599</v>
      </c>
      <c r="AH156" t="s">
        <v>599</v>
      </c>
      <c r="AI156" t="s">
        <v>599</v>
      </c>
      <c r="AJ156" t="s">
        <v>599</v>
      </c>
      <c r="AK156" t="s">
        <v>1975</v>
      </c>
      <c r="AL156" t="s">
        <v>1188</v>
      </c>
      <c r="AM156" t="s">
        <v>1976</v>
      </c>
      <c r="AN156" t="s">
        <v>1190</v>
      </c>
      <c r="AO156" t="s">
        <v>599</v>
      </c>
      <c r="AP156" t="s">
        <v>599</v>
      </c>
      <c r="AQ156" t="s">
        <v>599</v>
      </c>
      <c r="AR156" t="s">
        <v>599</v>
      </c>
      <c r="AS156" t="s">
        <v>599</v>
      </c>
      <c r="AT156" t="s">
        <v>599</v>
      </c>
      <c r="AU156" t="s">
        <v>599</v>
      </c>
    </row>
    <row r="157" spans="1:47" s="13" customFormat="1" ht="30" x14ac:dyDescent="0.25">
      <c r="A157" s="9">
        <v>10293</v>
      </c>
      <c r="B157" s="10">
        <v>931586</v>
      </c>
      <c r="C157" s="10">
        <v>1</v>
      </c>
      <c r="D157" s="9">
        <v>1</v>
      </c>
      <c r="E157" s="11" t="s">
        <v>193</v>
      </c>
      <c r="F157" s="11" t="str">
        <f t="shared" si="6"/>
        <v>https://purl.pt/43561</v>
      </c>
      <c r="G157" s="12" t="s">
        <v>71</v>
      </c>
      <c r="H157" s="9">
        <v>1</v>
      </c>
      <c r="I157" s="34"/>
      <c r="J157" s="55" t="str">
        <f t="shared" si="7"/>
        <v>https://permalinkbnd.bnportugal.gov.pt/viewer/272733/?offset=#page=1&amp;viewer=picture&amp;o=info&amp;n=0&amp;q=</v>
      </c>
      <c r="K157" s="45"/>
      <c r="L157" s="45"/>
      <c r="M157" s="45"/>
      <c r="N157" t="s">
        <v>193</v>
      </c>
      <c r="O157">
        <v>272733</v>
      </c>
      <c r="P157" t="str">
        <f t="shared" si="8"/>
        <v>https://permalinkbnd.bnportugal.gov.pt/viewer/272733/?offset=#page=1&amp;viewer=picture&amp;o=info&amp;n=0&amp;q=</v>
      </c>
      <c r="Q157">
        <v>931586</v>
      </c>
      <c r="R157" t="s">
        <v>193</v>
      </c>
      <c r="S157" t="s">
        <v>1977</v>
      </c>
      <c r="T157" t="s">
        <v>1312</v>
      </c>
      <c r="U157" t="s">
        <v>599</v>
      </c>
      <c r="V157" t="s">
        <v>599</v>
      </c>
      <c r="W157" t="s">
        <v>1313</v>
      </c>
      <c r="X157" t="s">
        <v>599</v>
      </c>
      <c r="Y157" t="s">
        <v>599</v>
      </c>
      <c r="Z157" t="s">
        <v>1182</v>
      </c>
      <c r="AA157" t="s">
        <v>1453</v>
      </c>
      <c r="AB157">
        <v>1890</v>
      </c>
      <c r="AC157">
        <v>1890</v>
      </c>
      <c r="AD157" t="s">
        <v>1978</v>
      </c>
      <c r="AE157" t="s">
        <v>599</v>
      </c>
      <c r="AF157" t="s">
        <v>599</v>
      </c>
      <c r="AG157" t="s">
        <v>599</v>
      </c>
      <c r="AH157" t="s">
        <v>599</v>
      </c>
      <c r="AI157" t="s">
        <v>599</v>
      </c>
      <c r="AJ157" t="s">
        <v>599</v>
      </c>
      <c r="AK157" t="s">
        <v>1979</v>
      </c>
      <c r="AL157" t="s">
        <v>1188</v>
      </c>
      <c r="AM157" t="s">
        <v>1980</v>
      </c>
      <c r="AN157" t="s">
        <v>1190</v>
      </c>
      <c r="AO157" t="s">
        <v>599</v>
      </c>
      <c r="AP157" t="s">
        <v>599</v>
      </c>
      <c r="AQ157" t="s">
        <v>599</v>
      </c>
      <c r="AR157" t="s">
        <v>599</v>
      </c>
      <c r="AS157" t="s">
        <v>599</v>
      </c>
      <c r="AT157" t="s">
        <v>599</v>
      </c>
      <c r="AU157" t="s">
        <v>599</v>
      </c>
    </row>
    <row r="158" spans="1:47" s="13" customFormat="1" ht="30" x14ac:dyDescent="0.25">
      <c r="A158" s="9">
        <v>10294</v>
      </c>
      <c r="B158" s="10">
        <v>950676</v>
      </c>
      <c r="C158" s="10">
        <v>1</v>
      </c>
      <c r="D158" s="9">
        <v>1</v>
      </c>
      <c r="E158" s="11" t="s">
        <v>194</v>
      </c>
      <c r="F158" s="11" t="str">
        <f t="shared" si="6"/>
        <v>https://purl.pt/12259</v>
      </c>
      <c r="G158" s="12">
        <v>1</v>
      </c>
      <c r="H158" s="9">
        <v>1</v>
      </c>
      <c r="I158" s="34"/>
      <c r="J158" s="55" t="str">
        <f t="shared" si="7"/>
        <v>https://permalinkbnd.bnportugal.gov.pt/viewer/33718/?offset=#page=1&amp;viewer=picture&amp;o=info&amp;n=0&amp;q=</v>
      </c>
      <c r="K158" s="45"/>
      <c r="L158" s="45"/>
      <c r="M158" s="45"/>
      <c r="N158" t="s">
        <v>194</v>
      </c>
      <c r="O158">
        <v>33718</v>
      </c>
      <c r="P158" t="str">
        <f t="shared" si="8"/>
        <v>https://permalinkbnd.bnportugal.gov.pt/viewer/33718/?offset=#page=1&amp;viewer=picture&amp;o=info&amp;n=0&amp;q=</v>
      </c>
      <c r="Q158">
        <v>950676</v>
      </c>
      <c r="R158" t="s">
        <v>194</v>
      </c>
      <c r="S158" t="s">
        <v>599</v>
      </c>
      <c r="T158" t="s">
        <v>1312</v>
      </c>
      <c r="U158" t="s">
        <v>1362</v>
      </c>
      <c r="V158" t="s">
        <v>599</v>
      </c>
      <c r="W158" t="s">
        <v>1981</v>
      </c>
      <c r="X158" t="s">
        <v>599</v>
      </c>
      <c r="Y158" t="s">
        <v>599</v>
      </c>
      <c r="Z158" t="s">
        <v>1182</v>
      </c>
      <c r="AA158" t="s">
        <v>1607</v>
      </c>
      <c r="AB158">
        <v>1840</v>
      </c>
      <c r="AC158">
        <v>1840</v>
      </c>
      <c r="AD158" t="s">
        <v>1454</v>
      </c>
      <c r="AE158" t="s">
        <v>1982</v>
      </c>
      <c r="AF158" t="s">
        <v>599</v>
      </c>
      <c r="AG158" t="s">
        <v>599</v>
      </c>
      <c r="AH158" t="s">
        <v>1983</v>
      </c>
      <c r="AI158" t="s">
        <v>599</v>
      </c>
      <c r="AJ158" t="s">
        <v>599</v>
      </c>
      <c r="AK158" t="s">
        <v>1984</v>
      </c>
      <c r="AL158" t="s">
        <v>599</v>
      </c>
      <c r="AM158" t="s">
        <v>1985</v>
      </c>
      <c r="AN158" t="s">
        <v>1190</v>
      </c>
      <c r="AO158" t="s">
        <v>599</v>
      </c>
      <c r="AP158" t="s">
        <v>599</v>
      </c>
      <c r="AQ158" t="s">
        <v>599</v>
      </c>
      <c r="AR158" t="s">
        <v>599</v>
      </c>
      <c r="AS158" t="s">
        <v>599</v>
      </c>
      <c r="AT158" t="s">
        <v>599</v>
      </c>
      <c r="AU158" t="s">
        <v>599</v>
      </c>
    </row>
    <row r="159" spans="1:47" s="13" customFormat="1" ht="30" x14ac:dyDescent="0.25">
      <c r="A159" s="9">
        <v>10295</v>
      </c>
      <c r="B159" s="10">
        <v>950691</v>
      </c>
      <c r="C159" s="10">
        <v>1</v>
      </c>
      <c r="D159" s="9">
        <v>1</v>
      </c>
      <c r="E159" s="11" t="s">
        <v>195</v>
      </c>
      <c r="F159" s="11" t="str">
        <f t="shared" si="6"/>
        <v>https://purl.pt/12253</v>
      </c>
      <c r="G159" s="12">
        <v>1</v>
      </c>
      <c r="H159" s="9">
        <v>1</v>
      </c>
      <c r="I159" s="34"/>
      <c r="J159" s="55" t="str">
        <f t="shared" si="7"/>
        <v>https://permalinkbnd.bnportugal.gov.pt/viewer/33721/?offset=#page=1&amp;viewer=picture&amp;o=info&amp;n=0&amp;q=</v>
      </c>
      <c r="K159" s="45"/>
      <c r="L159" s="45"/>
      <c r="M159" s="45"/>
      <c r="N159" t="s">
        <v>195</v>
      </c>
      <c r="O159">
        <v>33721</v>
      </c>
      <c r="P159" t="str">
        <f t="shared" si="8"/>
        <v>https://permalinkbnd.bnportugal.gov.pt/viewer/33721/?offset=#page=1&amp;viewer=picture&amp;o=info&amp;n=0&amp;q=</v>
      </c>
      <c r="Q159">
        <v>950691</v>
      </c>
      <c r="R159" t="s">
        <v>195</v>
      </c>
      <c r="S159" t="s">
        <v>599</v>
      </c>
      <c r="T159" t="s">
        <v>1312</v>
      </c>
      <c r="U159" t="s">
        <v>1362</v>
      </c>
      <c r="V159" t="s">
        <v>599</v>
      </c>
      <c r="W159" t="s">
        <v>1986</v>
      </c>
      <c r="X159" t="s">
        <v>599</v>
      </c>
      <c r="Y159" t="s">
        <v>599</v>
      </c>
      <c r="Z159" t="s">
        <v>1182</v>
      </c>
      <c r="AA159" t="s">
        <v>1607</v>
      </c>
      <c r="AB159">
        <v>1850</v>
      </c>
      <c r="AC159">
        <v>1850</v>
      </c>
      <c r="AD159" t="s">
        <v>1454</v>
      </c>
      <c r="AE159" t="s">
        <v>1987</v>
      </c>
      <c r="AF159" t="s">
        <v>599</v>
      </c>
      <c r="AG159" t="s">
        <v>1988</v>
      </c>
      <c r="AH159" t="s">
        <v>1989</v>
      </c>
      <c r="AI159" t="s">
        <v>599</v>
      </c>
      <c r="AJ159" t="s">
        <v>599</v>
      </c>
      <c r="AK159" t="s">
        <v>1990</v>
      </c>
      <c r="AL159" t="s">
        <v>599</v>
      </c>
      <c r="AM159" t="s">
        <v>1991</v>
      </c>
      <c r="AN159" t="s">
        <v>1190</v>
      </c>
      <c r="AO159" t="s">
        <v>599</v>
      </c>
      <c r="AP159" t="s">
        <v>599</v>
      </c>
      <c r="AQ159" t="s">
        <v>599</v>
      </c>
      <c r="AR159" t="s">
        <v>599</v>
      </c>
      <c r="AS159" t="s">
        <v>599</v>
      </c>
      <c r="AT159" t="s">
        <v>599</v>
      </c>
      <c r="AU159" t="s">
        <v>599</v>
      </c>
    </row>
    <row r="160" spans="1:47" s="13" customFormat="1" ht="30" x14ac:dyDescent="0.25">
      <c r="A160" s="9">
        <v>10296</v>
      </c>
      <c r="B160" s="10">
        <v>959409</v>
      </c>
      <c r="C160" s="10">
        <v>1</v>
      </c>
      <c r="D160" s="9">
        <v>1</v>
      </c>
      <c r="E160" s="11" t="s">
        <v>196</v>
      </c>
      <c r="F160" s="11" t="str">
        <f t="shared" si="6"/>
        <v>https://purl.pt/27596</v>
      </c>
      <c r="G160" s="12">
        <v>1</v>
      </c>
      <c r="H160" s="9">
        <v>1</v>
      </c>
      <c r="I160" s="34"/>
      <c r="J160" s="55" t="str">
        <f t="shared" si="7"/>
        <v>https://permalinkbnd.bnportugal.gov.pt/viewer/36775/?offset=#page=1&amp;viewer=picture&amp;o=info&amp;n=0&amp;q=</v>
      </c>
      <c r="K160" s="45"/>
      <c r="L160" s="45"/>
      <c r="M160" s="45"/>
      <c r="N160" t="s">
        <v>196</v>
      </c>
      <c r="O160">
        <v>36775</v>
      </c>
      <c r="P160" t="str">
        <f t="shared" si="8"/>
        <v>https://permalinkbnd.bnportugal.gov.pt/viewer/36775/?offset=#page=1&amp;viewer=picture&amp;o=info&amp;n=0&amp;q=</v>
      </c>
      <c r="Q160">
        <v>959409</v>
      </c>
      <c r="R160" t="s">
        <v>196</v>
      </c>
      <c r="S160" t="s">
        <v>1992</v>
      </c>
      <c r="T160" t="s">
        <v>1312</v>
      </c>
      <c r="U160" t="s">
        <v>1192</v>
      </c>
      <c r="V160" t="s">
        <v>599</v>
      </c>
      <c r="W160" t="s">
        <v>1122</v>
      </c>
      <c r="X160" t="s">
        <v>1993</v>
      </c>
      <c r="Y160" t="s">
        <v>599</v>
      </c>
      <c r="Z160" t="s">
        <v>1182</v>
      </c>
      <c r="AA160" t="s">
        <v>1437</v>
      </c>
      <c r="AB160">
        <v>1866</v>
      </c>
      <c r="AC160">
        <v>1866</v>
      </c>
      <c r="AD160" t="s">
        <v>1454</v>
      </c>
      <c r="AE160" t="s">
        <v>1994</v>
      </c>
      <c r="AF160" t="s">
        <v>599</v>
      </c>
      <c r="AG160" t="s">
        <v>599</v>
      </c>
      <c r="AH160" t="s">
        <v>1995</v>
      </c>
      <c r="AI160" t="s">
        <v>599</v>
      </c>
      <c r="AJ160" t="s">
        <v>1996</v>
      </c>
      <c r="AK160" t="s">
        <v>1997</v>
      </c>
      <c r="AL160" t="s">
        <v>1629</v>
      </c>
      <c r="AM160" t="s">
        <v>1998</v>
      </c>
      <c r="AN160" t="s">
        <v>1190</v>
      </c>
      <c r="AO160" t="s">
        <v>599</v>
      </c>
      <c r="AP160" t="s">
        <v>599</v>
      </c>
      <c r="AQ160" t="s">
        <v>599</v>
      </c>
      <c r="AR160" t="s">
        <v>599</v>
      </c>
      <c r="AS160" t="s">
        <v>599</v>
      </c>
      <c r="AT160" t="s">
        <v>599</v>
      </c>
      <c r="AU160" t="s">
        <v>599</v>
      </c>
    </row>
    <row r="161" spans="1:47" s="13" customFormat="1" ht="30" x14ac:dyDescent="0.25">
      <c r="A161" s="9">
        <v>10297</v>
      </c>
      <c r="B161" s="10">
        <v>1025381</v>
      </c>
      <c r="C161" s="10">
        <v>1</v>
      </c>
      <c r="D161" s="9">
        <v>3</v>
      </c>
      <c r="E161" s="11" t="s">
        <v>197</v>
      </c>
      <c r="F161" s="11" t="str">
        <f t="shared" si="6"/>
        <v>https://purl.pt/43841</v>
      </c>
      <c r="G161" s="12">
        <v>3</v>
      </c>
      <c r="H161" s="9">
        <v>3</v>
      </c>
      <c r="I161" s="34"/>
      <c r="J161" s="55" t="str">
        <f t="shared" si="7"/>
        <v>https://permalinkbnd.bnportugal.gov.pt/viewer/274123/?offset=#page=3&amp;viewer=picture&amp;o=info&amp;n=0&amp;q=</v>
      </c>
      <c r="K161" s="45"/>
      <c r="L161" s="45"/>
      <c r="M161" s="45"/>
      <c r="N161" t="s">
        <v>197</v>
      </c>
      <c r="O161">
        <v>274123</v>
      </c>
      <c r="P161" t="str">
        <f t="shared" si="8"/>
        <v>https://permalinkbnd.bnportugal.gov.pt/viewer/274123/?offset=#page=3&amp;viewer=picture&amp;o=info&amp;n=0&amp;q=</v>
      </c>
      <c r="Q161">
        <v>1025381</v>
      </c>
      <c r="R161" t="s">
        <v>197</v>
      </c>
      <c r="S161" t="s">
        <v>1999</v>
      </c>
      <c r="T161" t="s">
        <v>1178</v>
      </c>
      <c r="U161" t="s">
        <v>1192</v>
      </c>
      <c r="V161" t="s">
        <v>599</v>
      </c>
      <c r="W161" t="s">
        <v>1293</v>
      </c>
      <c r="X161" t="s">
        <v>2000</v>
      </c>
      <c r="Y161" t="s">
        <v>599</v>
      </c>
      <c r="Z161" t="s">
        <v>1182</v>
      </c>
      <c r="AA161" t="s">
        <v>2001</v>
      </c>
      <c r="AB161">
        <v>1880</v>
      </c>
      <c r="AC161">
        <v>1880</v>
      </c>
      <c r="AD161" t="s">
        <v>1463</v>
      </c>
      <c r="AE161" t="s">
        <v>599</v>
      </c>
      <c r="AF161" t="s">
        <v>599</v>
      </c>
      <c r="AG161" t="s">
        <v>599</v>
      </c>
      <c r="AH161" t="s">
        <v>2002</v>
      </c>
      <c r="AI161" t="s">
        <v>599</v>
      </c>
      <c r="AJ161" t="s">
        <v>599</v>
      </c>
      <c r="AK161" t="s">
        <v>2003</v>
      </c>
      <c r="AL161" t="s">
        <v>1188</v>
      </c>
      <c r="AM161" t="s">
        <v>2004</v>
      </c>
      <c r="AN161" t="s">
        <v>1190</v>
      </c>
      <c r="AO161" t="s">
        <v>599</v>
      </c>
      <c r="AP161" t="s">
        <v>599</v>
      </c>
      <c r="AQ161" t="s">
        <v>599</v>
      </c>
      <c r="AR161" t="s">
        <v>599</v>
      </c>
      <c r="AS161" t="s">
        <v>599</v>
      </c>
      <c r="AT161" t="s">
        <v>599</v>
      </c>
      <c r="AU161" t="s">
        <v>599</v>
      </c>
    </row>
    <row r="162" spans="1:47" s="13" customFormat="1" ht="30" x14ac:dyDescent="0.25">
      <c r="A162" s="9">
        <v>10299</v>
      </c>
      <c r="B162" s="10">
        <v>1044776</v>
      </c>
      <c r="C162" s="10">
        <v>1</v>
      </c>
      <c r="D162" s="9">
        <v>1</v>
      </c>
      <c r="E162" s="11" t="s">
        <v>198</v>
      </c>
      <c r="F162" s="11" t="str">
        <f t="shared" si="6"/>
        <v>https://purl.pt/43556</v>
      </c>
      <c r="G162" s="12" t="s">
        <v>71</v>
      </c>
      <c r="H162" s="9">
        <v>1</v>
      </c>
      <c r="I162" s="34"/>
      <c r="J162" s="55" t="str">
        <f t="shared" si="7"/>
        <v>https://permalinkbnd.bnportugal.gov.pt/viewer/272738/?offset=#page=1&amp;viewer=picture&amp;o=info&amp;n=0&amp;q=</v>
      </c>
      <c r="K162" s="45"/>
      <c r="L162" s="45"/>
      <c r="M162" s="45"/>
      <c r="N162" t="s">
        <v>198</v>
      </c>
      <c r="O162">
        <v>272738</v>
      </c>
      <c r="P162" t="str">
        <f t="shared" si="8"/>
        <v>https://permalinkbnd.bnportugal.gov.pt/viewer/272738/?offset=#page=1&amp;viewer=picture&amp;o=info&amp;n=0&amp;q=</v>
      </c>
      <c r="Q162">
        <v>1044776</v>
      </c>
      <c r="R162" t="s">
        <v>198</v>
      </c>
      <c r="S162" t="s">
        <v>599</v>
      </c>
      <c r="T162" t="s">
        <v>1312</v>
      </c>
      <c r="U162" t="s">
        <v>1192</v>
      </c>
      <c r="V162" t="s">
        <v>599</v>
      </c>
      <c r="W162" t="s">
        <v>1551</v>
      </c>
      <c r="X162" t="s">
        <v>2005</v>
      </c>
      <c r="Y162" t="s">
        <v>599</v>
      </c>
      <c r="Z162" t="s">
        <v>1182</v>
      </c>
      <c r="AA162" t="s">
        <v>2006</v>
      </c>
      <c r="AB162">
        <v>1880</v>
      </c>
      <c r="AC162">
        <v>1880</v>
      </c>
      <c r="AD162" t="s">
        <v>2007</v>
      </c>
      <c r="AE162" t="s">
        <v>2008</v>
      </c>
      <c r="AF162" t="s">
        <v>599</v>
      </c>
      <c r="AG162" t="s">
        <v>599</v>
      </c>
      <c r="AH162" t="s">
        <v>2009</v>
      </c>
      <c r="AI162" t="s">
        <v>599</v>
      </c>
      <c r="AJ162" t="s">
        <v>599</v>
      </c>
      <c r="AK162" t="s">
        <v>2010</v>
      </c>
      <c r="AL162" t="s">
        <v>1188</v>
      </c>
      <c r="AM162" t="s">
        <v>2011</v>
      </c>
      <c r="AN162" t="s">
        <v>1190</v>
      </c>
      <c r="AO162" t="s">
        <v>599</v>
      </c>
      <c r="AP162" t="s">
        <v>599</v>
      </c>
      <c r="AQ162" t="s">
        <v>599</v>
      </c>
      <c r="AR162" t="s">
        <v>599</v>
      </c>
      <c r="AS162" t="s">
        <v>599</v>
      </c>
      <c r="AT162" t="s">
        <v>599</v>
      </c>
      <c r="AU162" t="s">
        <v>599</v>
      </c>
    </row>
    <row r="163" spans="1:47" s="13" customFormat="1" ht="30" x14ac:dyDescent="0.25">
      <c r="A163" s="9">
        <v>10301</v>
      </c>
      <c r="B163" s="10">
        <v>1066418</v>
      </c>
      <c r="C163" s="10">
        <v>1</v>
      </c>
      <c r="D163" s="9">
        <v>126</v>
      </c>
      <c r="E163" s="11" t="s">
        <v>199</v>
      </c>
      <c r="F163" s="11" t="str">
        <f t="shared" si="6"/>
        <v>https://purl.pt/43744</v>
      </c>
      <c r="G163" s="12" t="s">
        <v>200</v>
      </c>
      <c r="H163" s="9"/>
      <c r="I163" s="34" t="s">
        <v>628</v>
      </c>
      <c r="J163" s="55" t="str">
        <f t="shared" si="7"/>
        <v>https://permalinkbnd.bnportugal.gov.pt/viewer/274092/?offset=#page=126&amp;viewer=picture&amp;o=info&amp;n=0&amp;q=</v>
      </c>
      <c r="K163" s="45"/>
      <c r="L163" s="45"/>
      <c r="M163" s="45"/>
      <c r="N163" t="s">
        <v>199</v>
      </c>
      <c r="O163">
        <v>274092</v>
      </c>
      <c r="P163" t="str">
        <f t="shared" si="8"/>
        <v>https://permalinkbnd.bnportugal.gov.pt/viewer/274092/?offset=#page=126&amp;viewer=picture&amp;o=info&amp;n=0&amp;q=</v>
      </c>
      <c r="Q163">
        <v>1066418</v>
      </c>
      <c r="R163" t="s">
        <v>199</v>
      </c>
      <c r="S163" t="s">
        <v>2012</v>
      </c>
      <c r="T163" t="s">
        <v>1178</v>
      </c>
      <c r="U163" t="s">
        <v>2013</v>
      </c>
      <c r="V163" t="s">
        <v>599</v>
      </c>
      <c r="W163" t="s">
        <v>2014</v>
      </c>
      <c r="X163" t="s">
        <v>599</v>
      </c>
      <c r="Y163" t="s">
        <v>599</v>
      </c>
      <c r="Z163" t="s">
        <v>1182</v>
      </c>
      <c r="AA163" t="s">
        <v>2015</v>
      </c>
      <c r="AB163">
        <v>1689</v>
      </c>
      <c r="AC163">
        <v>1689</v>
      </c>
      <c r="AD163" t="s">
        <v>2016</v>
      </c>
      <c r="AE163" t="s">
        <v>1185</v>
      </c>
      <c r="AF163" t="s">
        <v>599</v>
      </c>
      <c r="AG163" t="s">
        <v>599</v>
      </c>
      <c r="AH163" t="s">
        <v>2017</v>
      </c>
      <c r="AI163" t="s">
        <v>599</v>
      </c>
      <c r="AJ163" t="s">
        <v>2018</v>
      </c>
      <c r="AK163" t="s">
        <v>2019</v>
      </c>
      <c r="AL163" t="s">
        <v>1188</v>
      </c>
      <c r="AM163" t="s">
        <v>2020</v>
      </c>
      <c r="AN163" t="s">
        <v>1190</v>
      </c>
      <c r="AO163" t="s">
        <v>599</v>
      </c>
      <c r="AP163" t="s">
        <v>599</v>
      </c>
      <c r="AQ163" t="s">
        <v>599</v>
      </c>
      <c r="AR163" t="s">
        <v>599</v>
      </c>
      <c r="AS163" t="s">
        <v>599</v>
      </c>
      <c r="AT163" t="s">
        <v>599</v>
      </c>
      <c r="AU163" t="s">
        <v>599</v>
      </c>
    </row>
    <row r="164" spans="1:47" s="13" customFormat="1" ht="30" x14ac:dyDescent="0.25">
      <c r="A164" s="9"/>
      <c r="B164" s="10">
        <v>1066418</v>
      </c>
      <c r="C164" s="10">
        <v>1</v>
      </c>
      <c r="D164" s="9">
        <v>217</v>
      </c>
      <c r="E164" s="11" t="s">
        <v>199</v>
      </c>
      <c r="F164" s="11" t="str">
        <f t="shared" si="6"/>
        <v>https://purl.pt/43744</v>
      </c>
      <c r="G164" s="12"/>
      <c r="H164" s="9"/>
      <c r="I164" s="34" t="s">
        <v>628</v>
      </c>
      <c r="J164" s="55" t="str">
        <f t="shared" si="7"/>
        <v>https://permalinkbnd.bnportugal.gov.pt/viewer/274092/?offset=#page=217&amp;viewer=picture&amp;o=info&amp;n=0&amp;q=</v>
      </c>
      <c r="K164" s="45"/>
      <c r="L164" s="45"/>
      <c r="M164" s="45"/>
      <c r="N164" t="s">
        <v>199</v>
      </c>
      <c r="O164">
        <v>274092</v>
      </c>
      <c r="P164" t="str">
        <f t="shared" si="8"/>
        <v>https://permalinkbnd.bnportugal.gov.pt/viewer/274092/?offset=#page=217&amp;viewer=picture&amp;o=info&amp;n=0&amp;q=</v>
      </c>
      <c r="Q164">
        <v>1066418</v>
      </c>
      <c r="R164" t="s">
        <v>199</v>
      </c>
      <c r="S164" t="s">
        <v>599</v>
      </c>
      <c r="T164" t="s">
        <v>1178</v>
      </c>
      <c r="U164" t="s">
        <v>2013</v>
      </c>
      <c r="V164" t="s">
        <v>599</v>
      </c>
      <c r="W164" t="s">
        <v>2014</v>
      </c>
      <c r="X164" t="s">
        <v>599</v>
      </c>
      <c r="Y164" t="s">
        <v>599</v>
      </c>
      <c r="Z164" t="s">
        <v>1182</v>
      </c>
      <c r="AA164" t="s">
        <v>2015</v>
      </c>
      <c r="AB164">
        <v>1689</v>
      </c>
      <c r="AC164">
        <v>1689</v>
      </c>
      <c r="AD164" t="s">
        <v>2016</v>
      </c>
      <c r="AE164" t="s">
        <v>1185</v>
      </c>
      <c r="AF164" t="s">
        <v>599</v>
      </c>
      <c r="AG164" t="s">
        <v>599</v>
      </c>
      <c r="AH164" t="s">
        <v>2017</v>
      </c>
      <c r="AI164" t="s">
        <v>599</v>
      </c>
      <c r="AJ164" t="s">
        <v>2018</v>
      </c>
      <c r="AK164" t="s">
        <v>2019</v>
      </c>
      <c r="AL164" t="s">
        <v>1188</v>
      </c>
      <c r="AM164" t="s">
        <v>2020</v>
      </c>
      <c r="AN164" t="s">
        <v>1190</v>
      </c>
      <c r="AO164" t="s">
        <v>599</v>
      </c>
      <c r="AP164" t="s">
        <v>599</v>
      </c>
      <c r="AQ164" t="s">
        <v>599</v>
      </c>
      <c r="AR164" t="s">
        <v>599</v>
      </c>
      <c r="AS164" t="s">
        <v>599</v>
      </c>
      <c r="AT164" t="s">
        <v>599</v>
      </c>
      <c r="AU164" t="s">
        <v>599</v>
      </c>
    </row>
    <row r="165" spans="1:47" s="26" customFormat="1" ht="30" x14ac:dyDescent="0.25">
      <c r="A165" s="22">
        <v>10303</v>
      </c>
      <c r="B165" s="23">
        <v>1073960</v>
      </c>
      <c r="C165" s="23">
        <v>1</v>
      </c>
      <c r="D165" s="27">
        <v>9</v>
      </c>
      <c r="E165" s="24" t="s">
        <v>201</v>
      </c>
      <c r="F165" s="24" t="str">
        <f t="shared" si="6"/>
        <v>https://purl.pt/43436</v>
      </c>
      <c r="G165" s="25">
        <v>9</v>
      </c>
      <c r="H165" s="22"/>
      <c r="I165" s="27" t="s">
        <v>622</v>
      </c>
      <c r="J165" s="55" t="str">
        <f t="shared" si="7"/>
        <v>https://permalinkbnd.bnportugal.gov.pt/viewer/272390/?offset=#page=9&amp;viewer=picture&amp;o=info&amp;n=0&amp;q=</v>
      </c>
      <c r="K165" s="45"/>
      <c r="L165" s="45"/>
      <c r="M165" s="45"/>
      <c r="N165" t="s">
        <v>201</v>
      </c>
      <c r="O165">
        <v>272390</v>
      </c>
      <c r="P165" t="str">
        <f t="shared" si="8"/>
        <v>https://permalinkbnd.bnportugal.gov.pt/viewer/272390/?offset=#page=9&amp;viewer=picture&amp;o=info&amp;n=0&amp;q=</v>
      </c>
      <c r="Q165">
        <v>1073960</v>
      </c>
      <c r="R165" t="s">
        <v>201</v>
      </c>
      <c r="S165" t="s">
        <v>2021</v>
      </c>
      <c r="T165" t="s">
        <v>1178</v>
      </c>
      <c r="U165" t="s">
        <v>1179</v>
      </c>
      <c r="V165" t="s">
        <v>599</v>
      </c>
      <c r="W165" t="s">
        <v>1584</v>
      </c>
      <c r="X165" t="s">
        <v>2022</v>
      </c>
      <c r="Y165" t="s">
        <v>599</v>
      </c>
      <c r="Z165" t="s">
        <v>1182</v>
      </c>
      <c r="AA165" t="s">
        <v>2023</v>
      </c>
      <c r="AB165">
        <v>1852</v>
      </c>
      <c r="AC165">
        <v>1852</v>
      </c>
      <c r="AD165" t="s">
        <v>2024</v>
      </c>
      <c r="AE165" t="s">
        <v>599</v>
      </c>
      <c r="AF165" t="s">
        <v>599</v>
      </c>
      <c r="AG165" t="s">
        <v>599</v>
      </c>
      <c r="AH165" t="s">
        <v>2025</v>
      </c>
      <c r="AI165" t="s">
        <v>599</v>
      </c>
      <c r="AJ165" t="s">
        <v>599</v>
      </c>
      <c r="AK165" t="s">
        <v>2026</v>
      </c>
      <c r="AL165" t="s">
        <v>1188</v>
      </c>
      <c r="AM165" t="s">
        <v>2027</v>
      </c>
      <c r="AN165" t="s">
        <v>1190</v>
      </c>
      <c r="AO165" t="s">
        <v>599</v>
      </c>
      <c r="AP165" t="s">
        <v>599</v>
      </c>
      <c r="AQ165" t="s">
        <v>2028</v>
      </c>
      <c r="AR165" t="s">
        <v>599</v>
      </c>
      <c r="AS165" t="s">
        <v>599</v>
      </c>
      <c r="AT165" t="s">
        <v>599</v>
      </c>
      <c r="AU165" t="s">
        <v>599</v>
      </c>
    </row>
    <row r="166" spans="1:47" s="13" customFormat="1" ht="30" x14ac:dyDescent="0.25">
      <c r="A166" s="9">
        <v>10308</v>
      </c>
      <c r="B166" s="10">
        <v>1076546</v>
      </c>
      <c r="C166" s="10">
        <v>1</v>
      </c>
      <c r="D166" s="9">
        <v>1</v>
      </c>
      <c r="E166" s="11" t="s">
        <v>202</v>
      </c>
      <c r="F166" s="11" t="str">
        <f t="shared" si="6"/>
        <v>https://purl.pt/42613</v>
      </c>
      <c r="G166" s="12" t="s">
        <v>203</v>
      </c>
      <c r="H166" s="9" t="s">
        <v>203</v>
      </c>
      <c r="I166" s="34"/>
      <c r="J166" s="55" t="str">
        <f t="shared" si="7"/>
        <v>https://permalinkbnd.bnportugal.gov.pt/viewer/280467/?offset=#page=1&amp;viewer=picture&amp;o=info&amp;n=0&amp;q=</v>
      </c>
      <c r="K166" s="45"/>
      <c r="L166" s="45"/>
      <c r="M166" s="45"/>
      <c r="N166" t="s">
        <v>202</v>
      </c>
      <c r="O166">
        <v>280467</v>
      </c>
      <c r="P166" t="str">
        <f t="shared" si="8"/>
        <v>https://permalinkbnd.bnportugal.gov.pt/viewer/280467/?offset=#page=1&amp;viewer=picture&amp;o=info&amp;n=0&amp;q=</v>
      </c>
      <c r="Q166">
        <v>1076546</v>
      </c>
      <c r="R166" t="s">
        <v>202</v>
      </c>
      <c r="S166" t="s">
        <v>2029</v>
      </c>
      <c r="T166" t="s">
        <v>1226</v>
      </c>
      <c r="U166" t="s">
        <v>1192</v>
      </c>
      <c r="V166" t="s">
        <v>599</v>
      </c>
      <c r="W166" t="s">
        <v>2030</v>
      </c>
      <c r="X166" t="s">
        <v>599</v>
      </c>
      <c r="Y166" t="s">
        <v>599</v>
      </c>
      <c r="Z166" t="s">
        <v>1182</v>
      </c>
      <c r="AA166" t="s">
        <v>2031</v>
      </c>
      <c r="AB166">
        <v>1882</v>
      </c>
      <c r="AC166">
        <v>1882</v>
      </c>
      <c r="AD166" t="s">
        <v>599</v>
      </c>
      <c r="AE166" t="s">
        <v>599</v>
      </c>
      <c r="AF166" t="s">
        <v>599</v>
      </c>
      <c r="AG166" t="s">
        <v>599</v>
      </c>
      <c r="AH166" t="s">
        <v>2032</v>
      </c>
      <c r="AI166" t="s">
        <v>599</v>
      </c>
      <c r="AJ166" t="s">
        <v>599</v>
      </c>
      <c r="AK166" t="s">
        <v>2033</v>
      </c>
      <c r="AL166" t="s">
        <v>1188</v>
      </c>
      <c r="AM166" t="s">
        <v>2034</v>
      </c>
      <c r="AN166" t="s">
        <v>1190</v>
      </c>
      <c r="AO166" t="s">
        <v>599</v>
      </c>
      <c r="AP166" t="s">
        <v>599</v>
      </c>
      <c r="AQ166" t="s">
        <v>599</v>
      </c>
      <c r="AR166" t="s">
        <v>599</v>
      </c>
      <c r="AS166" t="s">
        <v>2035</v>
      </c>
      <c r="AT166" t="s">
        <v>599</v>
      </c>
      <c r="AU166" t="s">
        <v>599</v>
      </c>
    </row>
    <row r="167" spans="1:47" s="13" customFormat="1" ht="30" x14ac:dyDescent="0.25">
      <c r="A167" s="9">
        <v>10309</v>
      </c>
      <c r="B167" s="10">
        <v>1076546</v>
      </c>
      <c r="C167" s="10">
        <v>1</v>
      </c>
      <c r="D167" s="9">
        <v>13</v>
      </c>
      <c r="E167" s="11" t="s">
        <v>202</v>
      </c>
      <c r="F167" s="11" t="str">
        <f t="shared" si="6"/>
        <v>https://purl.pt/42613</v>
      </c>
      <c r="G167" s="12" t="s">
        <v>203</v>
      </c>
      <c r="H167" s="9" t="s">
        <v>203</v>
      </c>
      <c r="I167" s="34"/>
      <c r="J167" s="55" t="str">
        <f t="shared" si="7"/>
        <v>https://permalinkbnd.bnportugal.gov.pt/viewer/280467/?offset=#page=13&amp;viewer=picture&amp;o=info&amp;n=0&amp;q=</v>
      </c>
      <c r="K167" s="45"/>
      <c r="L167" s="45"/>
      <c r="M167" s="45"/>
      <c r="N167" t="s">
        <v>202</v>
      </c>
      <c r="O167">
        <v>280467</v>
      </c>
      <c r="P167" t="str">
        <f t="shared" si="8"/>
        <v>https://permalinkbnd.bnportugal.gov.pt/viewer/280467/?offset=#page=13&amp;viewer=picture&amp;o=info&amp;n=0&amp;q=</v>
      </c>
      <c r="Q167">
        <v>1076546</v>
      </c>
      <c r="R167" t="s">
        <v>202</v>
      </c>
      <c r="S167" t="s">
        <v>2029</v>
      </c>
      <c r="T167" t="s">
        <v>1226</v>
      </c>
      <c r="U167" t="s">
        <v>1192</v>
      </c>
      <c r="V167" t="s">
        <v>599</v>
      </c>
      <c r="W167" t="s">
        <v>2030</v>
      </c>
      <c r="X167" t="s">
        <v>599</v>
      </c>
      <c r="Y167" t="s">
        <v>599</v>
      </c>
      <c r="Z167" t="s">
        <v>1182</v>
      </c>
      <c r="AA167" t="s">
        <v>2031</v>
      </c>
      <c r="AB167">
        <v>1882</v>
      </c>
      <c r="AC167">
        <v>1882</v>
      </c>
      <c r="AD167" t="s">
        <v>599</v>
      </c>
      <c r="AE167" t="s">
        <v>599</v>
      </c>
      <c r="AF167" t="s">
        <v>599</v>
      </c>
      <c r="AG167" t="s">
        <v>599</v>
      </c>
      <c r="AH167" t="s">
        <v>2032</v>
      </c>
      <c r="AI167" t="s">
        <v>599</v>
      </c>
      <c r="AJ167" t="s">
        <v>599</v>
      </c>
      <c r="AK167" t="s">
        <v>2033</v>
      </c>
      <c r="AL167" t="s">
        <v>1188</v>
      </c>
      <c r="AM167" t="s">
        <v>2034</v>
      </c>
      <c r="AN167" t="s">
        <v>1190</v>
      </c>
      <c r="AO167" t="s">
        <v>599</v>
      </c>
      <c r="AP167" t="s">
        <v>599</v>
      </c>
      <c r="AQ167" t="s">
        <v>599</v>
      </c>
      <c r="AR167" t="s">
        <v>599</v>
      </c>
      <c r="AS167" t="s">
        <v>2035</v>
      </c>
      <c r="AT167" t="s">
        <v>599</v>
      </c>
      <c r="AU167" t="s">
        <v>599</v>
      </c>
    </row>
    <row r="168" spans="1:47" s="13" customFormat="1" ht="30" x14ac:dyDescent="0.25">
      <c r="A168" s="9">
        <v>10310</v>
      </c>
      <c r="B168" s="10">
        <v>1076546</v>
      </c>
      <c r="C168" s="10">
        <v>1</v>
      </c>
      <c r="D168" s="9">
        <v>35</v>
      </c>
      <c r="E168" s="11" t="s">
        <v>202</v>
      </c>
      <c r="F168" s="11" t="str">
        <f t="shared" si="6"/>
        <v>https://purl.pt/42613</v>
      </c>
      <c r="G168" s="12" t="s">
        <v>203</v>
      </c>
      <c r="H168" s="9" t="s">
        <v>203</v>
      </c>
      <c r="I168" s="34"/>
      <c r="J168" s="55" t="str">
        <f t="shared" si="7"/>
        <v>https://permalinkbnd.bnportugal.gov.pt/viewer/280467/?offset=#page=35&amp;viewer=picture&amp;o=info&amp;n=0&amp;q=</v>
      </c>
      <c r="K168" s="45"/>
      <c r="L168" s="45"/>
      <c r="M168" s="45"/>
      <c r="N168" t="s">
        <v>202</v>
      </c>
      <c r="O168">
        <v>280467</v>
      </c>
      <c r="P168" t="str">
        <f t="shared" si="8"/>
        <v>https://permalinkbnd.bnportugal.gov.pt/viewer/280467/?offset=#page=35&amp;viewer=picture&amp;o=info&amp;n=0&amp;q=</v>
      </c>
      <c r="Q168">
        <v>1076546</v>
      </c>
      <c r="R168" t="s">
        <v>202</v>
      </c>
      <c r="S168" t="s">
        <v>2029</v>
      </c>
      <c r="T168" t="s">
        <v>1226</v>
      </c>
      <c r="U168" t="s">
        <v>1192</v>
      </c>
      <c r="V168" t="s">
        <v>599</v>
      </c>
      <c r="W168" t="s">
        <v>2030</v>
      </c>
      <c r="X168" t="s">
        <v>599</v>
      </c>
      <c r="Y168" t="s">
        <v>599</v>
      </c>
      <c r="Z168" t="s">
        <v>1182</v>
      </c>
      <c r="AA168" t="s">
        <v>2031</v>
      </c>
      <c r="AB168">
        <v>1882</v>
      </c>
      <c r="AC168">
        <v>1882</v>
      </c>
      <c r="AD168" t="s">
        <v>599</v>
      </c>
      <c r="AE168" t="s">
        <v>599</v>
      </c>
      <c r="AF168" t="s">
        <v>599</v>
      </c>
      <c r="AG168" t="s">
        <v>599</v>
      </c>
      <c r="AH168" t="s">
        <v>2032</v>
      </c>
      <c r="AI168" t="s">
        <v>599</v>
      </c>
      <c r="AJ168" t="s">
        <v>599</v>
      </c>
      <c r="AK168" t="s">
        <v>2033</v>
      </c>
      <c r="AL168" t="s">
        <v>1188</v>
      </c>
      <c r="AM168" t="s">
        <v>2034</v>
      </c>
      <c r="AN168" t="s">
        <v>1190</v>
      </c>
      <c r="AO168" t="s">
        <v>599</v>
      </c>
      <c r="AP168" t="s">
        <v>599</v>
      </c>
      <c r="AQ168" t="s">
        <v>599</v>
      </c>
      <c r="AR168" t="s">
        <v>599</v>
      </c>
      <c r="AS168" t="s">
        <v>2035</v>
      </c>
      <c r="AT168" t="s">
        <v>599</v>
      </c>
      <c r="AU168" t="s">
        <v>599</v>
      </c>
    </row>
    <row r="169" spans="1:47" s="13" customFormat="1" ht="30" x14ac:dyDescent="0.25">
      <c r="A169" s="9">
        <v>10311</v>
      </c>
      <c r="B169" s="10">
        <v>1306834</v>
      </c>
      <c r="C169" s="10">
        <v>1</v>
      </c>
      <c r="D169" s="9">
        <v>1</v>
      </c>
      <c r="E169" s="11" t="s">
        <v>204</v>
      </c>
      <c r="F169" s="11" t="str">
        <f t="shared" si="6"/>
        <v>https://purl.pt/6233</v>
      </c>
      <c r="G169" s="12">
        <v>1</v>
      </c>
      <c r="H169" s="9">
        <v>1</v>
      </c>
      <c r="I169" s="34"/>
      <c r="J169" s="55" t="str">
        <f t="shared" si="7"/>
        <v>https://permalinkbnd.bnportugal.gov.pt/viewer/36160/?offset=#page=1&amp;viewer=picture&amp;o=info&amp;n=0&amp;q=</v>
      </c>
      <c r="K169" s="45"/>
      <c r="L169" s="45"/>
      <c r="M169" s="45"/>
      <c r="N169" t="s">
        <v>204</v>
      </c>
      <c r="O169">
        <v>36160</v>
      </c>
      <c r="P169" t="str">
        <f t="shared" si="8"/>
        <v>https://permalinkbnd.bnportugal.gov.pt/viewer/36160/?offset=#page=1&amp;viewer=picture&amp;o=info&amp;n=0&amp;q=</v>
      </c>
      <c r="Q169">
        <v>1306834</v>
      </c>
      <c r="R169" t="s">
        <v>204</v>
      </c>
      <c r="S169" t="s">
        <v>599</v>
      </c>
      <c r="T169" t="s">
        <v>1312</v>
      </c>
      <c r="U169" t="s">
        <v>1362</v>
      </c>
      <c r="V169" t="s">
        <v>599</v>
      </c>
      <c r="W169" t="s">
        <v>2036</v>
      </c>
      <c r="X169" t="s">
        <v>599</v>
      </c>
      <c r="Y169" t="s">
        <v>599</v>
      </c>
      <c r="Z169" t="s">
        <v>1182</v>
      </c>
      <c r="AA169" t="s">
        <v>1453</v>
      </c>
      <c r="AB169">
        <v>1845</v>
      </c>
      <c r="AC169">
        <v>1845</v>
      </c>
      <c r="AD169" t="s">
        <v>1454</v>
      </c>
      <c r="AE169" t="s">
        <v>2037</v>
      </c>
      <c r="AF169" t="s">
        <v>599</v>
      </c>
      <c r="AG169" t="s">
        <v>2038</v>
      </c>
      <c r="AH169" t="s">
        <v>2039</v>
      </c>
      <c r="AI169" t="s">
        <v>599</v>
      </c>
      <c r="AJ169" t="s">
        <v>599</v>
      </c>
      <c r="AK169" t="s">
        <v>2040</v>
      </c>
      <c r="AL169" t="s">
        <v>1629</v>
      </c>
      <c r="AM169" t="s">
        <v>2041</v>
      </c>
      <c r="AN169" t="s">
        <v>1190</v>
      </c>
      <c r="AO169" t="s">
        <v>599</v>
      </c>
      <c r="AP169" t="s">
        <v>599</v>
      </c>
      <c r="AQ169" t="s">
        <v>599</v>
      </c>
      <c r="AR169" t="s">
        <v>599</v>
      </c>
      <c r="AS169" t="s">
        <v>599</v>
      </c>
      <c r="AT169" t="s">
        <v>599</v>
      </c>
      <c r="AU169" t="s">
        <v>599</v>
      </c>
    </row>
    <row r="170" spans="1:47" s="13" customFormat="1" ht="30" x14ac:dyDescent="0.25">
      <c r="A170" s="9">
        <v>10312</v>
      </c>
      <c r="B170" s="10">
        <v>1313328</v>
      </c>
      <c r="C170" s="10">
        <v>1</v>
      </c>
      <c r="D170" s="9">
        <v>1</v>
      </c>
      <c r="E170" s="11" t="s">
        <v>205</v>
      </c>
      <c r="F170" s="11" t="str">
        <f t="shared" si="6"/>
        <v>https://purl.pt/43574</v>
      </c>
      <c r="G170" s="12">
        <v>1</v>
      </c>
      <c r="H170" s="9">
        <v>1</v>
      </c>
      <c r="I170" s="34"/>
      <c r="J170" s="55" t="str">
        <f t="shared" si="7"/>
        <v>https://permalinkbnd.bnportugal.gov.pt/viewer/272788/?offset=#page=1&amp;viewer=picture&amp;o=info&amp;n=0&amp;q=</v>
      </c>
      <c r="K170" s="45"/>
      <c r="L170" s="45"/>
      <c r="M170" s="45"/>
      <c r="N170" t="s">
        <v>205</v>
      </c>
      <c r="O170">
        <v>272788</v>
      </c>
      <c r="P170" t="str">
        <f t="shared" si="8"/>
        <v>https://permalinkbnd.bnportugal.gov.pt/viewer/272788/?offset=#page=1&amp;viewer=picture&amp;o=info&amp;n=0&amp;q=</v>
      </c>
      <c r="Q170">
        <v>1313328</v>
      </c>
      <c r="R170" t="s">
        <v>205</v>
      </c>
      <c r="S170" t="s">
        <v>2042</v>
      </c>
      <c r="T170" t="s">
        <v>1226</v>
      </c>
      <c r="U170" t="s">
        <v>1192</v>
      </c>
      <c r="V170" t="s">
        <v>599</v>
      </c>
      <c r="W170" t="s">
        <v>2043</v>
      </c>
      <c r="X170" t="s">
        <v>2044</v>
      </c>
      <c r="Y170" t="s">
        <v>599</v>
      </c>
      <c r="Z170" t="s">
        <v>1182</v>
      </c>
      <c r="AA170" t="s">
        <v>2045</v>
      </c>
      <c r="AB170">
        <v>1850</v>
      </c>
      <c r="AC170">
        <v>1850</v>
      </c>
      <c r="AD170" t="s">
        <v>2046</v>
      </c>
      <c r="AE170" t="s">
        <v>2047</v>
      </c>
      <c r="AF170" t="s">
        <v>599</v>
      </c>
      <c r="AG170" t="s">
        <v>599</v>
      </c>
      <c r="AH170" t="s">
        <v>2048</v>
      </c>
      <c r="AI170" t="s">
        <v>599</v>
      </c>
      <c r="AJ170" t="s">
        <v>2049</v>
      </c>
      <c r="AK170" t="s">
        <v>2050</v>
      </c>
      <c r="AL170" t="s">
        <v>1188</v>
      </c>
      <c r="AM170" t="s">
        <v>2051</v>
      </c>
      <c r="AN170" t="s">
        <v>1190</v>
      </c>
      <c r="AO170" t="s">
        <v>599</v>
      </c>
      <c r="AP170" t="s">
        <v>599</v>
      </c>
      <c r="AQ170" t="s">
        <v>599</v>
      </c>
      <c r="AR170" t="s">
        <v>599</v>
      </c>
      <c r="AS170" t="s">
        <v>2052</v>
      </c>
      <c r="AT170" t="s">
        <v>599</v>
      </c>
      <c r="AU170" t="s">
        <v>599</v>
      </c>
    </row>
    <row r="171" spans="1:47" s="13" customFormat="1" ht="30" x14ac:dyDescent="0.25">
      <c r="A171" s="9">
        <v>10317</v>
      </c>
      <c r="B171" s="10">
        <v>1376687</v>
      </c>
      <c r="C171" s="10">
        <v>1</v>
      </c>
      <c r="D171" s="9">
        <v>1</v>
      </c>
      <c r="E171" s="11" t="s">
        <v>206</v>
      </c>
      <c r="F171" s="11" t="str">
        <f t="shared" si="6"/>
        <v>https://purl.pt/31492</v>
      </c>
      <c r="G171" s="12">
        <v>1</v>
      </c>
      <c r="H171" s="9">
        <v>1</v>
      </c>
      <c r="I171" s="34"/>
      <c r="J171" s="55" t="str">
        <f t="shared" si="7"/>
        <v>https://permalinkbnd.bnportugal.gov.pt/viewer/88185/?offset=#page=1&amp;viewer=picture&amp;o=info&amp;n=0&amp;q=</v>
      </c>
      <c r="K171" s="45"/>
      <c r="L171" s="45"/>
      <c r="M171" s="45"/>
      <c r="N171" t="s">
        <v>206</v>
      </c>
      <c r="O171">
        <v>88185</v>
      </c>
      <c r="P171" t="str">
        <f t="shared" si="8"/>
        <v>https://permalinkbnd.bnportugal.gov.pt/viewer/88185/?offset=#page=1&amp;viewer=picture&amp;o=info&amp;n=0&amp;q=</v>
      </c>
      <c r="Q171">
        <v>1376687</v>
      </c>
      <c r="R171" t="s">
        <v>206</v>
      </c>
      <c r="S171" t="s">
        <v>2053</v>
      </c>
      <c r="T171" t="s">
        <v>1312</v>
      </c>
      <c r="U171" t="s">
        <v>1502</v>
      </c>
      <c r="V171" t="s">
        <v>599</v>
      </c>
      <c r="W171" t="s">
        <v>2054</v>
      </c>
      <c r="X171" t="s">
        <v>2055</v>
      </c>
      <c r="Y171" t="s">
        <v>599</v>
      </c>
      <c r="Z171" t="s">
        <v>1182</v>
      </c>
      <c r="AA171" t="s">
        <v>1453</v>
      </c>
      <c r="AB171">
        <v>1930</v>
      </c>
      <c r="AC171">
        <v>1930</v>
      </c>
      <c r="AD171" t="s">
        <v>2056</v>
      </c>
      <c r="AE171" t="s">
        <v>599</v>
      </c>
      <c r="AF171" t="s">
        <v>599</v>
      </c>
      <c r="AG171" t="s">
        <v>599</v>
      </c>
      <c r="AH171" t="s">
        <v>599</v>
      </c>
      <c r="AI171" t="s">
        <v>599</v>
      </c>
      <c r="AJ171" t="s">
        <v>599</v>
      </c>
      <c r="AK171" t="s">
        <v>2057</v>
      </c>
      <c r="AL171" t="s">
        <v>599</v>
      </c>
      <c r="AM171" t="s">
        <v>2058</v>
      </c>
      <c r="AN171" t="s">
        <v>1190</v>
      </c>
      <c r="AO171" t="s">
        <v>599</v>
      </c>
      <c r="AP171" t="s">
        <v>599</v>
      </c>
      <c r="AQ171" t="s">
        <v>599</v>
      </c>
      <c r="AR171" t="s">
        <v>599</v>
      </c>
      <c r="AS171" t="s">
        <v>599</v>
      </c>
      <c r="AT171" t="s">
        <v>599</v>
      </c>
      <c r="AU171" t="s">
        <v>599</v>
      </c>
    </row>
    <row r="172" spans="1:47" s="13" customFormat="1" ht="30" x14ac:dyDescent="0.25">
      <c r="A172" s="9">
        <v>10318</v>
      </c>
      <c r="B172" s="10">
        <v>1376717</v>
      </c>
      <c r="C172" s="10">
        <v>1</v>
      </c>
      <c r="D172" s="9">
        <v>1</v>
      </c>
      <c r="E172" s="11" t="s">
        <v>207</v>
      </c>
      <c r="F172" s="11" t="str">
        <f t="shared" si="6"/>
        <v>https://purl.pt/43578</v>
      </c>
      <c r="G172" s="12">
        <v>1</v>
      </c>
      <c r="H172" s="9">
        <v>1</v>
      </c>
      <c r="I172" s="34"/>
      <c r="J172" s="55" t="str">
        <f t="shared" si="7"/>
        <v>https://permalinkbnd.bnportugal.gov.pt/viewer/272785/?offset=#page=1&amp;viewer=picture&amp;o=info&amp;n=0&amp;q=</v>
      </c>
      <c r="K172" s="45"/>
      <c r="L172" s="45"/>
      <c r="M172" s="45"/>
      <c r="N172" t="s">
        <v>207</v>
      </c>
      <c r="O172">
        <v>272785</v>
      </c>
      <c r="P172" t="str">
        <f t="shared" si="8"/>
        <v>https://permalinkbnd.bnportugal.gov.pt/viewer/272785/?offset=#page=1&amp;viewer=picture&amp;o=info&amp;n=0&amp;q=</v>
      </c>
      <c r="Q172">
        <v>1376717</v>
      </c>
      <c r="R172" t="s">
        <v>207</v>
      </c>
      <c r="S172" t="s">
        <v>2059</v>
      </c>
      <c r="T172" t="s">
        <v>1312</v>
      </c>
      <c r="U172" t="s">
        <v>1502</v>
      </c>
      <c r="V172" t="s">
        <v>599</v>
      </c>
      <c r="W172" t="s">
        <v>2060</v>
      </c>
      <c r="X172" t="s">
        <v>599</v>
      </c>
      <c r="Y172" t="s">
        <v>599</v>
      </c>
      <c r="Z172" t="s">
        <v>1182</v>
      </c>
      <c r="AA172" t="s">
        <v>2061</v>
      </c>
      <c r="AB172">
        <v>1910</v>
      </c>
      <c r="AC172">
        <v>1910</v>
      </c>
      <c r="AD172" t="s">
        <v>2056</v>
      </c>
      <c r="AE172" t="s">
        <v>599</v>
      </c>
      <c r="AF172" t="s">
        <v>599</v>
      </c>
      <c r="AG172" t="s">
        <v>599</v>
      </c>
      <c r="AH172" t="s">
        <v>599</v>
      </c>
      <c r="AI172" t="s">
        <v>599</v>
      </c>
      <c r="AJ172" t="s">
        <v>599</v>
      </c>
      <c r="AK172" t="s">
        <v>2062</v>
      </c>
      <c r="AL172" t="s">
        <v>1188</v>
      </c>
      <c r="AM172" t="s">
        <v>2063</v>
      </c>
      <c r="AN172" t="s">
        <v>1190</v>
      </c>
      <c r="AO172" t="s">
        <v>599</v>
      </c>
      <c r="AP172" t="s">
        <v>599</v>
      </c>
      <c r="AQ172" t="s">
        <v>599</v>
      </c>
      <c r="AR172" t="s">
        <v>599</v>
      </c>
      <c r="AS172" t="s">
        <v>599</v>
      </c>
      <c r="AT172" t="s">
        <v>599</v>
      </c>
      <c r="AU172" t="s">
        <v>599</v>
      </c>
    </row>
    <row r="173" spans="1:47" s="13" customFormat="1" ht="30" x14ac:dyDescent="0.25">
      <c r="A173" s="9">
        <v>10319</v>
      </c>
      <c r="B173" s="10">
        <v>1380949</v>
      </c>
      <c r="C173" s="10">
        <v>1</v>
      </c>
      <c r="D173" s="9">
        <v>1</v>
      </c>
      <c r="E173" s="11" t="s">
        <v>208</v>
      </c>
      <c r="F173" s="11" t="str">
        <f t="shared" si="6"/>
        <v>https://purl.pt/13721</v>
      </c>
      <c r="G173" s="12">
        <v>1</v>
      </c>
      <c r="H173" s="9">
        <v>1</v>
      </c>
      <c r="I173" s="34"/>
      <c r="J173" s="55" t="str">
        <f t="shared" si="7"/>
        <v>https://permalinkbnd.bnportugal.gov.pt/viewer/38463/?offset=#page=1&amp;viewer=picture&amp;o=info&amp;n=0&amp;q=</v>
      </c>
      <c r="K173" s="45"/>
      <c r="L173" s="45"/>
      <c r="M173" s="45"/>
      <c r="N173" t="s">
        <v>208</v>
      </c>
      <c r="O173">
        <v>38463</v>
      </c>
      <c r="P173" t="str">
        <f t="shared" si="8"/>
        <v>https://permalinkbnd.bnportugal.gov.pt/viewer/38463/?offset=#page=1&amp;viewer=picture&amp;o=info&amp;n=0&amp;q=</v>
      </c>
      <c r="Q173">
        <v>1380949</v>
      </c>
      <c r="R173" t="s">
        <v>208</v>
      </c>
      <c r="S173" t="s">
        <v>2064</v>
      </c>
      <c r="T173" t="s">
        <v>1312</v>
      </c>
      <c r="U173" t="s">
        <v>1362</v>
      </c>
      <c r="V173" t="s">
        <v>599</v>
      </c>
      <c r="W173" t="s">
        <v>2065</v>
      </c>
      <c r="X173" t="s">
        <v>599</v>
      </c>
      <c r="Y173" t="s">
        <v>599</v>
      </c>
      <c r="Z173" t="s">
        <v>1182</v>
      </c>
      <c r="AA173" t="s">
        <v>1453</v>
      </c>
      <c r="AB173">
        <v>1831</v>
      </c>
      <c r="AC173">
        <v>1831</v>
      </c>
      <c r="AD173" t="s">
        <v>1454</v>
      </c>
      <c r="AE173" t="s">
        <v>2066</v>
      </c>
      <c r="AF173" t="s">
        <v>599</v>
      </c>
      <c r="AG173" t="s">
        <v>599</v>
      </c>
      <c r="AH173" t="s">
        <v>2067</v>
      </c>
      <c r="AI173" t="s">
        <v>599</v>
      </c>
      <c r="AJ173" t="s">
        <v>2068</v>
      </c>
      <c r="AK173" t="s">
        <v>2069</v>
      </c>
      <c r="AL173" t="s">
        <v>599</v>
      </c>
      <c r="AM173" t="s">
        <v>2070</v>
      </c>
      <c r="AN173" t="s">
        <v>1190</v>
      </c>
      <c r="AO173" t="s">
        <v>599</v>
      </c>
      <c r="AP173" t="s">
        <v>599</v>
      </c>
      <c r="AQ173" t="s">
        <v>599</v>
      </c>
      <c r="AR173" t="s">
        <v>599</v>
      </c>
      <c r="AS173" t="s">
        <v>599</v>
      </c>
      <c r="AT173" t="s">
        <v>599</v>
      </c>
      <c r="AU173" t="s">
        <v>599</v>
      </c>
    </row>
    <row r="174" spans="1:47" s="13" customFormat="1" ht="30" x14ac:dyDescent="0.25">
      <c r="A174" s="9">
        <v>10320</v>
      </c>
      <c r="B174" s="10">
        <v>1381028</v>
      </c>
      <c r="C174" s="10">
        <v>1</v>
      </c>
      <c r="D174" s="9">
        <v>1</v>
      </c>
      <c r="E174" s="11" t="s">
        <v>209</v>
      </c>
      <c r="F174" s="11" t="str">
        <f t="shared" si="6"/>
        <v>https://purl.pt/13722</v>
      </c>
      <c r="G174" s="12">
        <v>1</v>
      </c>
      <c r="H174" s="9">
        <v>1</v>
      </c>
      <c r="I174" s="34"/>
      <c r="J174" s="55" t="str">
        <f t="shared" si="7"/>
        <v>https://permalinkbnd.bnportugal.gov.pt/viewer/38591/?offset=#page=1&amp;viewer=picture&amp;o=info&amp;n=0&amp;q=</v>
      </c>
      <c r="K174" s="45"/>
      <c r="L174" s="45"/>
      <c r="M174" s="45"/>
      <c r="N174" t="s">
        <v>209</v>
      </c>
      <c r="O174">
        <v>38591</v>
      </c>
      <c r="P174" t="str">
        <f t="shared" si="8"/>
        <v>https://permalinkbnd.bnportugal.gov.pt/viewer/38591/?offset=#page=1&amp;viewer=picture&amp;o=info&amp;n=0&amp;q=</v>
      </c>
      <c r="Q174">
        <v>1381028</v>
      </c>
      <c r="R174" t="s">
        <v>209</v>
      </c>
      <c r="S174" t="s">
        <v>2071</v>
      </c>
      <c r="T174" t="s">
        <v>1312</v>
      </c>
      <c r="U174" t="s">
        <v>1192</v>
      </c>
      <c r="V174" t="s">
        <v>599</v>
      </c>
      <c r="W174" t="s">
        <v>1313</v>
      </c>
      <c r="X174" t="s">
        <v>2072</v>
      </c>
      <c r="Y174" t="s">
        <v>599</v>
      </c>
      <c r="Z174" t="s">
        <v>1182</v>
      </c>
      <c r="AA174" t="s">
        <v>1453</v>
      </c>
      <c r="AB174">
        <v>1890</v>
      </c>
      <c r="AC174">
        <v>1890</v>
      </c>
      <c r="AD174" t="s">
        <v>1315</v>
      </c>
      <c r="AE174" t="s">
        <v>599</v>
      </c>
      <c r="AF174" t="s">
        <v>599</v>
      </c>
      <c r="AG174" t="s">
        <v>2073</v>
      </c>
      <c r="AH174" t="s">
        <v>2074</v>
      </c>
      <c r="AI174" t="s">
        <v>599</v>
      </c>
      <c r="AJ174" t="s">
        <v>599</v>
      </c>
      <c r="AK174" t="s">
        <v>2075</v>
      </c>
      <c r="AL174" t="s">
        <v>1188</v>
      </c>
      <c r="AM174" t="s">
        <v>2076</v>
      </c>
      <c r="AN174" t="s">
        <v>1190</v>
      </c>
      <c r="AO174" t="s">
        <v>599</v>
      </c>
      <c r="AP174" t="s">
        <v>2077</v>
      </c>
      <c r="AQ174" t="s">
        <v>599</v>
      </c>
      <c r="AR174" t="s">
        <v>599</v>
      </c>
      <c r="AS174" t="s">
        <v>599</v>
      </c>
      <c r="AT174" t="s">
        <v>599</v>
      </c>
      <c r="AU174" t="s">
        <v>599</v>
      </c>
    </row>
    <row r="175" spans="1:47" s="13" customFormat="1" ht="30" x14ac:dyDescent="0.25">
      <c r="A175" s="9">
        <v>10321</v>
      </c>
      <c r="B175" s="10">
        <v>1381084</v>
      </c>
      <c r="C175" s="10">
        <v>1</v>
      </c>
      <c r="D175" s="9">
        <v>1</v>
      </c>
      <c r="E175" s="11" t="s">
        <v>210</v>
      </c>
      <c r="F175" s="11" t="str">
        <f t="shared" si="6"/>
        <v>https://purl.pt/13740</v>
      </c>
      <c r="G175" s="12">
        <v>1</v>
      </c>
      <c r="H175" s="9">
        <v>1</v>
      </c>
      <c r="I175" s="34"/>
      <c r="J175" s="55" t="str">
        <f t="shared" si="7"/>
        <v>https://permalinkbnd.bnportugal.gov.pt/viewer/1843/?offset=#page=1&amp;viewer=picture&amp;o=info&amp;n=0&amp;q=</v>
      </c>
      <c r="K175" s="45"/>
      <c r="L175" s="45"/>
      <c r="M175" s="45"/>
      <c r="N175" t="s">
        <v>210</v>
      </c>
      <c r="O175">
        <v>1843</v>
      </c>
      <c r="P175" t="str">
        <f t="shared" si="8"/>
        <v>https://permalinkbnd.bnportugal.gov.pt/viewer/1843/?offset=#page=1&amp;viewer=picture&amp;o=info&amp;n=0&amp;q=</v>
      </c>
      <c r="Q175">
        <v>1381084</v>
      </c>
      <c r="R175" t="s">
        <v>210</v>
      </c>
      <c r="S175" t="s">
        <v>2078</v>
      </c>
      <c r="T175" t="s">
        <v>1312</v>
      </c>
      <c r="U175" t="s">
        <v>1192</v>
      </c>
      <c r="V175" t="s">
        <v>599</v>
      </c>
      <c r="W175" t="s">
        <v>2079</v>
      </c>
      <c r="X175" t="s">
        <v>2080</v>
      </c>
      <c r="Y175" t="s">
        <v>599</v>
      </c>
      <c r="Z175" t="s">
        <v>1182</v>
      </c>
      <c r="AA175" t="s">
        <v>1437</v>
      </c>
      <c r="AB175">
        <v>1843</v>
      </c>
      <c r="AC175">
        <v>1843</v>
      </c>
      <c r="AD175" t="s">
        <v>1454</v>
      </c>
      <c r="AE175" t="s">
        <v>2081</v>
      </c>
      <c r="AF175" t="s">
        <v>599</v>
      </c>
      <c r="AG175" t="s">
        <v>2082</v>
      </c>
      <c r="AH175" t="s">
        <v>2083</v>
      </c>
      <c r="AI175" t="s">
        <v>599</v>
      </c>
      <c r="AJ175" t="s">
        <v>2084</v>
      </c>
      <c r="AK175" t="s">
        <v>2085</v>
      </c>
      <c r="AL175" t="s">
        <v>599</v>
      </c>
      <c r="AM175" t="s">
        <v>2086</v>
      </c>
      <c r="AN175" t="s">
        <v>1190</v>
      </c>
      <c r="AO175" t="s">
        <v>599</v>
      </c>
      <c r="AP175" t="s">
        <v>599</v>
      </c>
      <c r="AQ175" t="s">
        <v>599</v>
      </c>
      <c r="AR175" t="s">
        <v>599</v>
      </c>
      <c r="AS175" t="s">
        <v>2087</v>
      </c>
      <c r="AT175" t="s">
        <v>599</v>
      </c>
      <c r="AU175" t="s">
        <v>599</v>
      </c>
    </row>
    <row r="176" spans="1:47" s="13" customFormat="1" ht="30" x14ac:dyDescent="0.25">
      <c r="A176" s="9">
        <v>10322</v>
      </c>
      <c r="B176" s="10">
        <v>1381142</v>
      </c>
      <c r="C176" s="10">
        <v>1</v>
      </c>
      <c r="D176" s="9">
        <v>1</v>
      </c>
      <c r="E176" s="11" t="s">
        <v>211</v>
      </c>
      <c r="F176" s="11" t="str">
        <f t="shared" si="6"/>
        <v>https://purl.pt/13738</v>
      </c>
      <c r="G176" s="12">
        <v>1</v>
      </c>
      <c r="H176" s="9">
        <v>1</v>
      </c>
      <c r="I176" s="34"/>
      <c r="J176" s="55" t="str">
        <f t="shared" si="7"/>
        <v>https://permalinkbnd.bnportugal.gov.pt/viewer/37955/?offset=#page=1&amp;viewer=picture&amp;o=info&amp;n=0&amp;q=</v>
      </c>
      <c r="K176" s="45"/>
      <c r="L176" s="45"/>
      <c r="M176" s="45"/>
      <c r="N176" t="s">
        <v>211</v>
      </c>
      <c r="O176">
        <v>37955</v>
      </c>
      <c r="P176" t="str">
        <f t="shared" si="8"/>
        <v>https://permalinkbnd.bnportugal.gov.pt/viewer/37955/?offset=#page=1&amp;viewer=picture&amp;o=info&amp;n=0&amp;q=</v>
      </c>
      <c r="Q176">
        <v>1381142</v>
      </c>
      <c r="R176" t="s">
        <v>211</v>
      </c>
      <c r="S176" t="s">
        <v>2088</v>
      </c>
      <c r="T176" t="s">
        <v>1312</v>
      </c>
      <c r="U176" t="s">
        <v>1192</v>
      </c>
      <c r="V176" t="s">
        <v>599</v>
      </c>
      <c r="W176" t="s">
        <v>1603</v>
      </c>
      <c r="X176" t="s">
        <v>599</v>
      </c>
      <c r="Y176" t="s">
        <v>599</v>
      </c>
      <c r="Z176" t="s">
        <v>1182</v>
      </c>
      <c r="AA176" t="s">
        <v>1437</v>
      </c>
      <c r="AB176">
        <v>1841</v>
      </c>
      <c r="AC176">
        <v>1841</v>
      </c>
      <c r="AD176" t="s">
        <v>1454</v>
      </c>
      <c r="AE176" t="s">
        <v>2089</v>
      </c>
      <c r="AF176" t="s">
        <v>599</v>
      </c>
      <c r="AG176" t="s">
        <v>599</v>
      </c>
      <c r="AH176" t="s">
        <v>599</v>
      </c>
      <c r="AI176" t="s">
        <v>599</v>
      </c>
      <c r="AJ176" t="s">
        <v>2084</v>
      </c>
      <c r="AK176" t="s">
        <v>2090</v>
      </c>
      <c r="AL176" t="s">
        <v>599</v>
      </c>
      <c r="AM176" t="s">
        <v>2091</v>
      </c>
      <c r="AN176" t="s">
        <v>1190</v>
      </c>
      <c r="AO176" t="s">
        <v>599</v>
      </c>
      <c r="AP176" t="s">
        <v>599</v>
      </c>
      <c r="AQ176" t="s">
        <v>599</v>
      </c>
      <c r="AR176" t="s">
        <v>599</v>
      </c>
      <c r="AS176" t="s">
        <v>599</v>
      </c>
      <c r="AT176" t="s">
        <v>599</v>
      </c>
      <c r="AU176" t="s">
        <v>599</v>
      </c>
    </row>
    <row r="177" spans="1:47" s="13" customFormat="1" ht="30" x14ac:dyDescent="0.25">
      <c r="A177" s="9">
        <v>10323</v>
      </c>
      <c r="B177" s="10">
        <v>1381247</v>
      </c>
      <c r="C177" s="10">
        <v>1</v>
      </c>
      <c r="D177" s="9">
        <v>1</v>
      </c>
      <c r="E177" s="11" t="s">
        <v>212</v>
      </c>
      <c r="F177" s="11" t="str">
        <f t="shared" si="6"/>
        <v>https://purl.pt/13739</v>
      </c>
      <c r="G177" s="12">
        <v>1</v>
      </c>
      <c r="H177" s="9">
        <v>1</v>
      </c>
      <c r="I177" s="34"/>
      <c r="J177" s="55" t="str">
        <f t="shared" si="7"/>
        <v>https://permalinkbnd.bnportugal.gov.pt/viewer/38270/?offset=#page=1&amp;viewer=picture&amp;o=info&amp;n=0&amp;q=</v>
      </c>
      <c r="K177" s="45"/>
      <c r="L177" s="45"/>
      <c r="M177" s="45"/>
      <c r="N177" t="s">
        <v>212</v>
      </c>
      <c r="O177">
        <v>38270</v>
      </c>
      <c r="P177" t="str">
        <f t="shared" si="8"/>
        <v>https://permalinkbnd.bnportugal.gov.pt/viewer/38270/?offset=#page=1&amp;viewer=picture&amp;o=info&amp;n=0&amp;q=</v>
      </c>
      <c r="Q177">
        <v>1381247</v>
      </c>
      <c r="R177" t="s">
        <v>212</v>
      </c>
      <c r="S177" t="s">
        <v>2092</v>
      </c>
      <c r="T177" t="s">
        <v>1312</v>
      </c>
      <c r="U177" t="s">
        <v>1192</v>
      </c>
      <c r="V177" t="s">
        <v>599</v>
      </c>
      <c r="W177" t="s">
        <v>1105</v>
      </c>
      <c r="X177" t="s">
        <v>2093</v>
      </c>
      <c r="Y177" t="s">
        <v>599</v>
      </c>
      <c r="Z177" t="s">
        <v>1182</v>
      </c>
      <c r="AA177" t="s">
        <v>1437</v>
      </c>
      <c r="AB177">
        <v>1841</v>
      </c>
      <c r="AC177">
        <v>1841</v>
      </c>
      <c r="AD177" t="s">
        <v>1454</v>
      </c>
      <c r="AE177" t="s">
        <v>2089</v>
      </c>
      <c r="AF177" t="s">
        <v>599</v>
      </c>
      <c r="AG177" t="s">
        <v>599</v>
      </c>
      <c r="AH177" t="s">
        <v>599</v>
      </c>
      <c r="AI177" t="s">
        <v>599</v>
      </c>
      <c r="AJ177" t="s">
        <v>2084</v>
      </c>
      <c r="AK177" t="s">
        <v>2094</v>
      </c>
      <c r="AL177" t="s">
        <v>599</v>
      </c>
      <c r="AM177" t="s">
        <v>2095</v>
      </c>
      <c r="AN177" t="s">
        <v>1190</v>
      </c>
      <c r="AO177" t="s">
        <v>599</v>
      </c>
      <c r="AP177" t="s">
        <v>599</v>
      </c>
      <c r="AQ177" t="s">
        <v>599</v>
      </c>
      <c r="AR177" t="s">
        <v>599</v>
      </c>
      <c r="AS177" t="s">
        <v>599</v>
      </c>
      <c r="AT177" t="s">
        <v>599</v>
      </c>
      <c r="AU177" t="s">
        <v>599</v>
      </c>
    </row>
    <row r="178" spans="1:47" s="13" customFormat="1" ht="30" x14ac:dyDescent="0.25">
      <c r="A178" s="9">
        <v>10324</v>
      </c>
      <c r="B178" s="10">
        <v>1384320</v>
      </c>
      <c r="C178" s="10">
        <v>1</v>
      </c>
      <c r="D178" s="9">
        <v>1</v>
      </c>
      <c r="E178" s="11" t="s">
        <v>213</v>
      </c>
      <c r="F178" s="11" t="str">
        <f t="shared" si="6"/>
        <v>https://purl.pt/15135</v>
      </c>
      <c r="G178" s="12">
        <v>1</v>
      </c>
      <c r="H178" s="9">
        <v>1</v>
      </c>
      <c r="I178" s="34"/>
      <c r="J178" s="55" t="str">
        <f t="shared" si="7"/>
        <v>https://permalinkbnd.bnportugal.gov.pt/viewer/39315/?offset=#page=1&amp;viewer=picture&amp;o=info&amp;n=0&amp;q=</v>
      </c>
      <c r="K178" s="45"/>
      <c r="L178" s="45"/>
      <c r="M178" s="45"/>
      <c r="N178" t="s">
        <v>213</v>
      </c>
      <c r="O178">
        <v>39315</v>
      </c>
      <c r="P178" t="str">
        <f t="shared" si="8"/>
        <v>https://permalinkbnd.bnportugal.gov.pt/viewer/39315/?offset=#page=1&amp;viewer=picture&amp;o=info&amp;n=0&amp;q=</v>
      </c>
      <c r="Q178">
        <v>1384320</v>
      </c>
      <c r="R178" t="s">
        <v>213</v>
      </c>
      <c r="S178" t="s">
        <v>2096</v>
      </c>
      <c r="T178" t="s">
        <v>1312</v>
      </c>
      <c r="U178" t="s">
        <v>1192</v>
      </c>
      <c r="V178" t="s">
        <v>599</v>
      </c>
      <c r="W178" t="s">
        <v>1603</v>
      </c>
      <c r="X178" t="s">
        <v>599</v>
      </c>
      <c r="Y178" t="s">
        <v>599</v>
      </c>
      <c r="Z178" t="s">
        <v>1182</v>
      </c>
      <c r="AA178" t="s">
        <v>1453</v>
      </c>
      <c r="AB178">
        <v>1880</v>
      </c>
      <c r="AC178">
        <v>1880</v>
      </c>
      <c r="AD178" t="s">
        <v>1454</v>
      </c>
      <c r="AE178" t="s">
        <v>599</v>
      </c>
      <c r="AF178" t="s">
        <v>599</v>
      </c>
      <c r="AG178" t="s">
        <v>599</v>
      </c>
      <c r="AH178" t="s">
        <v>599</v>
      </c>
      <c r="AI178" t="s">
        <v>599</v>
      </c>
      <c r="AJ178" t="s">
        <v>599</v>
      </c>
      <c r="AK178" t="s">
        <v>2097</v>
      </c>
      <c r="AL178" t="s">
        <v>599</v>
      </c>
      <c r="AM178" t="s">
        <v>2098</v>
      </c>
      <c r="AN178" t="s">
        <v>1190</v>
      </c>
      <c r="AO178" t="s">
        <v>599</v>
      </c>
      <c r="AP178" t="s">
        <v>599</v>
      </c>
      <c r="AQ178" t="s">
        <v>599</v>
      </c>
      <c r="AR178" t="s">
        <v>599</v>
      </c>
      <c r="AS178" t="s">
        <v>599</v>
      </c>
      <c r="AT178" t="s">
        <v>599</v>
      </c>
      <c r="AU178" t="s">
        <v>599</v>
      </c>
    </row>
    <row r="179" spans="1:47" s="13" customFormat="1" ht="30" x14ac:dyDescent="0.25">
      <c r="A179" s="9">
        <v>10329</v>
      </c>
      <c r="B179" s="10">
        <v>1651190</v>
      </c>
      <c r="C179" s="10">
        <v>1</v>
      </c>
      <c r="D179" s="9">
        <v>1</v>
      </c>
      <c r="E179" s="11" t="s">
        <v>214</v>
      </c>
      <c r="F179" s="11" t="str">
        <f t="shared" si="6"/>
        <v>https://purl.pt/43564</v>
      </c>
      <c r="G179" s="12">
        <v>1</v>
      </c>
      <c r="H179" s="9">
        <v>1</v>
      </c>
      <c r="I179" s="34"/>
      <c r="J179" s="55" t="str">
        <f t="shared" si="7"/>
        <v>https://permalinkbnd.bnportugal.gov.pt/viewer/272735/?offset=#page=1&amp;viewer=picture&amp;o=info&amp;n=0&amp;q=</v>
      </c>
      <c r="K179" s="45"/>
      <c r="L179" s="45"/>
      <c r="M179" s="45"/>
      <c r="N179" t="s">
        <v>214</v>
      </c>
      <c r="O179">
        <v>272735</v>
      </c>
      <c r="P179" t="str">
        <f t="shared" si="8"/>
        <v>https://permalinkbnd.bnportugal.gov.pt/viewer/272735/?offset=#page=1&amp;viewer=picture&amp;o=info&amp;n=0&amp;q=</v>
      </c>
      <c r="Q179">
        <v>1651190</v>
      </c>
      <c r="R179" t="s">
        <v>214</v>
      </c>
      <c r="S179" t="s">
        <v>2099</v>
      </c>
      <c r="T179" t="s">
        <v>1312</v>
      </c>
      <c r="U179" t="s">
        <v>1518</v>
      </c>
      <c r="V179" t="s">
        <v>599</v>
      </c>
      <c r="W179" t="s">
        <v>2100</v>
      </c>
      <c r="X179" t="s">
        <v>2101</v>
      </c>
      <c r="Y179" t="s">
        <v>599</v>
      </c>
      <c r="Z179" t="s">
        <v>1182</v>
      </c>
      <c r="AA179" t="s">
        <v>1453</v>
      </c>
      <c r="AB179">
        <v>1880</v>
      </c>
      <c r="AC179">
        <v>1880</v>
      </c>
      <c r="AD179" t="s">
        <v>1315</v>
      </c>
      <c r="AE179" t="s">
        <v>2102</v>
      </c>
      <c r="AF179" t="s">
        <v>599</v>
      </c>
      <c r="AG179" t="s">
        <v>599</v>
      </c>
      <c r="AH179" t="s">
        <v>599</v>
      </c>
      <c r="AI179" t="s">
        <v>599</v>
      </c>
      <c r="AJ179" t="s">
        <v>599</v>
      </c>
      <c r="AK179" t="s">
        <v>2103</v>
      </c>
      <c r="AL179" t="s">
        <v>1188</v>
      </c>
      <c r="AM179" t="s">
        <v>2104</v>
      </c>
      <c r="AN179" t="s">
        <v>1190</v>
      </c>
      <c r="AO179" t="s">
        <v>599</v>
      </c>
      <c r="AP179" t="s">
        <v>599</v>
      </c>
      <c r="AQ179" t="s">
        <v>599</v>
      </c>
      <c r="AR179" t="s">
        <v>599</v>
      </c>
      <c r="AS179" t="s">
        <v>599</v>
      </c>
      <c r="AT179" t="s">
        <v>599</v>
      </c>
      <c r="AU179" t="s">
        <v>599</v>
      </c>
    </row>
    <row r="180" spans="1:47" s="13" customFormat="1" ht="30" x14ac:dyDescent="0.25">
      <c r="A180" s="9">
        <v>10331</v>
      </c>
      <c r="B180" s="10">
        <v>1669786</v>
      </c>
      <c r="C180" s="10">
        <v>1</v>
      </c>
      <c r="D180" s="9">
        <v>1</v>
      </c>
      <c r="E180" s="11" t="s">
        <v>215</v>
      </c>
      <c r="F180" s="11" t="str">
        <f t="shared" si="6"/>
        <v>https://purl.pt/43566</v>
      </c>
      <c r="G180" s="12">
        <v>1</v>
      </c>
      <c r="H180" s="9">
        <v>1</v>
      </c>
      <c r="I180" s="34"/>
      <c r="J180" s="55" t="str">
        <f t="shared" si="7"/>
        <v>https://permalinkbnd.bnportugal.gov.pt/viewer/272737/?offset=#page=1&amp;viewer=picture&amp;o=info&amp;n=0&amp;q=</v>
      </c>
      <c r="K180" s="45"/>
      <c r="L180" s="45"/>
      <c r="M180" s="45"/>
      <c r="N180" t="s">
        <v>215</v>
      </c>
      <c r="O180">
        <v>272737</v>
      </c>
      <c r="P180" t="str">
        <f t="shared" si="8"/>
        <v>https://permalinkbnd.bnportugal.gov.pt/viewer/272737/?offset=#page=1&amp;viewer=picture&amp;o=info&amp;n=0&amp;q=</v>
      </c>
      <c r="Q180">
        <v>1669786</v>
      </c>
      <c r="R180" t="s">
        <v>215</v>
      </c>
      <c r="S180" t="s">
        <v>2105</v>
      </c>
      <c r="T180" t="s">
        <v>1312</v>
      </c>
      <c r="U180" t="s">
        <v>1362</v>
      </c>
      <c r="V180" t="s">
        <v>599</v>
      </c>
      <c r="W180" t="s">
        <v>2106</v>
      </c>
      <c r="X180" t="s">
        <v>2107</v>
      </c>
      <c r="Y180" t="s">
        <v>599</v>
      </c>
      <c r="Z180" t="s">
        <v>1182</v>
      </c>
      <c r="AA180" t="s">
        <v>1453</v>
      </c>
      <c r="AB180">
        <v>1880</v>
      </c>
      <c r="AC180">
        <v>1880</v>
      </c>
      <c r="AD180" t="s">
        <v>1454</v>
      </c>
      <c r="AE180" t="s">
        <v>2108</v>
      </c>
      <c r="AF180" t="s">
        <v>599</v>
      </c>
      <c r="AG180" t="s">
        <v>599</v>
      </c>
      <c r="AH180" t="s">
        <v>2109</v>
      </c>
      <c r="AI180" t="s">
        <v>599</v>
      </c>
      <c r="AJ180" t="s">
        <v>599</v>
      </c>
      <c r="AK180" t="s">
        <v>2110</v>
      </c>
      <c r="AL180" t="s">
        <v>1188</v>
      </c>
      <c r="AM180" t="s">
        <v>2111</v>
      </c>
      <c r="AN180" t="s">
        <v>1190</v>
      </c>
      <c r="AO180" t="s">
        <v>599</v>
      </c>
      <c r="AP180" t="s">
        <v>2112</v>
      </c>
      <c r="AQ180" t="s">
        <v>599</v>
      </c>
      <c r="AR180" t="s">
        <v>599</v>
      </c>
      <c r="AS180" t="s">
        <v>599</v>
      </c>
      <c r="AT180" t="s">
        <v>599</v>
      </c>
      <c r="AU180" t="s">
        <v>599</v>
      </c>
    </row>
    <row r="181" spans="1:47" s="13" customFormat="1" ht="30" x14ac:dyDescent="0.25">
      <c r="A181" s="9">
        <v>10332</v>
      </c>
      <c r="B181" s="10">
        <v>1671826</v>
      </c>
      <c r="C181" s="10">
        <v>1</v>
      </c>
      <c r="D181" s="9">
        <v>1</v>
      </c>
      <c r="E181" s="11" t="s">
        <v>216</v>
      </c>
      <c r="F181" s="11" t="str">
        <f t="shared" si="6"/>
        <v>https://purl.pt/43555</v>
      </c>
      <c r="G181" s="12">
        <v>1</v>
      </c>
      <c r="H181" s="9">
        <v>1</v>
      </c>
      <c r="I181" s="34"/>
      <c r="J181" s="55" t="str">
        <f t="shared" si="7"/>
        <v>https://permalinkbnd.bnportugal.gov.pt/viewer/272727/?offset=#page=1&amp;viewer=picture&amp;o=info&amp;n=0&amp;q=</v>
      </c>
      <c r="K181" s="45"/>
      <c r="L181" s="45"/>
      <c r="M181" s="45"/>
      <c r="N181" t="s">
        <v>216</v>
      </c>
      <c r="O181">
        <v>272727</v>
      </c>
      <c r="P181" t="str">
        <f t="shared" si="8"/>
        <v>https://permalinkbnd.bnportugal.gov.pt/viewer/272727/?offset=#page=1&amp;viewer=picture&amp;o=info&amp;n=0&amp;q=</v>
      </c>
      <c r="Q181">
        <v>1671826</v>
      </c>
      <c r="R181" t="s">
        <v>216</v>
      </c>
      <c r="S181" t="s">
        <v>2113</v>
      </c>
      <c r="T181" t="s">
        <v>1312</v>
      </c>
      <c r="U181" t="s">
        <v>1192</v>
      </c>
      <c r="V181" t="s">
        <v>599</v>
      </c>
      <c r="W181" t="s">
        <v>2114</v>
      </c>
      <c r="X181" t="s">
        <v>2115</v>
      </c>
      <c r="Y181" t="s">
        <v>599</v>
      </c>
      <c r="Z181" t="s">
        <v>1182</v>
      </c>
      <c r="AA181" t="s">
        <v>1437</v>
      </c>
      <c r="AB181">
        <v>1924</v>
      </c>
      <c r="AC181">
        <v>1924</v>
      </c>
      <c r="AD181" t="s">
        <v>2007</v>
      </c>
      <c r="AE181" t="s">
        <v>599</v>
      </c>
      <c r="AF181" t="s">
        <v>599</v>
      </c>
      <c r="AG181" t="s">
        <v>599</v>
      </c>
      <c r="AH181" t="s">
        <v>599</v>
      </c>
      <c r="AI181" t="s">
        <v>599</v>
      </c>
      <c r="AJ181" t="s">
        <v>599</v>
      </c>
      <c r="AK181" t="s">
        <v>2116</v>
      </c>
      <c r="AL181" t="s">
        <v>1188</v>
      </c>
      <c r="AM181" t="s">
        <v>2117</v>
      </c>
      <c r="AN181" t="s">
        <v>1190</v>
      </c>
      <c r="AO181" t="s">
        <v>599</v>
      </c>
      <c r="AP181" t="s">
        <v>599</v>
      </c>
      <c r="AQ181" t="s">
        <v>599</v>
      </c>
      <c r="AR181" t="s">
        <v>599</v>
      </c>
      <c r="AS181" t="s">
        <v>599</v>
      </c>
      <c r="AT181" t="s">
        <v>599</v>
      </c>
      <c r="AU181" t="s">
        <v>599</v>
      </c>
    </row>
    <row r="182" spans="1:47" s="13" customFormat="1" ht="30" x14ac:dyDescent="0.25">
      <c r="A182" s="9">
        <v>10334</v>
      </c>
      <c r="B182" s="10">
        <v>1684166</v>
      </c>
      <c r="C182" s="10">
        <v>1</v>
      </c>
      <c r="D182" s="9">
        <v>1</v>
      </c>
      <c r="E182" s="11" t="s">
        <v>217</v>
      </c>
      <c r="F182" s="11" t="str">
        <f t="shared" si="6"/>
        <v>https://purl.pt/43565</v>
      </c>
      <c r="G182" s="12">
        <v>1</v>
      </c>
      <c r="H182" s="9">
        <v>1</v>
      </c>
      <c r="I182" s="34"/>
      <c r="J182" s="55" t="str">
        <f t="shared" si="7"/>
        <v>https://permalinkbnd.bnportugal.gov.pt/viewer/272736/?offset=#page=1&amp;viewer=picture&amp;o=info&amp;n=0&amp;q=</v>
      </c>
      <c r="K182" s="45"/>
      <c r="L182" s="45"/>
      <c r="M182" s="45"/>
      <c r="N182" t="s">
        <v>217</v>
      </c>
      <c r="O182">
        <v>272736</v>
      </c>
      <c r="P182" t="str">
        <f t="shared" si="8"/>
        <v>https://permalinkbnd.bnportugal.gov.pt/viewer/272736/?offset=#page=1&amp;viewer=picture&amp;o=info&amp;n=0&amp;q=</v>
      </c>
      <c r="Q182">
        <v>1684166</v>
      </c>
      <c r="R182" t="s">
        <v>217</v>
      </c>
      <c r="S182" t="s">
        <v>2118</v>
      </c>
      <c r="T182" t="s">
        <v>1312</v>
      </c>
      <c r="U182" t="s">
        <v>1192</v>
      </c>
      <c r="V182" t="s">
        <v>599</v>
      </c>
      <c r="W182" t="s">
        <v>2119</v>
      </c>
      <c r="X182" t="s">
        <v>2120</v>
      </c>
      <c r="Y182" t="s">
        <v>599</v>
      </c>
      <c r="Z182" t="s">
        <v>1182</v>
      </c>
      <c r="AA182" t="s">
        <v>1437</v>
      </c>
      <c r="AB182">
        <v>1898</v>
      </c>
      <c r="AC182">
        <v>1898</v>
      </c>
      <c r="AD182" t="s">
        <v>1454</v>
      </c>
      <c r="AE182" t="s">
        <v>599</v>
      </c>
      <c r="AF182" t="s">
        <v>599</v>
      </c>
      <c r="AG182" t="s">
        <v>2121</v>
      </c>
      <c r="AH182" t="s">
        <v>599</v>
      </c>
      <c r="AI182" t="s">
        <v>599</v>
      </c>
      <c r="AJ182" t="s">
        <v>2122</v>
      </c>
      <c r="AK182" t="s">
        <v>2123</v>
      </c>
      <c r="AL182" t="s">
        <v>1188</v>
      </c>
      <c r="AM182" t="s">
        <v>2124</v>
      </c>
      <c r="AN182" t="s">
        <v>1190</v>
      </c>
      <c r="AO182" t="s">
        <v>599</v>
      </c>
      <c r="AP182" t="s">
        <v>599</v>
      </c>
      <c r="AQ182" t="s">
        <v>599</v>
      </c>
      <c r="AR182" t="s">
        <v>2125</v>
      </c>
      <c r="AS182" t="s">
        <v>599</v>
      </c>
      <c r="AT182" t="s">
        <v>599</v>
      </c>
      <c r="AU182" t="s">
        <v>599</v>
      </c>
    </row>
    <row r="183" spans="1:47" s="13" customFormat="1" ht="30" x14ac:dyDescent="0.25">
      <c r="A183" s="9">
        <v>10337</v>
      </c>
      <c r="B183" s="10">
        <v>1718418</v>
      </c>
      <c r="C183" s="10">
        <v>1</v>
      </c>
      <c r="D183" s="9">
        <v>1</v>
      </c>
      <c r="E183" s="11" t="s">
        <v>218</v>
      </c>
      <c r="F183" s="11" t="str">
        <f t="shared" si="6"/>
        <v>https://purl.pt/32817</v>
      </c>
      <c r="G183" s="12" t="s">
        <v>219</v>
      </c>
      <c r="H183" s="9" t="s">
        <v>220</v>
      </c>
      <c r="I183" s="34"/>
      <c r="J183" s="55" t="str">
        <f t="shared" si="7"/>
        <v>https://permalinkbnd.bnportugal.gov.pt/viewer/16732/?offset=#page=1&amp;viewer=picture&amp;o=info&amp;n=0&amp;q=</v>
      </c>
      <c r="K183" s="45"/>
      <c r="L183" s="45"/>
      <c r="M183" s="45"/>
      <c r="N183" t="s">
        <v>218</v>
      </c>
      <c r="O183">
        <v>16732</v>
      </c>
      <c r="P183" t="str">
        <f t="shared" si="8"/>
        <v>https://permalinkbnd.bnportugal.gov.pt/viewer/16732/?offset=#page=1&amp;viewer=picture&amp;o=info&amp;n=0&amp;q=</v>
      </c>
      <c r="Q183">
        <v>1718418</v>
      </c>
      <c r="R183" t="s">
        <v>218</v>
      </c>
      <c r="S183" t="s">
        <v>2126</v>
      </c>
      <c r="T183" t="s">
        <v>2127</v>
      </c>
      <c r="U183" t="s">
        <v>1192</v>
      </c>
      <c r="V183" t="s">
        <v>599</v>
      </c>
      <c r="W183" t="s">
        <v>2128</v>
      </c>
      <c r="X183" t="s">
        <v>599</v>
      </c>
      <c r="Y183" t="s">
        <v>599</v>
      </c>
      <c r="Z183" t="s">
        <v>1182</v>
      </c>
      <c r="AA183" t="s">
        <v>2129</v>
      </c>
      <c r="AB183">
        <v>1870</v>
      </c>
      <c r="AC183">
        <v>1870</v>
      </c>
      <c r="AD183" t="s">
        <v>2130</v>
      </c>
      <c r="AE183" t="s">
        <v>2131</v>
      </c>
      <c r="AF183" t="s">
        <v>599</v>
      </c>
      <c r="AG183" t="s">
        <v>599</v>
      </c>
      <c r="AH183" t="s">
        <v>2132</v>
      </c>
      <c r="AI183" t="s">
        <v>599</v>
      </c>
      <c r="AJ183" t="s">
        <v>2133</v>
      </c>
      <c r="AK183" t="s">
        <v>2134</v>
      </c>
      <c r="AL183" t="s">
        <v>1188</v>
      </c>
      <c r="AM183" t="s">
        <v>2135</v>
      </c>
      <c r="AN183" t="s">
        <v>1190</v>
      </c>
      <c r="AO183" t="s">
        <v>599</v>
      </c>
      <c r="AP183" t="s">
        <v>599</v>
      </c>
      <c r="AQ183" t="s">
        <v>599</v>
      </c>
      <c r="AR183" t="s">
        <v>599</v>
      </c>
      <c r="AS183" t="s">
        <v>2136</v>
      </c>
      <c r="AT183" t="s">
        <v>599</v>
      </c>
      <c r="AU183" t="s">
        <v>599</v>
      </c>
    </row>
    <row r="184" spans="1:47" s="13" customFormat="1" ht="30" x14ac:dyDescent="0.25">
      <c r="A184" s="9">
        <v>10338</v>
      </c>
      <c r="B184" s="10">
        <v>1718418</v>
      </c>
      <c r="C184" s="10">
        <v>1</v>
      </c>
      <c r="D184" s="9">
        <v>3</v>
      </c>
      <c r="E184" s="11" t="s">
        <v>218</v>
      </c>
      <c r="F184" s="11" t="str">
        <f t="shared" si="6"/>
        <v>https://purl.pt/32817</v>
      </c>
      <c r="G184" s="12" t="s">
        <v>219</v>
      </c>
      <c r="H184" s="9" t="s">
        <v>220</v>
      </c>
      <c r="I184" s="34"/>
      <c r="J184" s="55" t="str">
        <f t="shared" si="7"/>
        <v>https://permalinkbnd.bnportugal.gov.pt/viewer/16732/?offset=#page=3&amp;viewer=picture&amp;o=info&amp;n=0&amp;q=</v>
      </c>
      <c r="K184" s="45"/>
      <c r="L184" s="45"/>
      <c r="M184" s="45"/>
      <c r="N184" t="s">
        <v>218</v>
      </c>
      <c r="O184">
        <v>16732</v>
      </c>
      <c r="P184" t="str">
        <f t="shared" si="8"/>
        <v>https://permalinkbnd.bnportugal.gov.pt/viewer/16732/?offset=#page=3&amp;viewer=picture&amp;o=info&amp;n=0&amp;q=</v>
      </c>
      <c r="Q184">
        <v>1718418</v>
      </c>
      <c r="R184" t="s">
        <v>218</v>
      </c>
      <c r="S184" t="s">
        <v>2126</v>
      </c>
      <c r="T184" t="s">
        <v>2127</v>
      </c>
      <c r="U184" t="s">
        <v>1192</v>
      </c>
      <c r="V184" t="s">
        <v>599</v>
      </c>
      <c r="W184" t="s">
        <v>2128</v>
      </c>
      <c r="X184" t="s">
        <v>599</v>
      </c>
      <c r="Y184" t="s">
        <v>599</v>
      </c>
      <c r="Z184" t="s">
        <v>1182</v>
      </c>
      <c r="AA184" t="s">
        <v>2129</v>
      </c>
      <c r="AB184">
        <v>1870</v>
      </c>
      <c r="AC184">
        <v>1870</v>
      </c>
      <c r="AD184" t="s">
        <v>2130</v>
      </c>
      <c r="AE184" t="s">
        <v>2131</v>
      </c>
      <c r="AF184" t="s">
        <v>599</v>
      </c>
      <c r="AG184" t="s">
        <v>599</v>
      </c>
      <c r="AH184" t="s">
        <v>2132</v>
      </c>
      <c r="AI184" t="s">
        <v>599</v>
      </c>
      <c r="AJ184" t="s">
        <v>2133</v>
      </c>
      <c r="AK184" t="s">
        <v>2134</v>
      </c>
      <c r="AL184" t="s">
        <v>1188</v>
      </c>
      <c r="AM184" t="s">
        <v>2135</v>
      </c>
      <c r="AN184" t="s">
        <v>1190</v>
      </c>
      <c r="AO184" t="s">
        <v>599</v>
      </c>
      <c r="AP184" t="s">
        <v>599</v>
      </c>
      <c r="AQ184" t="s">
        <v>599</v>
      </c>
      <c r="AR184" t="s">
        <v>599</v>
      </c>
      <c r="AS184" t="s">
        <v>2136</v>
      </c>
      <c r="AT184" t="s">
        <v>599</v>
      </c>
      <c r="AU184" t="s">
        <v>599</v>
      </c>
    </row>
    <row r="185" spans="1:47" s="13" customFormat="1" ht="30" x14ac:dyDescent="0.25">
      <c r="A185" s="9">
        <v>10343</v>
      </c>
      <c r="B185" s="10">
        <v>1724855</v>
      </c>
      <c r="C185" s="10">
        <v>1</v>
      </c>
      <c r="D185" s="9">
        <v>1</v>
      </c>
      <c r="E185" s="11" t="s">
        <v>221</v>
      </c>
      <c r="F185" s="11" t="str">
        <f t="shared" si="6"/>
        <v>https://purl.pt/42660</v>
      </c>
      <c r="G185" s="12">
        <v>1</v>
      </c>
      <c r="H185" s="9">
        <v>1</v>
      </c>
      <c r="I185" s="34"/>
      <c r="J185" s="55" t="str">
        <f t="shared" si="7"/>
        <v>https://permalinkbnd.bnportugal.gov.pt/viewer/268841/?offset=#page=1&amp;viewer=picture&amp;o=info&amp;n=0&amp;q=</v>
      </c>
      <c r="K185" s="45"/>
      <c r="L185" s="45"/>
      <c r="M185" s="45"/>
      <c r="N185" t="s">
        <v>221</v>
      </c>
      <c r="O185">
        <v>268841</v>
      </c>
      <c r="P185" t="str">
        <f t="shared" si="8"/>
        <v>https://permalinkbnd.bnportugal.gov.pt/viewer/268841/?offset=#page=1&amp;viewer=picture&amp;o=info&amp;n=0&amp;q=</v>
      </c>
      <c r="Q185">
        <v>1724855</v>
      </c>
      <c r="R185" t="s">
        <v>221</v>
      </c>
      <c r="S185" t="s">
        <v>2137</v>
      </c>
      <c r="T185" t="s">
        <v>2127</v>
      </c>
      <c r="U185" t="s">
        <v>1192</v>
      </c>
      <c r="V185" t="s">
        <v>599</v>
      </c>
      <c r="W185" t="s">
        <v>2138</v>
      </c>
      <c r="X185" t="s">
        <v>2139</v>
      </c>
      <c r="Y185" t="s">
        <v>599</v>
      </c>
      <c r="Z185" t="s">
        <v>1182</v>
      </c>
      <c r="AA185" t="s">
        <v>2140</v>
      </c>
      <c r="AB185">
        <v>1880</v>
      </c>
      <c r="AC185">
        <v>1880</v>
      </c>
      <c r="AD185" t="s">
        <v>2141</v>
      </c>
      <c r="AE185" t="s">
        <v>2142</v>
      </c>
      <c r="AF185" t="s">
        <v>599</v>
      </c>
      <c r="AG185" t="s">
        <v>599</v>
      </c>
      <c r="AH185" t="s">
        <v>599</v>
      </c>
      <c r="AI185" t="s">
        <v>599</v>
      </c>
      <c r="AJ185" t="s">
        <v>2143</v>
      </c>
      <c r="AK185" t="s">
        <v>2144</v>
      </c>
      <c r="AL185" t="s">
        <v>1188</v>
      </c>
      <c r="AM185" t="s">
        <v>2145</v>
      </c>
      <c r="AN185" t="s">
        <v>1190</v>
      </c>
      <c r="AO185" t="s">
        <v>599</v>
      </c>
      <c r="AP185" t="s">
        <v>599</v>
      </c>
      <c r="AQ185" t="s">
        <v>599</v>
      </c>
      <c r="AR185" t="s">
        <v>599</v>
      </c>
      <c r="AS185" t="s">
        <v>2146</v>
      </c>
      <c r="AT185" t="s">
        <v>599</v>
      </c>
      <c r="AU185" t="s">
        <v>599</v>
      </c>
    </row>
    <row r="186" spans="1:47" s="13" customFormat="1" ht="30" x14ac:dyDescent="0.25">
      <c r="A186" s="9">
        <v>10350</v>
      </c>
      <c r="B186" s="10">
        <v>1752559</v>
      </c>
      <c r="C186" s="10">
        <v>1</v>
      </c>
      <c r="D186" s="9">
        <v>1</v>
      </c>
      <c r="E186" s="11" t="s">
        <v>222</v>
      </c>
      <c r="F186" s="11" t="str">
        <f t="shared" si="6"/>
        <v>https://purl.pt/25720</v>
      </c>
      <c r="G186" s="12">
        <v>1</v>
      </c>
      <c r="H186" s="9">
        <v>1</v>
      </c>
      <c r="I186" s="34"/>
      <c r="J186" s="55" t="str">
        <f t="shared" si="7"/>
        <v>https://permalinkbnd.bnportugal.gov.pt/viewer/33216/?offset=#page=1&amp;viewer=picture&amp;o=info&amp;n=0&amp;q=</v>
      </c>
      <c r="K186" s="45"/>
      <c r="L186" s="45"/>
      <c r="M186" s="45"/>
      <c r="N186" t="s">
        <v>222</v>
      </c>
      <c r="O186">
        <v>33216</v>
      </c>
      <c r="P186" t="str">
        <f t="shared" si="8"/>
        <v>https://permalinkbnd.bnportugal.gov.pt/viewer/33216/?offset=#page=1&amp;viewer=picture&amp;o=info&amp;n=0&amp;q=</v>
      </c>
      <c r="Q186">
        <v>1752559</v>
      </c>
      <c r="R186" t="s">
        <v>222</v>
      </c>
      <c r="S186" t="s">
        <v>2147</v>
      </c>
      <c r="T186" t="s">
        <v>1312</v>
      </c>
      <c r="U186" t="s">
        <v>1192</v>
      </c>
      <c r="V186" t="s">
        <v>599</v>
      </c>
      <c r="W186" t="s">
        <v>2148</v>
      </c>
      <c r="X186" t="s">
        <v>599</v>
      </c>
      <c r="Y186" t="s">
        <v>599</v>
      </c>
      <c r="Z186" t="s">
        <v>1182</v>
      </c>
      <c r="AA186" t="s">
        <v>599</v>
      </c>
      <c r="AB186">
        <v>1866</v>
      </c>
      <c r="AC186">
        <v>1866</v>
      </c>
      <c r="AD186" t="s">
        <v>1670</v>
      </c>
      <c r="AE186" t="s">
        <v>1604</v>
      </c>
      <c r="AF186" t="s">
        <v>599</v>
      </c>
      <c r="AG186" t="s">
        <v>599</v>
      </c>
      <c r="AH186" t="s">
        <v>599</v>
      </c>
      <c r="AI186" t="s">
        <v>599</v>
      </c>
      <c r="AJ186" t="s">
        <v>599</v>
      </c>
      <c r="AK186" t="s">
        <v>2149</v>
      </c>
      <c r="AL186" t="s">
        <v>1188</v>
      </c>
      <c r="AM186" t="s">
        <v>2150</v>
      </c>
      <c r="AN186" t="s">
        <v>1190</v>
      </c>
      <c r="AO186" t="s">
        <v>599</v>
      </c>
      <c r="AP186" t="s">
        <v>599</v>
      </c>
      <c r="AQ186" t="s">
        <v>599</v>
      </c>
      <c r="AR186" t="s">
        <v>2151</v>
      </c>
      <c r="AS186" t="s">
        <v>599</v>
      </c>
      <c r="AT186" t="s">
        <v>599</v>
      </c>
      <c r="AU186" t="s">
        <v>599</v>
      </c>
    </row>
    <row r="187" spans="1:47" s="13" customFormat="1" ht="30" x14ac:dyDescent="0.25">
      <c r="A187" s="9">
        <v>10352</v>
      </c>
      <c r="B187" s="10">
        <v>1779910</v>
      </c>
      <c r="C187" s="10">
        <v>1</v>
      </c>
      <c r="D187" s="9">
        <v>1</v>
      </c>
      <c r="E187" s="11" t="s">
        <v>223</v>
      </c>
      <c r="F187" s="11" t="str">
        <f t="shared" si="6"/>
        <v>https://purl.pt/43560</v>
      </c>
      <c r="G187" s="12" t="s">
        <v>71</v>
      </c>
      <c r="H187" s="9">
        <v>1</v>
      </c>
      <c r="I187" s="34"/>
      <c r="J187" s="55" t="str">
        <f t="shared" si="7"/>
        <v>https://permalinkbnd.bnportugal.gov.pt/viewer/272731/?offset=#page=1&amp;viewer=picture&amp;o=info&amp;n=0&amp;q=</v>
      </c>
      <c r="K187" s="45"/>
      <c r="L187" s="45"/>
      <c r="M187" s="45"/>
      <c r="N187" t="s">
        <v>223</v>
      </c>
      <c r="O187">
        <v>272731</v>
      </c>
      <c r="P187" t="str">
        <f t="shared" si="8"/>
        <v>https://permalinkbnd.bnportugal.gov.pt/viewer/272731/?offset=#page=1&amp;viewer=picture&amp;o=info&amp;n=0&amp;q=</v>
      </c>
      <c r="Q187">
        <v>1779910</v>
      </c>
      <c r="R187" t="s">
        <v>223</v>
      </c>
      <c r="S187" t="s">
        <v>2152</v>
      </c>
      <c r="T187" t="s">
        <v>1312</v>
      </c>
      <c r="U187" t="s">
        <v>1209</v>
      </c>
      <c r="V187" t="s">
        <v>599</v>
      </c>
      <c r="W187" t="s">
        <v>2153</v>
      </c>
      <c r="X187" t="s">
        <v>599</v>
      </c>
      <c r="Y187" t="s">
        <v>599</v>
      </c>
      <c r="Z187" t="s">
        <v>1182</v>
      </c>
      <c r="AA187" t="s">
        <v>1453</v>
      </c>
      <c r="AB187">
        <v>1800</v>
      </c>
      <c r="AC187">
        <v>1800</v>
      </c>
      <c r="AD187" t="s">
        <v>1454</v>
      </c>
      <c r="AE187" t="s">
        <v>599</v>
      </c>
      <c r="AF187" t="s">
        <v>599</v>
      </c>
      <c r="AG187" t="s">
        <v>599</v>
      </c>
      <c r="AH187" t="s">
        <v>599</v>
      </c>
      <c r="AI187" t="s">
        <v>599</v>
      </c>
      <c r="AJ187" t="s">
        <v>599</v>
      </c>
      <c r="AK187" t="s">
        <v>2154</v>
      </c>
      <c r="AL187" t="s">
        <v>1188</v>
      </c>
      <c r="AM187" t="s">
        <v>2155</v>
      </c>
      <c r="AN187" t="s">
        <v>1190</v>
      </c>
      <c r="AO187" t="s">
        <v>599</v>
      </c>
      <c r="AP187" t="s">
        <v>599</v>
      </c>
      <c r="AQ187" t="s">
        <v>599</v>
      </c>
      <c r="AR187" t="s">
        <v>599</v>
      </c>
      <c r="AS187" t="s">
        <v>599</v>
      </c>
      <c r="AT187" t="s">
        <v>599</v>
      </c>
      <c r="AU187" t="s">
        <v>599</v>
      </c>
    </row>
    <row r="188" spans="1:47" s="13" customFormat="1" ht="30" x14ac:dyDescent="0.25">
      <c r="A188" s="9">
        <v>10353</v>
      </c>
      <c r="B188" s="10">
        <v>1784317</v>
      </c>
      <c r="C188" s="10">
        <v>1</v>
      </c>
      <c r="D188" s="9">
        <v>1</v>
      </c>
      <c r="E188" s="11" t="s">
        <v>224</v>
      </c>
      <c r="F188" s="11" t="str">
        <f t="shared" si="6"/>
        <v>https://purl.pt/43562</v>
      </c>
      <c r="G188" s="12" t="s">
        <v>71</v>
      </c>
      <c r="H188" s="9">
        <v>1</v>
      </c>
      <c r="I188" s="34"/>
      <c r="J188" s="55" t="str">
        <f t="shared" si="7"/>
        <v>https://permalinkbnd.bnportugal.gov.pt/viewer/272732/?offset=#page=1&amp;viewer=picture&amp;o=info&amp;n=0&amp;q=</v>
      </c>
      <c r="K188" s="45"/>
      <c r="L188" s="45"/>
      <c r="M188" s="45"/>
      <c r="N188" t="s">
        <v>224</v>
      </c>
      <c r="O188">
        <v>272732</v>
      </c>
      <c r="P188" t="str">
        <f t="shared" si="8"/>
        <v>https://permalinkbnd.bnportugal.gov.pt/viewer/272732/?offset=#page=1&amp;viewer=picture&amp;o=info&amp;n=0&amp;q=</v>
      </c>
      <c r="Q188">
        <v>1784317</v>
      </c>
      <c r="R188" t="s">
        <v>224</v>
      </c>
      <c r="S188" t="s">
        <v>2156</v>
      </c>
      <c r="T188" t="s">
        <v>1312</v>
      </c>
      <c r="U188" t="s">
        <v>1362</v>
      </c>
      <c r="V188" t="s">
        <v>599</v>
      </c>
      <c r="W188" t="s">
        <v>2157</v>
      </c>
      <c r="X188" t="s">
        <v>599</v>
      </c>
      <c r="Y188" t="s">
        <v>599</v>
      </c>
      <c r="Z188" t="s">
        <v>1182</v>
      </c>
      <c r="AA188" t="s">
        <v>1453</v>
      </c>
      <c r="AB188">
        <v>1810</v>
      </c>
      <c r="AC188">
        <v>1810</v>
      </c>
      <c r="AD188" t="s">
        <v>1454</v>
      </c>
      <c r="AE188" t="s">
        <v>599</v>
      </c>
      <c r="AF188" t="s">
        <v>599</v>
      </c>
      <c r="AG188" t="s">
        <v>599</v>
      </c>
      <c r="AH188" t="s">
        <v>2158</v>
      </c>
      <c r="AI188" t="s">
        <v>599</v>
      </c>
      <c r="AJ188" t="s">
        <v>599</v>
      </c>
      <c r="AK188" t="s">
        <v>2159</v>
      </c>
      <c r="AL188" t="s">
        <v>1188</v>
      </c>
      <c r="AM188" t="s">
        <v>2160</v>
      </c>
      <c r="AN188" t="s">
        <v>1190</v>
      </c>
      <c r="AO188" t="s">
        <v>599</v>
      </c>
      <c r="AP188" t="s">
        <v>2161</v>
      </c>
      <c r="AQ188" t="s">
        <v>599</v>
      </c>
      <c r="AR188" t="s">
        <v>599</v>
      </c>
      <c r="AS188" t="s">
        <v>599</v>
      </c>
      <c r="AT188" t="s">
        <v>599</v>
      </c>
      <c r="AU188" t="s">
        <v>599</v>
      </c>
    </row>
    <row r="189" spans="1:47" s="13" customFormat="1" ht="30" x14ac:dyDescent="0.25">
      <c r="A189" s="9">
        <v>10354</v>
      </c>
      <c r="B189" s="10">
        <v>1790475</v>
      </c>
      <c r="C189" s="10">
        <v>1</v>
      </c>
      <c r="D189" s="9">
        <v>1</v>
      </c>
      <c r="E189" s="11" t="s">
        <v>225</v>
      </c>
      <c r="F189" s="11" t="str">
        <f t="shared" si="6"/>
        <v>https://purl.pt/43558</v>
      </c>
      <c r="G189" s="12">
        <v>1</v>
      </c>
      <c r="H189" s="9">
        <v>1</v>
      </c>
      <c r="I189" s="34"/>
      <c r="J189" s="55" t="str">
        <f t="shared" si="7"/>
        <v>https://permalinkbnd.bnportugal.gov.pt/viewer/272729/?offset=#page=1&amp;viewer=picture&amp;o=info&amp;n=0&amp;q=</v>
      </c>
      <c r="K189" s="45"/>
      <c r="L189" s="45"/>
      <c r="M189" s="45"/>
      <c r="N189" t="s">
        <v>225</v>
      </c>
      <c r="O189">
        <v>272729</v>
      </c>
      <c r="P189" t="str">
        <f t="shared" si="8"/>
        <v>https://permalinkbnd.bnportugal.gov.pt/viewer/272729/?offset=#page=1&amp;viewer=picture&amp;o=info&amp;n=0&amp;q=</v>
      </c>
      <c r="Q189">
        <v>1790475</v>
      </c>
      <c r="R189" t="s">
        <v>225</v>
      </c>
      <c r="S189" t="s">
        <v>2162</v>
      </c>
      <c r="T189" t="s">
        <v>1312</v>
      </c>
      <c r="U189" t="s">
        <v>1192</v>
      </c>
      <c r="V189" t="s">
        <v>599</v>
      </c>
      <c r="W189" t="s">
        <v>2163</v>
      </c>
      <c r="X189" t="s">
        <v>2164</v>
      </c>
      <c r="Y189" t="s">
        <v>599</v>
      </c>
      <c r="Z189" t="s">
        <v>1182</v>
      </c>
      <c r="AA189" t="s">
        <v>1437</v>
      </c>
      <c r="AB189">
        <v>1793</v>
      </c>
      <c r="AC189">
        <v>1793</v>
      </c>
      <c r="AD189" t="s">
        <v>1454</v>
      </c>
      <c r="AE189" t="s">
        <v>599</v>
      </c>
      <c r="AF189" t="s">
        <v>599</v>
      </c>
      <c r="AG189" t="s">
        <v>599</v>
      </c>
      <c r="AH189" t="s">
        <v>2165</v>
      </c>
      <c r="AI189" t="s">
        <v>599</v>
      </c>
      <c r="AJ189" t="s">
        <v>599</v>
      </c>
      <c r="AK189" t="s">
        <v>2166</v>
      </c>
      <c r="AL189" t="s">
        <v>1188</v>
      </c>
      <c r="AM189" t="s">
        <v>2167</v>
      </c>
      <c r="AN189" t="s">
        <v>1190</v>
      </c>
      <c r="AO189" t="s">
        <v>599</v>
      </c>
      <c r="AP189" t="s">
        <v>599</v>
      </c>
      <c r="AQ189" t="s">
        <v>599</v>
      </c>
      <c r="AR189" t="s">
        <v>599</v>
      </c>
      <c r="AS189" t="s">
        <v>599</v>
      </c>
      <c r="AT189" t="s">
        <v>599</v>
      </c>
      <c r="AU189" t="s">
        <v>599</v>
      </c>
    </row>
    <row r="190" spans="1:47" s="13" customFormat="1" ht="105" x14ac:dyDescent="0.25">
      <c r="A190" s="9">
        <v>10355</v>
      </c>
      <c r="B190" s="10">
        <v>1888900</v>
      </c>
      <c r="C190" s="10">
        <v>1</v>
      </c>
      <c r="D190" s="9">
        <v>1</v>
      </c>
      <c r="E190" s="11" t="s">
        <v>226</v>
      </c>
      <c r="F190" s="11" t="str">
        <f t="shared" si="6"/>
        <v>https://purl.pt/42921</v>
      </c>
      <c r="G190" s="12" t="s">
        <v>227</v>
      </c>
      <c r="H190" s="9" t="s">
        <v>228</v>
      </c>
      <c r="I190" s="34"/>
      <c r="J190" s="55" t="str">
        <f t="shared" si="7"/>
        <v>https://permalinkbnd.bnportugal.gov.pt/viewer/272786/?offset=#page=1&amp;viewer=picture&amp;o=info&amp;n=0&amp;q=</v>
      </c>
      <c r="K190" s="45"/>
      <c r="L190" s="45"/>
      <c r="M190" s="45"/>
      <c r="N190" t="s">
        <v>226</v>
      </c>
      <c r="O190">
        <v>272786</v>
      </c>
      <c r="P190" t="str">
        <f t="shared" si="8"/>
        <v>https://permalinkbnd.bnportugal.gov.pt/viewer/272786/?offset=#page=1&amp;viewer=picture&amp;o=info&amp;n=0&amp;q=</v>
      </c>
      <c r="Q190">
        <v>1888900</v>
      </c>
      <c r="R190" t="s">
        <v>226</v>
      </c>
      <c r="S190" t="s">
        <v>2168</v>
      </c>
      <c r="T190" t="s">
        <v>1178</v>
      </c>
      <c r="U190" t="s">
        <v>1192</v>
      </c>
      <c r="V190" t="s">
        <v>599</v>
      </c>
      <c r="W190" t="s">
        <v>1193</v>
      </c>
      <c r="X190" t="s">
        <v>599</v>
      </c>
      <c r="Y190" t="s">
        <v>599</v>
      </c>
      <c r="Z190" t="s">
        <v>1182</v>
      </c>
      <c r="AA190" t="s">
        <v>2169</v>
      </c>
      <c r="AB190">
        <v>1958</v>
      </c>
      <c r="AC190">
        <v>1958</v>
      </c>
      <c r="AD190" t="s">
        <v>2170</v>
      </c>
      <c r="AE190" t="s">
        <v>1185</v>
      </c>
      <c r="AF190" t="s">
        <v>599</v>
      </c>
      <c r="AG190" t="s">
        <v>599</v>
      </c>
      <c r="AH190" t="s">
        <v>2171</v>
      </c>
      <c r="AI190" t="s">
        <v>599</v>
      </c>
      <c r="AJ190" t="s">
        <v>599</v>
      </c>
      <c r="AK190" t="s">
        <v>2172</v>
      </c>
      <c r="AL190" t="s">
        <v>1188</v>
      </c>
      <c r="AM190" t="s">
        <v>2173</v>
      </c>
      <c r="AN190" t="s">
        <v>1190</v>
      </c>
      <c r="AO190" t="s">
        <v>599</v>
      </c>
      <c r="AP190" t="s">
        <v>599</v>
      </c>
      <c r="AQ190" t="s">
        <v>599</v>
      </c>
      <c r="AR190" t="s">
        <v>599</v>
      </c>
      <c r="AS190" t="s">
        <v>599</v>
      </c>
      <c r="AT190" t="s">
        <v>599</v>
      </c>
      <c r="AU190" t="s">
        <v>599</v>
      </c>
    </row>
    <row r="191" spans="1:47" s="13" customFormat="1" ht="105" x14ac:dyDescent="0.25">
      <c r="A191" s="9">
        <v>10356</v>
      </c>
      <c r="B191" s="10">
        <v>1888900</v>
      </c>
      <c r="C191" s="10">
        <v>1</v>
      </c>
      <c r="D191" s="9">
        <v>8</v>
      </c>
      <c r="E191" s="11" t="s">
        <v>226</v>
      </c>
      <c r="F191" s="11" t="str">
        <f t="shared" si="6"/>
        <v>https://purl.pt/42921</v>
      </c>
      <c r="G191" s="12" t="s">
        <v>227</v>
      </c>
      <c r="H191" s="9" t="s">
        <v>228</v>
      </c>
      <c r="I191" s="34"/>
      <c r="J191" s="55" t="str">
        <f t="shared" si="7"/>
        <v>https://permalinkbnd.bnportugal.gov.pt/viewer/272786/?offset=#page=8&amp;viewer=picture&amp;o=info&amp;n=0&amp;q=</v>
      </c>
      <c r="K191" s="45"/>
      <c r="L191" s="45"/>
      <c r="M191" s="45"/>
      <c r="N191" t="s">
        <v>226</v>
      </c>
      <c r="O191">
        <v>272786</v>
      </c>
      <c r="P191" t="str">
        <f t="shared" si="8"/>
        <v>https://permalinkbnd.bnportugal.gov.pt/viewer/272786/?offset=#page=8&amp;viewer=picture&amp;o=info&amp;n=0&amp;q=</v>
      </c>
      <c r="Q191">
        <v>1888900</v>
      </c>
      <c r="R191" t="s">
        <v>226</v>
      </c>
      <c r="S191" t="s">
        <v>2168</v>
      </c>
      <c r="T191" t="s">
        <v>1178</v>
      </c>
      <c r="U191" t="s">
        <v>1192</v>
      </c>
      <c r="V191" t="s">
        <v>599</v>
      </c>
      <c r="W191" t="s">
        <v>1193</v>
      </c>
      <c r="X191" t="s">
        <v>599</v>
      </c>
      <c r="Y191" t="s">
        <v>599</v>
      </c>
      <c r="Z191" t="s">
        <v>1182</v>
      </c>
      <c r="AA191" t="s">
        <v>2169</v>
      </c>
      <c r="AB191">
        <v>1958</v>
      </c>
      <c r="AC191">
        <v>1958</v>
      </c>
      <c r="AD191" t="s">
        <v>2170</v>
      </c>
      <c r="AE191" t="s">
        <v>1185</v>
      </c>
      <c r="AF191" t="s">
        <v>599</v>
      </c>
      <c r="AG191" t="s">
        <v>599</v>
      </c>
      <c r="AH191" t="s">
        <v>2171</v>
      </c>
      <c r="AI191" t="s">
        <v>599</v>
      </c>
      <c r="AJ191" t="s">
        <v>599</v>
      </c>
      <c r="AK191" t="s">
        <v>2172</v>
      </c>
      <c r="AL191" t="s">
        <v>1188</v>
      </c>
      <c r="AM191" t="s">
        <v>2173</v>
      </c>
      <c r="AN191" t="s">
        <v>1190</v>
      </c>
      <c r="AO191" t="s">
        <v>599</v>
      </c>
      <c r="AP191" t="s">
        <v>599</v>
      </c>
      <c r="AQ191" t="s">
        <v>599</v>
      </c>
      <c r="AR191" t="s">
        <v>599</v>
      </c>
      <c r="AS191" t="s">
        <v>599</v>
      </c>
      <c r="AT191" t="s">
        <v>599</v>
      </c>
      <c r="AU191" t="s">
        <v>599</v>
      </c>
    </row>
    <row r="192" spans="1:47" s="13" customFormat="1" ht="105" x14ac:dyDescent="0.25">
      <c r="A192" s="9">
        <v>10357</v>
      </c>
      <c r="B192" s="10">
        <v>1888900</v>
      </c>
      <c r="C192" s="10">
        <v>1</v>
      </c>
      <c r="D192" s="9">
        <v>10</v>
      </c>
      <c r="E192" s="11" t="s">
        <v>226</v>
      </c>
      <c r="F192" s="11" t="str">
        <f t="shared" si="6"/>
        <v>https://purl.pt/42921</v>
      </c>
      <c r="G192" s="12" t="s">
        <v>227</v>
      </c>
      <c r="H192" s="9" t="s">
        <v>228</v>
      </c>
      <c r="I192" s="34"/>
      <c r="J192" s="55" t="str">
        <f t="shared" si="7"/>
        <v>https://permalinkbnd.bnportugal.gov.pt/viewer/272786/?offset=#page=10&amp;viewer=picture&amp;o=info&amp;n=0&amp;q=</v>
      </c>
      <c r="K192" s="45"/>
      <c r="L192" s="45"/>
      <c r="M192" s="45"/>
      <c r="N192" t="s">
        <v>226</v>
      </c>
      <c r="O192">
        <v>272786</v>
      </c>
      <c r="P192" t="str">
        <f t="shared" si="8"/>
        <v>https://permalinkbnd.bnportugal.gov.pt/viewer/272786/?offset=#page=10&amp;viewer=picture&amp;o=info&amp;n=0&amp;q=</v>
      </c>
      <c r="Q192">
        <v>1888900</v>
      </c>
      <c r="R192" t="s">
        <v>226</v>
      </c>
      <c r="S192" t="s">
        <v>2168</v>
      </c>
      <c r="T192" t="s">
        <v>1178</v>
      </c>
      <c r="U192" t="s">
        <v>1192</v>
      </c>
      <c r="V192" t="s">
        <v>599</v>
      </c>
      <c r="W192" t="s">
        <v>1193</v>
      </c>
      <c r="X192" t="s">
        <v>599</v>
      </c>
      <c r="Y192" t="s">
        <v>599</v>
      </c>
      <c r="Z192" t="s">
        <v>1182</v>
      </c>
      <c r="AA192" t="s">
        <v>2169</v>
      </c>
      <c r="AB192">
        <v>1958</v>
      </c>
      <c r="AC192">
        <v>1958</v>
      </c>
      <c r="AD192" t="s">
        <v>2170</v>
      </c>
      <c r="AE192" t="s">
        <v>1185</v>
      </c>
      <c r="AF192" t="s">
        <v>599</v>
      </c>
      <c r="AG192" t="s">
        <v>599</v>
      </c>
      <c r="AH192" t="s">
        <v>2171</v>
      </c>
      <c r="AI192" t="s">
        <v>599</v>
      </c>
      <c r="AJ192" t="s">
        <v>599</v>
      </c>
      <c r="AK192" t="s">
        <v>2172</v>
      </c>
      <c r="AL192" t="s">
        <v>1188</v>
      </c>
      <c r="AM192" t="s">
        <v>2173</v>
      </c>
      <c r="AN192" t="s">
        <v>1190</v>
      </c>
      <c r="AO192" t="s">
        <v>599</v>
      </c>
      <c r="AP192" t="s">
        <v>599</v>
      </c>
      <c r="AQ192" t="s">
        <v>599</v>
      </c>
      <c r="AR192" t="s">
        <v>599</v>
      </c>
      <c r="AS192" t="s">
        <v>599</v>
      </c>
      <c r="AT192" t="s">
        <v>599</v>
      </c>
      <c r="AU192" t="s">
        <v>599</v>
      </c>
    </row>
    <row r="193" spans="1:47" s="13" customFormat="1" ht="105" x14ac:dyDescent="0.25">
      <c r="A193" s="9">
        <v>10358</v>
      </c>
      <c r="B193" s="10">
        <v>1888900</v>
      </c>
      <c r="C193" s="10">
        <v>1</v>
      </c>
      <c r="D193" s="9">
        <v>12</v>
      </c>
      <c r="E193" s="11" t="s">
        <v>226</v>
      </c>
      <c r="F193" s="11" t="str">
        <f t="shared" si="6"/>
        <v>https://purl.pt/42921</v>
      </c>
      <c r="G193" s="12" t="s">
        <v>227</v>
      </c>
      <c r="H193" s="9" t="s">
        <v>228</v>
      </c>
      <c r="I193" s="34"/>
      <c r="J193" s="55" t="str">
        <f t="shared" si="7"/>
        <v>https://permalinkbnd.bnportugal.gov.pt/viewer/272786/?offset=#page=12&amp;viewer=picture&amp;o=info&amp;n=0&amp;q=</v>
      </c>
      <c r="K193" s="45"/>
      <c r="L193" s="45"/>
      <c r="M193" s="45"/>
      <c r="N193" t="s">
        <v>226</v>
      </c>
      <c r="O193">
        <v>272786</v>
      </c>
      <c r="P193" t="str">
        <f t="shared" si="8"/>
        <v>https://permalinkbnd.bnportugal.gov.pt/viewer/272786/?offset=#page=12&amp;viewer=picture&amp;o=info&amp;n=0&amp;q=</v>
      </c>
      <c r="Q193">
        <v>1888900</v>
      </c>
      <c r="R193" t="s">
        <v>226</v>
      </c>
      <c r="S193" t="s">
        <v>2168</v>
      </c>
      <c r="T193" t="s">
        <v>1178</v>
      </c>
      <c r="U193" t="s">
        <v>1192</v>
      </c>
      <c r="V193" t="s">
        <v>599</v>
      </c>
      <c r="W193" t="s">
        <v>1193</v>
      </c>
      <c r="X193" t="s">
        <v>599</v>
      </c>
      <c r="Y193" t="s">
        <v>599</v>
      </c>
      <c r="Z193" t="s">
        <v>1182</v>
      </c>
      <c r="AA193" t="s">
        <v>2169</v>
      </c>
      <c r="AB193">
        <v>1958</v>
      </c>
      <c r="AC193">
        <v>1958</v>
      </c>
      <c r="AD193" t="s">
        <v>2170</v>
      </c>
      <c r="AE193" t="s">
        <v>1185</v>
      </c>
      <c r="AF193" t="s">
        <v>599</v>
      </c>
      <c r="AG193" t="s">
        <v>599</v>
      </c>
      <c r="AH193" t="s">
        <v>2171</v>
      </c>
      <c r="AI193" t="s">
        <v>599</v>
      </c>
      <c r="AJ193" t="s">
        <v>599</v>
      </c>
      <c r="AK193" t="s">
        <v>2172</v>
      </c>
      <c r="AL193" t="s">
        <v>1188</v>
      </c>
      <c r="AM193" t="s">
        <v>2173</v>
      </c>
      <c r="AN193" t="s">
        <v>1190</v>
      </c>
      <c r="AO193" t="s">
        <v>599</v>
      </c>
      <c r="AP193" t="s">
        <v>599</v>
      </c>
      <c r="AQ193" t="s">
        <v>599</v>
      </c>
      <c r="AR193" t="s">
        <v>599</v>
      </c>
      <c r="AS193" t="s">
        <v>599</v>
      </c>
      <c r="AT193" t="s">
        <v>599</v>
      </c>
      <c r="AU193" t="s">
        <v>599</v>
      </c>
    </row>
    <row r="194" spans="1:47" s="13" customFormat="1" ht="105" x14ac:dyDescent="0.25">
      <c r="A194" s="9">
        <v>10359</v>
      </c>
      <c r="B194" s="10">
        <v>1888900</v>
      </c>
      <c r="C194" s="10">
        <v>1</v>
      </c>
      <c r="D194" s="9">
        <v>52</v>
      </c>
      <c r="E194" s="11" t="s">
        <v>226</v>
      </c>
      <c r="F194" s="11" t="str">
        <f t="shared" si="6"/>
        <v>https://purl.pt/42921</v>
      </c>
      <c r="G194" s="12" t="s">
        <v>227</v>
      </c>
      <c r="H194" s="9" t="s">
        <v>228</v>
      </c>
      <c r="I194" s="34"/>
      <c r="J194" s="55" t="str">
        <f t="shared" si="7"/>
        <v>https://permalinkbnd.bnportugal.gov.pt/viewer/272786/?offset=#page=52&amp;viewer=picture&amp;o=info&amp;n=0&amp;q=</v>
      </c>
      <c r="K194" s="45"/>
      <c r="L194" s="45"/>
      <c r="M194" s="45"/>
      <c r="N194" t="s">
        <v>226</v>
      </c>
      <c r="O194">
        <v>272786</v>
      </c>
      <c r="P194" t="str">
        <f t="shared" si="8"/>
        <v>https://permalinkbnd.bnportugal.gov.pt/viewer/272786/?offset=#page=52&amp;viewer=picture&amp;o=info&amp;n=0&amp;q=</v>
      </c>
      <c r="Q194">
        <v>1888900</v>
      </c>
      <c r="R194" t="s">
        <v>226</v>
      </c>
      <c r="S194" t="s">
        <v>2168</v>
      </c>
      <c r="T194" t="s">
        <v>1178</v>
      </c>
      <c r="U194" t="s">
        <v>1192</v>
      </c>
      <c r="V194" t="s">
        <v>599</v>
      </c>
      <c r="W194" t="s">
        <v>1193</v>
      </c>
      <c r="X194" t="s">
        <v>599</v>
      </c>
      <c r="Y194" t="s">
        <v>599</v>
      </c>
      <c r="Z194" t="s">
        <v>1182</v>
      </c>
      <c r="AA194" t="s">
        <v>2169</v>
      </c>
      <c r="AB194">
        <v>1958</v>
      </c>
      <c r="AC194">
        <v>1958</v>
      </c>
      <c r="AD194" t="s">
        <v>2170</v>
      </c>
      <c r="AE194" t="s">
        <v>1185</v>
      </c>
      <c r="AF194" t="s">
        <v>599</v>
      </c>
      <c r="AG194" t="s">
        <v>599</v>
      </c>
      <c r="AH194" t="s">
        <v>2171</v>
      </c>
      <c r="AI194" t="s">
        <v>599</v>
      </c>
      <c r="AJ194" t="s">
        <v>599</v>
      </c>
      <c r="AK194" t="s">
        <v>2172</v>
      </c>
      <c r="AL194" t="s">
        <v>1188</v>
      </c>
      <c r="AM194" t="s">
        <v>2173</v>
      </c>
      <c r="AN194" t="s">
        <v>1190</v>
      </c>
      <c r="AO194" t="s">
        <v>599</v>
      </c>
      <c r="AP194" t="s">
        <v>599</v>
      </c>
      <c r="AQ194" t="s">
        <v>599</v>
      </c>
      <c r="AR194" t="s">
        <v>599</v>
      </c>
      <c r="AS194" t="s">
        <v>599</v>
      </c>
      <c r="AT194" t="s">
        <v>599</v>
      </c>
      <c r="AU194" t="s">
        <v>599</v>
      </c>
    </row>
    <row r="195" spans="1:47" s="13" customFormat="1" ht="105" x14ac:dyDescent="0.25">
      <c r="A195" s="9">
        <v>10360</v>
      </c>
      <c r="B195" s="10">
        <v>1888900</v>
      </c>
      <c r="C195" s="10">
        <v>1</v>
      </c>
      <c r="D195" s="9">
        <v>53</v>
      </c>
      <c r="E195" s="11" t="s">
        <v>226</v>
      </c>
      <c r="F195" s="11" t="str">
        <f t="shared" ref="F195:F258" si="9">HYPERLINK(E195)</f>
        <v>https://purl.pt/42921</v>
      </c>
      <c r="G195" s="12" t="s">
        <v>227</v>
      </c>
      <c r="H195" s="9" t="s">
        <v>228</v>
      </c>
      <c r="I195" s="34"/>
      <c r="J195" s="55" t="str">
        <f t="shared" ref="J195:J258" si="10">HYPERLINK(P195)</f>
        <v>https://permalinkbnd.bnportugal.gov.pt/viewer/272786/?offset=#page=53&amp;viewer=picture&amp;o=info&amp;n=0&amp;q=</v>
      </c>
      <c r="K195" s="45"/>
      <c r="L195" s="45"/>
      <c r="M195" s="45"/>
      <c r="N195" t="s">
        <v>226</v>
      </c>
      <c r="O195">
        <v>272786</v>
      </c>
      <c r="P195" t="str">
        <f t="shared" ref="P195:P258" si="11">CONCATENATE("https://permalinkbnd.bnportugal.gov.pt/viewer/",O195,"/?offset=#page=",D195,"&amp;viewer=picture&amp;o=info&amp;n=0&amp;q=")</f>
        <v>https://permalinkbnd.bnportugal.gov.pt/viewer/272786/?offset=#page=53&amp;viewer=picture&amp;o=info&amp;n=0&amp;q=</v>
      </c>
      <c r="Q195">
        <v>1888900</v>
      </c>
      <c r="R195" t="s">
        <v>226</v>
      </c>
      <c r="S195" t="s">
        <v>2168</v>
      </c>
      <c r="T195" t="s">
        <v>1178</v>
      </c>
      <c r="U195" t="s">
        <v>1192</v>
      </c>
      <c r="V195" t="s">
        <v>599</v>
      </c>
      <c r="W195" t="s">
        <v>1193</v>
      </c>
      <c r="X195" t="s">
        <v>599</v>
      </c>
      <c r="Y195" t="s">
        <v>599</v>
      </c>
      <c r="Z195" t="s">
        <v>1182</v>
      </c>
      <c r="AA195" t="s">
        <v>2169</v>
      </c>
      <c r="AB195">
        <v>1958</v>
      </c>
      <c r="AC195">
        <v>1958</v>
      </c>
      <c r="AD195" t="s">
        <v>2170</v>
      </c>
      <c r="AE195" t="s">
        <v>1185</v>
      </c>
      <c r="AF195" t="s">
        <v>599</v>
      </c>
      <c r="AG195" t="s">
        <v>599</v>
      </c>
      <c r="AH195" t="s">
        <v>2171</v>
      </c>
      <c r="AI195" t="s">
        <v>599</v>
      </c>
      <c r="AJ195" t="s">
        <v>599</v>
      </c>
      <c r="AK195" t="s">
        <v>2172</v>
      </c>
      <c r="AL195" t="s">
        <v>1188</v>
      </c>
      <c r="AM195" t="s">
        <v>2173</v>
      </c>
      <c r="AN195" t="s">
        <v>1190</v>
      </c>
      <c r="AO195" t="s">
        <v>599</v>
      </c>
      <c r="AP195" t="s">
        <v>599</v>
      </c>
      <c r="AQ195" t="s">
        <v>599</v>
      </c>
      <c r="AR195" t="s">
        <v>599</v>
      </c>
      <c r="AS195" t="s">
        <v>599</v>
      </c>
      <c r="AT195" t="s">
        <v>599</v>
      </c>
      <c r="AU195" t="s">
        <v>599</v>
      </c>
    </row>
    <row r="196" spans="1:47" s="13" customFormat="1" ht="105" x14ac:dyDescent="0.25">
      <c r="A196" s="9">
        <v>10361</v>
      </c>
      <c r="B196" s="10">
        <v>1888900</v>
      </c>
      <c r="C196" s="10">
        <v>1</v>
      </c>
      <c r="D196" s="9">
        <v>86</v>
      </c>
      <c r="E196" s="11" t="s">
        <v>226</v>
      </c>
      <c r="F196" s="11" t="str">
        <f t="shared" si="9"/>
        <v>https://purl.pt/42921</v>
      </c>
      <c r="G196" s="12" t="s">
        <v>227</v>
      </c>
      <c r="H196" s="9" t="s">
        <v>228</v>
      </c>
      <c r="I196" s="34"/>
      <c r="J196" s="55" t="str">
        <f t="shared" si="10"/>
        <v>https://permalinkbnd.bnportugal.gov.pt/viewer/272786/?offset=#page=86&amp;viewer=picture&amp;o=info&amp;n=0&amp;q=</v>
      </c>
      <c r="K196" s="45"/>
      <c r="L196" s="45"/>
      <c r="M196" s="45"/>
      <c r="N196" t="s">
        <v>226</v>
      </c>
      <c r="O196">
        <v>272786</v>
      </c>
      <c r="P196" t="str">
        <f t="shared" si="11"/>
        <v>https://permalinkbnd.bnportugal.gov.pt/viewer/272786/?offset=#page=86&amp;viewer=picture&amp;o=info&amp;n=0&amp;q=</v>
      </c>
      <c r="Q196">
        <v>1888900</v>
      </c>
      <c r="R196" t="s">
        <v>226</v>
      </c>
      <c r="S196" t="s">
        <v>2168</v>
      </c>
      <c r="T196" t="s">
        <v>1178</v>
      </c>
      <c r="U196" t="s">
        <v>1192</v>
      </c>
      <c r="V196" t="s">
        <v>599</v>
      </c>
      <c r="W196" t="s">
        <v>1193</v>
      </c>
      <c r="X196" t="s">
        <v>599</v>
      </c>
      <c r="Y196" t="s">
        <v>599</v>
      </c>
      <c r="Z196" t="s">
        <v>1182</v>
      </c>
      <c r="AA196" t="s">
        <v>2169</v>
      </c>
      <c r="AB196">
        <v>1958</v>
      </c>
      <c r="AC196">
        <v>1958</v>
      </c>
      <c r="AD196" t="s">
        <v>2170</v>
      </c>
      <c r="AE196" t="s">
        <v>1185</v>
      </c>
      <c r="AF196" t="s">
        <v>599</v>
      </c>
      <c r="AG196" t="s">
        <v>599</v>
      </c>
      <c r="AH196" t="s">
        <v>2171</v>
      </c>
      <c r="AI196" t="s">
        <v>599</v>
      </c>
      <c r="AJ196" t="s">
        <v>599</v>
      </c>
      <c r="AK196" t="s">
        <v>2172</v>
      </c>
      <c r="AL196" t="s">
        <v>1188</v>
      </c>
      <c r="AM196" t="s">
        <v>2173</v>
      </c>
      <c r="AN196" t="s">
        <v>1190</v>
      </c>
      <c r="AO196" t="s">
        <v>599</v>
      </c>
      <c r="AP196" t="s">
        <v>599</v>
      </c>
      <c r="AQ196" t="s">
        <v>599</v>
      </c>
      <c r="AR196" t="s">
        <v>599</v>
      </c>
      <c r="AS196" t="s">
        <v>599</v>
      </c>
      <c r="AT196" t="s">
        <v>599</v>
      </c>
      <c r="AU196" t="s">
        <v>599</v>
      </c>
    </row>
    <row r="197" spans="1:47" s="13" customFormat="1" ht="105" x14ac:dyDescent="0.25">
      <c r="A197" s="9">
        <v>10362</v>
      </c>
      <c r="B197" s="10">
        <v>1888900</v>
      </c>
      <c r="C197" s="10">
        <v>1</v>
      </c>
      <c r="D197" s="9">
        <v>87</v>
      </c>
      <c r="E197" s="11" t="s">
        <v>226</v>
      </c>
      <c r="F197" s="11" t="str">
        <f t="shared" si="9"/>
        <v>https://purl.pt/42921</v>
      </c>
      <c r="G197" s="12" t="s">
        <v>227</v>
      </c>
      <c r="H197" s="9" t="s">
        <v>228</v>
      </c>
      <c r="I197" s="34"/>
      <c r="J197" s="55" t="str">
        <f t="shared" si="10"/>
        <v>https://permalinkbnd.bnportugal.gov.pt/viewer/272786/?offset=#page=87&amp;viewer=picture&amp;o=info&amp;n=0&amp;q=</v>
      </c>
      <c r="K197" s="45"/>
      <c r="L197" s="45"/>
      <c r="M197" s="45"/>
      <c r="N197" t="s">
        <v>226</v>
      </c>
      <c r="O197">
        <v>272786</v>
      </c>
      <c r="P197" t="str">
        <f t="shared" si="11"/>
        <v>https://permalinkbnd.bnportugal.gov.pt/viewer/272786/?offset=#page=87&amp;viewer=picture&amp;o=info&amp;n=0&amp;q=</v>
      </c>
      <c r="Q197">
        <v>1888900</v>
      </c>
      <c r="R197" t="s">
        <v>226</v>
      </c>
      <c r="S197" t="s">
        <v>2168</v>
      </c>
      <c r="T197" t="s">
        <v>1178</v>
      </c>
      <c r="U197" t="s">
        <v>1192</v>
      </c>
      <c r="V197" t="s">
        <v>599</v>
      </c>
      <c r="W197" t="s">
        <v>1193</v>
      </c>
      <c r="X197" t="s">
        <v>599</v>
      </c>
      <c r="Y197" t="s">
        <v>599</v>
      </c>
      <c r="Z197" t="s">
        <v>1182</v>
      </c>
      <c r="AA197" t="s">
        <v>2169</v>
      </c>
      <c r="AB197">
        <v>1958</v>
      </c>
      <c r="AC197">
        <v>1958</v>
      </c>
      <c r="AD197" t="s">
        <v>2170</v>
      </c>
      <c r="AE197" t="s">
        <v>1185</v>
      </c>
      <c r="AF197" t="s">
        <v>599</v>
      </c>
      <c r="AG197" t="s">
        <v>599</v>
      </c>
      <c r="AH197" t="s">
        <v>2171</v>
      </c>
      <c r="AI197" t="s">
        <v>599</v>
      </c>
      <c r="AJ197" t="s">
        <v>599</v>
      </c>
      <c r="AK197" t="s">
        <v>2172</v>
      </c>
      <c r="AL197" t="s">
        <v>1188</v>
      </c>
      <c r="AM197" t="s">
        <v>2173</v>
      </c>
      <c r="AN197" t="s">
        <v>1190</v>
      </c>
      <c r="AO197" t="s">
        <v>599</v>
      </c>
      <c r="AP197" t="s">
        <v>599</v>
      </c>
      <c r="AQ197" t="s">
        <v>599</v>
      </c>
      <c r="AR197" t="s">
        <v>599</v>
      </c>
      <c r="AS197" t="s">
        <v>599</v>
      </c>
      <c r="AT197" t="s">
        <v>599</v>
      </c>
      <c r="AU197" t="s">
        <v>599</v>
      </c>
    </row>
    <row r="198" spans="1:47" s="13" customFormat="1" ht="105" x14ac:dyDescent="0.25">
      <c r="A198" s="9">
        <v>10363</v>
      </c>
      <c r="B198" s="10">
        <v>1888900</v>
      </c>
      <c r="C198" s="10">
        <v>1</v>
      </c>
      <c r="D198" s="9">
        <v>88</v>
      </c>
      <c r="E198" s="11" t="s">
        <v>226</v>
      </c>
      <c r="F198" s="11" t="str">
        <f t="shared" si="9"/>
        <v>https://purl.pt/42921</v>
      </c>
      <c r="G198" s="12" t="s">
        <v>227</v>
      </c>
      <c r="H198" s="9" t="s">
        <v>228</v>
      </c>
      <c r="I198" s="34"/>
      <c r="J198" s="55" t="str">
        <f t="shared" si="10"/>
        <v>https://permalinkbnd.bnportugal.gov.pt/viewer/272786/?offset=#page=88&amp;viewer=picture&amp;o=info&amp;n=0&amp;q=</v>
      </c>
      <c r="K198" s="45"/>
      <c r="L198" s="45"/>
      <c r="M198" s="45"/>
      <c r="N198" t="s">
        <v>226</v>
      </c>
      <c r="O198">
        <v>272786</v>
      </c>
      <c r="P198" t="str">
        <f t="shared" si="11"/>
        <v>https://permalinkbnd.bnportugal.gov.pt/viewer/272786/?offset=#page=88&amp;viewer=picture&amp;o=info&amp;n=0&amp;q=</v>
      </c>
      <c r="Q198">
        <v>1888900</v>
      </c>
      <c r="R198" t="s">
        <v>226</v>
      </c>
      <c r="S198" t="s">
        <v>2168</v>
      </c>
      <c r="T198" t="s">
        <v>1178</v>
      </c>
      <c r="U198" t="s">
        <v>1192</v>
      </c>
      <c r="V198" t="s">
        <v>599</v>
      </c>
      <c r="W198" t="s">
        <v>1193</v>
      </c>
      <c r="X198" t="s">
        <v>599</v>
      </c>
      <c r="Y198" t="s">
        <v>599</v>
      </c>
      <c r="Z198" t="s">
        <v>1182</v>
      </c>
      <c r="AA198" t="s">
        <v>2169</v>
      </c>
      <c r="AB198">
        <v>1958</v>
      </c>
      <c r="AC198">
        <v>1958</v>
      </c>
      <c r="AD198" t="s">
        <v>2170</v>
      </c>
      <c r="AE198" t="s">
        <v>1185</v>
      </c>
      <c r="AF198" t="s">
        <v>599</v>
      </c>
      <c r="AG198" t="s">
        <v>599</v>
      </c>
      <c r="AH198" t="s">
        <v>2171</v>
      </c>
      <c r="AI198" t="s">
        <v>599</v>
      </c>
      <c r="AJ198" t="s">
        <v>599</v>
      </c>
      <c r="AK198" t="s">
        <v>2172</v>
      </c>
      <c r="AL198" t="s">
        <v>1188</v>
      </c>
      <c r="AM198" t="s">
        <v>2173</v>
      </c>
      <c r="AN198" t="s">
        <v>1190</v>
      </c>
      <c r="AO198" t="s">
        <v>599</v>
      </c>
      <c r="AP198" t="s">
        <v>599</v>
      </c>
      <c r="AQ198" t="s">
        <v>599</v>
      </c>
      <c r="AR198" t="s">
        <v>599</v>
      </c>
      <c r="AS198" t="s">
        <v>599</v>
      </c>
      <c r="AT198" t="s">
        <v>599</v>
      </c>
      <c r="AU198" t="s">
        <v>599</v>
      </c>
    </row>
    <row r="199" spans="1:47" s="13" customFormat="1" ht="105" x14ac:dyDescent="0.25">
      <c r="A199" s="9">
        <v>10364</v>
      </c>
      <c r="B199" s="10">
        <v>1888900</v>
      </c>
      <c r="C199" s="10">
        <v>1</v>
      </c>
      <c r="D199" s="9">
        <v>166</v>
      </c>
      <c r="E199" s="11" t="s">
        <v>226</v>
      </c>
      <c r="F199" s="11" t="str">
        <f t="shared" si="9"/>
        <v>https://purl.pt/42921</v>
      </c>
      <c r="G199" s="12" t="s">
        <v>227</v>
      </c>
      <c r="H199" s="9" t="s">
        <v>228</v>
      </c>
      <c r="I199" s="34"/>
      <c r="J199" s="55" t="str">
        <f t="shared" si="10"/>
        <v>https://permalinkbnd.bnportugal.gov.pt/viewer/272786/?offset=#page=166&amp;viewer=picture&amp;o=info&amp;n=0&amp;q=</v>
      </c>
      <c r="K199" s="45"/>
      <c r="L199" s="45"/>
      <c r="M199" s="45"/>
      <c r="N199" t="s">
        <v>226</v>
      </c>
      <c r="O199">
        <v>272786</v>
      </c>
      <c r="P199" t="str">
        <f t="shared" si="11"/>
        <v>https://permalinkbnd.bnportugal.gov.pt/viewer/272786/?offset=#page=166&amp;viewer=picture&amp;o=info&amp;n=0&amp;q=</v>
      </c>
      <c r="Q199">
        <v>1888900</v>
      </c>
      <c r="R199" t="s">
        <v>226</v>
      </c>
      <c r="S199" t="s">
        <v>599</v>
      </c>
      <c r="T199" t="s">
        <v>1178</v>
      </c>
      <c r="U199" t="s">
        <v>1192</v>
      </c>
      <c r="V199" t="s">
        <v>599</v>
      </c>
      <c r="W199" t="s">
        <v>1193</v>
      </c>
      <c r="X199" t="s">
        <v>599</v>
      </c>
      <c r="Y199" t="s">
        <v>599</v>
      </c>
      <c r="Z199" t="s">
        <v>1182</v>
      </c>
      <c r="AA199" t="s">
        <v>2169</v>
      </c>
      <c r="AB199">
        <v>1958</v>
      </c>
      <c r="AC199">
        <v>1958</v>
      </c>
      <c r="AD199" t="s">
        <v>2170</v>
      </c>
      <c r="AE199" t="s">
        <v>1185</v>
      </c>
      <c r="AF199" t="s">
        <v>599</v>
      </c>
      <c r="AG199" t="s">
        <v>599</v>
      </c>
      <c r="AH199" t="s">
        <v>2171</v>
      </c>
      <c r="AI199" t="s">
        <v>599</v>
      </c>
      <c r="AJ199" t="s">
        <v>599</v>
      </c>
      <c r="AK199" t="s">
        <v>2172</v>
      </c>
      <c r="AL199" t="s">
        <v>1188</v>
      </c>
      <c r="AM199" t="s">
        <v>2173</v>
      </c>
      <c r="AN199" t="s">
        <v>1190</v>
      </c>
      <c r="AO199" t="s">
        <v>599</v>
      </c>
      <c r="AP199" t="s">
        <v>599</v>
      </c>
      <c r="AQ199" t="s">
        <v>599</v>
      </c>
      <c r="AR199" t="s">
        <v>599</v>
      </c>
      <c r="AS199" t="s">
        <v>599</v>
      </c>
      <c r="AT199" t="s">
        <v>599</v>
      </c>
      <c r="AU199" t="s">
        <v>599</v>
      </c>
    </row>
    <row r="200" spans="1:47" s="13" customFormat="1" ht="105" x14ac:dyDescent="0.25">
      <c r="A200" s="9">
        <v>10365</v>
      </c>
      <c r="B200" s="10">
        <v>1888900</v>
      </c>
      <c r="C200" s="10">
        <v>1</v>
      </c>
      <c r="D200" s="9">
        <v>167</v>
      </c>
      <c r="E200" s="11" t="s">
        <v>226</v>
      </c>
      <c r="F200" s="11" t="str">
        <f t="shared" si="9"/>
        <v>https://purl.pt/42921</v>
      </c>
      <c r="G200" s="12" t="s">
        <v>227</v>
      </c>
      <c r="H200" s="9" t="s">
        <v>228</v>
      </c>
      <c r="I200" s="34"/>
      <c r="J200" s="55" t="str">
        <f t="shared" si="10"/>
        <v>https://permalinkbnd.bnportugal.gov.pt/viewer/272786/?offset=#page=167&amp;viewer=picture&amp;o=info&amp;n=0&amp;q=</v>
      </c>
      <c r="K200" s="45"/>
      <c r="L200" s="45"/>
      <c r="M200" s="45"/>
      <c r="N200" t="s">
        <v>226</v>
      </c>
      <c r="O200">
        <v>272786</v>
      </c>
      <c r="P200" t="str">
        <f t="shared" si="11"/>
        <v>https://permalinkbnd.bnportugal.gov.pt/viewer/272786/?offset=#page=167&amp;viewer=picture&amp;o=info&amp;n=0&amp;q=</v>
      </c>
      <c r="Q200">
        <v>1888900</v>
      </c>
      <c r="R200" t="s">
        <v>226</v>
      </c>
      <c r="S200" t="s">
        <v>599</v>
      </c>
      <c r="T200" t="s">
        <v>1178</v>
      </c>
      <c r="U200" t="s">
        <v>1192</v>
      </c>
      <c r="V200" t="s">
        <v>599</v>
      </c>
      <c r="W200" t="s">
        <v>1193</v>
      </c>
      <c r="X200" t="s">
        <v>599</v>
      </c>
      <c r="Y200" t="s">
        <v>599</v>
      </c>
      <c r="Z200" t="s">
        <v>1182</v>
      </c>
      <c r="AA200" t="s">
        <v>2169</v>
      </c>
      <c r="AB200">
        <v>1958</v>
      </c>
      <c r="AC200">
        <v>1958</v>
      </c>
      <c r="AD200" t="s">
        <v>2170</v>
      </c>
      <c r="AE200" t="s">
        <v>1185</v>
      </c>
      <c r="AF200" t="s">
        <v>599</v>
      </c>
      <c r="AG200" t="s">
        <v>599</v>
      </c>
      <c r="AH200" t="s">
        <v>2171</v>
      </c>
      <c r="AI200" t="s">
        <v>599</v>
      </c>
      <c r="AJ200" t="s">
        <v>599</v>
      </c>
      <c r="AK200" t="s">
        <v>2172</v>
      </c>
      <c r="AL200" t="s">
        <v>1188</v>
      </c>
      <c r="AM200" t="s">
        <v>2173</v>
      </c>
      <c r="AN200" t="s">
        <v>1190</v>
      </c>
      <c r="AO200" t="s">
        <v>599</v>
      </c>
      <c r="AP200" t="s">
        <v>599</v>
      </c>
      <c r="AQ200" t="s">
        <v>599</v>
      </c>
      <c r="AR200" t="s">
        <v>599</v>
      </c>
      <c r="AS200" t="s">
        <v>599</v>
      </c>
      <c r="AT200" t="s">
        <v>599</v>
      </c>
      <c r="AU200" t="s">
        <v>599</v>
      </c>
    </row>
    <row r="201" spans="1:47" s="13" customFormat="1" ht="105" x14ac:dyDescent="0.25">
      <c r="A201" s="9">
        <v>10366</v>
      </c>
      <c r="B201" s="10">
        <v>1888900</v>
      </c>
      <c r="C201" s="10">
        <v>1</v>
      </c>
      <c r="D201" s="9">
        <v>168</v>
      </c>
      <c r="E201" s="11" t="s">
        <v>226</v>
      </c>
      <c r="F201" s="11" t="str">
        <f t="shared" si="9"/>
        <v>https://purl.pt/42921</v>
      </c>
      <c r="G201" s="12" t="s">
        <v>227</v>
      </c>
      <c r="H201" s="9" t="s">
        <v>228</v>
      </c>
      <c r="I201" s="34"/>
      <c r="J201" s="55" t="str">
        <f t="shared" si="10"/>
        <v>https://permalinkbnd.bnportugal.gov.pt/viewer/272786/?offset=#page=168&amp;viewer=picture&amp;o=info&amp;n=0&amp;q=</v>
      </c>
      <c r="K201" s="45"/>
      <c r="L201" s="45"/>
      <c r="M201" s="45"/>
      <c r="N201" t="s">
        <v>226</v>
      </c>
      <c r="O201">
        <v>272786</v>
      </c>
      <c r="P201" t="str">
        <f t="shared" si="11"/>
        <v>https://permalinkbnd.bnportugal.gov.pt/viewer/272786/?offset=#page=168&amp;viewer=picture&amp;o=info&amp;n=0&amp;q=</v>
      </c>
      <c r="Q201">
        <v>1888900</v>
      </c>
      <c r="R201" t="s">
        <v>226</v>
      </c>
      <c r="S201" t="s">
        <v>599</v>
      </c>
      <c r="T201" t="s">
        <v>1178</v>
      </c>
      <c r="U201" t="s">
        <v>1192</v>
      </c>
      <c r="V201" t="s">
        <v>599</v>
      </c>
      <c r="W201" t="s">
        <v>1193</v>
      </c>
      <c r="X201" t="s">
        <v>599</v>
      </c>
      <c r="Y201" t="s">
        <v>599</v>
      </c>
      <c r="Z201" t="s">
        <v>1182</v>
      </c>
      <c r="AA201" t="s">
        <v>2169</v>
      </c>
      <c r="AB201">
        <v>1958</v>
      </c>
      <c r="AC201">
        <v>1958</v>
      </c>
      <c r="AD201" t="s">
        <v>2170</v>
      </c>
      <c r="AE201" t="s">
        <v>1185</v>
      </c>
      <c r="AF201" t="s">
        <v>599</v>
      </c>
      <c r="AG201" t="s">
        <v>599</v>
      </c>
      <c r="AH201" t="s">
        <v>2171</v>
      </c>
      <c r="AI201" t="s">
        <v>599</v>
      </c>
      <c r="AJ201" t="s">
        <v>599</v>
      </c>
      <c r="AK201" t="s">
        <v>2172</v>
      </c>
      <c r="AL201" t="s">
        <v>1188</v>
      </c>
      <c r="AM201" t="s">
        <v>2173</v>
      </c>
      <c r="AN201" t="s">
        <v>1190</v>
      </c>
      <c r="AO201" t="s">
        <v>599</v>
      </c>
      <c r="AP201" t="s">
        <v>599</v>
      </c>
      <c r="AQ201" t="s">
        <v>599</v>
      </c>
      <c r="AR201" t="s">
        <v>599</v>
      </c>
      <c r="AS201" t="s">
        <v>599</v>
      </c>
      <c r="AT201" t="s">
        <v>599</v>
      </c>
      <c r="AU201" t="s">
        <v>599</v>
      </c>
    </row>
    <row r="202" spans="1:47" s="13" customFormat="1" ht="105" x14ac:dyDescent="0.25">
      <c r="A202" s="9">
        <v>10367</v>
      </c>
      <c r="B202" s="10">
        <v>1888900</v>
      </c>
      <c r="C202" s="10">
        <v>1</v>
      </c>
      <c r="D202" s="9">
        <v>241</v>
      </c>
      <c r="E202" s="11" t="s">
        <v>226</v>
      </c>
      <c r="F202" s="11" t="str">
        <f t="shared" si="9"/>
        <v>https://purl.pt/42921</v>
      </c>
      <c r="G202" s="12" t="s">
        <v>227</v>
      </c>
      <c r="H202" s="9" t="s">
        <v>228</v>
      </c>
      <c r="I202" s="34"/>
      <c r="J202" s="55" t="str">
        <f t="shared" si="10"/>
        <v>https://permalinkbnd.bnportugal.gov.pt/viewer/272786/?offset=#page=241&amp;viewer=picture&amp;o=info&amp;n=0&amp;q=</v>
      </c>
      <c r="K202" s="45"/>
      <c r="L202" s="45"/>
      <c r="M202" s="45"/>
      <c r="N202" t="s">
        <v>226</v>
      </c>
      <c r="O202">
        <v>272786</v>
      </c>
      <c r="P202" t="str">
        <f t="shared" si="11"/>
        <v>https://permalinkbnd.bnportugal.gov.pt/viewer/272786/?offset=#page=241&amp;viewer=picture&amp;o=info&amp;n=0&amp;q=</v>
      </c>
      <c r="Q202">
        <v>1888900</v>
      </c>
      <c r="R202" t="s">
        <v>226</v>
      </c>
      <c r="S202" t="s">
        <v>2168</v>
      </c>
      <c r="T202" t="s">
        <v>1178</v>
      </c>
      <c r="U202" t="s">
        <v>1192</v>
      </c>
      <c r="V202" t="s">
        <v>599</v>
      </c>
      <c r="W202" t="s">
        <v>1193</v>
      </c>
      <c r="X202" t="s">
        <v>599</v>
      </c>
      <c r="Y202" t="s">
        <v>599</v>
      </c>
      <c r="Z202" t="s">
        <v>1182</v>
      </c>
      <c r="AA202" t="s">
        <v>2169</v>
      </c>
      <c r="AB202">
        <v>1958</v>
      </c>
      <c r="AC202">
        <v>1958</v>
      </c>
      <c r="AD202" t="s">
        <v>2170</v>
      </c>
      <c r="AE202" t="s">
        <v>1185</v>
      </c>
      <c r="AF202" t="s">
        <v>599</v>
      </c>
      <c r="AG202" t="s">
        <v>599</v>
      </c>
      <c r="AH202" t="s">
        <v>2171</v>
      </c>
      <c r="AI202" t="s">
        <v>599</v>
      </c>
      <c r="AJ202" t="s">
        <v>599</v>
      </c>
      <c r="AK202" t="s">
        <v>2172</v>
      </c>
      <c r="AL202" t="s">
        <v>1188</v>
      </c>
      <c r="AM202" t="s">
        <v>2173</v>
      </c>
      <c r="AN202" t="s">
        <v>1190</v>
      </c>
      <c r="AO202" t="s">
        <v>599</v>
      </c>
      <c r="AP202" t="s">
        <v>599</v>
      </c>
      <c r="AQ202" t="s">
        <v>599</v>
      </c>
      <c r="AR202" t="s">
        <v>599</v>
      </c>
      <c r="AS202" t="s">
        <v>599</v>
      </c>
      <c r="AT202" t="s">
        <v>599</v>
      </c>
      <c r="AU202" t="s">
        <v>599</v>
      </c>
    </row>
    <row r="203" spans="1:47" s="13" customFormat="1" ht="105" x14ac:dyDescent="0.25">
      <c r="A203" s="9">
        <v>10368</v>
      </c>
      <c r="B203" s="10">
        <v>1888900</v>
      </c>
      <c r="C203" s="10">
        <v>1</v>
      </c>
      <c r="D203" s="9">
        <v>329</v>
      </c>
      <c r="E203" s="11" t="s">
        <v>226</v>
      </c>
      <c r="F203" s="11" t="str">
        <f t="shared" si="9"/>
        <v>https://purl.pt/42921</v>
      </c>
      <c r="G203" s="12" t="s">
        <v>227</v>
      </c>
      <c r="H203" s="9" t="s">
        <v>228</v>
      </c>
      <c r="I203" s="34"/>
      <c r="J203" s="55" t="str">
        <f t="shared" si="10"/>
        <v>https://permalinkbnd.bnportugal.gov.pt/viewer/272786/?offset=#page=329&amp;viewer=picture&amp;o=info&amp;n=0&amp;q=</v>
      </c>
      <c r="K203" s="45"/>
      <c r="L203" s="45"/>
      <c r="M203" s="45"/>
      <c r="N203" t="s">
        <v>226</v>
      </c>
      <c r="O203">
        <v>272786</v>
      </c>
      <c r="P203" t="str">
        <f t="shared" si="11"/>
        <v>https://permalinkbnd.bnportugal.gov.pt/viewer/272786/?offset=#page=329&amp;viewer=picture&amp;o=info&amp;n=0&amp;q=</v>
      </c>
      <c r="Q203">
        <v>1888900</v>
      </c>
      <c r="R203" t="s">
        <v>226</v>
      </c>
      <c r="S203" t="s">
        <v>599</v>
      </c>
      <c r="T203" t="s">
        <v>1178</v>
      </c>
      <c r="U203" t="s">
        <v>1192</v>
      </c>
      <c r="V203" t="s">
        <v>599</v>
      </c>
      <c r="W203" t="s">
        <v>1193</v>
      </c>
      <c r="X203" t="s">
        <v>599</v>
      </c>
      <c r="Y203" t="s">
        <v>599</v>
      </c>
      <c r="Z203" t="s">
        <v>1182</v>
      </c>
      <c r="AA203" t="s">
        <v>2169</v>
      </c>
      <c r="AB203">
        <v>1958</v>
      </c>
      <c r="AC203">
        <v>1958</v>
      </c>
      <c r="AD203" t="s">
        <v>2170</v>
      </c>
      <c r="AE203" t="s">
        <v>1185</v>
      </c>
      <c r="AF203" t="s">
        <v>599</v>
      </c>
      <c r="AG203" t="s">
        <v>599</v>
      </c>
      <c r="AH203" t="s">
        <v>2171</v>
      </c>
      <c r="AI203" t="s">
        <v>599</v>
      </c>
      <c r="AJ203" t="s">
        <v>599</v>
      </c>
      <c r="AK203" t="s">
        <v>2172</v>
      </c>
      <c r="AL203" t="s">
        <v>1188</v>
      </c>
      <c r="AM203" t="s">
        <v>2173</v>
      </c>
      <c r="AN203" t="s">
        <v>1190</v>
      </c>
      <c r="AO203" t="s">
        <v>599</v>
      </c>
      <c r="AP203" t="s">
        <v>599</v>
      </c>
      <c r="AQ203" t="s">
        <v>599</v>
      </c>
      <c r="AR203" t="s">
        <v>599</v>
      </c>
      <c r="AS203" t="s">
        <v>599</v>
      </c>
      <c r="AT203" t="s">
        <v>599</v>
      </c>
      <c r="AU203" t="s">
        <v>599</v>
      </c>
    </row>
    <row r="204" spans="1:47" s="13" customFormat="1" ht="105" x14ac:dyDescent="0.25">
      <c r="A204" s="9">
        <v>10369</v>
      </c>
      <c r="B204" s="10">
        <v>1888900</v>
      </c>
      <c r="C204" s="10">
        <v>1</v>
      </c>
      <c r="D204" s="9">
        <v>330</v>
      </c>
      <c r="E204" s="11" t="s">
        <v>226</v>
      </c>
      <c r="F204" s="11" t="str">
        <f t="shared" si="9"/>
        <v>https://purl.pt/42921</v>
      </c>
      <c r="G204" s="12" t="s">
        <v>227</v>
      </c>
      <c r="H204" s="9" t="s">
        <v>228</v>
      </c>
      <c r="I204" s="34"/>
      <c r="J204" s="55" t="str">
        <f t="shared" si="10"/>
        <v>https://permalinkbnd.bnportugal.gov.pt/viewer/272786/?offset=#page=330&amp;viewer=picture&amp;o=info&amp;n=0&amp;q=</v>
      </c>
      <c r="K204" s="45"/>
      <c r="L204" s="45"/>
      <c r="M204" s="45"/>
      <c r="N204" t="s">
        <v>226</v>
      </c>
      <c r="O204">
        <v>272786</v>
      </c>
      <c r="P204" t="str">
        <f t="shared" si="11"/>
        <v>https://permalinkbnd.bnportugal.gov.pt/viewer/272786/?offset=#page=330&amp;viewer=picture&amp;o=info&amp;n=0&amp;q=</v>
      </c>
      <c r="Q204">
        <v>1888900</v>
      </c>
      <c r="R204" t="s">
        <v>226</v>
      </c>
      <c r="S204" t="s">
        <v>2168</v>
      </c>
      <c r="T204" t="s">
        <v>1178</v>
      </c>
      <c r="U204" t="s">
        <v>1192</v>
      </c>
      <c r="V204" t="s">
        <v>599</v>
      </c>
      <c r="W204" t="s">
        <v>1193</v>
      </c>
      <c r="X204" t="s">
        <v>599</v>
      </c>
      <c r="Y204" t="s">
        <v>599</v>
      </c>
      <c r="Z204" t="s">
        <v>1182</v>
      </c>
      <c r="AA204" t="s">
        <v>2169</v>
      </c>
      <c r="AB204">
        <v>1958</v>
      </c>
      <c r="AC204">
        <v>1958</v>
      </c>
      <c r="AD204" t="s">
        <v>2170</v>
      </c>
      <c r="AE204" t="s">
        <v>1185</v>
      </c>
      <c r="AF204" t="s">
        <v>599</v>
      </c>
      <c r="AG204" t="s">
        <v>599</v>
      </c>
      <c r="AH204" t="s">
        <v>2171</v>
      </c>
      <c r="AI204" t="s">
        <v>599</v>
      </c>
      <c r="AJ204" t="s">
        <v>599</v>
      </c>
      <c r="AK204" t="s">
        <v>2172</v>
      </c>
      <c r="AL204" t="s">
        <v>1188</v>
      </c>
      <c r="AM204" t="s">
        <v>2173</v>
      </c>
      <c r="AN204" t="s">
        <v>1190</v>
      </c>
      <c r="AO204" t="s">
        <v>599</v>
      </c>
      <c r="AP204" t="s">
        <v>599</v>
      </c>
      <c r="AQ204" t="s">
        <v>599</v>
      </c>
      <c r="AR204" t="s">
        <v>599</v>
      </c>
      <c r="AS204" t="s">
        <v>599</v>
      </c>
      <c r="AT204" t="s">
        <v>599</v>
      </c>
      <c r="AU204" t="s">
        <v>599</v>
      </c>
    </row>
    <row r="205" spans="1:47" s="13" customFormat="1" ht="105" x14ac:dyDescent="0.25">
      <c r="A205" s="9">
        <v>10370</v>
      </c>
      <c r="B205" s="10">
        <v>1888900</v>
      </c>
      <c r="C205" s="10">
        <v>1</v>
      </c>
      <c r="D205" s="9">
        <v>389</v>
      </c>
      <c r="E205" s="11" t="s">
        <v>226</v>
      </c>
      <c r="F205" s="11" t="str">
        <f t="shared" si="9"/>
        <v>https://purl.pt/42921</v>
      </c>
      <c r="G205" s="12" t="s">
        <v>227</v>
      </c>
      <c r="H205" s="9" t="s">
        <v>228</v>
      </c>
      <c r="I205" s="34"/>
      <c r="J205" s="55" t="str">
        <f t="shared" si="10"/>
        <v>https://permalinkbnd.bnportugal.gov.pt/viewer/272786/?offset=#page=389&amp;viewer=picture&amp;o=info&amp;n=0&amp;q=</v>
      </c>
      <c r="K205" s="45"/>
      <c r="L205" s="45"/>
      <c r="M205" s="45"/>
      <c r="N205" t="s">
        <v>226</v>
      </c>
      <c r="O205">
        <v>272786</v>
      </c>
      <c r="P205" t="str">
        <f t="shared" si="11"/>
        <v>https://permalinkbnd.bnportugal.gov.pt/viewer/272786/?offset=#page=389&amp;viewer=picture&amp;o=info&amp;n=0&amp;q=</v>
      </c>
      <c r="Q205">
        <v>1888900</v>
      </c>
      <c r="R205" t="s">
        <v>226</v>
      </c>
      <c r="S205" t="s">
        <v>2168</v>
      </c>
      <c r="T205" t="s">
        <v>1178</v>
      </c>
      <c r="U205" t="s">
        <v>1192</v>
      </c>
      <c r="V205" t="s">
        <v>599</v>
      </c>
      <c r="W205" t="s">
        <v>1193</v>
      </c>
      <c r="X205" t="s">
        <v>599</v>
      </c>
      <c r="Y205" t="s">
        <v>599</v>
      </c>
      <c r="Z205" t="s">
        <v>1182</v>
      </c>
      <c r="AA205" t="s">
        <v>2169</v>
      </c>
      <c r="AB205">
        <v>1958</v>
      </c>
      <c r="AC205">
        <v>1958</v>
      </c>
      <c r="AD205" t="s">
        <v>2170</v>
      </c>
      <c r="AE205" t="s">
        <v>1185</v>
      </c>
      <c r="AF205" t="s">
        <v>599</v>
      </c>
      <c r="AG205" t="s">
        <v>599</v>
      </c>
      <c r="AH205" t="s">
        <v>2171</v>
      </c>
      <c r="AI205" t="s">
        <v>599</v>
      </c>
      <c r="AJ205" t="s">
        <v>599</v>
      </c>
      <c r="AK205" t="s">
        <v>2172</v>
      </c>
      <c r="AL205" t="s">
        <v>1188</v>
      </c>
      <c r="AM205" t="s">
        <v>2173</v>
      </c>
      <c r="AN205" t="s">
        <v>1190</v>
      </c>
      <c r="AO205" t="s">
        <v>599</v>
      </c>
      <c r="AP205" t="s">
        <v>599</v>
      </c>
      <c r="AQ205" t="s">
        <v>599</v>
      </c>
      <c r="AR205" t="s">
        <v>599</v>
      </c>
      <c r="AS205" t="s">
        <v>599</v>
      </c>
      <c r="AT205" t="s">
        <v>599</v>
      </c>
      <c r="AU205" t="s">
        <v>599</v>
      </c>
    </row>
    <row r="206" spans="1:47" s="13" customFormat="1" ht="105" x14ac:dyDescent="0.25">
      <c r="A206" s="9">
        <v>10371</v>
      </c>
      <c r="B206" s="10">
        <v>1888900</v>
      </c>
      <c r="C206" s="10">
        <v>1</v>
      </c>
      <c r="D206" s="9">
        <v>390</v>
      </c>
      <c r="E206" s="11" t="s">
        <v>226</v>
      </c>
      <c r="F206" s="11" t="str">
        <f t="shared" si="9"/>
        <v>https://purl.pt/42921</v>
      </c>
      <c r="G206" s="12" t="s">
        <v>227</v>
      </c>
      <c r="H206" s="9" t="s">
        <v>228</v>
      </c>
      <c r="I206" s="34"/>
      <c r="J206" s="55" t="str">
        <f t="shared" si="10"/>
        <v>https://permalinkbnd.bnportugal.gov.pt/viewer/272786/?offset=#page=390&amp;viewer=picture&amp;o=info&amp;n=0&amp;q=</v>
      </c>
      <c r="K206" s="45"/>
      <c r="L206" s="45"/>
      <c r="M206" s="45"/>
      <c r="N206" t="s">
        <v>226</v>
      </c>
      <c r="O206">
        <v>272786</v>
      </c>
      <c r="P206" t="str">
        <f t="shared" si="11"/>
        <v>https://permalinkbnd.bnportugal.gov.pt/viewer/272786/?offset=#page=390&amp;viewer=picture&amp;o=info&amp;n=0&amp;q=</v>
      </c>
      <c r="Q206">
        <v>1888900</v>
      </c>
      <c r="R206" t="s">
        <v>226</v>
      </c>
      <c r="S206" t="s">
        <v>2168</v>
      </c>
      <c r="T206" t="s">
        <v>1178</v>
      </c>
      <c r="U206" t="s">
        <v>1192</v>
      </c>
      <c r="V206" t="s">
        <v>599</v>
      </c>
      <c r="W206" t="s">
        <v>1193</v>
      </c>
      <c r="X206" t="s">
        <v>599</v>
      </c>
      <c r="Y206" t="s">
        <v>599</v>
      </c>
      <c r="Z206" t="s">
        <v>1182</v>
      </c>
      <c r="AA206" t="s">
        <v>2169</v>
      </c>
      <c r="AB206">
        <v>1958</v>
      </c>
      <c r="AC206">
        <v>1958</v>
      </c>
      <c r="AD206" t="s">
        <v>2170</v>
      </c>
      <c r="AE206" t="s">
        <v>1185</v>
      </c>
      <c r="AF206" t="s">
        <v>599</v>
      </c>
      <c r="AG206" t="s">
        <v>599</v>
      </c>
      <c r="AH206" t="s">
        <v>2171</v>
      </c>
      <c r="AI206" t="s">
        <v>599</v>
      </c>
      <c r="AJ206" t="s">
        <v>599</v>
      </c>
      <c r="AK206" t="s">
        <v>2172</v>
      </c>
      <c r="AL206" t="s">
        <v>1188</v>
      </c>
      <c r="AM206" t="s">
        <v>2173</v>
      </c>
      <c r="AN206" t="s">
        <v>1190</v>
      </c>
      <c r="AO206" t="s">
        <v>599</v>
      </c>
      <c r="AP206" t="s">
        <v>599</v>
      </c>
      <c r="AQ206" t="s">
        <v>599</v>
      </c>
      <c r="AR206" t="s">
        <v>599</v>
      </c>
      <c r="AS206" t="s">
        <v>599</v>
      </c>
      <c r="AT206" t="s">
        <v>599</v>
      </c>
      <c r="AU206" t="s">
        <v>599</v>
      </c>
    </row>
    <row r="207" spans="1:47" s="13" customFormat="1" ht="105" x14ac:dyDescent="0.25">
      <c r="A207" s="9">
        <v>10372</v>
      </c>
      <c r="B207" s="10">
        <v>1888900</v>
      </c>
      <c r="C207" s="10">
        <v>1</v>
      </c>
      <c r="D207" s="9">
        <v>449</v>
      </c>
      <c r="E207" s="11" t="s">
        <v>226</v>
      </c>
      <c r="F207" s="11" t="str">
        <f t="shared" si="9"/>
        <v>https://purl.pt/42921</v>
      </c>
      <c r="G207" s="12" t="s">
        <v>227</v>
      </c>
      <c r="H207" s="9" t="s">
        <v>228</v>
      </c>
      <c r="I207" s="34"/>
      <c r="J207" s="55" t="str">
        <f t="shared" si="10"/>
        <v>https://permalinkbnd.bnportugal.gov.pt/viewer/272786/?offset=#page=449&amp;viewer=picture&amp;o=info&amp;n=0&amp;q=</v>
      </c>
      <c r="K207" s="45"/>
      <c r="L207" s="45"/>
      <c r="M207" s="45"/>
      <c r="N207" t="s">
        <v>226</v>
      </c>
      <c r="O207">
        <v>272786</v>
      </c>
      <c r="P207" t="str">
        <f t="shared" si="11"/>
        <v>https://permalinkbnd.bnportugal.gov.pt/viewer/272786/?offset=#page=449&amp;viewer=picture&amp;o=info&amp;n=0&amp;q=</v>
      </c>
      <c r="Q207">
        <v>1888900</v>
      </c>
      <c r="R207" t="s">
        <v>226</v>
      </c>
      <c r="S207" t="s">
        <v>599</v>
      </c>
      <c r="T207" t="s">
        <v>1178</v>
      </c>
      <c r="U207" t="s">
        <v>1192</v>
      </c>
      <c r="V207" t="s">
        <v>599</v>
      </c>
      <c r="W207" t="s">
        <v>1193</v>
      </c>
      <c r="X207" t="s">
        <v>599</v>
      </c>
      <c r="Y207" t="s">
        <v>599</v>
      </c>
      <c r="Z207" t="s">
        <v>1182</v>
      </c>
      <c r="AA207" t="s">
        <v>2169</v>
      </c>
      <c r="AB207">
        <v>1958</v>
      </c>
      <c r="AC207">
        <v>1958</v>
      </c>
      <c r="AD207" t="s">
        <v>2170</v>
      </c>
      <c r="AE207" t="s">
        <v>1185</v>
      </c>
      <c r="AF207" t="s">
        <v>599</v>
      </c>
      <c r="AG207" t="s">
        <v>599</v>
      </c>
      <c r="AH207" t="s">
        <v>2171</v>
      </c>
      <c r="AI207" t="s">
        <v>599</v>
      </c>
      <c r="AJ207" t="s">
        <v>599</v>
      </c>
      <c r="AK207" t="s">
        <v>2172</v>
      </c>
      <c r="AL207" t="s">
        <v>1188</v>
      </c>
      <c r="AM207" t="s">
        <v>2173</v>
      </c>
      <c r="AN207" t="s">
        <v>1190</v>
      </c>
      <c r="AO207" t="s">
        <v>599</v>
      </c>
      <c r="AP207" t="s">
        <v>599</v>
      </c>
      <c r="AQ207" t="s">
        <v>599</v>
      </c>
      <c r="AR207" t="s">
        <v>599</v>
      </c>
      <c r="AS207" t="s">
        <v>599</v>
      </c>
      <c r="AT207" t="s">
        <v>599</v>
      </c>
      <c r="AU207" t="s">
        <v>599</v>
      </c>
    </row>
    <row r="208" spans="1:47" s="13" customFormat="1" ht="105" x14ac:dyDescent="0.25">
      <c r="A208" s="9">
        <v>10373</v>
      </c>
      <c r="B208" s="10">
        <v>1888900</v>
      </c>
      <c r="C208" s="10">
        <v>1</v>
      </c>
      <c r="D208" s="9">
        <v>450</v>
      </c>
      <c r="E208" s="11" t="s">
        <v>226</v>
      </c>
      <c r="F208" s="11" t="str">
        <f t="shared" si="9"/>
        <v>https://purl.pt/42921</v>
      </c>
      <c r="G208" s="12" t="s">
        <v>227</v>
      </c>
      <c r="H208" s="9" t="s">
        <v>228</v>
      </c>
      <c r="I208" s="34"/>
      <c r="J208" s="55" t="str">
        <f t="shared" si="10"/>
        <v>https://permalinkbnd.bnportugal.gov.pt/viewer/272786/?offset=#page=450&amp;viewer=picture&amp;o=info&amp;n=0&amp;q=</v>
      </c>
      <c r="K208" s="45"/>
      <c r="L208" s="45"/>
      <c r="M208" s="45"/>
      <c r="N208" t="s">
        <v>226</v>
      </c>
      <c r="O208">
        <v>272786</v>
      </c>
      <c r="P208" t="str">
        <f t="shared" si="11"/>
        <v>https://permalinkbnd.bnportugal.gov.pt/viewer/272786/?offset=#page=450&amp;viewer=picture&amp;o=info&amp;n=0&amp;q=</v>
      </c>
      <c r="Q208">
        <v>1888900</v>
      </c>
      <c r="R208" t="s">
        <v>226</v>
      </c>
      <c r="S208" t="s">
        <v>2168</v>
      </c>
      <c r="T208" t="s">
        <v>1178</v>
      </c>
      <c r="U208" t="s">
        <v>1192</v>
      </c>
      <c r="V208" t="s">
        <v>599</v>
      </c>
      <c r="W208" t="s">
        <v>1193</v>
      </c>
      <c r="X208" t="s">
        <v>599</v>
      </c>
      <c r="Y208" t="s">
        <v>599</v>
      </c>
      <c r="Z208" t="s">
        <v>1182</v>
      </c>
      <c r="AA208" t="s">
        <v>2169</v>
      </c>
      <c r="AB208">
        <v>1958</v>
      </c>
      <c r="AC208">
        <v>1958</v>
      </c>
      <c r="AD208" t="s">
        <v>2170</v>
      </c>
      <c r="AE208" t="s">
        <v>1185</v>
      </c>
      <c r="AF208" t="s">
        <v>599</v>
      </c>
      <c r="AG208" t="s">
        <v>599</v>
      </c>
      <c r="AH208" t="s">
        <v>2171</v>
      </c>
      <c r="AI208" t="s">
        <v>599</v>
      </c>
      <c r="AJ208" t="s">
        <v>599</v>
      </c>
      <c r="AK208" t="s">
        <v>2172</v>
      </c>
      <c r="AL208" t="s">
        <v>1188</v>
      </c>
      <c r="AM208" t="s">
        <v>2173</v>
      </c>
      <c r="AN208" t="s">
        <v>1190</v>
      </c>
      <c r="AO208" t="s">
        <v>599</v>
      </c>
      <c r="AP208" t="s">
        <v>599</v>
      </c>
      <c r="AQ208" t="s">
        <v>599</v>
      </c>
      <c r="AR208" t="s">
        <v>599</v>
      </c>
      <c r="AS208" t="s">
        <v>599</v>
      </c>
      <c r="AT208" t="s">
        <v>599</v>
      </c>
      <c r="AU208" t="s">
        <v>599</v>
      </c>
    </row>
    <row r="209" spans="1:47" s="13" customFormat="1" ht="105" x14ac:dyDescent="0.25">
      <c r="A209" s="9">
        <v>10374</v>
      </c>
      <c r="B209" s="10">
        <v>1888900</v>
      </c>
      <c r="C209" s="10">
        <v>1</v>
      </c>
      <c r="D209" s="9">
        <v>505</v>
      </c>
      <c r="E209" s="11" t="s">
        <v>226</v>
      </c>
      <c r="F209" s="11" t="str">
        <f t="shared" si="9"/>
        <v>https://purl.pt/42921</v>
      </c>
      <c r="G209" s="12" t="s">
        <v>227</v>
      </c>
      <c r="H209" s="9" t="s">
        <v>228</v>
      </c>
      <c r="I209" s="34"/>
      <c r="J209" s="55" t="str">
        <f t="shared" si="10"/>
        <v>https://permalinkbnd.bnportugal.gov.pt/viewer/272786/?offset=#page=505&amp;viewer=picture&amp;o=info&amp;n=0&amp;q=</v>
      </c>
      <c r="K209" s="45"/>
      <c r="L209" s="45"/>
      <c r="M209" s="45"/>
      <c r="N209" t="s">
        <v>226</v>
      </c>
      <c r="O209">
        <v>272786</v>
      </c>
      <c r="P209" t="str">
        <f t="shared" si="11"/>
        <v>https://permalinkbnd.bnportugal.gov.pt/viewer/272786/?offset=#page=505&amp;viewer=picture&amp;o=info&amp;n=0&amp;q=</v>
      </c>
      <c r="Q209">
        <v>1888900</v>
      </c>
      <c r="R209" t="s">
        <v>226</v>
      </c>
      <c r="S209" t="s">
        <v>599</v>
      </c>
      <c r="T209" t="s">
        <v>1178</v>
      </c>
      <c r="U209" t="s">
        <v>1192</v>
      </c>
      <c r="V209" t="s">
        <v>599</v>
      </c>
      <c r="W209" t="s">
        <v>1193</v>
      </c>
      <c r="X209" t="s">
        <v>599</v>
      </c>
      <c r="Y209" t="s">
        <v>599</v>
      </c>
      <c r="Z209" t="s">
        <v>1182</v>
      </c>
      <c r="AA209" t="s">
        <v>2169</v>
      </c>
      <c r="AB209">
        <v>1958</v>
      </c>
      <c r="AC209">
        <v>1958</v>
      </c>
      <c r="AD209" t="s">
        <v>2170</v>
      </c>
      <c r="AE209" t="s">
        <v>1185</v>
      </c>
      <c r="AF209" t="s">
        <v>599</v>
      </c>
      <c r="AG209" t="s">
        <v>599</v>
      </c>
      <c r="AH209" t="s">
        <v>2171</v>
      </c>
      <c r="AI209" t="s">
        <v>599</v>
      </c>
      <c r="AJ209" t="s">
        <v>599</v>
      </c>
      <c r="AK209" t="s">
        <v>2172</v>
      </c>
      <c r="AL209" t="s">
        <v>1188</v>
      </c>
      <c r="AM209" t="s">
        <v>2173</v>
      </c>
      <c r="AN209" t="s">
        <v>1190</v>
      </c>
      <c r="AO209" t="s">
        <v>599</v>
      </c>
      <c r="AP209" t="s">
        <v>599</v>
      </c>
      <c r="AQ209" t="s">
        <v>599</v>
      </c>
      <c r="AR209" t="s">
        <v>599</v>
      </c>
      <c r="AS209" t="s">
        <v>599</v>
      </c>
      <c r="AT209" t="s">
        <v>599</v>
      </c>
      <c r="AU209" t="s">
        <v>599</v>
      </c>
    </row>
    <row r="210" spans="1:47" s="13" customFormat="1" ht="105" x14ac:dyDescent="0.25">
      <c r="A210" s="9">
        <v>10375</v>
      </c>
      <c r="B210" s="10">
        <v>1888900</v>
      </c>
      <c r="C210" s="10">
        <v>1</v>
      </c>
      <c r="D210" s="9">
        <v>506</v>
      </c>
      <c r="E210" s="11" t="s">
        <v>226</v>
      </c>
      <c r="F210" s="11" t="str">
        <f t="shared" si="9"/>
        <v>https://purl.pt/42921</v>
      </c>
      <c r="G210" s="12" t="s">
        <v>227</v>
      </c>
      <c r="H210" s="9" t="s">
        <v>228</v>
      </c>
      <c r="I210" s="34"/>
      <c r="J210" s="55" t="str">
        <f t="shared" si="10"/>
        <v>https://permalinkbnd.bnportugal.gov.pt/viewer/272786/?offset=#page=506&amp;viewer=picture&amp;o=info&amp;n=0&amp;q=</v>
      </c>
      <c r="K210" s="45"/>
      <c r="L210" s="45"/>
      <c r="M210" s="45"/>
      <c r="N210" t="s">
        <v>226</v>
      </c>
      <c r="O210">
        <v>272786</v>
      </c>
      <c r="P210" t="str">
        <f t="shared" si="11"/>
        <v>https://permalinkbnd.bnportugal.gov.pt/viewer/272786/?offset=#page=506&amp;viewer=picture&amp;o=info&amp;n=0&amp;q=</v>
      </c>
      <c r="Q210">
        <v>1888900</v>
      </c>
      <c r="R210" t="s">
        <v>226</v>
      </c>
      <c r="S210" t="s">
        <v>599</v>
      </c>
      <c r="T210" t="s">
        <v>1178</v>
      </c>
      <c r="U210" t="s">
        <v>1192</v>
      </c>
      <c r="V210" t="s">
        <v>599</v>
      </c>
      <c r="W210" t="s">
        <v>1193</v>
      </c>
      <c r="X210" t="s">
        <v>599</v>
      </c>
      <c r="Y210" t="s">
        <v>599</v>
      </c>
      <c r="Z210" t="s">
        <v>1182</v>
      </c>
      <c r="AA210" t="s">
        <v>2169</v>
      </c>
      <c r="AB210">
        <v>1958</v>
      </c>
      <c r="AC210">
        <v>1958</v>
      </c>
      <c r="AD210" t="s">
        <v>2170</v>
      </c>
      <c r="AE210" t="s">
        <v>1185</v>
      </c>
      <c r="AF210" t="s">
        <v>599</v>
      </c>
      <c r="AG210" t="s">
        <v>599</v>
      </c>
      <c r="AH210" t="s">
        <v>2171</v>
      </c>
      <c r="AI210" t="s">
        <v>599</v>
      </c>
      <c r="AJ210" t="s">
        <v>599</v>
      </c>
      <c r="AK210" t="s">
        <v>2172</v>
      </c>
      <c r="AL210" t="s">
        <v>1188</v>
      </c>
      <c r="AM210" t="s">
        <v>2173</v>
      </c>
      <c r="AN210" t="s">
        <v>1190</v>
      </c>
      <c r="AO210" t="s">
        <v>599</v>
      </c>
      <c r="AP210" t="s">
        <v>599</v>
      </c>
      <c r="AQ210" t="s">
        <v>599</v>
      </c>
      <c r="AR210" t="s">
        <v>599</v>
      </c>
      <c r="AS210" t="s">
        <v>599</v>
      </c>
      <c r="AT210" t="s">
        <v>599</v>
      </c>
      <c r="AU210" t="s">
        <v>599</v>
      </c>
    </row>
    <row r="211" spans="1:47" s="13" customFormat="1" ht="105" x14ac:dyDescent="0.25">
      <c r="A211" s="9">
        <v>10376</v>
      </c>
      <c r="B211" s="10">
        <v>1888900</v>
      </c>
      <c r="C211" s="10">
        <v>1</v>
      </c>
      <c r="D211" s="9">
        <v>559</v>
      </c>
      <c r="E211" s="11" t="s">
        <v>226</v>
      </c>
      <c r="F211" s="11" t="str">
        <f t="shared" si="9"/>
        <v>https://purl.pt/42921</v>
      </c>
      <c r="G211" s="12" t="s">
        <v>227</v>
      </c>
      <c r="H211" s="9" t="s">
        <v>228</v>
      </c>
      <c r="I211" s="34"/>
      <c r="J211" s="55" t="str">
        <f t="shared" si="10"/>
        <v>https://permalinkbnd.bnportugal.gov.pt/viewer/272786/?offset=#page=559&amp;viewer=picture&amp;o=info&amp;n=0&amp;q=</v>
      </c>
      <c r="K211" s="45"/>
      <c r="L211" s="45"/>
      <c r="M211" s="45"/>
      <c r="N211" t="s">
        <v>226</v>
      </c>
      <c r="O211">
        <v>272786</v>
      </c>
      <c r="P211" t="str">
        <f t="shared" si="11"/>
        <v>https://permalinkbnd.bnportugal.gov.pt/viewer/272786/?offset=#page=559&amp;viewer=picture&amp;o=info&amp;n=0&amp;q=</v>
      </c>
      <c r="Q211">
        <v>1888900</v>
      </c>
      <c r="R211" t="s">
        <v>226</v>
      </c>
      <c r="S211" t="s">
        <v>2168</v>
      </c>
      <c r="T211" t="s">
        <v>1178</v>
      </c>
      <c r="U211" t="s">
        <v>1192</v>
      </c>
      <c r="V211" t="s">
        <v>599</v>
      </c>
      <c r="W211" t="s">
        <v>1193</v>
      </c>
      <c r="X211" t="s">
        <v>599</v>
      </c>
      <c r="Y211" t="s">
        <v>599</v>
      </c>
      <c r="Z211" t="s">
        <v>1182</v>
      </c>
      <c r="AA211" t="s">
        <v>2169</v>
      </c>
      <c r="AB211">
        <v>1958</v>
      </c>
      <c r="AC211">
        <v>1958</v>
      </c>
      <c r="AD211" t="s">
        <v>2170</v>
      </c>
      <c r="AE211" t="s">
        <v>1185</v>
      </c>
      <c r="AF211" t="s">
        <v>599</v>
      </c>
      <c r="AG211" t="s">
        <v>599</v>
      </c>
      <c r="AH211" t="s">
        <v>2171</v>
      </c>
      <c r="AI211" t="s">
        <v>599</v>
      </c>
      <c r="AJ211" t="s">
        <v>599</v>
      </c>
      <c r="AK211" t="s">
        <v>2172</v>
      </c>
      <c r="AL211" t="s">
        <v>1188</v>
      </c>
      <c r="AM211" t="s">
        <v>2173</v>
      </c>
      <c r="AN211" t="s">
        <v>1190</v>
      </c>
      <c r="AO211" t="s">
        <v>599</v>
      </c>
      <c r="AP211" t="s">
        <v>599</v>
      </c>
      <c r="AQ211" t="s">
        <v>599</v>
      </c>
      <c r="AR211" t="s">
        <v>599</v>
      </c>
      <c r="AS211" t="s">
        <v>599</v>
      </c>
      <c r="AT211" t="s">
        <v>599</v>
      </c>
      <c r="AU211" t="s">
        <v>599</v>
      </c>
    </row>
    <row r="212" spans="1:47" s="13" customFormat="1" ht="105" x14ac:dyDescent="0.25">
      <c r="A212" s="9">
        <v>10377</v>
      </c>
      <c r="B212" s="10">
        <v>1888900</v>
      </c>
      <c r="C212" s="10">
        <v>1</v>
      </c>
      <c r="D212" s="9">
        <v>560</v>
      </c>
      <c r="E212" s="11" t="s">
        <v>226</v>
      </c>
      <c r="F212" s="11" t="str">
        <f t="shared" si="9"/>
        <v>https://purl.pt/42921</v>
      </c>
      <c r="G212" s="12" t="s">
        <v>227</v>
      </c>
      <c r="H212" s="9" t="s">
        <v>228</v>
      </c>
      <c r="I212" s="34"/>
      <c r="J212" s="55" t="str">
        <f t="shared" si="10"/>
        <v>https://permalinkbnd.bnportugal.gov.pt/viewer/272786/?offset=#page=560&amp;viewer=picture&amp;o=info&amp;n=0&amp;q=</v>
      </c>
      <c r="K212" s="45"/>
      <c r="L212" s="45"/>
      <c r="M212" s="45"/>
      <c r="N212" t="s">
        <v>226</v>
      </c>
      <c r="O212">
        <v>272786</v>
      </c>
      <c r="P212" t="str">
        <f t="shared" si="11"/>
        <v>https://permalinkbnd.bnportugal.gov.pt/viewer/272786/?offset=#page=560&amp;viewer=picture&amp;o=info&amp;n=0&amp;q=</v>
      </c>
      <c r="Q212">
        <v>1888900</v>
      </c>
      <c r="R212" t="s">
        <v>226</v>
      </c>
      <c r="S212" t="s">
        <v>2168</v>
      </c>
      <c r="T212" t="s">
        <v>1178</v>
      </c>
      <c r="U212" t="s">
        <v>1192</v>
      </c>
      <c r="V212" t="s">
        <v>599</v>
      </c>
      <c r="W212" t="s">
        <v>1193</v>
      </c>
      <c r="X212" t="s">
        <v>599</v>
      </c>
      <c r="Y212" t="s">
        <v>599</v>
      </c>
      <c r="Z212" t="s">
        <v>1182</v>
      </c>
      <c r="AA212" t="s">
        <v>2169</v>
      </c>
      <c r="AB212">
        <v>1958</v>
      </c>
      <c r="AC212">
        <v>1958</v>
      </c>
      <c r="AD212" t="s">
        <v>2170</v>
      </c>
      <c r="AE212" t="s">
        <v>1185</v>
      </c>
      <c r="AF212" t="s">
        <v>599</v>
      </c>
      <c r="AG212" t="s">
        <v>599</v>
      </c>
      <c r="AH212" t="s">
        <v>2171</v>
      </c>
      <c r="AI212" t="s">
        <v>599</v>
      </c>
      <c r="AJ212" t="s">
        <v>599</v>
      </c>
      <c r="AK212" t="s">
        <v>2172</v>
      </c>
      <c r="AL212" t="s">
        <v>1188</v>
      </c>
      <c r="AM212" t="s">
        <v>2173</v>
      </c>
      <c r="AN212" t="s">
        <v>1190</v>
      </c>
      <c r="AO212" t="s">
        <v>599</v>
      </c>
      <c r="AP212" t="s">
        <v>599</v>
      </c>
      <c r="AQ212" t="s">
        <v>599</v>
      </c>
      <c r="AR212" t="s">
        <v>599</v>
      </c>
      <c r="AS212" t="s">
        <v>599</v>
      </c>
      <c r="AT212" t="s">
        <v>599</v>
      </c>
      <c r="AU212" t="s">
        <v>599</v>
      </c>
    </row>
    <row r="213" spans="1:47" s="13" customFormat="1" ht="105" x14ac:dyDescent="0.25">
      <c r="A213" s="9">
        <v>10378</v>
      </c>
      <c r="B213" s="10">
        <v>1888900</v>
      </c>
      <c r="C213" s="10">
        <v>1</v>
      </c>
      <c r="D213" s="9">
        <v>615</v>
      </c>
      <c r="E213" s="11" t="s">
        <v>226</v>
      </c>
      <c r="F213" s="11" t="str">
        <f t="shared" si="9"/>
        <v>https://purl.pt/42921</v>
      </c>
      <c r="G213" s="12" t="s">
        <v>227</v>
      </c>
      <c r="H213" s="9" t="s">
        <v>228</v>
      </c>
      <c r="I213" s="34"/>
      <c r="J213" s="55" t="str">
        <f t="shared" si="10"/>
        <v>https://permalinkbnd.bnportugal.gov.pt/viewer/272786/?offset=#page=615&amp;viewer=picture&amp;o=info&amp;n=0&amp;q=</v>
      </c>
      <c r="K213" s="45"/>
      <c r="L213" s="45"/>
      <c r="M213" s="45"/>
      <c r="N213" t="s">
        <v>226</v>
      </c>
      <c r="O213">
        <v>272786</v>
      </c>
      <c r="P213" t="str">
        <f t="shared" si="11"/>
        <v>https://permalinkbnd.bnportugal.gov.pt/viewer/272786/?offset=#page=615&amp;viewer=picture&amp;o=info&amp;n=0&amp;q=</v>
      </c>
      <c r="Q213">
        <v>1888900</v>
      </c>
      <c r="R213" t="s">
        <v>226</v>
      </c>
      <c r="S213" t="s">
        <v>599</v>
      </c>
      <c r="T213" t="s">
        <v>1178</v>
      </c>
      <c r="U213" t="s">
        <v>1192</v>
      </c>
      <c r="V213" t="s">
        <v>599</v>
      </c>
      <c r="W213" t="s">
        <v>1193</v>
      </c>
      <c r="X213" t="s">
        <v>599</v>
      </c>
      <c r="Y213" t="s">
        <v>599</v>
      </c>
      <c r="Z213" t="s">
        <v>1182</v>
      </c>
      <c r="AA213" t="s">
        <v>2169</v>
      </c>
      <c r="AB213">
        <v>1958</v>
      </c>
      <c r="AC213">
        <v>1958</v>
      </c>
      <c r="AD213" t="s">
        <v>2170</v>
      </c>
      <c r="AE213" t="s">
        <v>1185</v>
      </c>
      <c r="AF213" t="s">
        <v>599</v>
      </c>
      <c r="AG213" t="s">
        <v>599</v>
      </c>
      <c r="AH213" t="s">
        <v>2171</v>
      </c>
      <c r="AI213" t="s">
        <v>599</v>
      </c>
      <c r="AJ213" t="s">
        <v>599</v>
      </c>
      <c r="AK213" t="s">
        <v>2172</v>
      </c>
      <c r="AL213" t="s">
        <v>1188</v>
      </c>
      <c r="AM213" t="s">
        <v>2173</v>
      </c>
      <c r="AN213" t="s">
        <v>1190</v>
      </c>
      <c r="AO213" t="s">
        <v>599</v>
      </c>
      <c r="AP213" t="s">
        <v>599</v>
      </c>
      <c r="AQ213" t="s">
        <v>599</v>
      </c>
      <c r="AR213" t="s">
        <v>599</v>
      </c>
      <c r="AS213" t="s">
        <v>599</v>
      </c>
      <c r="AT213" t="s">
        <v>599</v>
      </c>
      <c r="AU213" t="s">
        <v>599</v>
      </c>
    </row>
    <row r="214" spans="1:47" s="13" customFormat="1" ht="105" x14ac:dyDescent="0.25">
      <c r="A214" s="9">
        <v>10379</v>
      </c>
      <c r="B214" s="10">
        <v>1888900</v>
      </c>
      <c r="C214" s="10">
        <v>1</v>
      </c>
      <c r="D214" s="9">
        <v>616</v>
      </c>
      <c r="E214" s="11" t="s">
        <v>226</v>
      </c>
      <c r="F214" s="11" t="str">
        <f t="shared" si="9"/>
        <v>https://purl.pt/42921</v>
      </c>
      <c r="G214" s="12" t="s">
        <v>227</v>
      </c>
      <c r="H214" s="9" t="s">
        <v>228</v>
      </c>
      <c r="I214" s="34"/>
      <c r="J214" s="55" t="str">
        <f t="shared" si="10"/>
        <v>https://permalinkbnd.bnportugal.gov.pt/viewer/272786/?offset=#page=616&amp;viewer=picture&amp;o=info&amp;n=0&amp;q=</v>
      </c>
      <c r="K214" s="45"/>
      <c r="L214" s="45"/>
      <c r="M214" s="45"/>
      <c r="N214" t="s">
        <v>226</v>
      </c>
      <c r="O214">
        <v>272786</v>
      </c>
      <c r="P214" t="str">
        <f t="shared" si="11"/>
        <v>https://permalinkbnd.bnportugal.gov.pt/viewer/272786/?offset=#page=616&amp;viewer=picture&amp;o=info&amp;n=0&amp;q=</v>
      </c>
      <c r="Q214">
        <v>1888900</v>
      </c>
      <c r="R214" t="s">
        <v>226</v>
      </c>
      <c r="S214" t="s">
        <v>599</v>
      </c>
      <c r="T214" t="s">
        <v>1178</v>
      </c>
      <c r="U214" t="s">
        <v>1192</v>
      </c>
      <c r="V214" t="s">
        <v>599</v>
      </c>
      <c r="W214" t="s">
        <v>1193</v>
      </c>
      <c r="X214" t="s">
        <v>599</v>
      </c>
      <c r="Y214" t="s">
        <v>599</v>
      </c>
      <c r="Z214" t="s">
        <v>1182</v>
      </c>
      <c r="AA214" t="s">
        <v>2169</v>
      </c>
      <c r="AB214">
        <v>1958</v>
      </c>
      <c r="AC214">
        <v>1958</v>
      </c>
      <c r="AD214" t="s">
        <v>2170</v>
      </c>
      <c r="AE214" t="s">
        <v>1185</v>
      </c>
      <c r="AF214" t="s">
        <v>599</v>
      </c>
      <c r="AG214" t="s">
        <v>599</v>
      </c>
      <c r="AH214" t="s">
        <v>2171</v>
      </c>
      <c r="AI214" t="s">
        <v>599</v>
      </c>
      <c r="AJ214" t="s">
        <v>599</v>
      </c>
      <c r="AK214" t="s">
        <v>2172</v>
      </c>
      <c r="AL214" t="s">
        <v>1188</v>
      </c>
      <c r="AM214" t="s">
        <v>2173</v>
      </c>
      <c r="AN214" t="s">
        <v>1190</v>
      </c>
      <c r="AO214" t="s">
        <v>599</v>
      </c>
      <c r="AP214" t="s">
        <v>599</v>
      </c>
      <c r="AQ214" t="s">
        <v>599</v>
      </c>
      <c r="AR214" t="s">
        <v>599</v>
      </c>
      <c r="AS214" t="s">
        <v>599</v>
      </c>
      <c r="AT214" t="s">
        <v>599</v>
      </c>
      <c r="AU214" t="s">
        <v>599</v>
      </c>
    </row>
    <row r="215" spans="1:47" s="13" customFormat="1" ht="105" x14ac:dyDescent="0.25">
      <c r="A215" s="9">
        <v>10380</v>
      </c>
      <c r="B215" s="10">
        <v>1888900</v>
      </c>
      <c r="C215" s="10">
        <v>1</v>
      </c>
      <c r="D215" s="9">
        <v>670</v>
      </c>
      <c r="E215" s="11" t="s">
        <v>226</v>
      </c>
      <c r="F215" s="11" t="str">
        <f t="shared" si="9"/>
        <v>https://purl.pt/42921</v>
      </c>
      <c r="G215" s="12" t="s">
        <v>227</v>
      </c>
      <c r="H215" s="9" t="s">
        <v>228</v>
      </c>
      <c r="I215" s="34"/>
      <c r="J215" s="55" t="str">
        <f t="shared" si="10"/>
        <v>https://permalinkbnd.bnportugal.gov.pt/viewer/272786/?offset=#page=670&amp;viewer=picture&amp;o=info&amp;n=0&amp;q=</v>
      </c>
      <c r="K215" s="45"/>
      <c r="L215" s="45"/>
      <c r="M215" s="45"/>
      <c r="N215" t="s">
        <v>226</v>
      </c>
      <c r="O215">
        <v>272786</v>
      </c>
      <c r="P215" t="str">
        <f t="shared" si="11"/>
        <v>https://permalinkbnd.bnportugal.gov.pt/viewer/272786/?offset=#page=670&amp;viewer=picture&amp;o=info&amp;n=0&amp;q=</v>
      </c>
      <c r="Q215">
        <v>1888900</v>
      </c>
      <c r="R215" t="s">
        <v>226</v>
      </c>
      <c r="S215" t="s">
        <v>599</v>
      </c>
      <c r="T215" t="s">
        <v>1178</v>
      </c>
      <c r="U215" t="s">
        <v>1192</v>
      </c>
      <c r="V215" t="s">
        <v>599</v>
      </c>
      <c r="W215" t="s">
        <v>1193</v>
      </c>
      <c r="X215" t="s">
        <v>599</v>
      </c>
      <c r="Y215" t="s">
        <v>599</v>
      </c>
      <c r="Z215" t="s">
        <v>1182</v>
      </c>
      <c r="AA215" t="s">
        <v>2169</v>
      </c>
      <c r="AB215">
        <v>1958</v>
      </c>
      <c r="AC215">
        <v>1958</v>
      </c>
      <c r="AD215" t="s">
        <v>2170</v>
      </c>
      <c r="AE215" t="s">
        <v>1185</v>
      </c>
      <c r="AF215" t="s">
        <v>599</v>
      </c>
      <c r="AG215" t="s">
        <v>599</v>
      </c>
      <c r="AH215" t="s">
        <v>2171</v>
      </c>
      <c r="AI215" t="s">
        <v>599</v>
      </c>
      <c r="AJ215" t="s">
        <v>599</v>
      </c>
      <c r="AK215" t="s">
        <v>2172</v>
      </c>
      <c r="AL215" t="s">
        <v>1188</v>
      </c>
      <c r="AM215" t="s">
        <v>2173</v>
      </c>
      <c r="AN215" t="s">
        <v>1190</v>
      </c>
      <c r="AO215" t="s">
        <v>599</v>
      </c>
      <c r="AP215" t="s">
        <v>599</v>
      </c>
      <c r="AQ215" t="s">
        <v>599</v>
      </c>
      <c r="AR215" t="s">
        <v>599</v>
      </c>
      <c r="AS215" t="s">
        <v>599</v>
      </c>
      <c r="AT215" t="s">
        <v>599</v>
      </c>
      <c r="AU215" t="s">
        <v>599</v>
      </c>
    </row>
    <row r="216" spans="1:47" s="13" customFormat="1" ht="105" x14ac:dyDescent="0.25">
      <c r="A216" s="9">
        <v>10381</v>
      </c>
      <c r="B216" s="10">
        <v>1888900</v>
      </c>
      <c r="C216" s="10">
        <v>1</v>
      </c>
      <c r="D216" s="9">
        <v>671</v>
      </c>
      <c r="E216" s="11" t="s">
        <v>226</v>
      </c>
      <c r="F216" s="11" t="str">
        <f t="shared" si="9"/>
        <v>https://purl.pt/42921</v>
      </c>
      <c r="G216" s="12" t="s">
        <v>227</v>
      </c>
      <c r="H216" s="9" t="s">
        <v>228</v>
      </c>
      <c r="I216" s="34"/>
      <c r="J216" s="55" t="str">
        <f t="shared" si="10"/>
        <v>https://permalinkbnd.bnportugal.gov.pt/viewer/272786/?offset=#page=671&amp;viewer=picture&amp;o=info&amp;n=0&amp;q=</v>
      </c>
      <c r="K216" s="45"/>
      <c r="L216" s="45"/>
      <c r="M216" s="45"/>
      <c r="N216" t="s">
        <v>226</v>
      </c>
      <c r="O216">
        <v>272786</v>
      </c>
      <c r="P216" t="str">
        <f t="shared" si="11"/>
        <v>https://permalinkbnd.bnportugal.gov.pt/viewer/272786/?offset=#page=671&amp;viewer=picture&amp;o=info&amp;n=0&amp;q=</v>
      </c>
      <c r="Q216">
        <v>1888900</v>
      </c>
      <c r="R216" t="s">
        <v>226</v>
      </c>
      <c r="S216" t="s">
        <v>599</v>
      </c>
      <c r="T216" t="s">
        <v>1178</v>
      </c>
      <c r="U216" t="s">
        <v>1192</v>
      </c>
      <c r="V216" t="s">
        <v>599</v>
      </c>
      <c r="W216" t="s">
        <v>1193</v>
      </c>
      <c r="X216" t="s">
        <v>599</v>
      </c>
      <c r="Y216" t="s">
        <v>599</v>
      </c>
      <c r="Z216" t="s">
        <v>1182</v>
      </c>
      <c r="AA216" t="s">
        <v>2169</v>
      </c>
      <c r="AB216">
        <v>1958</v>
      </c>
      <c r="AC216">
        <v>1958</v>
      </c>
      <c r="AD216" t="s">
        <v>2170</v>
      </c>
      <c r="AE216" t="s">
        <v>1185</v>
      </c>
      <c r="AF216" t="s">
        <v>599</v>
      </c>
      <c r="AG216" t="s">
        <v>599</v>
      </c>
      <c r="AH216" t="s">
        <v>2171</v>
      </c>
      <c r="AI216" t="s">
        <v>599</v>
      </c>
      <c r="AJ216" t="s">
        <v>599</v>
      </c>
      <c r="AK216" t="s">
        <v>2172</v>
      </c>
      <c r="AL216" t="s">
        <v>1188</v>
      </c>
      <c r="AM216" t="s">
        <v>2173</v>
      </c>
      <c r="AN216" t="s">
        <v>1190</v>
      </c>
      <c r="AO216" t="s">
        <v>599</v>
      </c>
      <c r="AP216" t="s">
        <v>599</v>
      </c>
      <c r="AQ216" t="s">
        <v>599</v>
      </c>
      <c r="AR216" t="s">
        <v>599</v>
      </c>
      <c r="AS216" t="s">
        <v>599</v>
      </c>
      <c r="AT216" t="s">
        <v>599</v>
      </c>
      <c r="AU216" t="s">
        <v>599</v>
      </c>
    </row>
    <row r="217" spans="1:47" s="13" customFormat="1" ht="105" x14ac:dyDescent="0.25">
      <c r="A217" s="9">
        <v>10382</v>
      </c>
      <c r="B217" s="10">
        <v>1888900</v>
      </c>
      <c r="C217" s="10">
        <v>1</v>
      </c>
      <c r="D217" s="9">
        <v>672</v>
      </c>
      <c r="E217" s="11" t="s">
        <v>226</v>
      </c>
      <c r="F217" s="11" t="str">
        <f t="shared" si="9"/>
        <v>https://purl.pt/42921</v>
      </c>
      <c r="G217" s="12" t="s">
        <v>227</v>
      </c>
      <c r="H217" s="9" t="s">
        <v>228</v>
      </c>
      <c r="I217" s="34"/>
      <c r="J217" s="55" t="str">
        <f t="shared" si="10"/>
        <v>https://permalinkbnd.bnportugal.gov.pt/viewer/272786/?offset=#page=672&amp;viewer=picture&amp;o=info&amp;n=0&amp;q=</v>
      </c>
      <c r="K217" s="45"/>
      <c r="L217" s="45"/>
      <c r="M217" s="45"/>
      <c r="N217" t="s">
        <v>226</v>
      </c>
      <c r="O217">
        <v>272786</v>
      </c>
      <c r="P217" t="str">
        <f t="shared" si="11"/>
        <v>https://permalinkbnd.bnportugal.gov.pt/viewer/272786/?offset=#page=672&amp;viewer=picture&amp;o=info&amp;n=0&amp;q=</v>
      </c>
      <c r="Q217">
        <v>1888900</v>
      </c>
      <c r="R217" t="s">
        <v>226</v>
      </c>
      <c r="S217" t="s">
        <v>599</v>
      </c>
      <c r="T217" t="s">
        <v>1178</v>
      </c>
      <c r="U217" t="s">
        <v>1192</v>
      </c>
      <c r="V217" t="s">
        <v>599</v>
      </c>
      <c r="W217" t="s">
        <v>1193</v>
      </c>
      <c r="X217" t="s">
        <v>599</v>
      </c>
      <c r="Y217" t="s">
        <v>599</v>
      </c>
      <c r="Z217" t="s">
        <v>1182</v>
      </c>
      <c r="AA217" t="s">
        <v>2169</v>
      </c>
      <c r="AB217">
        <v>1958</v>
      </c>
      <c r="AC217">
        <v>1958</v>
      </c>
      <c r="AD217" t="s">
        <v>2170</v>
      </c>
      <c r="AE217" t="s">
        <v>1185</v>
      </c>
      <c r="AF217" t="s">
        <v>599</v>
      </c>
      <c r="AG217" t="s">
        <v>599</v>
      </c>
      <c r="AH217" t="s">
        <v>2171</v>
      </c>
      <c r="AI217" t="s">
        <v>599</v>
      </c>
      <c r="AJ217" t="s">
        <v>599</v>
      </c>
      <c r="AK217" t="s">
        <v>2172</v>
      </c>
      <c r="AL217" t="s">
        <v>1188</v>
      </c>
      <c r="AM217" t="s">
        <v>2173</v>
      </c>
      <c r="AN217" t="s">
        <v>1190</v>
      </c>
      <c r="AO217" t="s">
        <v>599</v>
      </c>
      <c r="AP217" t="s">
        <v>599</v>
      </c>
      <c r="AQ217" t="s">
        <v>599</v>
      </c>
      <c r="AR217" t="s">
        <v>599</v>
      </c>
      <c r="AS217" t="s">
        <v>599</v>
      </c>
      <c r="AT217" t="s">
        <v>599</v>
      </c>
      <c r="AU217" t="s">
        <v>599</v>
      </c>
    </row>
    <row r="218" spans="1:47" s="13" customFormat="1" ht="105" x14ac:dyDescent="0.25">
      <c r="A218" s="9">
        <v>10383</v>
      </c>
      <c r="B218" s="10">
        <v>1888900</v>
      </c>
      <c r="C218" s="10">
        <v>1</v>
      </c>
      <c r="D218" s="9">
        <v>792</v>
      </c>
      <c r="E218" s="11" t="s">
        <v>226</v>
      </c>
      <c r="F218" s="11" t="str">
        <f t="shared" si="9"/>
        <v>https://purl.pt/42921</v>
      </c>
      <c r="G218" s="12" t="s">
        <v>227</v>
      </c>
      <c r="H218" s="9" t="s">
        <v>228</v>
      </c>
      <c r="I218" s="34"/>
      <c r="J218" s="55" t="str">
        <f t="shared" si="10"/>
        <v>https://permalinkbnd.bnportugal.gov.pt/viewer/272786/?offset=#page=792&amp;viewer=picture&amp;o=info&amp;n=0&amp;q=</v>
      </c>
      <c r="K218" s="45"/>
      <c r="L218" s="45"/>
      <c r="M218" s="45"/>
      <c r="N218" t="s">
        <v>226</v>
      </c>
      <c r="O218">
        <v>272786</v>
      </c>
      <c r="P218" t="str">
        <f t="shared" si="11"/>
        <v>https://permalinkbnd.bnportugal.gov.pt/viewer/272786/?offset=#page=792&amp;viewer=picture&amp;o=info&amp;n=0&amp;q=</v>
      </c>
      <c r="Q218">
        <v>1888900</v>
      </c>
      <c r="R218" t="s">
        <v>226</v>
      </c>
      <c r="S218" t="s">
        <v>2168</v>
      </c>
      <c r="T218" t="s">
        <v>1178</v>
      </c>
      <c r="U218" t="s">
        <v>1192</v>
      </c>
      <c r="V218" t="s">
        <v>599</v>
      </c>
      <c r="W218" t="s">
        <v>1193</v>
      </c>
      <c r="X218" t="s">
        <v>599</v>
      </c>
      <c r="Y218" t="s">
        <v>599</v>
      </c>
      <c r="Z218" t="s">
        <v>1182</v>
      </c>
      <c r="AA218" t="s">
        <v>2169</v>
      </c>
      <c r="AB218">
        <v>1958</v>
      </c>
      <c r="AC218">
        <v>1958</v>
      </c>
      <c r="AD218" t="s">
        <v>2170</v>
      </c>
      <c r="AE218" t="s">
        <v>1185</v>
      </c>
      <c r="AF218" t="s">
        <v>599</v>
      </c>
      <c r="AG218" t="s">
        <v>599</v>
      </c>
      <c r="AH218" t="s">
        <v>2171</v>
      </c>
      <c r="AI218" t="s">
        <v>599</v>
      </c>
      <c r="AJ218" t="s">
        <v>599</v>
      </c>
      <c r="AK218" t="s">
        <v>2172</v>
      </c>
      <c r="AL218" t="s">
        <v>1188</v>
      </c>
      <c r="AM218" t="s">
        <v>2173</v>
      </c>
      <c r="AN218" t="s">
        <v>1190</v>
      </c>
      <c r="AO218" t="s">
        <v>599</v>
      </c>
      <c r="AP218" t="s">
        <v>599</v>
      </c>
      <c r="AQ218" t="s">
        <v>599</v>
      </c>
      <c r="AR218" t="s">
        <v>599</v>
      </c>
      <c r="AS218" t="s">
        <v>599</v>
      </c>
      <c r="AT218" t="s">
        <v>599</v>
      </c>
      <c r="AU218" t="s">
        <v>599</v>
      </c>
    </row>
    <row r="219" spans="1:47" s="13" customFormat="1" ht="105" x14ac:dyDescent="0.25">
      <c r="A219" s="9">
        <v>10384</v>
      </c>
      <c r="B219" s="10">
        <v>1888900</v>
      </c>
      <c r="C219" s="10">
        <v>1</v>
      </c>
      <c r="D219" s="9">
        <v>793</v>
      </c>
      <c r="E219" s="11" t="s">
        <v>226</v>
      </c>
      <c r="F219" s="11" t="str">
        <f t="shared" si="9"/>
        <v>https://purl.pt/42921</v>
      </c>
      <c r="G219" s="12" t="s">
        <v>227</v>
      </c>
      <c r="H219" s="9" t="s">
        <v>228</v>
      </c>
      <c r="I219" s="34"/>
      <c r="J219" s="55" t="str">
        <f t="shared" si="10"/>
        <v>https://permalinkbnd.bnportugal.gov.pt/viewer/272786/?offset=#page=793&amp;viewer=picture&amp;o=info&amp;n=0&amp;q=</v>
      </c>
      <c r="K219" s="45"/>
      <c r="L219" s="45"/>
      <c r="M219" s="45"/>
      <c r="N219" t="s">
        <v>226</v>
      </c>
      <c r="O219">
        <v>272786</v>
      </c>
      <c r="P219" t="str">
        <f t="shared" si="11"/>
        <v>https://permalinkbnd.bnportugal.gov.pt/viewer/272786/?offset=#page=793&amp;viewer=picture&amp;o=info&amp;n=0&amp;q=</v>
      </c>
      <c r="Q219">
        <v>1888900</v>
      </c>
      <c r="R219" t="s">
        <v>226</v>
      </c>
      <c r="S219" t="s">
        <v>599</v>
      </c>
      <c r="T219" t="s">
        <v>1178</v>
      </c>
      <c r="U219" t="s">
        <v>1192</v>
      </c>
      <c r="V219" t="s">
        <v>599</v>
      </c>
      <c r="W219" t="s">
        <v>1193</v>
      </c>
      <c r="X219" t="s">
        <v>599</v>
      </c>
      <c r="Y219" t="s">
        <v>599</v>
      </c>
      <c r="Z219" t="s">
        <v>1182</v>
      </c>
      <c r="AA219" t="s">
        <v>2169</v>
      </c>
      <c r="AB219">
        <v>1958</v>
      </c>
      <c r="AC219">
        <v>1958</v>
      </c>
      <c r="AD219" t="s">
        <v>2170</v>
      </c>
      <c r="AE219" t="s">
        <v>1185</v>
      </c>
      <c r="AF219" t="s">
        <v>599</v>
      </c>
      <c r="AG219" t="s">
        <v>599</v>
      </c>
      <c r="AH219" t="s">
        <v>2171</v>
      </c>
      <c r="AI219" t="s">
        <v>599</v>
      </c>
      <c r="AJ219" t="s">
        <v>599</v>
      </c>
      <c r="AK219" t="s">
        <v>2172</v>
      </c>
      <c r="AL219" t="s">
        <v>1188</v>
      </c>
      <c r="AM219" t="s">
        <v>2173</v>
      </c>
      <c r="AN219" t="s">
        <v>1190</v>
      </c>
      <c r="AO219" t="s">
        <v>599</v>
      </c>
      <c r="AP219" t="s">
        <v>599</v>
      </c>
      <c r="AQ219" t="s">
        <v>599</v>
      </c>
      <c r="AR219" t="s">
        <v>599</v>
      </c>
      <c r="AS219" t="s">
        <v>599</v>
      </c>
      <c r="AT219" t="s">
        <v>599</v>
      </c>
      <c r="AU219" t="s">
        <v>599</v>
      </c>
    </row>
    <row r="220" spans="1:47" s="13" customFormat="1" ht="105" x14ac:dyDescent="0.25">
      <c r="A220" s="9">
        <v>10385</v>
      </c>
      <c r="B220" s="10">
        <v>1888900</v>
      </c>
      <c r="C220" s="10">
        <v>1</v>
      </c>
      <c r="D220" s="9">
        <v>794</v>
      </c>
      <c r="E220" s="11" t="s">
        <v>226</v>
      </c>
      <c r="F220" s="11" t="str">
        <f t="shared" si="9"/>
        <v>https://purl.pt/42921</v>
      </c>
      <c r="G220" s="12" t="s">
        <v>227</v>
      </c>
      <c r="H220" s="9" t="s">
        <v>228</v>
      </c>
      <c r="I220" s="34"/>
      <c r="J220" s="55" t="str">
        <f t="shared" si="10"/>
        <v>https://permalinkbnd.bnportugal.gov.pt/viewer/272786/?offset=#page=794&amp;viewer=picture&amp;o=info&amp;n=0&amp;q=</v>
      </c>
      <c r="K220" s="45"/>
      <c r="L220" s="45"/>
      <c r="M220" s="45"/>
      <c r="N220" t="s">
        <v>226</v>
      </c>
      <c r="O220">
        <v>272786</v>
      </c>
      <c r="P220" t="str">
        <f t="shared" si="11"/>
        <v>https://permalinkbnd.bnportugal.gov.pt/viewer/272786/?offset=#page=794&amp;viewer=picture&amp;o=info&amp;n=0&amp;q=</v>
      </c>
      <c r="Q220">
        <v>1888900</v>
      </c>
      <c r="R220" t="s">
        <v>226</v>
      </c>
      <c r="S220" t="s">
        <v>599</v>
      </c>
      <c r="T220" t="s">
        <v>1178</v>
      </c>
      <c r="U220" t="s">
        <v>1192</v>
      </c>
      <c r="V220" t="s">
        <v>599</v>
      </c>
      <c r="W220" t="s">
        <v>1193</v>
      </c>
      <c r="X220" t="s">
        <v>599</v>
      </c>
      <c r="Y220" t="s">
        <v>599</v>
      </c>
      <c r="Z220" t="s">
        <v>1182</v>
      </c>
      <c r="AA220" t="s">
        <v>2169</v>
      </c>
      <c r="AB220">
        <v>1958</v>
      </c>
      <c r="AC220">
        <v>1958</v>
      </c>
      <c r="AD220" t="s">
        <v>2170</v>
      </c>
      <c r="AE220" t="s">
        <v>1185</v>
      </c>
      <c r="AF220" t="s">
        <v>599</v>
      </c>
      <c r="AG220" t="s">
        <v>599</v>
      </c>
      <c r="AH220" t="s">
        <v>2171</v>
      </c>
      <c r="AI220" t="s">
        <v>599</v>
      </c>
      <c r="AJ220" t="s">
        <v>599</v>
      </c>
      <c r="AK220" t="s">
        <v>2172</v>
      </c>
      <c r="AL220" t="s">
        <v>1188</v>
      </c>
      <c r="AM220" t="s">
        <v>2173</v>
      </c>
      <c r="AN220" t="s">
        <v>1190</v>
      </c>
      <c r="AO220" t="s">
        <v>599</v>
      </c>
      <c r="AP220" t="s">
        <v>599</v>
      </c>
      <c r="AQ220" t="s">
        <v>599</v>
      </c>
      <c r="AR220" t="s">
        <v>599</v>
      </c>
      <c r="AS220" t="s">
        <v>599</v>
      </c>
      <c r="AT220" t="s">
        <v>599</v>
      </c>
      <c r="AU220" t="s">
        <v>599</v>
      </c>
    </row>
    <row r="221" spans="1:47" s="13" customFormat="1" ht="105" x14ac:dyDescent="0.25">
      <c r="A221" s="9">
        <v>10386</v>
      </c>
      <c r="B221" s="10">
        <v>1888900</v>
      </c>
      <c r="C221" s="10">
        <v>1</v>
      </c>
      <c r="D221" s="9">
        <v>795</v>
      </c>
      <c r="E221" s="11" t="s">
        <v>226</v>
      </c>
      <c r="F221" s="11" t="str">
        <f t="shared" si="9"/>
        <v>https://purl.pt/42921</v>
      </c>
      <c r="G221" s="12" t="s">
        <v>227</v>
      </c>
      <c r="H221" s="9" t="s">
        <v>228</v>
      </c>
      <c r="I221" s="34"/>
      <c r="J221" s="55" t="str">
        <f t="shared" si="10"/>
        <v>https://permalinkbnd.bnportugal.gov.pt/viewer/272786/?offset=#page=795&amp;viewer=picture&amp;o=info&amp;n=0&amp;q=</v>
      </c>
      <c r="K221" s="45"/>
      <c r="L221" s="45"/>
      <c r="M221" s="45"/>
      <c r="N221" t="s">
        <v>226</v>
      </c>
      <c r="O221">
        <v>272786</v>
      </c>
      <c r="P221" t="str">
        <f t="shared" si="11"/>
        <v>https://permalinkbnd.bnportugal.gov.pt/viewer/272786/?offset=#page=795&amp;viewer=picture&amp;o=info&amp;n=0&amp;q=</v>
      </c>
      <c r="Q221">
        <v>1888900</v>
      </c>
      <c r="R221" t="s">
        <v>226</v>
      </c>
      <c r="S221" t="s">
        <v>2168</v>
      </c>
      <c r="T221" t="s">
        <v>1178</v>
      </c>
      <c r="U221" t="s">
        <v>1192</v>
      </c>
      <c r="V221" t="s">
        <v>599</v>
      </c>
      <c r="W221" t="s">
        <v>1193</v>
      </c>
      <c r="X221" t="s">
        <v>599</v>
      </c>
      <c r="Y221" t="s">
        <v>599</v>
      </c>
      <c r="Z221" t="s">
        <v>1182</v>
      </c>
      <c r="AA221" t="s">
        <v>2169</v>
      </c>
      <c r="AB221">
        <v>1958</v>
      </c>
      <c r="AC221">
        <v>1958</v>
      </c>
      <c r="AD221" t="s">
        <v>2170</v>
      </c>
      <c r="AE221" t="s">
        <v>1185</v>
      </c>
      <c r="AF221" t="s">
        <v>599</v>
      </c>
      <c r="AG221" t="s">
        <v>599</v>
      </c>
      <c r="AH221" t="s">
        <v>2171</v>
      </c>
      <c r="AI221" t="s">
        <v>599</v>
      </c>
      <c r="AJ221" t="s">
        <v>599</v>
      </c>
      <c r="AK221" t="s">
        <v>2172</v>
      </c>
      <c r="AL221" t="s">
        <v>1188</v>
      </c>
      <c r="AM221" t="s">
        <v>2173</v>
      </c>
      <c r="AN221" t="s">
        <v>1190</v>
      </c>
      <c r="AO221" t="s">
        <v>599</v>
      </c>
      <c r="AP221" t="s">
        <v>599</v>
      </c>
      <c r="AQ221" t="s">
        <v>599</v>
      </c>
      <c r="AR221" t="s">
        <v>599</v>
      </c>
      <c r="AS221" t="s">
        <v>599</v>
      </c>
      <c r="AT221" t="s">
        <v>599</v>
      </c>
      <c r="AU221" t="s">
        <v>599</v>
      </c>
    </row>
    <row r="222" spans="1:47" s="13" customFormat="1" ht="105" x14ac:dyDescent="0.25">
      <c r="A222" s="9">
        <v>10387</v>
      </c>
      <c r="B222" s="10">
        <v>1888900</v>
      </c>
      <c r="C222" s="10">
        <v>1</v>
      </c>
      <c r="D222" s="9">
        <v>796</v>
      </c>
      <c r="E222" s="11" t="s">
        <v>226</v>
      </c>
      <c r="F222" s="11" t="str">
        <f t="shared" si="9"/>
        <v>https://purl.pt/42921</v>
      </c>
      <c r="G222" s="12" t="s">
        <v>227</v>
      </c>
      <c r="H222" s="9" t="s">
        <v>228</v>
      </c>
      <c r="I222" s="34"/>
      <c r="J222" s="55" t="str">
        <f t="shared" si="10"/>
        <v>https://permalinkbnd.bnportugal.gov.pt/viewer/272786/?offset=#page=796&amp;viewer=picture&amp;o=info&amp;n=0&amp;q=</v>
      </c>
      <c r="K222" s="45"/>
      <c r="L222" s="45"/>
      <c r="M222" s="45"/>
      <c r="N222" t="s">
        <v>226</v>
      </c>
      <c r="O222">
        <v>272786</v>
      </c>
      <c r="P222" t="str">
        <f t="shared" si="11"/>
        <v>https://permalinkbnd.bnportugal.gov.pt/viewer/272786/?offset=#page=796&amp;viewer=picture&amp;o=info&amp;n=0&amp;q=</v>
      </c>
      <c r="Q222">
        <v>1888900</v>
      </c>
      <c r="R222" t="s">
        <v>226</v>
      </c>
      <c r="S222" t="s">
        <v>2168</v>
      </c>
      <c r="T222" t="s">
        <v>1178</v>
      </c>
      <c r="U222" t="s">
        <v>1192</v>
      </c>
      <c r="V222" t="s">
        <v>599</v>
      </c>
      <c r="W222" t="s">
        <v>1193</v>
      </c>
      <c r="X222" t="s">
        <v>599</v>
      </c>
      <c r="Y222" t="s">
        <v>599</v>
      </c>
      <c r="Z222" t="s">
        <v>1182</v>
      </c>
      <c r="AA222" t="s">
        <v>2169</v>
      </c>
      <c r="AB222">
        <v>1958</v>
      </c>
      <c r="AC222">
        <v>1958</v>
      </c>
      <c r="AD222" t="s">
        <v>2170</v>
      </c>
      <c r="AE222" t="s">
        <v>1185</v>
      </c>
      <c r="AF222" t="s">
        <v>599</v>
      </c>
      <c r="AG222" t="s">
        <v>599</v>
      </c>
      <c r="AH222" t="s">
        <v>2171</v>
      </c>
      <c r="AI222" t="s">
        <v>599</v>
      </c>
      <c r="AJ222" t="s">
        <v>599</v>
      </c>
      <c r="AK222" t="s">
        <v>2172</v>
      </c>
      <c r="AL222" t="s">
        <v>1188</v>
      </c>
      <c r="AM222" t="s">
        <v>2173</v>
      </c>
      <c r="AN222" t="s">
        <v>1190</v>
      </c>
      <c r="AO222" t="s">
        <v>599</v>
      </c>
      <c r="AP222" t="s">
        <v>599</v>
      </c>
      <c r="AQ222" t="s">
        <v>599</v>
      </c>
      <c r="AR222" t="s">
        <v>599</v>
      </c>
      <c r="AS222" t="s">
        <v>599</v>
      </c>
      <c r="AT222" t="s">
        <v>599</v>
      </c>
      <c r="AU222" t="s">
        <v>599</v>
      </c>
    </row>
    <row r="223" spans="1:47" s="13" customFormat="1" ht="105" x14ac:dyDescent="0.25">
      <c r="A223" s="9">
        <v>10388</v>
      </c>
      <c r="B223" s="10">
        <v>1888900</v>
      </c>
      <c r="C223" s="10">
        <v>1</v>
      </c>
      <c r="D223" s="9">
        <v>797</v>
      </c>
      <c r="E223" s="11" t="s">
        <v>226</v>
      </c>
      <c r="F223" s="11" t="str">
        <f t="shared" si="9"/>
        <v>https://purl.pt/42921</v>
      </c>
      <c r="G223" s="12" t="s">
        <v>227</v>
      </c>
      <c r="H223" s="9" t="s">
        <v>228</v>
      </c>
      <c r="I223" s="34"/>
      <c r="J223" s="55" t="str">
        <f t="shared" si="10"/>
        <v>https://permalinkbnd.bnportugal.gov.pt/viewer/272786/?offset=#page=797&amp;viewer=picture&amp;o=info&amp;n=0&amp;q=</v>
      </c>
      <c r="K223" s="45"/>
      <c r="L223" s="45"/>
      <c r="M223" s="45"/>
      <c r="N223" t="s">
        <v>226</v>
      </c>
      <c r="O223">
        <v>272786</v>
      </c>
      <c r="P223" t="str">
        <f t="shared" si="11"/>
        <v>https://permalinkbnd.bnportugal.gov.pt/viewer/272786/?offset=#page=797&amp;viewer=picture&amp;o=info&amp;n=0&amp;q=</v>
      </c>
      <c r="Q223">
        <v>1888900</v>
      </c>
      <c r="R223" t="s">
        <v>226</v>
      </c>
      <c r="S223" t="s">
        <v>2168</v>
      </c>
      <c r="T223" t="s">
        <v>1178</v>
      </c>
      <c r="U223" t="s">
        <v>1192</v>
      </c>
      <c r="V223" t="s">
        <v>599</v>
      </c>
      <c r="W223" t="s">
        <v>1193</v>
      </c>
      <c r="X223" t="s">
        <v>599</v>
      </c>
      <c r="Y223" t="s">
        <v>599</v>
      </c>
      <c r="Z223" t="s">
        <v>1182</v>
      </c>
      <c r="AA223" t="s">
        <v>2169</v>
      </c>
      <c r="AB223">
        <v>1958</v>
      </c>
      <c r="AC223">
        <v>1958</v>
      </c>
      <c r="AD223" t="s">
        <v>2170</v>
      </c>
      <c r="AE223" t="s">
        <v>1185</v>
      </c>
      <c r="AF223" t="s">
        <v>599</v>
      </c>
      <c r="AG223" t="s">
        <v>599</v>
      </c>
      <c r="AH223" t="s">
        <v>2171</v>
      </c>
      <c r="AI223" t="s">
        <v>599</v>
      </c>
      <c r="AJ223" t="s">
        <v>599</v>
      </c>
      <c r="AK223" t="s">
        <v>2172</v>
      </c>
      <c r="AL223" t="s">
        <v>1188</v>
      </c>
      <c r="AM223" t="s">
        <v>2173</v>
      </c>
      <c r="AN223" t="s">
        <v>1190</v>
      </c>
      <c r="AO223" t="s">
        <v>599</v>
      </c>
      <c r="AP223" t="s">
        <v>599</v>
      </c>
      <c r="AQ223" t="s">
        <v>599</v>
      </c>
      <c r="AR223" t="s">
        <v>599</v>
      </c>
      <c r="AS223" t="s">
        <v>599</v>
      </c>
      <c r="AT223" t="s">
        <v>599</v>
      </c>
      <c r="AU223" t="s">
        <v>599</v>
      </c>
    </row>
    <row r="224" spans="1:47" s="13" customFormat="1" ht="105" x14ac:dyDescent="0.25">
      <c r="A224" s="9">
        <v>10389</v>
      </c>
      <c r="B224" s="10">
        <v>1888900</v>
      </c>
      <c r="C224" s="10">
        <v>1</v>
      </c>
      <c r="D224" s="9">
        <v>798</v>
      </c>
      <c r="E224" s="11" t="s">
        <v>226</v>
      </c>
      <c r="F224" s="11" t="str">
        <f t="shared" si="9"/>
        <v>https://purl.pt/42921</v>
      </c>
      <c r="G224" s="12" t="s">
        <v>227</v>
      </c>
      <c r="H224" s="9" t="s">
        <v>228</v>
      </c>
      <c r="I224" s="34"/>
      <c r="J224" s="55" t="str">
        <f t="shared" si="10"/>
        <v>https://permalinkbnd.bnportugal.gov.pt/viewer/272786/?offset=#page=798&amp;viewer=picture&amp;o=info&amp;n=0&amp;q=</v>
      </c>
      <c r="K224" s="45"/>
      <c r="L224" s="45"/>
      <c r="M224" s="45"/>
      <c r="N224" t="s">
        <v>226</v>
      </c>
      <c r="O224">
        <v>272786</v>
      </c>
      <c r="P224" t="str">
        <f t="shared" si="11"/>
        <v>https://permalinkbnd.bnportugal.gov.pt/viewer/272786/?offset=#page=798&amp;viewer=picture&amp;o=info&amp;n=0&amp;q=</v>
      </c>
      <c r="Q224">
        <v>1888900</v>
      </c>
      <c r="R224" t="s">
        <v>226</v>
      </c>
      <c r="S224" t="s">
        <v>2168</v>
      </c>
      <c r="T224" t="s">
        <v>1178</v>
      </c>
      <c r="U224" t="s">
        <v>1192</v>
      </c>
      <c r="V224" t="s">
        <v>599</v>
      </c>
      <c r="W224" t="s">
        <v>1193</v>
      </c>
      <c r="X224" t="s">
        <v>599</v>
      </c>
      <c r="Y224" t="s">
        <v>599</v>
      </c>
      <c r="Z224" t="s">
        <v>1182</v>
      </c>
      <c r="AA224" t="s">
        <v>2169</v>
      </c>
      <c r="AB224">
        <v>1958</v>
      </c>
      <c r="AC224">
        <v>1958</v>
      </c>
      <c r="AD224" t="s">
        <v>2170</v>
      </c>
      <c r="AE224" t="s">
        <v>1185</v>
      </c>
      <c r="AF224" t="s">
        <v>599</v>
      </c>
      <c r="AG224" t="s">
        <v>599</v>
      </c>
      <c r="AH224" t="s">
        <v>2171</v>
      </c>
      <c r="AI224" t="s">
        <v>599</v>
      </c>
      <c r="AJ224" t="s">
        <v>599</v>
      </c>
      <c r="AK224" t="s">
        <v>2172</v>
      </c>
      <c r="AL224" t="s">
        <v>1188</v>
      </c>
      <c r="AM224" t="s">
        <v>2173</v>
      </c>
      <c r="AN224" t="s">
        <v>1190</v>
      </c>
      <c r="AO224" t="s">
        <v>599</v>
      </c>
      <c r="AP224" t="s">
        <v>599</v>
      </c>
      <c r="AQ224" t="s">
        <v>599</v>
      </c>
      <c r="AR224" t="s">
        <v>599</v>
      </c>
      <c r="AS224" t="s">
        <v>599</v>
      </c>
      <c r="AT224" t="s">
        <v>599</v>
      </c>
      <c r="AU224" t="s">
        <v>599</v>
      </c>
    </row>
    <row r="225" spans="1:47" s="13" customFormat="1" ht="105" x14ac:dyDescent="0.25">
      <c r="A225" s="9">
        <v>10390</v>
      </c>
      <c r="B225" s="10">
        <v>1888900</v>
      </c>
      <c r="C225" s="10">
        <v>1</v>
      </c>
      <c r="D225" s="9">
        <v>799</v>
      </c>
      <c r="E225" s="11" t="s">
        <v>226</v>
      </c>
      <c r="F225" s="11" t="str">
        <f t="shared" si="9"/>
        <v>https://purl.pt/42921</v>
      </c>
      <c r="G225" s="12" t="s">
        <v>227</v>
      </c>
      <c r="H225" s="9" t="s">
        <v>228</v>
      </c>
      <c r="I225" s="34"/>
      <c r="J225" s="55" t="str">
        <f t="shared" si="10"/>
        <v>https://permalinkbnd.bnportugal.gov.pt/viewer/272786/?offset=#page=799&amp;viewer=picture&amp;o=info&amp;n=0&amp;q=</v>
      </c>
      <c r="K225" s="45"/>
      <c r="L225" s="45"/>
      <c r="M225" s="45"/>
      <c r="N225" t="s">
        <v>226</v>
      </c>
      <c r="O225">
        <v>272786</v>
      </c>
      <c r="P225" t="str">
        <f t="shared" si="11"/>
        <v>https://permalinkbnd.bnportugal.gov.pt/viewer/272786/?offset=#page=799&amp;viewer=picture&amp;o=info&amp;n=0&amp;q=</v>
      </c>
      <c r="Q225">
        <v>1888900</v>
      </c>
      <c r="R225" t="s">
        <v>226</v>
      </c>
      <c r="S225" t="s">
        <v>2168</v>
      </c>
      <c r="T225" t="s">
        <v>1178</v>
      </c>
      <c r="U225" t="s">
        <v>1192</v>
      </c>
      <c r="V225" t="s">
        <v>599</v>
      </c>
      <c r="W225" t="s">
        <v>1193</v>
      </c>
      <c r="X225" t="s">
        <v>599</v>
      </c>
      <c r="Y225" t="s">
        <v>599</v>
      </c>
      <c r="Z225" t="s">
        <v>1182</v>
      </c>
      <c r="AA225" t="s">
        <v>2169</v>
      </c>
      <c r="AB225">
        <v>1958</v>
      </c>
      <c r="AC225">
        <v>1958</v>
      </c>
      <c r="AD225" t="s">
        <v>2170</v>
      </c>
      <c r="AE225" t="s">
        <v>1185</v>
      </c>
      <c r="AF225" t="s">
        <v>599</v>
      </c>
      <c r="AG225" t="s">
        <v>599</v>
      </c>
      <c r="AH225" t="s">
        <v>2171</v>
      </c>
      <c r="AI225" t="s">
        <v>599</v>
      </c>
      <c r="AJ225" t="s">
        <v>599</v>
      </c>
      <c r="AK225" t="s">
        <v>2172</v>
      </c>
      <c r="AL225" t="s">
        <v>1188</v>
      </c>
      <c r="AM225" t="s">
        <v>2173</v>
      </c>
      <c r="AN225" t="s">
        <v>1190</v>
      </c>
      <c r="AO225" t="s">
        <v>599</v>
      </c>
      <c r="AP225" t="s">
        <v>599</v>
      </c>
      <c r="AQ225" t="s">
        <v>599</v>
      </c>
      <c r="AR225" t="s">
        <v>599</v>
      </c>
      <c r="AS225" t="s">
        <v>599</v>
      </c>
      <c r="AT225" t="s">
        <v>599</v>
      </c>
      <c r="AU225" t="s">
        <v>599</v>
      </c>
    </row>
    <row r="226" spans="1:47" s="13" customFormat="1" ht="105" x14ac:dyDescent="0.25">
      <c r="A226" s="9">
        <v>10391</v>
      </c>
      <c r="B226" s="10">
        <v>1888900</v>
      </c>
      <c r="C226" s="10">
        <v>1</v>
      </c>
      <c r="D226" s="9">
        <v>800</v>
      </c>
      <c r="E226" s="11" t="s">
        <v>226</v>
      </c>
      <c r="F226" s="11" t="str">
        <f t="shared" si="9"/>
        <v>https://purl.pt/42921</v>
      </c>
      <c r="G226" s="12" t="s">
        <v>227</v>
      </c>
      <c r="H226" s="9" t="s">
        <v>228</v>
      </c>
      <c r="I226" s="34"/>
      <c r="J226" s="55" t="str">
        <f t="shared" si="10"/>
        <v>https://permalinkbnd.bnportugal.gov.pt/viewer/272786/?offset=#page=800&amp;viewer=picture&amp;o=info&amp;n=0&amp;q=</v>
      </c>
      <c r="K226" s="45"/>
      <c r="L226" s="45"/>
      <c r="M226" s="45"/>
      <c r="N226" t="s">
        <v>226</v>
      </c>
      <c r="O226">
        <v>272786</v>
      </c>
      <c r="P226" t="str">
        <f t="shared" si="11"/>
        <v>https://permalinkbnd.bnportugal.gov.pt/viewer/272786/?offset=#page=800&amp;viewer=picture&amp;o=info&amp;n=0&amp;q=</v>
      </c>
      <c r="Q226">
        <v>1888900</v>
      </c>
      <c r="R226" t="s">
        <v>226</v>
      </c>
      <c r="S226" t="s">
        <v>2168</v>
      </c>
      <c r="T226" t="s">
        <v>1178</v>
      </c>
      <c r="U226" t="s">
        <v>1192</v>
      </c>
      <c r="V226" t="s">
        <v>599</v>
      </c>
      <c r="W226" t="s">
        <v>1193</v>
      </c>
      <c r="X226" t="s">
        <v>599</v>
      </c>
      <c r="Y226" t="s">
        <v>599</v>
      </c>
      <c r="Z226" t="s">
        <v>1182</v>
      </c>
      <c r="AA226" t="s">
        <v>2169</v>
      </c>
      <c r="AB226">
        <v>1958</v>
      </c>
      <c r="AC226">
        <v>1958</v>
      </c>
      <c r="AD226" t="s">
        <v>2170</v>
      </c>
      <c r="AE226" t="s">
        <v>1185</v>
      </c>
      <c r="AF226" t="s">
        <v>599</v>
      </c>
      <c r="AG226" t="s">
        <v>599</v>
      </c>
      <c r="AH226" t="s">
        <v>2171</v>
      </c>
      <c r="AI226" t="s">
        <v>599</v>
      </c>
      <c r="AJ226" t="s">
        <v>599</v>
      </c>
      <c r="AK226" t="s">
        <v>2172</v>
      </c>
      <c r="AL226" t="s">
        <v>1188</v>
      </c>
      <c r="AM226" t="s">
        <v>2173</v>
      </c>
      <c r="AN226" t="s">
        <v>1190</v>
      </c>
      <c r="AO226" t="s">
        <v>599</v>
      </c>
      <c r="AP226" t="s">
        <v>599</v>
      </c>
      <c r="AQ226" t="s">
        <v>599</v>
      </c>
      <c r="AR226" t="s">
        <v>599</v>
      </c>
      <c r="AS226" t="s">
        <v>599</v>
      </c>
      <c r="AT226" t="s">
        <v>599</v>
      </c>
      <c r="AU226" t="s">
        <v>599</v>
      </c>
    </row>
    <row r="227" spans="1:47" s="13" customFormat="1" ht="105" x14ac:dyDescent="0.25">
      <c r="A227" s="9">
        <v>10392</v>
      </c>
      <c r="B227" s="10">
        <v>1888900</v>
      </c>
      <c r="C227" s="10">
        <v>1</v>
      </c>
      <c r="D227" s="9">
        <v>804</v>
      </c>
      <c r="E227" s="11" t="s">
        <v>226</v>
      </c>
      <c r="F227" s="11" t="str">
        <f t="shared" si="9"/>
        <v>https://purl.pt/42921</v>
      </c>
      <c r="G227" s="12" t="s">
        <v>227</v>
      </c>
      <c r="H227" s="9" t="s">
        <v>228</v>
      </c>
      <c r="I227" s="34"/>
      <c r="J227" s="55" t="str">
        <f t="shared" si="10"/>
        <v>https://permalinkbnd.bnportugal.gov.pt/viewer/272786/?offset=#page=804&amp;viewer=picture&amp;o=info&amp;n=0&amp;q=</v>
      </c>
      <c r="K227" s="45"/>
      <c r="L227" s="45"/>
      <c r="M227" s="45"/>
      <c r="N227" t="s">
        <v>226</v>
      </c>
      <c r="O227">
        <v>272786</v>
      </c>
      <c r="P227" t="str">
        <f t="shared" si="11"/>
        <v>https://permalinkbnd.bnportugal.gov.pt/viewer/272786/?offset=#page=804&amp;viewer=picture&amp;o=info&amp;n=0&amp;q=</v>
      </c>
      <c r="Q227">
        <v>1888900</v>
      </c>
      <c r="R227" t="s">
        <v>226</v>
      </c>
      <c r="S227" t="s">
        <v>2168</v>
      </c>
      <c r="T227" t="s">
        <v>1178</v>
      </c>
      <c r="U227" t="s">
        <v>1192</v>
      </c>
      <c r="V227" t="s">
        <v>599</v>
      </c>
      <c r="W227" t="s">
        <v>1193</v>
      </c>
      <c r="X227" t="s">
        <v>599</v>
      </c>
      <c r="Y227" t="s">
        <v>599</v>
      </c>
      <c r="Z227" t="s">
        <v>1182</v>
      </c>
      <c r="AA227" t="s">
        <v>2169</v>
      </c>
      <c r="AB227">
        <v>1958</v>
      </c>
      <c r="AC227">
        <v>1958</v>
      </c>
      <c r="AD227" t="s">
        <v>2170</v>
      </c>
      <c r="AE227" t="s">
        <v>1185</v>
      </c>
      <c r="AF227" t="s">
        <v>599</v>
      </c>
      <c r="AG227" t="s">
        <v>599</v>
      </c>
      <c r="AH227" t="s">
        <v>2171</v>
      </c>
      <c r="AI227" t="s">
        <v>599</v>
      </c>
      <c r="AJ227" t="s">
        <v>599</v>
      </c>
      <c r="AK227" t="s">
        <v>2172</v>
      </c>
      <c r="AL227" t="s">
        <v>1188</v>
      </c>
      <c r="AM227" t="s">
        <v>2173</v>
      </c>
      <c r="AN227" t="s">
        <v>1190</v>
      </c>
      <c r="AO227" t="s">
        <v>599</v>
      </c>
      <c r="AP227" t="s">
        <v>599</v>
      </c>
      <c r="AQ227" t="s">
        <v>599</v>
      </c>
      <c r="AR227" t="s">
        <v>599</v>
      </c>
      <c r="AS227" t="s">
        <v>599</v>
      </c>
      <c r="AT227" t="s">
        <v>599</v>
      </c>
      <c r="AU227" t="s">
        <v>599</v>
      </c>
    </row>
    <row r="228" spans="1:47" s="13" customFormat="1" ht="30" x14ac:dyDescent="0.25">
      <c r="A228" s="9">
        <v>10393</v>
      </c>
      <c r="B228" s="10">
        <v>1891325</v>
      </c>
      <c r="C228" s="10">
        <v>1</v>
      </c>
      <c r="D228" s="9">
        <v>1</v>
      </c>
      <c r="E228" s="11" t="s">
        <v>229</v>
      </c>
      <c r="F228" s="11" t="str">
        <f t="shared" si="9"/>
        <v>https://purl.pt/43559</v>
      </c>
      <c r="G228" s="12">
        <v>1</v>
      </c>
      <c r="H228" s="9">
        <v>1</v>
      </c>
      <c r="I228" s="34"/>
      <c r="J228" s="55" t="str">
        <f t="shared" si="10"/>
        <v>https://permalinkbnd.bnportugal.gov.pt/viewer/272730/?offset=#page=1&amp;viewer=picture&amp;o=info&amp;n=0&amp;q=</v>
      </c>
      <c r="K228" s="45"/>
      <c r="L228" s="45"/>
      <c r="M228" s="45"/>
      <c r="N228" t="s">
        <v>229</v>
      </c>
      <c r="O228">
        <v>272730</v>
      </c>
      <c r="P228" t="str">
        <f t="shared" si="11"/>
        <v>https://permalinkbnd.bnportugal.gov.pt/viewer/272730/?offset=#page=1&amp;viewer=picture&amp;o=info&amp;n=0&amp;q=</v>
      </c>
      <c r="Q228">
        <v>1891325</v>
      </c>
      <c r="R228" t="s">
        <v>229</v>
      </c>
      <c r="S228" t="s">
        <v>2174</v>
      </c>
      <c r="T228" t="s">
        <v>1312</v>
      </c>
      <c r="U228" t="s">
        <v>1192</v>
      </c>
      <c r="V228" t="s">
        <v>599</v>
      </c>
      <c r="W228" t="s">
        <v>2175</v>
      </c>
      <c r="X228" t="s">
        <v>2176</v>
      </c>
      <c r="Y228" t="s">
        <v>599</v>
      </c>
      <c r="Z228" t="s">
        <v>1182</v>
      </c>
      <c r="AA228" t="s">
        <v>1453</v>
      </c>
      <c r="AB228">
        <v>1890</v>
      </c>
      <c r="AC228">
        <v>1890</v>
      </c>
      <c r="AD228" t="s">
        <v>1454</v>
      </c>
      <c r="AE228" t="s">
        <v>599</v>
      </c>
      <c r="AF228" t="s">
        <v>599</v>
      </c>
      <c r="AG228" t="s">
        <v>599</v>
      </c>
      <c r="AH228" t="s">
        <v>2177</v>
      </c>
      <c r="AI228" t="s">
        <v>599</v>
      </c>
      <c r="AJ228" t="s">
        <v>599</v>
      </c>
      <c r="AK228" t="s">
        <v>2178</v>
      </c>
      <c r="AL228" t="s">
        <v>1188</v>
      </c>
      <c r="AM228" t="s">
        <v>2179</v>
      </c>
      <c r="AN228" t="s">
        <v>1190</v>
      </c>
      <c r="AO228" t="s">
        <v>599</v>
      </c>
      <c r="AP228" t="s">
        <v>2180</v>
      </c>
      <c r="AQ228" t="s">
        <v>599</v>
      </c>
      <c r="AR228" t="s">
        <v>599</v>
      </c>
      <c r="AS228" t="s">
        <v>599</v>
      </c>
      <c r="AT228" t="s">
        <v>599</v>
      </c>
      <c r="AU228" t="s">
        <v>599</v>
      </c>
    </row>
    <row r="229" spans="1:47" s="13" customFormat="1" ht="30" x14ac:dyDescent="0.25">
      <c r="A229" s="9">
        <v>10396</v>
      </c>
      <c r="B229" s="10">
        <v>1915110</v>
      </c>
      <c r="C229" s="10">
        <v>1</v>
      </c>
      <c r="D229" s="9">
        <v>3</v>
      </c>
      <c r="E229" s="11" t="s">
        <v>230</v>
      </c>
      <c r="F229" s="11" t="str">
        <f t="shared" si="9"/>
        <v>https://purl.pt/38119</v>
      </c>
      <c r="G229" s="12">
        <v>3</v>
      </c>
      <c r="H229" s="9">
        <v>3</v>
      </c>
      <c r="I229" s="34"/>
      <c r="J229" s="55" t="str">
        <f t="shared" si="10"/>
        <v>https://permalinkbnd.bnportugal.gov.pt/viewer/67153/?offset=#page=3&amp;viewer=picture&amp;o=info&amp;n=0&amp;q=</v>
      </c>
      <c r="K229" s="45"/>
      <c r="L229" s="45"/>
      <c r="M229" s="45"/>
      <c r="N229" t="s">
        <v>230</v>
      </c>
      <c r="O229">
        <v>67153</v>
      </c>
      <c r="P229" t="str">
        <f t="shared" si="11"/>
        <v>https://permalinkbnd.bnportugal.gov.pt/viewer/67153/?offset=#page=3&amp;viewer=picture&amp;o=info&amp;n=0&amp;q=</v>
      </c>
      <c r="Q229">
        <v>1915110</v>
      </c>
      <c r="R229" t="s">
        <v>230</v>
      </c>
      <c r="S229" t="s">
        <v>2181</v>
      </c>
      <c r="T229" t="s">
        <v>2127</v>
      </c>
      <c r="U229" t="s">
        <v>1362</v>
      </c>
      <c r="V229" t="s">
        <v>599</v>
      </c>
      <c r="W229" t="s">
        <v>2182</v>
      </c>
      <c r="X229" t="s">
        <v>2183</v>
      </c>
      <c r="Y229" t="s">
        <v>599</v>
      </c>
      <c r="Z229" t="s">
        <v>1182</v>
      </c>
      <c r="AA229" t="s">
        <v>2184</v>
      </c>
      <c r="AB229">
        <v>1867</v>
      </c>
      <c r="AC229">
        <v>1867</v>
      </c>
      <c r="AD229" t="s">
        <v>599</v>
      </c>
      <c r="AE229" t="s">
        <v>2185</v>
      </c>
      <c r="AF229" t="s">
        <v>599</v>
      </c>
      <c r="AG229" t="s">
        <v>599</v>
      </c>
      <c r="AH229" t="s">
        <v>2186</v>
      </c>
      <c r="AI229" t="s">
        <v>599</v>
      </c>
      <c r="AJ229" t="s">
        <v>2187</v>
      </c>
      <c r="AK229" t="s">
        <v>2188</v>
      </c>
      <c r="AL229" t="s">
        <v>1188</v>
      </c>
      <c r="AM229" t="s">
        <v>2189</v>
      </c>
      <c r="AN229" t="s">
        <v>1190</v>
      </c>
      <c r="AO229" t="s">
        <v>2190</v>
      </c>
      <c r="AP229" t="s">
        <v>599</v>
      </c>
      <c r="AQ229" t="s">
        <v>599</v>
      </c>
      <c r="AR229" t="s">
        <v>599</v>
      </c>
      <c r="AS229" t="s">
        <v>599</v>
      </c>
      <c r="AT229" t="s">
        <v>2191</v>
      </c>
      <c r="AU229" t="s">
        <v>599</v>
      </c>
    </row>
    <row r="230" spans="1:47" s="13" customFormat="1" ht="30" x14ac:dyDescent="0.25">
      <c r="A230" s="9">
        <v>10399</v>
      </c>
      <c r="B230" s="10">
        <v>1976927</v>
      </c>
      <c r="C230" s="10">
        <v>1</v>
      </c>
      <c r="D230" s="9">
        <v>1</v>
      </c>
      <c r="E230" s="11" t="s">
        <v>231</v>
      </c>
      <c r="F230" s="11" t="str">
        <f t="shared" si="9"/>
        <v>https://purl.pt/43576</v>
      </c>
      <c r="G230" s="12">
        <v>1</v>
      </c>
      <c r="H230" s="9">
        <v>1</v>
      </c>
      <c r="I230" s="34"/>
      <c r="J230" s="55" t="str">
        <f t="shared" si="10"/>
        <v>https://permalinkbnd.bnportugal.gov.pt/viewer/272792/?offset=#page=1&amp;viewer=picture&amp;o=info&amp;n=0&amp;q=</v>
      </c>
      <c r="K230" s="45"/>
      <c r="L230" s="45"/>
      <c r="M230" s="45"/>
      <c r="N230" t="s">
        <v>231</v>
      </c>
      <c r="O230">
        <v>272792</v>
      </c>
      <c r="P230" t="str">
        <f t="shared" si="11"/>
        <v>https://permalinkbnd.bnportugal.gov.pt/viewer/272792/?offset=#page=1&amp;viewer=picture&amp;o=info&amp;n=0&amp;q=</v>
      </c>
      <c r="Q230">
        <v>1976927</v>
      </c>
      <c r="R230" t="s">
        <v>231</v>
      </c>
      <c r="S230" t="s">
        <v>2192</v>
      </c>
      <c r="T230" t="s">
        <v>1312</v>
      </c>
      <c r="U230" t="s">
        <v>1192</v>
      </c>
      <c r="V230" t="s">
        <v>599</v>
      </c>
      <c r="W230" t="s">
        <v>2193</v>
      </c>
      <c r="X230" t="s">
        <v>2194</v>
      </c>
      <c r="Y230" t="s">
        <v>599</v>
      </c>
      <c r="Z230" t="s">
        <v>1182</v>
      </c>
      <c r="AA230" t="s">
        <v>2195</v>
      </c>
      <c r="AB230">
        <v>1903</v>
      </c>
      <c r="AC230">
        <v>1903</v>
      </c>
      <c r="AD230" t="s">
        <v>2056</v>
      </c>
      <c r="AE230" t="s">
        <v>2196</v>
      </c>
      <c r="AF230" t="s">
        <v>599</v>
      </c>
      <c r="AG230" t="s">
        <v>599</v>
      </c>
      <c r="AH230" t="s">
        <v>2197</v>
      </c>
      <c r="AI230" t="s">
        <v>599</v>
      </c>
      <c r="AJ230" t="s">
        <v>599</v>
      </c>
      <c r="AK230" t="s">
        <v>2198</v>
      </c>
      <c r="AL230" t="s">
        <v>1188</v>
      </c>
      <c r="AM230" t="s">
        <v>2199</v>
      </c>
      <c r="AN230" t="s">
        <v>1190</v>
      </c>
      <c r="AO230" t="s">
        <v>599</v>
      </c>
      <c r="AP230" t="s">
        <v>599</v>
      </c>
      <c r="AQ230" t="s">
        <v>599</v>
      </c>
      <c r="AR230" t="s">
        <v>599</v>
      </c>
      <c r="AS230" t="s">
        <v>599</v>
      </c>
      <c r="AT230" t="s">
        <v>599</v>
      </c>
      <c r="AU230" t="s">
        <v>599</v>
      </c>
    </row>
    <row r="231" spans="1:47" s="13" customFormat="1" ht="30" x14ac:dyDescent="0.25">
      <c r="A231" s="9">
        <v>10400</v>
      </c>
      <c r="B231" s="10">
        <v>1979399</v>
      </c>
      <c r="C231" s="10">
        <v>1</v>
      </c>
      <c r="D231" s="9">
        <v>1</v>
      </c>
      <c r="E231" s="11" t="s">
        <v>232</v>
      </c>
      <c r="F231" s="11" t="str">
        <f t="shared" si="9"/>
        <v>https://purl.pt/43584</v>
      </c>
      <c r="G231" s="12">
        <v>1</v>
      </c>
      <c r="H231" s="9">
        <v>1</v>
      </c>
      <c r="I231" s="34"/>
      <c r="J231" s="55" t="str">
        <f t="shared" si="10"/>
        <v>https://permalinkbnd.bnportugal.gov.pt/viewer/272811/?offset=#page=1&amp;viewer=picture&amp;o=info&amp;n=0&amp;q=</v>
      </c>
      <c r="K231" s="45"/>
      <c r="L231" s="45"/>
      <c r="M231" s="45"/>
      <c r="N231" t="s">
        <v>232</v>
      </c>
      <c r="O231">
        <v>272811</v>
      </c>
      <c r="P231" t="str">
        <f t="shared" si="11"/>
        <v>https://permalinkbnd.bnportugal.gov.pt/viewer/272811/?offset=#page=1&amp;viewer=picture&amp;o=info&amp;n=0&amp;q=</v>
      </c>
      <c r="Q231">
        <v>1979399</v>
      </c>
      <c r="R231" t="s">
        <v>232</v>
      </c>
      <c r="S231" t="s">
        <v>2200</v>
      </c>
      <c r="T231" t="s">
        <v>1312</v>
      </c>
      <c r="U231" t="s">
        <v>1192</v>
      </c>
      <c r="V231" t="s">
        <v>599</v>
      </c>
      <c r="W231" t="s">
        <v>2201</v>
      </c>
      <c r="X231" t="s">
        <v>599</v>
      </c>
      <c r="Y231" t="s">
        <v>599</v>
      </c>
      <c r="Z231" t="s">
        <v>1182</v>
      </c>
      <c r="AA231" t="s">
        <v>2202</v>
      </c>
      <c r="AB231">
        <v>1911</v>
      </c>
      <c r="AC231">
        <v>1911</v>
      </c>
      <c r="AD231" t="s">
        <v>2203</v>
      </c>
      <c r="AE231" t="s">
        <v>599</v>
      </c>
      <c r="AF231" t="s">
        <v>2204</v>
      </c>
      <c r="AG231" t="s">
        <v>599</v>
      </c>
      <c r="AH231" t="s">
        <v>599</v>
      </c>
      <c r="AI231" t="s">
        <v>599</v>
      </c>
      <c r="AJ231" t="s">
        <v>599</v>
      </c>
      <c r="AK231" t="s">
        <v>2205</v>
      </c>
      <c r="AL231" t="s">
        <v>1188</v>
      </c>
      <c r="AM231" t="s">
        <v>2206</v>
      </c>
      <c r="AN231" t="s">
        <v>1190</v>
      </c>
      <c r="AO231" t="s">
        <v>599</v>
      </c>
      <c r="AP231" t="s">
        <v>599</v>
      </c>
      <c r="AQ231" t="s">
        <v>2207</v>
      </c>
      <c r="AR231" t="s">
        <v>599</v>
      </c>
      <c r="AS231" t="s">
        <v>599</v>
      </c>
      <c r="AT231" t="s">
        <v>599</v>
      </c>
      <c r="AU231" t="s">
        <v>599</v>
      </c>
    </row>
    <row r="232" spans="1:47" s="13" customFormat="1" ht="30" x14ac:dyDescent="0.25">
      <c r="A232" s="9">
        <v>10401</v>
      </c>
      <c r="B232" s="10">
        <v>1979400</v>
      </c>
      <c r="C232" s="10">
        <v>1</v>
      </c>
      <c r="D232" s="9">
        <v>1</v>
      </c>
      <c r="E232" s="11" t="s">
        <v>233</v>
      </c>
      <c r="F232" s="11" t="str">
        <f t="shared" si="9"/>
        <v>https://purl.pt/43585</v>
      </c>
      <c r="G232" s="12">
        <v>1</v>
      </c>
      <c r="H232" s="9">
        <v>1</v>
      </c>
      <c r="I232" s="34"/>
      <c r="J232" s="55" t="str">
        <f t="shared" si="10"/>
        <v>https://permalinkbnd.bnportugal.gov.pt/viewer/272812/?offset=#page=1&amp;viewer=picture&amp;o=info&amp;n=0&amp;q=</v>
      </c>
      <c r="K232" s="45"/>
      <c r="L232" s="45"/>
      <c r="M232" s="45"/>
      <c r="N232" t="s">
        <v>233</v>
      </c>
      <c r="O232">
        <v>272812</v>
      </c>
      <c r="P232" t="str">
        <f t="shared" si="11"/>
        <v>https://permalinkbnd.bnportugal.gov.pt/viewer/272812/?offset=#page=1&amp;viewer=picture&amp;o=info&amp;n=0&amp;q=</v>
      </c>
      <c r="Q232">
        <v>1979400</v>
      </c>
      <c r="R232" t="s">
        <v>233</v>
      </c>
      <c r="S232" t="s">
        <v>2208</v>
      </c>
      <c r="T232" t="s">
        <v>1312</v>
      </c>
      <c r="U232" t="s">
        <v>1192</v>
      </c>
      <c r="V232" t="s">
        <v>599</v>
      </c>
      <c r="W232" t="s">
        <v>2209</v>
      </c>
      <c r="X232" t="s">
        <v>599</v>
      </c>
      <c r="Y232" t="s">
        <v>599</v>
      </c>
      <c r="Z232" t="s">
        <v>1182</v>
      </c>
      <c r="AA232" t="s">
        <v>2202</v>
      </c>
      <c r="AB232">
        <v>1911</v>
      </c>
      <c r="AC232">
        <v>1911</v>
      </c>
      <c r="AD232" t="s">
        <v>2203</v>
      </c>
      <c r="AE232" t="s">
        <v>599</v>
      </c>
      <c r="AF232" t="s">
        <v>2204</v>
      </c>
      <c r="AG232" t="s">
        <v>599</v>
      </c>
      <c r="AH232" t="s">
        <v>599</v>
      </c>
      <c r="AI232" t="s">
        <v>599</v>
      </c>
      <c r="AJ232" t="s">
        <v>599</v>
      </c>
      <c r="AK232" t="s">
        <v>2210</v>
      </c>
      <c r="AL232" t="s">
        <v>1188</v>
      </c>
      <c r="AM232" t="s">
        <v>2211</v>
      </c>
      <c r="AN232" t="s">
        <v>1190</v>
      </c>
      <c r="AO232" t="s">
        <v>599</v>
      </c>
      <c r="AP232" t="s">
        <v>599</v>
      </c>
      <c r="AQ232" t="s">
        <v>2207</v>
      </c>
      <c r="AR232" t="s">
        <v>599</v>
      </c>
      <c r="AS232" t="s">
        <v>599</v>
      </c>
      <c r="AT232" t="s">
        <v>599</v>
      </c>
      <c r="AU232" t="s">
        <v>599</v>
      </c>
    </row>
    <row r="233" spans="1:47" s="13" customFormat="1" ht="30" x14ac:dyDescent="0.25">
      <c r="A233" s="9">
        <v>10418</v>
      </c>
      <c r="B233" s="10">
        <v>2129622</v>
      </c>
      <c r="C233" s="10">
        <v>1</v>
      </c>
      <c r="D233" s="9">
        <v>7</v>
      </c>
      <c r="E233" s="11" t="s">
        <v>234</v>
      </c>
      <c r="F233" s="11" t="str">
        <f t="shared" si="9"/>
        <v>https://purl.pt/43591</v>
      </c>
      <c r="G233" s="12" t="s">
        <v>235</v>
      </c>
      <c r="H233" s="9" t="s">
        <v>236</v>
      </c>
      <c r="I233" s="34"/>
      <c r="J233" s="55" t="str">
        <f t="shared" si="10"/>
        <v>https://permalinkbnd.bnportugal.gov.pt/viewer/281142/?offset=#page=7&amp;viewer=picture&amp;o=info&amp;n=0&amp;q=</v>
      </c>
      <c r="K233" s="45"/>
      <c r="L233" s="45"/>
      <c r="M233" s="45"/>
      <c r="N233" t="s">
        <v>234</v>
      </c>
      <c r="O233">
        <v>281142</v>
      </c>
      <c r="P233" t="str">
        <f t="shared" si="11"/>
        <v>https://permalinkbnd.bnportugal.gov.pt/viewer/281142/?offset=#page=7&amp;viewer=picture&amp;o=info&amp;n=0&amp;q=</v>
      </c>
      <c r="Q233">
        <v>2129622</v>
      </c>
      <c r="R233" t="s">
        <v>234</v>
      </c>
      <c r="S233" t="s">
        <v>2212</v>
      </c>
      <c r="T233" t="s">
        <v>1517</v>
      </c>
      <c r="U233" t="s">
        <v>2213</v>
      </c>
      <c r="V233" t="s">
        <v>599</v>
      </c>
      <c r="W233" t="s">
        <v>2214</v>
      </c>
      <c r="X233" t="s">
        <v>599</v>
      </c>
      <c r="Y233" t="s">
        <v>599</v>
      </c>
      <c r="Z233" t="s">
        <v>1182</v>
      </c>
      <c r="AA233" t="s">
        <v>599</v>
      </c>
      <c r="AB233">
        <v>1712</v>
      </c>
      <c r="AC233">
        <v>1712</v>
      </c>
      <c r="AD233" t="s">
        <v>2215</v>
      </c>
      <c r="AE233" t="s">
        <v>599</v>
      </c>
      <c r="AF233" t="s">
        <v>599</v>
      </c>
      <c r="AG233" t="s">
        <v>2216</v>
      </c>
      <c r="AH233" t="s">
        <v>599</v>
      </c>
      <c r="AI233" t="s">
        <v>599</v>
      </c>
      <c r="AJ233" t="s">
        <v>599</v>
      </c>
      <c r="AK233" t="s">
        <v>2217</v>
      </c>
      <c r="AL233" t="s">
        <v>1188</v>
      </c>
      <c r="AM233" t="s">
        <v>2218</v>
      </c>
      <c r="AN233" t="s">
        <v>1190</v>
      </c>
      <c r="AO233" t="s">
        <v>2219</v>
      </c>
      <c r="AP233" t="s">
        <v>2220</v>
      </c>
      <c r="AQ233" t="s">
        <v>2221</v>
      </c>
      <c r="AR233" t="s">
        <v>599</v>
      </c>
      <c r="AS233" t="s">
        <v>599</v>
      </c>
      <c r="AT233" t="s">
        <v>599</v>
      </c>
      <c r="AU233" t="s">
        <v>599</v>
      </c>
    </row>
    <row r="234" spans="1:47" s="13" customFormat="1" ht="30" x14ac:dyDescent="0.25">
      <c r="A234" s="9">
        <v>10419</v>
      </c>
      <c r="B234" s="10">
        <v>2129622</v>
      </c>
      <c r="C234" s="10">
        <v>1</v>
      </c>
      <c r="D234" s="9">
        <v>9</v>
      </c>
      <c r="E234" s="11" t="s">
        <v>234</v>
      </c>
      <c r="F234" s="11" t="str">
        <f t="shared" si="9"/>
        <v>https://purl.pt/43591</v>
      </c>
      <c r="G234" s="12" t="s">
        <v>235</v>
      </c>
      <c r="H234" s="9" t="s">
        <v>236</v>
      </c>
      <c r="I234" s="34"/>
      <c r="J234" s="55" t="str">
        <f t="shared" si="10"/>
        <v>https://permalinkbnd.bnportugal.gov.pt/viewer/281142/?offset=#page=9&amp;viewer=picture&amp;o=info&amp;n=0&amp;q=</v>
      </c>
      <c r="K234" s="45"/>
      <c r="L234" s="45"/>
      <c r="M234" s="45"/>
      <c r="N234" t="s">
        <v>234</v>
      </c>
      <c r="O234">
        <v>281142</v>
      </c>
      <c r="P234" t="str">
        <f t="shared" si="11"/>
        <v>https://permalinkbnd.bnportugal.gov.pt/viewer/281142/?offset=#page=9&amp;viewer=picture&amp;o=info&amp;n=0&amp;q=</v>
      </c>
      <c r="Q234">
        <v>2129622</v>
      </c>
      <c r="R234" t="s">
        <v>234</v>
      </c>
      <c r="S234" t="s">
        <v>2212</v>
      </c>
      <c r="T234" t="s">
        <v>1517</v>
      </c>
      <c r="U234" t="s">
        <v>2213</v>
      </c>
      <c r="V234" t="s">
        <v>599</v>
      </c>
      <c r="W234" t="s">
        <v>2214</v>
      </c>
      <c r="X234" t="s">
        <v>599</v>
      </c>
      <c r="Y234" t="s">
        <v>599</v>
      </c>
      <c r="Z234" t="s">
        <v>1182</v>
      </c>
      <c r="AA234" t="s">
        <v>599</v>
      </c>
      <c r="AB234">
        <v>1712</v>
      </c>
      <c r="AC234">
        <v>1712</v>
      </c>
      <c r="AD234" t="s">
        <v>2215</v>
      </c>
      <c r="AE234" t="s">
        <v>599</v>
      </c>
      <c r="AF234" t="s">
        <v>599</v>
      </c>
      <c r="AG234" t="s">
        <v>2216</v>
      </c>
      <c r="AH234" t="s">
        <v>599</v>
      </c>
      <c r="AI234" t="s">
        <v>599</v>
      </c>
      <c r="AJ234" t="s">
        <v>599</v>
      </c>
      <c r="AK234" t="s">
        <v>2217</v>
      </c>
      <c r="AL234" t="s">
        <v>1188</v>
      </c>
      <c r="AM234" t="s">
        <v>2218</v>
      </c>
      <c r="AN234" t="s">
        <v>1190</v>
      </c>
      <c r="AO234" t="s">
        <v>2219</v>
      </c>
      <c r="AP234" t="s">
        <v>2220</v>
      </c>
      <c r="AQ234" t="s">
        <v>2221</v>
      </c>
      <c r="AR234" t="s">
        <v>599</v>
      </c>
      <c r="AS234" t="s">
        <v>599</v>
      </c>
      <c r="AT234" t="s">
        <v>599</v>
      </c>
      <c r="AU234" t="s">
        <v>599</v>
      </c>
    </row>
    <row r="235" spans="1:47" s="13" customFormat="1" ht="30" x14ac:dyDescent="0.25">
      <c r="A235" s="9">
        <v>10426</v>
      </c>
      <c r="B235" s="10">
        <v>586409</v>
      </c>
      <c r="C235" s="10">
        <v>1</v>
      </c>
      <c r="D235" s="9">
        <v>1</v>
      </c>
      <c r="E235" s="11" t="s">
        <v>237</v>
      </c>
      <c r="F235" s="11" t="str">
        <f t="shared" si="9"/>
        <v>https://purl.pt/44278</v>
      </c>
      <c r="G235" s="12">
        <v>1</v>
      </c>
      <c r="H235" s="9">
        <v>1</v>
      </c>
      <c r="I235" s="34"/>
      <c r="J235" s="55" t="str">
        <f t="shared" si="10"/>
        <v>https://permalinkbnd.bnportugal.gov.pt/viewer/276786/?offset=#page=1&amp;viewer=picture&amp;o=info&amp;n=0&amp;q=</v>
      </c>
      <c r="K235" s="45"/>
      <c r="L235" s="45"/>
      <c r="M235" s="45"/>
      <c r="N235" t="s">
        <v>237</v>
      </c>
      <c r="O235">
        <v>276786</v>
      </c>
      <c r="P235" t="str">
        <f t="shared" si="11"/>
        <v>https://permalinkbnd.bnportugal.gov.pt/viewer/276786/?offset=#page=1&amp;viewer=picture&amp;o=info&amp;n=0&amp;q=</v>
      </c>
      <c r="Q235">
        <v>586409</v>
      </c>
      <c r="R235" t="s">
        <v>237</v>
      </c>
      <c r="S235" t="s">
        <v>2222</v>
      </c>
      <c r="T235" t="s">
        <v>1178</v>
      </c>
      <c r="U235" t="s">
        <v>1192</v>
      </c>
      <c r="V235" t="s">
        <v>599</v>
      </c>
      <c r="W235" t="s">
        <v>2223</v>
      </c>
      <c r="X235" t="s">
        <v>2224</v>
      </c>
      <c r="Y235" t="s">
        <v>599</v>
      </c>
      <c r="Z235" t="s">
        <v>1182</v>
      </c>
      <c r="AA235" t="s">
        <v>2225</v>
      </c>
      <c r="AB235">
        <v>1850</v>
      </c>
      <c r="AC235">
        <v>1850</v>
      </c>
      <c r="AD235" t="s">
        <v>1391</v>
      </c>
      <c r="AE235" t="s">
        <v>2226</v>
      </c>
      <c r="AF235" t="s">
        <v>599</v>
      </c>
      <c r="AG235" t="s">
        <v>599</v>
      </c>
      <c r="AH235" t="s">
        <v>599</v>
      </c>
      <c r="AI235" t="s">
        <v>599</v>
      </c>
      <c r="AJ235" t="s">
        <v>599</v>
      </c>
      <c r="AK235" t="s">
        <v>2227</v>
      </c>
      <c r="AL235" t="s">
        <v>1441</v>
      </c>
      <c r="AM235" t="s">
        <v>2228</v>
      </c>
      <c r="AN235" t="s">
        <v>1190</v>
      </c>
      <c r="AO235" t="s">
        <v>599</v>
      </c>
      <c r="AP235" t="s">
        <v>599</v>
      </c>
      <c r="AQ235" t="s">
        <v>599</v>
      </c>
      <c r="AR235" t="s">
        <v>599</v>
      </c>
      <c r="AS235" t="s">
        <v>2229</v>
      </c>
      <c r="AT235" t="s">
        <v>599</v>
      </c>
      <c r="AU235" t="s">
        <v>599</v>
      </c>
    </row>
    <row r="236" spans="1:47" s="13" customFormat="1" ht="30" x14ac:dyDescent="0.25">
      <c r="A236" s="9">
        <v>10450</v>
      </c>
      <c r="B236" s="10">
        <v>811645</v>
      </c>
      <c r="C236" s="10">
        <v>1</v>
      </c>
      <c r="D236" s="9">
        <v>1</v>
      </c>
      <c r="E236" s="11" t="s">
        <v>238</v>
      </c>
      <c r="F236" s="11" t="str">
        <f t="shared" si="9"/>
        <v>https://purl.pt/43997</v>
      </c>
      <c r="G236" s="12">
        <v>1</v>
      </c>
      <c r="H236" s="9">
        <v>1</v>
      </c>
      <c r="I236" s="34"/>
      <c r="J236" s="55" t="str">
        <f t="shared" si="10"/>
        <v>https://permalinkbnd.bnportugal.gov.pt/viewer/274457/?offset=#page=1&amp;viewer=picture&amp;o=info&amp;n=0&amp;q=</v>
      </c>
      <c r="K236" s="45"/>
      <c r="L236" s="45"/>
      <c r="M236" s="45"/>
      <c r="N236" t="s">
        <v>238</v>
      </c>
      <c r="O236">
        <v>274457</v>
      </c>
      <c r="P236" t="str">
        <f t="shared" si="11"/>
        <v>https://permalinkbnd.bnportugal.gov.pt/viewer/274457/?offset=#page=1&amp;viewer=picture&amp;o=info&amp;n=0&amp;q=</v>
      </c>
      <c r="Q236">
        <v>811645</v>
      </c>
      <c r="R236" t="s">
        <v>238</v>
      </c>
      <c r="S236" t="s">
        <v>2230</v>
      </c>
      <c r="T236" t="s">
        <v>1178</v>
      </c>
      <c r="U236" t="s">
        <v>1362</v>
      </c>
      <c r="V236" t="s">
        <v>599</v>
      </c>
      <c r="W236" t="s">
        <v>2231</v>
      </c>
      <c r="X236" t="s">
        <v>2232</v>
      </c>
      <c r="Y236" t="s">
        <v>599</v>
      </c>
      <c r="Z236" t="s">
        <v>1182</v>
      </c>
      <c r="AA236" t="s">
        <v>2233</v>
      </c>
      <c r="AB236">
        <v>1884</v>
      </c>
      <c r="AC236">
        <v>1884</v>
      </c>
      <c r="AD236" t="s">
        <v>2234</v>
      </c>
      <c r="AE236" t="s">
        <v>599</v>
      </c>
      <c r="AF236" t="s">
        <v>599</v>
      </c>
      <c r="AG236" t="s">
        <v>599</v>
      </c>
      <c r="AH236" t="s">
        <v>2235</v>
      </c>
      <c r="AI236" t="s">
        <v>599</v>
      </c>
      <c r="AJ236" t="s">
        <v>599</v>
      </c>
      <c r="AK236" t="s">
        <v>2236</v>
      </c>
      <c r="AL236" t="s">
        <v>1188</v>
      </c>
      <c r="AM236" t="s">
        <v>2237</v>
      </c>
      <c r="AN236" t="s">
        <v>1190</v>
      </c>
      <c r="AO236" t="s">
        <v>599</v>
      </c>
      <c r="AP236" t="s">
        <v>599</v>
      </c>
      <c r="AQ236" t="s">
        <v>599</v>
      </c>
      <c r="AR236" t="s">
        <v>599</v>
      </c>
      <c r="AS236" t="s">
        <v>599</v>
      </c>
      <c r="AT236" t="s">
        <v>599</v>
      </c>
      <c r="AU236" t="s">
        <v>599</v>
      </c>
    </row>
    <row r="237" spans="1:47" s="13" customFormat="1" ht="30" x14ac:dyDescent="0.25">
      <c r="A237" s="9">
        <v>10452</v>
      </c>
      <c r="B237" s="10">
        <v>742175</v>
      </c>
      <c r="C237" s="10">
        <v>1</v>
      </c>
      <c r="D237" s="9">
        <v>7</v>
      </c>
      <c r="E237" s="11" t="s">
        <v>239</v>
      </c>
      <c r="F237" s="11" t="str">
        <f t="shared" si="9"/>
        <v>https://purl.pt/43998</v>
      </c>
      <c r="G237" s="12" t="s">
        <v>172</v>
      </c>
      <c r="H237" s="9"/>
      <c r="I237" s="34"/>
      <c r="J237" s="55" t="str">
        <f t="shared" si="10"/>
        <v>https://permalinkbnd.bnportugal.gov.pt/viewer/274458/?offset=#page=7&amp;viewer=picture&amp;o=info&amp;n=0&amp;q=</v>
      </c>
      <c r="K237" s="45"/>
      <c r="L237" s="45"/>
      <c r="M237" s="45"/>
      <c r="N237" t="s">
        <v>239</v>
      </c>
      <c r="O237">
        <v>274458</v>
      </c>
      <c r="P237" t="str">
        <f t="shared" si="11"/>
        <v>https://permalinkbnd.bnportugal.gov.pt/viewer/274458/?offset=#page=7&amp;viewer=picture&amp;o=info&amp;n=0&amp;q=</v>
      </c>
      <c r="Q237">
        <v>742175</v>
      </c>
      <c r="R237" t="s">
        <v>239</v>
      </c>
      <c r="S237" t="s">
        <v>2238</v>
      </c>
      <c r="T237" t="s">
        <v>1178</v>
      </c>
      <c r="U237" t="s">
        <v>1179</v>
      </c>
      <c r="V237" t="s">
        <v>1192</v>
      </c>
      <c r="W237" t="s">
        <v>2239</v>
      </c>
      <c r="X237" t="s">
        <v>2240</v>
      </c>
      <c r="Y237" t="s">
        <v>599</v>
      </c>
      <c r="Z237" t="s">
        <v>1182</v>
      </c>
      <c r="AA237" t="s">
        <v>2241</v>
      </c>
      <c r="AB237">
        <v>1898</v>
      </c>
      <c r="AC237">
        <v>1898</v>
      </c>
      <c r="AD237" t="s">
        <v>2242</v>
      </c>
      <c r="AE237" t="s">
        <v>1185</v>
      </c>
      <c r="AF237" t="s">
        <v>599</v>
      </c>
      <c r="AG237" t="s">
        <v>599</v>
      </c>
      <c r="AH237" t="s">
        <v>2243</v>
      </c>
      <c r="AI237" t="s">
        <v>599</v>
      </c>
      <c r="AJ237" t="s">
        <v>599</v>
      </c>
      <c r="AK237" t="s">
        <v>2244</v>
      </c>
      <c r="AL237" t="s">
        <v>1188</v>
      </c>
      <c r="AM237" t="s">
        <v>2245</v>
      </c>
      <c r="AN237" t="s">
        <v>1190</v>
      </c>
      <c r="AO237" t="s">
        <v>599</v>
      </c>
      <c r="AP237" t="s">
        <v>599</v>
      </c>
      <c r="AQ237" t="s">
        <v>599</v>
      </c>
      <c r="AR237" t="s">
        <v>599</v>
      </c>
      <c r="AS237" t="s">
        <v>599</v>
      </c>
      <c r="AT237" t="s">
        <v>599</v>
      </c>
      <c r="AU237" t="s">
        <v>599</v>
      </c>
    </row>
    <row r="238" spans="1:47" s="13" customFormat="1" ht="30" x14ac:dyDescent="0.25">
      <c r="A238" s="9">
        <v>10453</v>
      </c>
      <c r="B238" s="10">
        <v>742176</v>
      </c>
      <c r="C238" s="10">
        <v>1</v>
      </c>
      <c r="D238" s="9">
        <v>3</v>
      </c>
      <c r="E238" s="11" t="s">
        <v>240</v>
      </c>
      <c r="F238" s="11" t="str">
        <f t="shared" si="9"/>
        <v>https://purl.pt/43999</v>
      </c>
      <c r="G238" s="12" t="s">
        <v>188</v>
      </c>
      <c r="H238" s="9"/>
      <c r="I238" s="34"/>
      <c r="J238" s="55" t="str">
        <f t="shared" si="10"/>
        <v>https://permalinkbnd.bnportugal.gov.pt/viewer/274459/?offset=#page=3&amp;viewer=picture&amp;o=info&amp;n=0&amp;q=</v>
      </c>
      <c r="K238" s="45"/>
      <c r="L238" s="45"/>
      <c r="M238" s="45"/>
      <c r="N238" t="s">
        <v>240</v>
      </c>
      <c r="O238">
        <v>274459</v>
      </c>
      <c r="P238" t="str">
        <f t="shared" si="11"/>
        <v>https://permalinkbnd.bnportugal.gov.pt/viewer/274459/?offset=#page=3&amp;viewer=picture&amp;o=info&amp;n=0&amp;q=</v>
      </c>
      <c r="Q238">
        <v>742176</v>
      </c>
      <c r="R238" t="s">
        <v>240</v>
      </c>
      <c r="S238" t="s">
        <v>2246</v>
      </c>
      <c r="T238" t="s">
        <v>1178</v>
      </c>
      <c r="U238" t="s">
        <v>1192</v>
      </c>
      <c r="V238" t="s">
        <v>599</v>
      </c>
      <c r="W238" t="s">
        <v>2247</v>
      </c>
      <c r="X238" t="s">
        <v>599</v>
      </c>
      <c r="Y238" t="s">
        <v>599</v>
      </c>
      <c r="Z238" t="s">
        <v>1182</v>
      </c>
      <c r="AA238" t="s">
        <v>2241</v>
      </c>
      <c r="AB238">
        <v>1915</v>
      </c>
      <c r="AC238">
        <v>1915</v>
      </c>
      <c r="AD238" t="s">
        <v>2248</v>
      </c>
      <c r="AE238" t="s">
        <v>2249</v>
      </c>
      <c r="AF238" t="s">
        <v>599</v>
      </c>
      <c r="AG238" t="s">
        <v>599</v>
      </c>
      <c r="AH238" t="s">
        <v>599</v>
      </c>
      <c r="AI238" t="s">
        <v>599</v>
      </c>
      <c r="AJ238" t="s">
        <v>599</v>
      </c>
      <c r="AK238" t="s">
        <v>2250</v>
      </c>
      <c r="AL238" t="s">
        <v>1188</v>
      </c>
      <c r="AM238" t="s">
        <v>2251</v>
      </c>
      <c r="AN238" t="s">
        <v>1190</v>
      </c>
      <c r="AO238" t="s">
        <v>599</v>
      </c>
      <c r="AP238" t="s">
        <v>599</v>
      </c>
      <c r="AQ238" t="s">
        <v>599</v>
      </c>
      <c r="AR238" t="s">
        <v>599</v>
      </c>
      <c r="AS238" t="s">
        <v>599</v>
      </c>
      <c r="AT238" t="s">
        <v>599</v>
      </c>
      <c r="AU238" t="s">
        <v>599</v>
      </c>
    </row>
    <row r="239" spans="1:47" s="13" customFormat="1" ht="30" x14ac:dyDescent="0.25">
      <c r="A239" s="9">
        <v>10455</v>
      </c>
      <c r="B239" s="10">
        <v>742180</v>
      </c>
      <c r="C239" s="10">
        <v>1</v>
      </c>
      <c r="D239" s="9">
        <v>5</v>
      </c>
      <c r="E239" s="11" t="s">
        <v>241</v>
      </c>
      <c r="F239" s="11" t="str">
        <f t="shared" si="9"/>
        <v>https://purl.pt/43980</v>
      </c>
      <c r="G239" s="12" t="s">
        <v>143</v>
      </c>
      <c r="H239" s="9"/>
      <c r="I239" s="34"/>
      <c r="J239" s="55" t="str">
        <f t="shared" si="10"/>
        <v>https://permalinkbnd.bnportugal.gov.pt/viewer/274957/?offset=#page=5&amp;viewer=picture&amp;o=info&amp;n=0&amp;q=</v>
      </c>
      <c r="K239" s="45"/>
      <c r="L239" s="45"/>
      <c r="M239" s="45"/>
      <c r="N239" t="s">
        <v>241</v>
      </c>
      <c r="O239">
        <v>274957</v>
      </c>
      <c r="P239" t="str">
        <f t="shared" si="11"/>
        <v>https://permalinkbnd.bnportugal.gov.pt/viewer/274957/?offset=#page=5&amp;viewer=picture&amp;o=info&amp;n=0&amp;q=</v>
      </c>
      <c r="Q239">
        <v>742180</v>
      </c>
      <c r="R239" t="s">
        <v>241</v>
      </c>
      <c r="S239" t="s">
        <v>2252</v>
      </c>
      <c r="T239" t="s">
        <v>1178</v>
      </c>
      <c r="U239" t="s">
        <v>1502</v>
      </c>
      <c r="V239" t="s">
        <v>1192</v>
      </c>
      <c r="W239" t="s">
        <v>1105</v>
      </c>
      <c r="X239" t="s">
        <v>2253</v>
      </c>
      <c r="Y239" t="s">
        <v>599</v>
      </c>
      <c r="Z239" t="s">
        <v>1182</v>
      </c>
      <c r="AA239" t="s">
        <v>1437</v>
      </c>
      <c r="AB239">
        <v>1892</v>
      </c>
      <c r="AC239">
        <v>1892</v>
      </c>
      <c r="AD239" t="s">
        <v>2254</v>
      </c>
      <c r="AE239" t="s">
        <v>2255</v>
      </c>
      <c r="AF239" t="s">
        <v>599</v>
      </c>
      <c r="AG239" t="s">
        <v>599</v>
      </c>
      <c r="AH239" t="s">
        <v>2256</v>
      </c>
      <c r="AI239" t="s">
        <v>599</v>
      </c>
      <c r="AJ239" t="s">
        <v>599</v>
      </c>
      <c r="AK239" t="s">
        <v>2257</v>
      </c>
      <c r="AL239" t="s">
        <v>1188</v>
      </c>
      <c r="AM239" t="s">
        <v>2258</v>
      </c>
      <c r="AN239" t="s">
        <v>1190</v>
      </c>
      <c r="AO239" t="s">
        <v>599</v>
      </c>
      <c r="AP239" t="s">
        <v>599</v>
      </c>
      <c r="AQ239" t="s">
        <v>599</v>
      </c>
      <c r="AR239" t="s">
        <v>599</v>
      </c>
      <c r="AS239" t="s">
        <v>599</v>
      </c>
      <c r="AT239" t="s">
        <v>599</v>
      </c>
      <c r="AU239" t="s">
        <v>599</v>
      </c>
    </row>
    <row r="240" spans="1:47" s="13" customFormat="1" ht="90" x14ac:dyDescent="0.25">
      <c r="A240" s="9">
        <v>10463</v>
      </c>
      <c r="B240" s="10">
        <v>458243</v>
      </c>
      <c r="C240" s="10">
        <v>1</v>
      </c>
      <c r="D240" s="9">
        <v>69</v>
      </c>
      <c r="E240" s="11" t="s">
        <v>242</v>
      </c>
      <c r="F240" s="11" t="str">
        <f t="shared" si="9"/>
        <v>https://purl.pt/44000</v>
      </c>
      <c r="G240" s="12" t="s">
        <v>243</v>
      </c>
      <c r="H240" s="9" t="s">
        <v>244</v>
      </c>
      <c r="I240" s="34"/>
      <c r="J240" s="55" t="str">
        <f t="shared" si="10"/>
        <v>https://permalinkbnd.bnportugal.gov.pt/viewer/272626/?offset=#page=69&amp;viewer=picture&amp;o=info&amp;n=0&amp;q=</v>
      </c>
      <c r="K240" s="45"/>
      <c r="L240" s="45"/>
      <c r="M240" s="45"/>
      <c r="N240" t="s">
        <v>242</v>
      </c>
      <c r="O240">
        <v>272626</v>
      </c>
      <c r="P240" t="str">
        <f t="shared" si="11"/>
        <v>https://permalinkbnd.bnportugal.gov.pt/viewer/272626/?offset=#page=69&amp;viewer=picture&amp;o=info&amp;n=0&amp;q=</v>
      </c>
      <c r="Q240">
        <v>458243</v>
      </c>
      <c r="R240" t="s">
        <v>242</v>
      </c>
      <c r="S240" t="s">
        <v>2259</v>
      </c>
      <c r="T240" t="s">
        <v>1178</v>
      </c>
      <c r="U240" t="s">
        <v>1192</v>
      </c>
      <c r="V240" t="s">
        <v>599</v>
      </c>
      <c r="W240" t="s">
        <v>1193</v>
      </c>
      <c r="X240" t="s">
        <v>599</v>
      </c>
      <c r="Y240" t="s">
        <v>599</v>
      </c>
      <c r="Z240" t="s">
        <v>2260</v>
      </c>
      <c r="AA240" t="s">
        <v>2261</v>
      </c>
      <c r="AB240">
        <v>1940</v>
      </c>
      <c r="AC240">
        <v>1940</v>
      </c>
      <c r="AD240" t="s">
        <v>2262</v>
      </c>
      <c r="AE240" t="s">
        <v>1185</v>
      </c>
      <c r="AF240" t="s">
        <v>599</v>
      </c>
      <c r="AG240" t="s">
        <v>599</v>
      </c>
      <c r="AH240" t="s">
        <v>2263</v>
      </c>
      <c r="AI240" t="s">
        <v>599</v>
      </c>
      <c r="AJ240" t="s">
        <v>599</v>
      </c>
      <c r="AK240" t="s">
        <v>2264</v>
      </c>
      <c r="AL240" t="s">
        <v>1188</v>
      </c>
      <c r="AM240" t="s">
        <v>2265</v>
      </c>
      <c r="AN240" t="s">
        <v>1190</v>
      </c>
      <c r="AO240" t="s">
        <v>599</v>
      </c>
      <c r="AP240" t="s">
        <v>599</v>
      </c>
      <c r="AQ240" t="s">
        <v>599</v>
      </c>
      <c r="AR240" t="s">
        <v>599</v>
      </c>
      <c r="AS240" t="s">
        <v>599</v>
      </c>
      <c r="AT240" t="s">
        <v>599</v>
      </c>
      <c r="AU240" t="s">
        <v>599</v>
      </c>
    </row>
    <row r="241" spans="1:47" s="13" customFormat="1" ht="90" x14ac:dyDescent="0.25">
      <c r="A241" s="9">
        <v>10464</v>
      </c>
      <c r="B241" s="10">
        <v>458243</v>
      </c>
      <c r="C241" s="10">
        <v>1</v>
      </c>
      <c r="D241" s="9">
        <v>71</v>
      </c>
      <c r="E241" s="11" t="s">
        <v>242</v>
      </c>
      <c r="F241" s="11" t="str">
        <f t="shared" si="9"/>
        <v>https://purl.pt/44000</v>
      </c>
      <c r="G241" s="12" t="s">
        <v>243</v>
      </c>
      <c r="H241" s="9" t="s">
        <v>244</v>
      </c>
      <c r="I241" s="34"/>
      <c r="J241" s="55" t="str">
        <f t="shared" si="10"/>
        <v>https://permalinkbnd.bnportugal.gov.pt/viewer/272626/?offset=#page=71&amp;viewer=picture&amp;o=info&amp;n=0&amp;q=</v>
      </c>
      <c r="K241" s="45"/>
      <c r="L241" s="45"/>
      <c r="M241" s="45"/>
      <c r="N241" t="s">
        <v>242</v>
      </c>
      <c r="O241">
        <v>272626</v>
      </c>
      <c r="P241" t="str">
        <f t="shared" si="11"/>
        <v>https://permalinkbnd.bnportugal.gov.pt/viewer/272626/?offset=#page=71&amp;viewer=picture&amp;o=info&amp;n=0&amp;q=</v>
      </c>
      <c r="Q241">
        <v>458243</v>
      </c>
      <c r="R241" t="s">
        <v>242</v>
      </c>
      <c r="S241" t="s">
        <v>2259</v>
      </c>
      <c r="T241" t="s">
        <v>1178</v>
      </c>
      <c r="U241" t="s">
        <v>1192</v>
      </c>
      <c r="V241" t="s">
        <v>599</v>
      </c>
      <c r="W241" t="s">
        <v>1193</v>
      </c>
      <c r="X241" t="s">
        <v>599</v>
      </c>
      <c r="Y241" t="s">
        <v>599</v>
      </c>
      <c r="Z241" t="s">
        <v>2260</v>
      </c>
      <c r="AA241" t="s">
        <v>2261</v>
      </c>
      <c r="AB241">
        <v>1940</v>
      </c>
      <c r="AC241">
        <v>1940</v>
      </c>
      <c r="AD241" t="s">
        <v>2262</v>
      </c>
      <c r="AE241" t="s">
        <v>1185</v>
      </c>
      <c r="AF241" t="s">
        <v>599</v>
      </c>
      <c r="AG241" t="s">
        <v>599</v>
      </c>
      <c r="AH241" t="s">
        <v>2263</v>
      </c>
      <c r="AI241" t="s">
        <v>599</v>
      </c>
      <c r="AJ241" t="s">
        <v>599</v>
      </c>
      <c r="AK241" t="s">
        <v>2264</v>
      </c>
      <c r="AL241" t="s">
        <v>1188</v>
      </c>
      <c r="AM241" t="s">
        <v>2265</v>
      </c>
      <c r="AN241" t="s">
        <v>1190</v>
      </c>
      <c r="AO241" t="s">
        <v>599</v>
      </c>
      <c r="AP241" t="s">
        <v>599</v>
      </c>
      <c r="AQ241" t="s">
        <v>599</v>
      </c>
      <c r="AR241" t="s">
        <v>599</v>
      </c>
      <c r="AS241" t="s">
        <v>599</v>
      </c>
      <c r="AT241" t="s">
        <v>599</v>
      </c>
      <c r="AU241" t="s">
        <v>599</v>
      </c>
    </row>
    <row r="242" spans="1:47" s="13" customFormat="1" ht="90" x14ac:dyDescent="0.25">
      <c r="A242" s="9">
        <v>10465</v>
      </c>
      <c r="B242" s="10">
        <v>458243</v>
      </c>
      <c r="C242" s="10">
        <v>1</v>
      </c>
      <c r="D242" s="9">
        <v>73</v>
      </c>
      <c r="E242" s="11" t="s">
        <v>242</v>
      </c>
      <c r="F242" s="11" t="str">
        <f t="shared" si="9"/>
        <v>https://purl.pt/44000</v>
      </c>
      <c r="G242" s="12" t="s">
        <v>243</v>
      </c>
      <c r="H242" s="9" t="s">
        <v>244</v>
      </c>
      <c r="I242" s="34"/>
      <c r="J242" s="55" t="str">
        <f t="shared" si="10"/>
        <v>https://permalinkbnd.bnportugal.gov.pt/viewer/272626/?offset=#page=73&amp;viewer=picture&amp;o=info&amp;n=0&amp;q=</v>
      </c>
      <c r="K242" s="45"/>
      <c r="L242" s="45"/>
      <c r="M242" s="45"/>
      <c r="N242" t="s">
        <v>242</v>
      </c>
      <c r="O242">
        <v>272626</v>
      </c>
      <c r="P242" t="str">
        <f t="shared" si="11"/>
        <v>https://permalinkbnd.bnportugal.gov.pt/viewer/272626/?offset=#page=73&amp;viewer=picture&amp;o=info&amp;n=0&amp;q=</v>
      </c>
      <c r="Q242">
        <v>458243</v>
      </c>
      <c r="R242" t="s">
        <v>242</v>
      </c>
      <c r="S242" t="s">
        <v>2259</v>
      </c>
      <c r="T242" t="s">
        <v>1178</v>
      </c>
      <c r="U242" t="s">
        <v>1192</v>
      </c>
      <c r="V242" t="s">
        <v>599</v>
      </c>
      <c r="W242" t="s">
        <v>1193</v>
      </c>
      <c r="X242" t="s">
        <v>599</v>
      </c>
      <c r="Y242" t="s">
        <v>599</v>
      </c>
      <c r="Z242" t="s">
        <v>2260</v>
      </c>
      <c r="AA242" t="s">
        <v>2261</v>
      </c>
      <c r="AB242">
        <v>1940</v>
      </c>
      <c r="AC242">
        <v>1940</v>
      </c>
      <c r="AD242" t="s">
        <v>2262</v>
      </c>
      <c r="AE242" t="s">
        <v>1185</v>
      </c>
      <c r="AF242" t="s">
        <v>599</v>
      </c>
      <c r="AG242" t="s">
        <v>599</v>
      </c>
      <c r="AH242" t="s">
        <v>2263</v>
      </c>
      <c r="AI242" t="s">
        <v>599</v>
      </c>
      <c r="AJ242" t="s">
        <v>599</v>
      </c>
      <c r="AK242" t="s">
        <v>2264</v>
      </c>
      <c r="AL242" t="s">
        <v>1188</v>
      </c>
      <c r="AM242" t="s">
        <v>2265</v>
      </c>
      <c r="AN242" t="s">
        <v>1190</v>
      </c>
      <c r="AO242" t="s">
        <v>599</v>
      </c>
      <c r="AP242" t="s">
        <v>599</v>
      </c>
      <c r="AQ242" t="s">
        <v>599</v>
      </c>
      <c r="AR242" t="s">
        <v>599</v>
      </c>
      <c r="AS242" t="s">
        <v>599</v>
      </c>
      <c r="AT242" t="s">
        <v>599</v>
      </c>
      <c r="AU242" t="s">
        <v>599</v>
      </c>
    </row>
    <row r="243" spans="1:47" s="13" customFormat="1" ht="90" x14ac:dyDescent="0.25">
      <c r="A243" s="9">
        <v>10466</v>
      </c>
      <c r="B243" s="10">
        <v>458243</v>
      </c>
      <c r="C243" s="10">
        <v>1</v>
      </c>
      <c r="D243" s="9">
        <v>102</v>
      </c>
      <c r="E243" s="11" t="s">
        <v>242</v>
      </c>
      <c r="F243" s="11" t="str">
        <f t="shared" si="9"/>
        <v>https://purl.pt/44000</v>
      </c>
      <c r="G243" s="12" t="s">
        <v>243</v>
      </c>
      <c r="H243" s="9" t="s">
        <v>244</v>
      </c>
      <c r="I243" s="34"/>
      <c r="J243" s="55" t="str">
        <f t="shared" si="10"/>
        <v>https://permalinkbnd.bnportugal.gov.pt/viewer/272626/?offset=#page=102&amp;viewer=picture&amp;o=info&amp;n=0&amp;q=</v>
      </c>
      <c r="K243" s="45"/>
      <c r="L243" s="45"/>
      <c r="M243" s="45"/>
      <c r="N243" t="s">
        <v>242</v>
      </c>
      <c r="O243">
        <v>272626</v>
      </c>
      <c r="P243" t="str">
        <f t="shared" si="11"/>
        <v>https://permalinkbnd.bnportugal.gov.pt/viewer/272626/?offset=#page=102&amp;viewer=picture&amp;o=info&amp;n=0&amp;q=</v>
      </c>
      <c r="Q243">
        <v>458243</v>
      </c>
      <c r="R243" t="s">
        <v>242</v>
      </c>
      <c r="S243" t="s">
        <v>2259</v>
      </c>
      <c r="T243" t="s">
        <v>1178</v>
      </c>
      <c r="U243" t="s">
        <v>1192</v>
      </c>
      <c r="V243" t="s">
        <v>599</v>
      </c>
      <c r="W243" t="s">
        <v>1193</v>
      </c>
      <c r="X243" t="s">
        <v>599</v>
      </c>
      <c r="Y243" t="s">
        <v>599</v>
      </c>
      <c r="Z243" t="s">
        <v>2260</v>
      </c>
      <c r="AA243" t="s">
        <v>2261</v>
      </c>
      <c r="AB243">
        <v>1940</v>
      </c>
      <c r="AC243">
        <v>1940</v>
      </c>
      <c r="AD243" t="s">
        <v>2262</v>
      </c>
      <c r="AE243" t="s">
        <v>1185</v>
      </c>
      <c r="AF243" t="s">
        <v>599</v>
      </c>
      <c r="AG243" t="s">
        <v>599</v>
      </c>
      <c r="AH243" t="s">
        <v>2263</v>
      </c>
      <c r="AI243" t="s">
        <v>599</v>
      </c>
      <c r="AJ243" t="s">
        <v>599</v>
      </c>
      <c r="AK243" t="s">
        <v>2264</v>
      </c>
      <c r="AL243" t="s">
        <v>1188</v>
      </c>
      <c r="AM243" t="s">
        <v>2265</v>
      </c>
      <c r="AN243" t="s">
        <v>1190</v>
      </c>
      <c r="AO243" t="s">
        <v>599</v>
      </c>
      <c r="AP243" t="s">
        <v>599</v>
      </c>
      <c r="AQ243" t="s">
        <v>599</v>
      </c>
      <c r="AR243" t="s">
        <v>599</v>
      </c>
      <c r="AS243" t="s">
        <v>599</v>
      </c>
      <c r="AT243" t="s">
        <v>599</v>
      </c>
      <c r="AU243" t="s">
        <v>599</v>
      </c>
    </row>
    <row r="244" spans="1:47" s="13" customFormat="1" ht="90" x14ac:dyDescent="0.25">
      <c r="A244" s="9">
        <v>10467</v>
      </c>
      <c r="B244" s="10">
        <v>458243</v>
      </c>
      <c r="C244" s="10">
        <v>1</v>
      </c>
      <c r="D244" s="9">
        <v>122</v>
      </c>
      <c r="E244" s="11" t="s">
        <v>242</v>
      </c>
      <c r="F244" s="11" t="str">
        <f t="shared" si="9"/>
        <v>https://purl.pt/44000</v>
      </c>
      <c r="G244" s="12" t="s">
        <v>243</v>
      </c>
      <c r="H244" s="9" t="s">
        <v>244</v>
      </c>
      <c r="I244" s="34"/>
      <c r="J244" s="55" t="str">
        <f t="shared" si="10"/>
        <v>https://permalinkbnd.bnportugal.gov.pt/viewer/272626/?offset=#page=122&amp;viewer=picture&amp;o=info&amp;n=0&amp;q=</v>
      </c>
      <c r="K244" s="45"/>
      <c r="L244" s="45"/>
      <c r="M244" s="45"/>
      <c r="N244" t="s">
        <v>242</v>
      </c>
      <c r="O244">
        <v>272626</v>
      </c>
      <c r="P244" t="str">
        <f t="shared" si="11"/>
        <v>https://permalinkbnd.bnportugal.gov.pt/viewer/272626/?offset=#page=122&amp;viewer=picture&amp;o=info&amp;n=0&amp;q=</v>
      </c>
      <c r="Q244">
        <v>458243</v>
      </c>
      <c r="R244" t="s">
        <v>242</v>
      </c>
      <c r="S244" t="s">
        <v>2259</v>
      </c>
      <c r="T244" t="s">
        <v>1178</v>
      </c>
      <c r="U244" t="s">
        <v>1192</v>
      </c>
      <c r="V244" t="s">
        <v>599</v>
      </c>
      <c r="W244" t="s">
        <v>1193</v>
      </c>
      <c r="X244" t="s">
        <v>599</v>
      </c>
      <c r="Y244" t="s">
        <v>599</v>
      </c>
      <c r="Z244" t="s">
        <v>2260</v>
      </c>
      <c r="AA244" t="s">
        <v>2261</v>
      </c>
      <c r="AB244">
        <v>1940</v>
      </c>
      <c r="AC244">
        <v>1940</v>
      </c>
      <c r="AD244" t="s">
        <v>2262</v>
      </c>
      <c r="AE244" t="s">
        <v>1185</v>
      </c>
      <c r="AF244" t="s">
        <v>599</v>
      </c>
      <c r="AG244" t="s">
        <v>599</v>
      </c>
      <c r="AH244" t="s">
        <v>2263</v>
      </c>
      <c r="AI244" t="s">
        <v>599</v>
      </c>
      <c r="AJ244" t="s">
        <v>599</v>
      </c>
      <c r="AK244" t="s">
        <v>2264</v>
      </c>
      <c r="AL244" t="s">
        <v>1188</v>
      </c>
      <c r="AM244" t="s">
        <v>2265</v>
      </c>
      <c r="AN244" t="s">
        <v>1190</v>
      </c>
      <c r="AO244" t="s">
        <v>599</v>
      </c>
      <c r="AP244" t="s">
        <v>599</v>
      </c>
      <c r="AQ244" t="s">
        <v>599</v>
      </c>
      <c r="AR244" t="s">
        <v>599</v>
      </c>
      <c r="AS244" t="s">
        <v>599</v>
      </c>
      <c r="AT244" t="s">
        <v>599</v>
      </c>
      <c r="AU244" t="s">
        <v>599</v>
      </c>
    </row>
    <row r="245" spans="1:47" s="21" customFormat="1" ht="90" x14ac:dyDescent="0.25">
      <c r="A245" s="17">
        <v>10468</v>
      </c>
      <c r="B245" s="18">
        <v>458243</v>
      </c>
      <c r="C245" s="39" t="s">
        <v>629</v>
      </c>
      <c r="D245" s="17">
        <v>103</v>
      </c>
      <c r="E245" s="19" t="s">
        <v>242</v>
      </c>
      <c r="F245" s="19" t="str">
        <f t="shared" si="9"/>
        <v>https://purl.pt/44000</v>
      </c>
      <c r="G245" s="20" t="s">
        <v>243</v>
      </c>
      <c r="H245" s="17" t="s">
        <v>244</v>
      </c>
      <c r="I245" s="36" t="s">
        <v>630</v>
      </c>
      <c r="J245" s="55" t="str">
        <f t="shared" si="10"/>
        <v>https://permalinkbnd.bnportugal.gov.pt/viewer/272626/?offset=#page=103&amp;viewer=picture&amp;o=info&amp;n=0&amp;q=</v>
      </c>
      <c r="K245" s="45"/>
      <c r="L245" s="45"/>
      <c r="M245" s="45"/>
      <c r="N245" t="s">
        <v>242</v>
      </c>
      <c r="O245">
        <v>272626</v>
      </c>
      <c r="P245" t="str">
        <f t="shared" si="11"/>
        <v>https://permalinkbnd.bnportugal.gov.pt/viewer/272626/?offset=#page=103&amp;viewer=picture&amp;o=info&amp;n=0&amp;q=</v>
      </c>
      <c r="Q245">
        <v>458243</v>
      </c>
      <c r="R245" t="s">
        <v>242</v>
      </c>
      <c r="S245" t="s">
        <v>2259</v>
      </c>
      <c r="T245" t="s">
        <v>1178</v>
      </c>
      <c r="U245" t="s">
        <v>1192</v>
      </c>
      <c r="V245" t="s">
        <v>599</v>
      </c>
      <c r="W245" t="s">
        <v>1193</v>
      </c>
      <c r="X245" t="s">
        <v>599</v>
      </c>
      <c r="Y245" t="s">
        <v>599</v>
      </c>
      <c r="Z245" t="s">
        <v>2260</v>
      </c>
      <c r="AA245" t="s">
        <v>2261</v>
      </c>
      <c r="AB245">
        <v>1940</v>
      </c>
      <c r="AC245">
        <v>1940</v>
      </c>
      <c r="AD245" t="s">
        <v>2262</v>
      </c>
      <c r="AE245" t="s">
        <v>1185</v>
      </c>
      <c r="AF245" t="s">
        <v>599</v>
      </c>
      <c r="AG245" t="s">
        <v>599</v>
      </c>
      <c r="AH245" t="s">
        <v>2263</v>
      </c>
      <c r="AI245" t="s">
        <v>599</v>
      </c>
      <c r="AJ245" t="s">
        <v>599</v>
      </c>
      <c r="AK245" t="s">
        <v>2264</v>
      </c>
      <c r="AL245" t="s">
        <v>1188</v>
      </c>
      <c r="AM245" t="s">
        <v>2265</v>
      </c>
      <c r="AN245" t="s">
        <v>1190</v>
      </c>
      <c r="AO245" t="s">
        <v>599</v>
      </c>
      <c r="AP245" t="s">
        <v>599</v>
      </c>
      <c r="AQ245" t="s">
        <v>599</v>
      </c>
      <c r="AR245" t="s">
        <v>599</v>
      </c>
      <c r="AS245" t="s">
        <v>599</v>
      </c>
      <c r="AT245" t="s">
        <v>599</v>
      </c>
      <c r="AU245" t="s">
        <v>599</v>
      </c>
    </row>
    <row r="246" spans="1:47" s="21" customFormat="1" ht="90" x14ac:dyDescent="0.25">
      <c r="A246" s="17">
        <v>10469</v>
      </c>
      <c r="B246" s="18">
        <v>458243</v>
      </c>
      <c r="C246" s="39" t="s">
        <v>629</v>
      </c>
      <c r="D246" s="17">
        <v>135</v>
      </c>
      <c r="E246" s="19" t="s">
        <v>242</v>
      </c>
      <c r="F246" s="19" t="str">
        <f t="shared" si="9"/>
        <v>https://purl.pt/44000</v>
      </c>
      <c r="G246" s="20" t="s">
        <v>243</v>
      </c>
      <c r="H246" s="17" t="s">
        <v>244</v>
      </c>
      <c r="I246" s="36" t="s">
        <v>630</v>
      </c>
      <c r="J246" s="55" t="str">
        <f t="shared" si="10"/>
        <v>https://permalinkbnd.bnportugal.gov.pt/viewer/272626/?offset=#page=135&amp;viewer=picture&amp;o=info&amp;n=0&amp;q=</v>
      </c>
      <c r="K246" s="45"/>
      <c r="L246" s="45"/>
      <c r="M246" s="45"/>
      <c r="N246" t="s">
        <v>242</v>
      </c>
      <c r="O246">
        <v>272626</v>
      </c>
      <c r="P246" t="str">
        <f t="shared" si="11"/>
        <v>https://permalinkbnd.bnportugal.gov.pt/viewer/272626/?offset=#page=135&amp;viewer=picture&amp;o=info&amp;n=0&amp;q=</v>
      </c>
      <c r="Q246">
        <v>458243</v>
      </c>
      <c r="R246" t="s">
        <v>242</v>
      </c>
      <c r="S246" t="s">
        <v>2259</v>
      </c>
      <c r="T246" t="s">
        <v>1178</v>
      </c>
      <c r="U246" t="s">
        <v>1192</v>
      </c>
      <c r="V246" t="s">
        <v>599</v>
      </c>
      <c r="W246" t="s">
        <v>1193</v>
      </c>
      <c r="X246" t="s">
        <v>599</v>
      </c>
      <c r="Y246" t="s">
        <v>599</v>
      </c>
      <c r="Z246" t="s">
        <v>2260</v>
      </c>
      <c r="AA246" t="s">
        <v>2261</v>
      </c>
      <c r="AB246">
        <v>1940</v>
      </c>
      <c r="AC246">
        <v>1940</v>
      </c>
      <c r="AD246" t="s">
        <v>2262</v>
      </c>
      <c r="AE246" t="s">
        <v>1185</v>
      </c>
      <c r="AF246" t="s">
        <v>599</v>
      </c>
      <c r="AG246" t="s">
        <v>599</v>
      </c>
      <c r="AH246" t="s">
        <v>2263</v>
      </c>
      <c r="AI246" t="s">
        <v>599</v>
      </c>
      <c r="AJ246" t="s">
        <v>599</v>
      </c>
      <c r="AK246" t="s">
        <v>2264</v>
      </c>
      <c r="AL246" t="s">
        <v>1188</v>
      </c>
      <c r="AM246" t="s">
        <v>2265</v>
      </c>
      <c r="AN246" t="s">
        <v>1190</v>
      </c>
      <c r="AO246" t="s">
        <v>599</v>
      </c>
      <c r="AP246" t="s">
        <v>599</v>
      </c>
      <c r="AQ246" t="s">
        <v>599</v>
      </c>
      <c r="AR246" t="s">
        <v>599</v>
      </c>
      <c r="AS246" t="s">
        <v>599</v>
      </c>
      <c r="AT246" t="s">
        <v>599</v>
      </c>
      <c r="AU246" t="s">
        <v>599</v>
      </c>
    </row>
    <row r="247" spans="1:47" s="21" customFormat="1" ht="90" x14ac:dyDescent="0.25">
      <c r="A247" s="17">
        <v>10470</v>
      </c>
      <c r="B247" s="18">
        <v>458243</v>
      </c>
      <c r="C247" s="39" t="s">
        <v>629</v>
      </c>
      <c r="D247" s="17">
        <v>175</v>
      </c>
      <c r="E247" s="19" t="s">
        <v>242</v>
      </c>
      <c r="F247" s="19" t="str">
        <f t="shared" si="9"/>
        <v>https://purl.pt/44000</v>
      </c>
      <c r="G247" s="20" t="s">
        <v>243</v>
      </c>
      <c r="H247" s="17" t="s">
        <v>244</v>
      </c>
      <c r="I247" s="36" t="s">
        <v>630</v>
      </c>
      <c r="J247" s="55" t="str">
        <f t="shared" si="10"/>
        <v>https://permalinkbnd.bnportugal.gov.pt/viewer/272626/?offset=#page=175&amp;viewer=picture&amp;o=info&amp;n=0&amp;q=</v>
      </c>
      <c r="K247" s="45"/>
      <c r="L247" s="45"/>
      <c r="M247" s="45"/>
      <c r="N247" t="s">
        <v>242</v>
      </c>
      <c r="O247">
        <v>272626</v>
      </c>
      <c r="P247" t="str">
        <f t="shared" si="11"/>
        <v>https://permalinkbnd.bnportugal.gov.pt/viewer/272626/?offset=#page=175&amp;viewer=picture&amp;o=info&amp;n=0&amp;q=</v>
      </c>
      <c r="Q247">
        <v>458243</v>
      </c>
      <c r="R247" t="s">
        <v>242</v>
      </c>
      <c r="S247" t="s">
        <v>2259</v>
      </c>
      <c r="T247" t="s">
        <v>1178</v>
      </c>
      <c r="U247" t="s">
        <v>1192</v>
      </c>
      <c r="V247" t="s">
        <v>599</v>
      </c>
      <c r="W247" t="s">
        <v>1193</v>
      </c>
      <c r="X247" t="s">
        <v>599</v>
      </c>
      <c r="Y247" t="s">
        <v>599</v>
      </c>
      <c r="Z247" t="s">
        <v>2260</v>
      </c>
      <c r="AA247" t="s">
        <v>2261</v>
      </c>
      <c r="AB247">
        <v>1940</v>
      </c>
      <c r="AC247">
        <v>1940</v>
      </c>
      <c r="AD247" t="s">
        <v>2262</v>
      </c>
      <c r="AE247" t="s">
        <v>1185</v>
      </c>
      <c r="AF247" t="s">
        <v>599</v>
      </c>
      <c r="AG247" t="s">
        <v>599</v>
      </c>
      <c r="AH247" t="s">
        <v>2263</v>
      </c>
      <c r="AI247" t="s">
        <v>599</v>
      </c>
      <c r="AJ247" t="s">
        <v>599</v>
      </c>
      <c r="AK247" t="s">
        <v>2264</v>
      </c>
      <c r="AL247" t="s">
        <v>1188</v>
      </c>
      <c r="AM247" t="s">
        <v>2265</v>
      </c>
      <c r="AN247" t="s">
        <v>1190</v>
      </c>
      <c r="AO247" t="s">
        <v>599</v>
      </c>
      <c r="AP247" t="s">
        <v>599</v>
      </c>
      <c r="AQ247" t="s">
        <v>599</v>
      </c>
      <c r="AR247" t="s">
        <v>599</v>
      </c>
      <c r="AS247" t="s">
        <v>599</v>
      </c>
      <c r="AT247" t="s">
        <v>599</v>
      </c>
      <c r="AU247" t="s">
        <v>599</v>
      </c>
    </row>
    <row r="248" spans="1:47" s="21" customFormat="1" ht="90" x14ac:dyDescent="0.25">
      <c r="A248" s="17">
        <v>10471</v>
      </c>
      <c r="B248" s="18">
        <v>458243</v>
      </c>
      <c r="C248" s="39" t="s">
        <v>629</v>
      </c>
      <c r="D248" s="17">
        <v>205</v>
      </c>
      <c r="E248" s="19" t="s">
        <v>242</v>
      </c>
      <c r="F248" s="19" t="str">
        <f t="shared" si="9"/>
        <v>https://purl.pt/44000</v>
      </c>
      <c r="G248" s="20" t="s">
        <v>243</v>
      </c>
      <c r="H248" s="17" t="s">
        <v>244</v>
      </c>
      <c r="I248" s="36" t="s">
        <v>630</v>
      </c>
      <c r="J248" s="55" t="str">
        <f t="shared" si="10"/>
        <v>https://permalinkbnd.bnportugal.gov.pt/viewer/272626/?offset=#page=205&amp;viewer=picture&amp;o=info&amp;n=0&amp;q=</v>
      </c>
      <c r="K248" s="45"/>
      <c r="L248" s="45"/>
      <c r="M248" s="45"/>
      <c r="N248" t="s">
        <v>242</v>
      </c>
      <c r="O248">
        <v>272626</v>
      </c>
      <c r="P248" t="str">
        <f t="shared" si="11"/>
        <v>https://permalinkbnd.bnportugal.gov.pt/viewer/272626/?offset=#page=205&amp;viewer=picture&amp;o=info&amp;n=0&amp;q=</v>
      </c>
      <c r="Q248">
        <v>458243</v>
      </c>
      <c r="R248" t="s">
        <v>242</v>
      </c>
      <c r="S248" t="s">
        <v>2259</v>
      </c>
      <c r="T248" t="s">
        <v>1178</v>
      </c>
      <c r="U248" t="s">
        <v>1192</v>
      </c>
      <c r="V248" t="s">
        <v>599</v>
      </c>
      <c r="W248" t="s">
        <v>1193</v>
      </c>
      <c r="X248" t="s">
        <v>599</v>
      </c>
      <c r="Y248" t="s">
        <v>599</v>
      </c>
      <c r="Z248" t="s">
        <v>2260</v>
      </c>
      <c r="AA248" t="s">
        <v>2261</v>
      </c>
      <c r="AB248">
        <v>1940</v>
      </c>
      <c r="AC248">
        <v>1940</v>
      </c>
      <c r="AD248" t="s">
        <v>2262</v>
      </c>
      <c r="AE248" t="s">
        <v>1185</v>
      </c>
      <c r="AF248" t="s">
        <v>599</v>
      </c>
      <c r="AG248" t="s">
        <v>599</v>
      </c>
      <c r="AH248" t="s">
        <v>2263</v>
      </c>
      <c r="AI248" t="s">
        <v>599</v>
      </c>
      <c r="AJ248" t="s">
        <v>599</v>
      </c>
      <c r="AK248" t="s">
        <v>2264</v>
      </c>
      <c r="AL248" t="s">
        <v>1188</v>
      </c>
      <c r="AM248" t="s">
        <v>2265</v>
      </c>
      <c r="AN248" t="s">
        <v>1190</v>
      </c>
      <c r="AO248" t="s">
        <v>599</v>
      </c>
      <c r="AP248" t="s">
        <v>599</v>
      </c>
      <c r="AQ248" t="s">
        <v>599</v>
      </c>
      <c r="AR248" t="s">
        <v>599</v>
      </c>
      <c r="AS248" t="s">
        <v>599</v>
      </c>
      <c r="AT248" t="s">
        <v>599</v>
      </c>
      <c r="AU248" t="s">
        <v>599</v>
      </c>
    </row>
    <row r="249" spans="1:47" s="21" customFormat="1" ht="90" x14ac:dyDescent="0.25">
      <c r="A249" s="17">
        <v>10472</v>
      </c>
      <c r="B249" s="18">
        <v>458243</v>
      </c>
      <c r="C249" s="39" t="s">
        <v>629</v>
      </c>
      <c r="D249" s="17">
        <v>233</v>
      </c>
      <c r="E249" s="19" t="s">
        <v>242</v>
      </c>
      <c r="F249" s="19" t="str">
        <f t="shared" si="9"/>
        <v>https://purl.pt/44000</v>
      </c>
      <c r="G249" s="20" t="s">
        <v>243</v>
      </c>
      <c r="H249" s="17" t="s">
        <v>244</v>
      </c>
      <c r="I249" s="36" t="s">
        <v>630</v>
      </c>
      <c r="J249" s="55" t="str">
        <f t="shared" si="10"/>
        <v>https://permalinkbnd.bnportugal.gov.pt/viewer/272626/?offset=#page=233&amp;viewer=picture&amp;o=info&amp;n=0&amp;q=</v>
      </c>
      <c r="K249" s="45"/>
      <c r="L249" s="45"/>
      <c r="M249" s="45"/>
      <c r="N249" t="s">
        <v>242</v>
      </c>
      <c r="O249">
        <v>272626</v>
      </c>
      <c r="P249" t="str">
        <f t="shared" si="11"/>
        <v>https://permalinkbnd.bnportugal.gov.pt/viewer/272626/?offset=#page=233&amp;viewer=picture&amp;o=info&amp;n=0&amp;q=</v>
      </c>
      <c r="Q249">
        <v>458243</v>
      </c>
      <c r="R249" t="s">
        <v>242</v>
      </c>
      <c r="S249" t="s">
        <v>2259</v>
      </c>
      <c r="T249" t="s">
        <v>1178</v>
      </c>
      <c r="U249" t="s">
        <v>1192</v>
      </c>
      <c r="V249" t="s">
        <v>599</v>
      </c>
      <c r="W249" t="s">
        <v>1193</v>
      </c>
      <c r="X249" t="s">
        <v>599</v>
      </c>
      <c r="Y249" t="s">
        <v>599</v>
      </c>
      <c r="Z249" t="s">
        <v>2260</v>
      </c>
      <c r="AA249" t="s">
        <v>2261</v>
      </c>
      <c r="AB249">
        <v>1940</v>
      </c>
      <c r="AC249">
        <v>1940</v>
      </c>
      <c r="AD249" t="s">
        <v>2262</v>
      </c>
      <c r="AE249" t="s">
        <v>1185</v>
      </c>
      <c r="AF249" t="s">
        <v>599</v>
      </c>
      <c r="AG249" t="s">
        <v>599</v>
      </c>
      <c r="AH249" t="s">
        <v>2263</v>
      </c>
      <c r="AI249" t="s">
        <v>599</v>
      </c>
      <c r="AJ249" t="s">
        <v>599</v>
      </c>
      <c r="AK249" t="s">
        <v>2264</v>
      </c>
      <c r="AL249" t="s">
        <v>1188</v>
      </c>
      <c r="AM249" t="s">
        <v>2265</v>
      </c>
      <c r="AN249" t="s">
        <v>1190</v>
      </c>
      <c r="AO249" t="s">
        <v>599</v>
      </c>
      <c r="AP249" t="s">
        <v>599</v>
      </c>
      <c r="AQ249" t="s">
        <v>599</v>
      </c>
      <c r="AR249" t="s">
        <v>599</v>
      </c>
      <c r="AS249" t="s">
        <v>599</v>
      </c>
      <c r="AT249" t="s">
        <v>599</v>
      </c>
      <c r="AU249" t="s">
        <v>599</v>
      </c>
    </row>
    <row r="250" spans="1:47" s="21" customFormat="1" ht="90" x14ac:dyDescent="0.25">
      <c r="A250" s="17">
        <v>10473</v>
      </c>
      <c r="B250" s="18">
        <v>458243</v>
      </c>
      <c r="C250" s="39" t="s">
        <v>629</v>
      </c>
      <c r="D250" s="17">
        <v>261</v>
      </c>
      <c r="E250" s="19" t="s">
        <v>242</v>
      </c>
      <c r="F250" s="19" t="str">
        <f t="shared" si="9"/>
        <v>https://purl.pt/44000</v>
      </c>
      <c r="G250" s="20" t="s">
        <v>243</v>
      </c>
      <c r="H250" s="17" t="s">
        <v>244</v>
      </c>
      <c r="I250" s="36" t="s">
        <v>630</v>
      </c>
      <c r="J250" s="55" t="str">
        <f t="shared" si="10"/>
        <v>https://permalinkbnd.bnportugal.gov.pt/viewer/272626/?offset=#page=261&amp;viewer=picture&amp;o=info&amp;n=0&amp;q=</v>
      </c>
      <c r="K250" s="45"/>
      <c r="L250" s="45"/>
      <c r="M250" s="45"/>
      <c r="N250" t="s">
        <v>242</v>
      </c>
      <c r="O250">
        <v>272626</v>
      </c>
      <c r="P250" t="str">
        <f t="shared" si="11"/>
        <v>https://permalinkbnd.bnportugal.gov.pt/viewer/272626/?offset=#page=261&amp;viewer=picture&amp;o=info&amp;n=0&amp;q=</v>
      </c>
      <c r="Q250">
        <v>458243</v>
      </c>
      <c r="R250" t="s">
        <v>242</v>
      </c>
      <c r="S250" t="s">
        <v>2259</v>
      </c>
      <c r="T250" t="s">
        <v>1178</v>
      </c>
      <c r="U250" t="s">
        <v>1192</v>
      </c>
      <c r="V250" t="s">
        <v>599</v>
      </c>
      <c r="W250" t="s">
        <v>1193</v>
      </c>
      <c r="X250" t="s">
        <v>599</v>
      </c>
      <c r="Y250" t="s">
        <v>599</v>
      </c>
      <c r="Z250" t="s">
        <v>2260</v>
      </c>
      <c r="AA250" t="s">
        <v>2261</v>
      </c>
      <c r="AB250">
        <v>1940</v>
      </c>
      <c r="AC250">
        <v>1940</v>
      </c>
      <c r="AD250" t="s">
        <v>2262</v>
      </c>
      <c r="AE250" t="s">
        <v>1185</v>
      </c>
      <c r="AF250" t="s">
        <v>599</v>
      </c>
      <c r="AG250" t="s">
        <v>599</v>
      </c>
      <c r="AH250" t="s">
        <v>2263</v>
      </c>
      <c r="AI250" t="s">
        <v>599</v>
      </c>
      <c r="AJ250" t="s">
        <v>599</v>
      </c>
      <c r="AK250" t="s">
        <v>2264</v>
      </c>
      <c r="AL250" t="s">
        <v>1188</v>
      </c>
      <c r="AM250" t="s">
        <v>2265</v>
      </c>
      <c r="AN250" t="s">
        <v>1190</v>
      </c>
      <c r="AO250" t="s">
        <v>599</v>
      </c>
      <c r="AP250" t="s">
        <v>599</v>
      </c>
      <c r="AQ250" t="s">
        <v>599</v>
      </c>
      <c r="AR250" t="s">
        <v>599</v>
      </c>
      <c r="AS250" t="s">
        <v>599</v>
      </c>
      <c r="AT250" t="s">
        <v>599</v>
      </c>
      <c r="AU250" t="s">
        <v>599</v>
      </c>
    </row>
    <row r="251" spans="1:47" s="21" customFormat="1" ht="90" x14ac:dyDescent="0.25">
      <c r="A251" s="17">
        <v>10474</v>
      </c>
      <c r="B251" s="18">
        <v>458243</v>
      </c>
      <c r="C251" s="39" t="s">
        <v>629</v>
      </c>
      <c r="D251" s="17">
        <v>287</v>
      </c>
      <c r="E251" s="19" t="s">
        <v>242</v>
      </c>
      <c r="F251" s="19" t="str">
        <f t="shared" si="9"/>
        <v>https://purl.pt/44000</v>
      </c>
      <c r="G251" s="20" t="s">
        <v>243</v>
      </c>
      <c r="H251" s="17" t="s">
        <v>244</v>
      </c>
      <c r="I251" s="36" t="s">
        <v>630</v>
      </c>
      <c r="J251" s="55" t="str">
        <f t="shared" si="10"/>
        <v>https://permalinkbnd.bnportugal.gov.pt/viewer/272626/?offset=#page=287&amp;viewer=picture&amp;o=info&amp;n=0&amp;q=</v>
      </c>
      <c r="K251" s="45"/>
      <c r="L251" s="45"/>
      <c r="M251" s="45"/>
      <c r="N251" t="s">
        <v>242</v>
      </c>
      <c r="O251">
        <v>272626</v>
      </c>
      <c r="P251" t="str">
        <f t="shared" si="11"/>
        <v>https://permalinkbnd.bnportugal.gov.pt/viewer/272626/?offset=#page=287&amp;viewer=picture&amp;o=info&amp;n=0&amp;q=</v>
      </c>
      <c r="Q251">
        <v>458243</v>
      </c>
      <c r="R251" t="s">
        <v>242</v>
      </c>
      <c r="S251" t="s">
        <v>2259</v>
      </c>
      <c r="T251" t="s">
        <v>1178</v>
      </c>
      <c r="U251" t="s">
        <v>1192</v>
      </c>
      <c r="V251" t="s">
        <v>599</v>
      </c>
      <c r="W251" t="s">
        <v>1193</v>
      </c>
      <c r="X251" t="s">
        <v>599</v>
      </c>
      <c r="Y251" t="s">
        <v>599</v>
      </c>
      <c r="Z251" t="s">
        <v>2260</v>
      </c>
      <c r="AA251" t="s">
        <v>2261</v>
      </c>
      <c r="AB251">
        <v>1940</v>
      </c>
      <c r="AC251">
        <v>1940</v>
      </c>
      <c r="AD251" t="s">
        <v>2262</v>
      </c>
      <c r="AE251" t="s">
        <v>1185</v>
      </c>
      <c r="AF251" t="s">
        <v>599</v>
      </c>
      <c r="AG251" t="s">
        <v>599</v>
      </c>
      <c r="AH251" t="s">
        <v>2263</v>
      </c>
      <c r="AI251" t="s">
        <v>599</v>
      </c>
      <c r="AJ251" t="s">
        <v>599</v>
      </c>
      <c r="AK251" t="s">
        <v>2264</v>
      </c>
      <c r="AL251" t="s">
        <v>1188</v>
      </c>
      <c r="AM251" t="s">
        <v>2265</v>
      </c>
      <c r="AN251" t="s">
        <v>1190</v>
      </c>
      <c r="AO251" t="s">
        <v>599</v>
      </c>
      <c r="AP251" t="s">
        <v>599</v>
      </c>
      <c r="AQ251" t="s">
        <v>599</v>
      </c>
      <c r="AR251" t="s">
        <v>599</v>
      </c>
      <c r="AS251" t="s">
        <v>599</v>
      </c>
      <c r="AT251" t="s">
        <v>599</v>
      </c>
      <c r="AU251" t="s">
        <v>599</v>
      </c>
    </row>
    <row r="252" spans="1:47" s="21" customFormat="1" ht="90" x14ac:dyDescent="0.25">
      <c r="A252" s="17">
        <v>10475</v>
      </c>
      <c r="B252" s="18">
        <v>458243</v>
      </c>
      <c r="C252" s="39" t="s">
        <v>629</v>
      </c>
      <c r="D252" s="17">
        <v>315</v>
      </c>
      <c r="E252" s="19" t="s">
        <v>242</v>
      </c>
      <c r="F252" s="19" t="str">
        <f t="shared" si="9"/>
        <v>https://purl.pt/44000</v>
      </c>
      <c r="G252" s="20" t="s">
        <v>243</v>
      </c>
      <c r="H252" s="17" t="s">
        <v>244</v>
      </c>
      <c r="I252" s="36" t="s">
        <v>630</v>
      </c>
      <c r="J252" s="55" t="str">
        <f t="shared" si="10"/>
        <v>https://permalinkbnd.bnportugal.gov.pt/viewer/272626/?offset=#page=315&amp;viewer=picture&amp;o=info&amp;n=0&amp;q=</v>
      </c>
      <c r="K252" s="45"/>
      <c r="L252" s="45"/>
      <c r="M252" s="45"/>
      <c r="N252" t="s">
        <v>242</v>
      </c>
      <c r="O252">
        <v>272626</v>
      </c>
      <c r="P252" t="str">
        <f t="shared" si="11"/>
        <v>https://permalinkbnd.bnportugal.gov.pt/viewer/272626/?offset=#page=315&amp;viewer=picture&amp;o=info&amp;n=0&amp;q=</v>
      </c>
      <c r="Q252">
        <v>458243</v>
      </c>
      <c r="R252" t="s">
        <v>242</v>
      </c>
      <c r="S252" t="s">
        <v>2259</v>
      </c>
      <c r="T252" t="s">
        <v>1178</v>
      </c>
      <c r="U252" t="s">
        <v>1192</v>
      </c>
      <c r="V252" t="s">
        <v>599</v>
      </c>
      <c r="W252" t="s">
        <v>1193</v>
      </c>
      <c r="X252" t="s">
        <v>599</v>
      </c>
      <c r="Y252" t="s">
        <v>599</v>
      </c>
      <c r="Z252" t="s">
        <v>2260</v>
      </c>
      <c r="AA252" t="s">
        <v>2261</v>
      </c>
      <c r="AB252">
        <v>1940</v>
      </c>
      <c r="AC252">
        <v>1940</v>
      </c>
      <c r="AD252" t="s">
        <v>2262</v>
      </c>
      <c r="AE252" t="s">
        <v>1185</v>
      </c>
      <c r="AF252" t="s">
        <v>599</v>
      </c>
      <c r="AG252" t="s">
        <v>599</v>
      </c>
      <c r="AH252" t="s">
        <v>2263</v>
      </c>
      <c r="AI252" t="s">
        <v>599</v>
      </c>
      <c r="AJ252" t="s">
        <v>599</v>
      </c>
      <c r="AK252" t="s">
        <v>2264</v>
      </c>
      <c r="AL252" t="s">
        <v>1188</v>
      </c>
      <c r="AM252" t="s">
        <v>2265</v>
      </c>
      <c r="AN252" t="s">
        <v>1190</v>
      </c>
      <c r="AO252" t="s">
        <v>599</v>
      </c>
      <c r="AP252" t="s">
        <v>599</v>
      </c>
      <c r="AQ252" t="s">
        <v>599</v>
      </c>
      <c r="AR252" t="s">
        <v>599</v>
      </c>
      <c r="AS252" t="s">
        <v>599</v>
      </c>
      <c r="AT252" t="s">
        <v>599</v>
      </c>
      <c r="AU252" t="s">
        <v>599</v>
      </c>
    </row>
    <row r="253" spans="1:47" s="21" customFormat="1" ht="90" x14ac:dyDescent="0.25">
      <c r="A253" s="17">
        <v>10476</v>
      </c>
      <c r="B253" s="18">
        <v>458243</v>
      </c>
      <c r="C253" s="39" t="s">
        <v>629</v>
      </c>
      <c r="D253" s="17">
        <v>343</v>
      </c>
      <c r="E253" s="19" t="s">
        <v>242</v>
      </c>
      <c r="F253" s="19" t="str">
        <f t="shared" si="9"/>
        <v>https://purl.pt/44000</v>
      </c>
      <c r="G253" s="20" t="s">
        <v>243</v>
      </c>
      <c r="H253" s="17" t="s">
        <v>244</v>
      </c>
      <c r="I253" s="36" t="s">
        <v>630</v>
      </c>
      <c r="J253" s="55" t="str">
        <f t="shared" si="10"/>
        <v>https://permalinkbnd.bnportugal.gov.pt/viewer/272626/?offset=#page=343&amp;viewer=picture&amp;o=info&amp;n=0&amp;q=</v>
      </c>
      <c r="K253" s="45"/>
      <c r="L253" s="45"/>
      <c r="M253" s="45"/>
      <c r="N253" t="s">
        <v>242</v>
      </c>
      <c r="O253">
        <v>272626</v>
      </c>
      <c r="P253" t="str">
        <f t="shared" si="11"/>
        <v>https://permalinkbnd.bnportugal.gov.pt/viewer/272626/?offset=#page=343&amp;viewer=picture&amp;o=info&amp;n=0&amp;q=</v>
      </c>
      <c r="Q253">
        <v>458243</v>
      </c>
      <c r="R253" t="s">
        <v>242</v>
      </c>
      <c r="S253" t="s">
        <v>2259</v>
      </c>
      <c r="T253" t="s">
        <v>1178</v>
      </c>
      <c r="U253" t="s">
        <v>1192</v>
      </c>
      <c r="V253" t="s">
        <v>599</v>
      </c>
      <c r="W253" t="s">
        <v>1193</v>
      </c>
      <c r="X253" t="s">
        <v>599</v>
      </c>
      <c r="Y253" t="s">
        <v>599</v>
      </c>
      <c r="Z253" t="s">
        <v>2260</v>
      </c>
      <c r="AA253" t="s">
        <v>2261</v>
      </c>
      <c r="AB253">
        <v>1940</v>
      </c>
      <c r="AC253">
        <v>1940</v>
      </c>
      <c r="AD253" t="s">
        <v>2262</v>
      </c>
      <c r="AE253" t="s">
        <v>1185</v>
      </c>
      <c r="AF253" t="s">
        <v>599</v>
      </c>
      <c r="AG253" t="s">
        <v>599</v>
      </c>
      <c r="AH253" t="s">
        <v>2263</v>
      </c>
      <c r="AI253" t="s">
        <v>599</v>
      </c>
      <c r="AJ253" t="s">
        <v>599</v>
      </c>
      <c r="AK253" t="s">
        <v>2264</v>
      </c>
      <c r="AL253" t="s">
        <v>1188</v>
      </c>
      <c r="AM253" t="s">
        <v>2265</v>
      </c>
      <c r="AN253" t="s">
        <v>1190</v>
      </c>
      <c r="AO253" t="s">
        <v>599</v>
      </c>
      <c r="AP253" t="s">
        <v>599</v>
      </c>
      <c r="AQ253" t="s">
        <v>599</v>
      </c>
      <c r="AR253" t="s">
        <v>599</v>
      </c>
      <c r="AS253" t="s">
        <v>599</v>
      </c>
      <c r="AT253" t="s">
        <v>599</v>
      </c>
      <c r="AU253" t="s">
        <v>599</v>
      </c>
    </row>
    <row r="254" spans="1:47" s="13" customFormat="1" ht="30" x14ac:dyDescent="0.25">
      <c r="A254" s="9">
        <v>10479</v>
      </c>
      <c r="B254" s="10">
        <v>335235</v>
      </c>
      <c r="C254" s="10">
        <v>1</v>
      </c>
      <c r="D254" s="9">
        <v>23</v>
      </c>
      <c r="E254" s="11" t="s">
        <v>245</v>
      </c>
      <c r="F254" s="11" t="str">
        <f t="shared" si="9"/>
        <v>https://purl.pt/44973</v>
      </c>
      <c r="G254" s="12" t="s">
        <v>246</v>
      </c>
      <c r="H254" s="9" t="s">
        <v>246</v>
      </c>
      <c r="I254" s="34"/>
      <c r="J254" s="55" t="str">
        <f t="shared" si="10"/>
        <v>https://permalinkbnd.bnportugal.gov.pt/viewer/279168/?offset=#page=23&amp;viewer=picture&amp;o=info&amp;n=0&amp;q=</v>
      </c>
      <c r="K254" s="45"/>
      <c r="L254" s="45"/>
      <c r="M254" s="45"/>
      <c r="N254" t="s">
        <v>245</v>
      </c>
      <c r="O254">
        <v>279168</v>
      </c>
      <c r="P254" t="str">
        <f t="shared" si="11"/>
        <v>https://permalinkbnd.bnportugal.gov.pt/viewer/279168/?offset=#page=23&amp;viewer=picture&amp;o=info&amp;n=0&amp;q=</v>
      </c>
      <c r="Q254">
        <v>335235</v>
      </c>
      <c r="R254" t="s">
        <v>245</v>
      </c>
      <c r="S254" t="s">
        <v>2266</v>
      </c>
      <c r="T254" t="s">
        <v>1178</v>
      </c>
      <c r="U254" t="s">
        <v>1192</v>
      </c>
      <c r="V254" t="s">
        <v>599</v>
      </c>
      <c r="W254" t="s">
        <v>1551</v>
      </c>
      <c r="X254" t="s">
        <v>1778</v>
      </c>
      <c r="Y254" t="s">
        <v>599</v>
      </c>
      <c r="Z254" t="s">
        <v>2267</v>
      </c>
      <c r="AA254" t="s">
        <v>2268</v>
      </c>
      <c r="AB254">
        <v>1856</v>
      </c>
      <c r="AC254">
        <v>1856</v>
      </c>
      <c r="AD254" t="s">
        <v>2269</v>
      </c>
      <c r="AE254" t="s">
        <v>1185</v>
      </c>
      <c r="AF254" t="s">
        <v>599</v>
      </c>
      <c r="AG254" t="s">
        <v>599</v>
      </c>
      <c r="AH254" t="s">
        <v>2270</v>
      </c>
      <c r="AI254" t="s">
        <v>599</v>
      </c>
      <c r="AJ254" t="s">
        <v>599</v>
      </c>
      <c r="AK254" t="s">
        <v>2271</v>
      </c>
      <c r="AL254" t="s">
        <v>1188</v>
      </c>
      <c r="AM254" t="s">
        <v>2272</v>
      </c>
      <c r="AN254" t="s">
        <v>1190</v>
      </c>
      <c r="AO254" t="s">
        <v>2273</v>
      </c>
      <c r="AP254" t="s">
        <v>599</v>
      </c>
      <c r="AQ254" t="s">
        <v>2274</v>
      </c>
      <c r="AR254" t="s">
        <v>599</v>
      </c>
      <c r="AS254" t="s">
        <v>599</v>
      </c>
      <c r="AT254" t="s">
        <v>599</v>
      </c>
      <c r="AU254" t="s">
        <v>599</v>
      </c>
    </row>
    <row r="255" spans="1:47" s="13" customFormat="1" ht="30" x14ac:dyDescent="0.25">
      <c r="A255" s="9">
        <v>10480</v>
      </c>
      <c r="B255" s="10">
        <v>335235</v>
      </c>
      <c r="C255" s="10">
        <v>1</v>
      </c>
      <c r="D255" s="9">
        <v>63</v>
      </c>
      <c r="E255" s="11" t="s">
        <v>245</v>
      </c>
      <c r="F255" s="11" t="str">
        <f t="shared" si="9"/>
        <v>https://purl.pt/44973</v>
      </c>
      <c r="G255" s="12" t="s">
        <v>246</v>
      </c>
      <c r="H255" s="9" t="s">
        <v>246</v>
      </c>
      <c r="I255" s="34"/>
      <c r="J255" s="55" t="str">
        <f t="shared" si="10"/>
        <v>https://permalinkbnd.bnportugal.gov.pt/viewer/279168/?offset=#page=63&amp;viewer=picture&amp;o=info&amp;n=0&amp;q=</v>
      </c>
      <c r="K255" s="45"/>
      <c r="L255" s="45"/>
      <c r="M255" s="45"/>
      <c r="N255" t="s">
        <v>245</v>
      </c>
      <c r="O255">
        <v>279168</v>
      </c>
      <c r="P255" t="str">
        <f t="shared" si="11"/>
        <v>https://permalinkbnd.bnportugal.gov.pt/viewer/279168/?offset=#page=63&amp;viewer=picture&amp;o=info&amp;n=0&amp;q=</v>
      </c>
      <c r="Q255">
        <v>335235</v>
      </c>
      <c r="R255" t="s">
        <v>245</v>
      </c>
      <c r="S255" t="s">
        <v>2266</v>
      </c>
      <c r="T255" t="s">
        <v>1178</v>
      </c>
      <c r="U255" t="s">
        <v>1192</v>
      </c>
      <c r="V255" t="s">
        <v>599</v>
      </c>
      <c r="W255" t="s">
        <v>1551</v>
      </c>
      <c r="X255" t="s">
        <v>1778</v>
      </c>
      <c r="Y255" t="s">
        <v>599</v>
      </c>
      <c r="Z255" t="s">
        <v>2267</v>
      </c>
      <c r="AA255" t="s">
        <v>2268</v>
      </c>
      <c r="AB255">
        <v>1856</v>
      </c>
      <c r="AC255">
        <v>1856</v>
      </c>
      <c r="AD255" t="s">
        <v>2269</v>
      </c>
      <c r="AE255" t="s">
        <v>1185</v>
      </c>
      <c r="AF255" t="s">
        <v>599</v>
      </c>
      <c r="AG255" t="s">
        <v>599</v>
      </c>
      <c r="AH255" t="s">
        <v>2270</v>
      </c>
      <c r="AI255" t="s">
        <v>599</v>
      </c>
      <c r="AJ255" t="s">
        <v>599</v>
      </c>
      <c r="AK255" t="s">
        <v>2271</v>
      </c>
      <c r="AL255" t="s">
        <v>1188</v>
      </c>
      <c r="AM255" t="s">
        <v>2272</v>
      </c>
      <c r="AN255" t="s">
        <v>1190</v>
      </c>
      <c r="AO255" t="s">
        <v>2273</v>
      </c>
      <c r="AP255" t="s">
        <v>599</v>
      </c>
      <c r="AQ255" t="s">
        <v>2274</v>
      </c>
      <c r="AR255" t="s">
        <v>599</v>
      </c>
      <c r="AS255" t="s">
        <v>599</v>
      </c>
      <c r="AT255" t="s">
        <v>599</v>
      </c>
      <c r="AU255" t="s">
        <v>599</v>
      </c>
    </row>
    <row r="256" spans="1:47" s="13" customFormat="1" ht="30" x14ac:dyDescent="0.25">
      <c r="A256" s="9">
        <v>10481</v>
      </c>
      <c r="B256" s="10">
        <v>335235</v>
      </c>
      <c r="C256" s="10">
        <v>1</v>
      </c>
      <c r="D256" s="9">
        <v>105</v>
      </c>
      <c r="E256" s="11" t="s">
        <v>245</v>
      </c>
      <c r="F256" s="11" t="str">
        <f t="shared" si="9"/>
        <v>https://purl.pt/44973</v>
      </c>
      <c r="G256" s="12" t="s">
        <v>246</v>
      </c>
      <c r="H256" s="9" t="s">
        <v>246</v>
      </c>
      <c r="I256" s="34"/>
      <c r="J256" s="55" t="str">
        <f t="shared" si="10"/>
        <v>https://permalinkbnd.bnportugal.gov.pt/viewer/279168/?offset=#page=105&amp;viewer=picture&amp;o=info&amp;n=0&amp;q=</v>
      </c>
      <c r="K256" s="45"/>
      <c r="L256" s="45"/>
      <c r="M256" s="45"/>
      <c r="N256" t="s">
        <v>245</v>
      </c>
      <c r="O256">
        <v>279168</v>
      </c>
      <c r="P256" t="str">
        <f t="shared" si="11"/>
        <v>https://permalinkbnd.bnportugal.gov.pt/viewer/279168/?offset=#page=105&amp;viewer=picture&amp;o=info&amp;n=0&amp;q=</v>
      </c>
      <c r="Q256">
        <v>335235</v>
      </c>
      <c r="R256" t="s">
        <v>245</v>
      </c>
      <c r="S256" t="s">
        <v>2266</v>
      </c>
      <c r="T256" t="s">
        <v>1178</v>
      </c>
      <c r="U256" t="s">
        <v>1192</v>
      </c>
      <c r="V256" t="s">
        <v>599</v>
      </c>
      <c r="W256" t="s">
        <v>1551</v>
      </c>
      <c r="X256" t="s">
        <v>1778</v>
      </c>
      <c r="Y256" t="s">
        <v>599</v>
      </c>
      <c r="Z256" t="s">
        <v>2267</v>
      </c>
      <c r="AA256" t="s">
        <v>2268</v>
      </c>
      <c r="AB256">
        <v>1856</v>
      </c>
      <c r="AC256">
        <v>1856</v>
      </c>
      <c r="AD256" t="s">
        <v>2269</v>
      </c>
      <c r="AE256" t="s">
        <v>1185</v>
      </c>
      <c r="AF256" t="s">
        <v>599</v>
      </c>
      <c r="AG256" t="s">
        <v>599</v>
      </c>
      <c r="AH256" t="s">
        <v>2270</v>
      </c>
      <c r="AI256" t="s">
        <v>599</v>
      </c>
      <c r="AJ256" t="s">
        <v>599</v>
      </c>
      <c r="AK256" t="s">
        <v>2271</v>
      </c>
      <c r="AL256" t="s">
        <v>1188</v>
      </c>
      <c r="AM256" t="s">
        <v>2272</v>
      </c>
      <c r="AN256" t="s">
        <v>1190</v>
      </c>
      <c r="AO256" t="s">
        <v>2273</v>
      </c>
      <c r="AP256" t="s">
        <v>599</v>
      </c>
      <c r="AQ256" t="s">
        <v>2274</v>
      </c>
      <c r="AR256" t="s">
        <v>599</v>
      </c>
      <c r="AS256" t="s">
        <v>599</v>
      </c>
      <c r="AT256" t="s">
        <v>599</v>
      </c>
      <c r="AU256" t="s">
        <v>599</v>
      </c>
    </row>
    <row r="257" spans="1:47" s="13" customFormat="1" ht="30" x14ac:dyDescent="0.25">
      <c r="A257" s="9">
        <v>10482</v>
      </c>
      <c r="B257" s="10">
        <v>335235</v>
      </c>
      <c r="C257" s="10">
        <v>1</v>
      </c>
      <c r="D257" s="9">
        <v>157</v>
      </c>
      <c r="E257" s="11" t="s">
        <v>245</v>
      </c>
      <c r="F257" s="11" t="str">
        <f t="shared" si="9"/>
        <v>https://purl.pt/44973</v>
      </c>
      <c r="G257" s="12" t="s">
        <v>246</v>
      </c>
      <c r="H257" s="9" t="s">
        <v>246</v>
      </c>
      <c r="I257" s="34"/>
      <c r="J257" s="55" t="str">
        <f t="shared" si="10"/>
        <v>https://permalinkbnd.bnportugal.gov.pt/viewer/279168/?offset=#page=157&amp;viewer=picture&amp;o=info&amp;n=0&amp;q=</v>
      </c>
      <c r="K257" s="45"/>
      <c r="L257" s="45"/>
      <c r="M257" s="45"/>
      <c r="N257" t="s">
        <v>245</v>
      </c>
      <c r="O257">
        <v>279168</v>
      </c>
      <c r="P257" t="str">
        <f t="shared" si="11"/>
        <v>https://permalinkbnd.bnportugal.gov.pt/viewer/279168/?offset=#page=157&amp;viewer=picture&amp;o=info&amp;n=0&amp;q=</v>
      </c>
      <c r="Q257">
        <v>335235</v>
      </c>
      <c r="R257" t="s">
        <v>245</v>
      </c>
      <c r="S257" t="s">
        <v>2266</v>
      </c>
      <c r="T257" t="s">
        <v>1178</v>
      </c>
      <c r="U257" t="s">
        <v>1192</v>
      </c>
      <c r="V257" t="s">
        <v>599</v>
      </c>
      <c r="W257" t="s">
        <v>1551</v>
      </c>
      <c r="X257" t="s">
        <v>1778</v>
      </c>
      <c r="Y257" t="s">
        <v>599</v>
      </c>
      <c r="Z257" t="s">
        <v>2267</v>
      </c>
      <c r="AA257" t="s">
        <v>2268</v>
      </c>
      <c r="AB257">
        <v>1856</v>
      </c>
      <c r="AC257">
        <v>1856</v>
      </c>
      <c r="AD257" t="s">
        <v>2269</v>
      </c>
      <c r="AE257" t="s">
        <v>1185</v>
      </c>
      <c r="AF257" t="s">
        <v>599</v>
      </c>
      <c r="AG257" t="s">
        <v>599</v>
      </c>
      <c r="AH257" t="s">
        <v>2270</v>
      </c>
      <c r="AI257" t="s">
        <v>599</v>
      </c>
      <c r="AJ257" t="s">
        <v>599</v>
      </c>
      <c r="AK257" t="s">
        <v>2271</v>
      </c>
      <c r="AL257" t="s">
        <v>1188</v>
      </c>
      <c r="AM257" t="s">
        <v>2272</v>
      </c>
      <c r="AN257" t="s">
        <v>1190</v>
      </c>
      <c r="AO257" t="s">
        <v>2273</v>
      </c>
      <c r="AP257" t="s">
        <v>599</v>
      </c>
      <c r="AQ257" t="s">
        <v>2274</v>
      </c>
      <c r="AR257" t="s">
        <v>599</v>
      </c>
      <c r="AS257" t="s">
        <v>599</v>
      </c>
      <c r="AT257" t="s">
        <v>599</v>
      </c>
      <c r="AU257" t="s">
        <v>599</v>
      </c>
    </row>
    <row r="258" spans="1:47" s="13" customFormat="1" ht="30" x14ac:dyDescent="0.25">
      <c r="A258" s="9">
        <v>10483</v>
      </c>
      <c r="B258" s="10">
        <v>335235</v>
      </c>
      <c r="C258" s="10">
        <v>1</v>
      </c>
      <c r="D258" s="9">
        <v>197</v>
      </c>
      <c r="E258" s="11" t="s">
        <v>245</v>
      </c>
      <c r="F258" s="11" t="str">
        <f t="shared" si="9"/>
        <v>https://purl.pt/44973</v>
      </c>
      <c r="G258" s="12" t="s">
        <v>246</v>
      </c>
      <c r="H258" s="9" t="s">
        <v>246</v>
      </c>
      <c r="I258" s="34"/>
      <c r="J258" s="55" t="str">
        <f t="shared" si="10"/>
        <v>https://permalinkbnd.bnportugal.gov.pt/viewer/279168/?offset=#page=197&amp;viewer=picture&amp;o=info&amp;n=0&amp;q=</v>
      </c>
      <c r="K258" s="45"/>
      <c r="L258" s="45"/>
      <c r="M258" s="45"/>
      <c r="N258" t="s">
        <v>245</v>
      </c>
      <c r="O258">
        <v>279168</v>
      </c>
      <c r="P258" t="str">
        <f t="shared" si="11"/>
        <v>https://permalinkbnd.bnportugal.gov.pt/viewer/279168/?offset=#page=197&amp;viewer=picture&amp;o=info&amp;n=0&amp;q=</v>
      </c>
      <c r="Q258">
        <v>335235</v>
      </c>
      <c r="R258" t="s">
        <v>245</v>
      </c>
      <c r="S258" t="s">
        <v>2266</v>
      </c>
      <c r="T258" t="s">
        <v>1178</v>
      </c>
      <c r="U258" t="s">
        <v>1192</v>
      </c>
      <c r="V258" t="s">
        <v>599</v>
      </c>
      <c r="W258" t="s">
        <v>1551</v>
      </c>
      <c r="X258" t="s">
        <v>1778</v>
      </c>
      <c r="Y258" t="s">
        <v>599</v>
      </c>
      <c r="Z258" t="s">
        <v>2267</v>
      </c>
      <c r="AA258" t="s">
        <v>2268</v>
      </c>
      <c r="AB258">
        <v>1856</v>
      </c>
      <c r="AC258">
        <v>1856</v>
      </c>
      <c r="AD258" t="s">
        <v>2269</v>
      </c>
      <c r="AE258" t="s">
        <v>1185</v>
      </c>
      <c r="AF258" t="s">
        <v>599</v>
      </c>
      <c r="AG258" t="s">
        <v>599</v>
      </c>
      <c r="AH258" t="s">
        <v>2270</v>
      </c>
      <c r="AI258" t="s">
        <v>599</v>
      </c>
      <c r="AJ258" t="s">
        <v>599</v>
      </c>
      <c r="AK258" t="s">
        <v>2271</v>
      </c>
      <c r="AL258" t="s">
        <v>1188</v>
      </c>
      <c r="AM258" t="s">
        <v>2272</v>
      </c>
      <c r="AN258" t="s">
        <v>1190</v>
      </c>
      <c r="AO258" t="s">
        <v>2273</v>
      </c>
      <c r="AP258" t="s">
        <v>599</v>
      </c>
      <c r="AQ258" t="s">
        <v>2274</v>
      </c>
      <c r="AR258" t="s">
        <v>599</v>
      </c>
      <c r="AS258" t="s">
        <v>599</v>
      </c>
      <c r="AT258" t="s">
        <v>599</v>
      </c>
      <c r="AU258" t="s">
        <v>599</v>
      </c>
    </row>
    <row r="259" spans="1:47" s="13" customFormat="1" ht="30" x14ac:dyDescent="0.25">
      <c r="A259" s="9">
        <v>10484</v>
      </c>
      <c r="B259" s="10">
        <v>335235</v>
      </c>
      <c r="C259" s="10">
        <v>1</v>
      </c>
      <c r="D259" s="9">
        <v>268</v>
      </c>
      <c r="E259" s="11" t="s">
        <v>245</v>
      </c>
      <c r="F259" s="11" t="str">
        <f t="shared" ref="F259:F322" si="12">HYPERLINK(E259)</f>
        <v>https://purl.pt/44973</v>
      </c>
      <c r="G259" s="12" t="s">
        <v>246</v>
      </c>
      <c r="H259" s="9" t="s">
        <v>246</v>
      </c>
      <c r="I259" s="34"/>
      <c r="J259" s="55" t="str">
        <f t="shared" ref="J259:J322" si="13">HYPERLINK(P259)</f>
        <v>https://permalinkbnd.bnportugal.gov.pt/viewer/279168/?offset=#page=268&amp;viewer=picture&amp;o=info&amp;n=0&amp;q=</v>
      </c>
      <c r="K259" s="45"/>
      <c r="L259" s="45"/>
      <c r="M259" s="45"/>
      <c r="N259" t="s">
        <v>245</v>
      </c>
      <c r="O259">
        <v>279168</v>
      </c>
      <c r="P259" t="str">
        <f t="shared" ref="P259:P322" si="14">CONCATENATE("https://permalinkbnd.bnportugal.gov.pt/viewer/",O259,"/?offset=#page=",D259,"&amp;viewer=picture&amp;o=info&amp;n=0&amp;q=")</f>
        <v>https://permalinkbnd.bnportugal.gov.pt/viewer/279168/?offset=#page=268&amp;viewer=picture&amp;o=info&amp;n=0&amp;q=</v>
      </c>
      <c r="Q259">
        <v>335235</v>
      </c>
      <c r="R259" t="s">
        <v>245</v>
      </c>
      <c r="S259" t="s">
        <v>2266</v>
      </c>
      <c r="T259" t="s">
        <v>1178</v>
      </c>
      <c r="U259" t="s">
        <v>1192</v>
      </c>
      <c r="V259" t="s">
        <v>599</v>
      </c>
      <c r="W259" t="s">
        <v>1551</v>
      </c>
      <c r="X259" t="s">
        <v>1778</v>
      </c>
      <c r="Y259" t="s">
        <v>599</v>
      </c>
      <c r="Z259" t="s">
        <v>2267</v>
      </c>
      <c r="AA259" t="s">
        <v>2268</v>
      </c>
      <c r="AB259">
        <v>1856</v>
      </c>
      <c r="AC259">
        <v>1856</v>
      </c>
      <c r="AD259" t="s">
        <v>2269</v>
      </c>
      <c r="AE259" t="s">
        <v>1185</v>
      </c>
      <c r="AF259" t="s">
        <v>599</v>
      </c>
      <c r="AG259" t="s">
        <v>599</v>
      </c>
      <c r="AH259" t="s">
        <v>2270</v>
      </c>
      <c r="AI259" t="s">
        <v>599</v>
      </c>
      <c r="AJ259" t="s">
        <v>599</v>
      </c>
      <c r="AK259" t="s">
        <v>2271</v>
      </c>
      <c r="AL259" t="s">
        <v>1188</v>
      </c>
      <c r="AM259" t="s">
        <v>2272</v>
      </c>
      <c r="AN259" t="s">
        <v>1190</v>
      </c>
      <c r="AO259" t="s">
        <v>2273</v>
      </c>
      <c r="AP259" t="s">
        <v>599</v>
      </c>
      <c r="AQ259" t="s">
        <v>2274</v>
      </c>
      <c r="AR259" t="s">
        <v>599</v>
      </c>
      <c r="AS259" t="s">
        <v>599</v>
      </c>
      <c r="AT259" t="s">
        <v>599</v>
      </c>
      <c r="AU259" t="s">
        <v>599</v>
      </c>
    </row>
    <row r="260" spans="1:47" s="13" customFormat="1" ht="30" x14ac:dyDescent="0.25">
      <c r="A260" s="9">
        <v>10485</v>
      </c>
      <c r="B260" s="10">
        <v>335235</v>
      </c>
      <c r="C260" s="10">
        <v>1</v>
      </c>
      <c r="D260" s="9">
        <v>309</v>
      </c>
      <c r="E260" s="11" t="s">
        <v>245</v>
      </c>
      <c r="F260" s="11" t="str">
        <f t="shared" si="12"/>
        <v>https://purl.pt/44973</v>
      </c>
      <c r="G260" s="12" t="s">
        <v>246</v>
      </c>
      <c r="H260" s="9" t="s">
        <v>246</v>
      </c>
      <c r="I260" s="34"/>
      <c r="J260" s="55" t="str">
        <f t="shared" si="13"/>
        <v>https://permalinkbnd.bnportugal.gov.pt/viewer/279168/?offset=#page=309&amp;viewer=picture&amp;o=info&amp;n=0&amp;q=</v>
      </c>
      <c r="K260" s="45"/>
      <c r="L260" s="45"/>
      <c r="M260" s="45"/>
      <c r="N260" t="s">
        <v>245</v>
      </c>
      <c r="O260">
        <v>279168</v>
      </c>
      <c r="P260" t="str">
        <f t="shared" si="14"/>
        <v>https://permalinkbnd.bnportugal.gov.pt/viewer/279168/?offset=#page=309&amp;viewer=picture&amp;o=info&amp;n=0&amp;q=</v>
      </c>
      <c r="Q260">
        <v>335235</v>
      </c>
      <c r="R260" t="s">
        <v>245</v>
      </c>
      <c r="S260" t="s">
        <v>2266</v>
      </c>
      <c r="T260" t="s">
        <v>1178</v>
      </c>
      <c r="U260" t="s">
        <v>1192</v>
      </c>
      <c r="V260" t="s">
        <v>599</v>
      </c>
      <c r="W260" t="s">
        <v>1551</v>
      </c>
      <c r="X260" t="s">
        <v>1778</v>
      </c>
      <c r="Y260" t="s">
        <v>599</v>
      </c>
      <c r="Z260" t="s">
        <v>2267</v>
      </c>
      <c r="AA260" t="s">
        <v>2268</v>
      </c>
      <c r="AB260">
        <v>1856</v>
      </c>
      <c r="AC260">
        <v>1856</v>
      </c>
      <c r="AD260" t="s">
        <v>2269</v>
      </c>
      <c r="AE260" t="s">
        <v>1185</v>
      </c>
      <c r="AF260" t="s">
        <v>599</v>
      </c>
      <c r="AG260" t="s">
        <v>599</v>
      </c>
      <c r="AH260" t="s">
        <v>2270</v>
      </c>
      <c r="AI260" t="s">
        <v>599</v>
      </c>
      <c r="AJ260" t="s">
        <v>599</v>
      </c>
      <c r="AK260" t="s">
        <v>2271</v>
      </c>
      <c r="AL260" t="s">
        <v>1188</v>
      </c>
      <c r="AM260" t="s">
        <v>2272</v>
      </c>
      <c r="AN260" t="s">
        <v>1190</v>
      </c>
      <c r="AO260" t="s">
        <v>2273</v>
      </c>
      <c r="AP260" t="s">
        <v>599</v>
      </c>
      <c r="AQ260" t="s">
        <v>2274</v>
      </c>
      <c r="AR260" t="s">
        <v>599</v>
      </c>
      <c r="AS260" t="s">
        <v>599</v>
      </c>
      <c r="AT260" t="s">
        <v>599</v>
      </c>
      <c r="AU260" t="s">
        <v>599</v>
      </c>
    </row>
    <row r="261" spans="1:47" s="13" customFormat="1" ht="30" x14ac:dyDescent="0.25">
      <c r="A261" s="9">
        <v>10486</v>
      </c>
      <c r="B261" s="10">
        <v>335235</v>
      </c>
      <c r="C261" s="10">
        <v>1</v>
      </c>
      <c r="D261" s="9">
        <v>375</v>
      </c>
      <c r="E261" s="11" t="s">
        <v>245</v>
      </c>
      <c r="F261" s="11" t="str">
        <f t="shared" si="12"/>
        <v>https://purl.pt/44973</v>
      </c>
      <c r="G261" s="12" t="s">
        <v>246</v>
      </c>
      <c r="H261" s="9" t="s">
        <v>246</v>
      </c>
      <c r="I261" s="34"/>
      <c r="J261" s="55" t="str">
        <f t="shared" si="13"/>
        <v>https://permalinkbnd.bnportugal.gov.pt/viewer/279168/?offset=#page=375&amp;viewer=picture&amp;o=info&amp;n=0&amp;q=</v>
      </c>
      <c r="K261" s="45"/>
      <c r="L261" s="45"/>
      <c r="M261" s="45"/>
      <c r="N261" t="s">
        <v>245</v>
      </c>
      <c r="O261">
        <v>279168</v>
      </c>
      <c r="P261" t="str">
        <f t="shared" si="14"/>
        <v>https://permalinkbnd.bnportugal.gov.pt/viewer/279168/?offset=#page=375&amp;viewer=picture&amp;o=info&amp;n=0&amp;q=</v>
      </c>
      <c r="Q261">
        <v>335235</v>
      </c>
      <c r="R261" t="s">
        <v>245</v>
      </c>
      <c r="S261" t="s">
        <v>2266</v>
      </c>
      <c r="T261" t="s">
        <v>1178</v>
      </c>
      <c r="U261" t="s">
        <v>1192</v>
      </c>
      <c r="V261" t="s">
        <v>599</v>
      </c>
      <c r="W261" t="s">
        <v>1551</v>
      </c>
      <c r="X261" t="s">
        <v>1778</v>
      </c>
      <c r="Y261" t="s">
        <v>599</v>
      </c>
      <c r="Z261" t="s">
        <v>2267</v>
      </c>
      <c r="AA261" t="s">
        <v>2268</v>
      </c>
      <c r="AB261">
        <v>1856</v>
      </c>
      <c r="AC261">
        <v>1856</v>
      </c>
      <c r="AD261" t="s">
        <v>2269</v>
      </c>
      <c r="AE261" t="s">
        <v>1185</v>
      </c>
      <c r="AF261" t="s">
        <v>599</v>
      </c>
      <c r="AG261" t="s">
        <v>599</v>
      </c>
      <c r="AH261" t="s">
        <v>2270</v>
      </c>
      <c r="AI261" t="s">
        <v>599</v>
      </c>
      <c r="AJ261" t="s">
        <v>599</v>
      </c>
      <c r="AK261" t="s">
        <v>2271</v>
      </c>
      <c r="AL261" t="s">
        <v>1188</v>
      </c>
      <c r="AM261" t="s">
        <v>2272</v>
      </c>
      <c r="AN261" t="s">
        <v>1190</v>
      </c>
      <c r="AO261" t="s">
        <v>2273</v>
      </c>
      <c r="AP261" t="s">
        <v>599</v>
      </c>
      <c r="AQ261" t="s">
        <v>2274</v>
      </c>
      <c r="AR261" t="s">
        <v>599</v>
      </c>
      <c r="AS261" t="s">
        <v>599</v>
      </c>
      <c r="AT261" t="s">
        <v>599</v>
      </c>
      <c r="AU261" t="s">
        <v>599</v>
      </c>
    </row>
    <row r="262" spans="1:47" s="13" customFormat="1" ht="30" x14ac:dyDescent="0.25">
      <c r="A262" s="9">
        <v>10492</v>
      </c>
      <c r="B262" s="10">
        <v>256272</v>
      </c>
      <c r="C262" s="10">
        <v>1</v>
      </c>
      <c r="D262" s="9">
        <v>10</v>
      </c>
      <c r="E262" s="11" t="s">
        <v>247</v>
      </c>
      <c r="F262" s="11" t="str">
        <f t="shared" si="12"/>
        <v>https://purl.pt/44001</v>
      </c>
      <c r="G262" s="12" t="s">
        <v>248</v>
      </c>
      <c r="H262" s="9" t="s">
        <v>249</v>
      </c>
      <c r="I262" s="34"/>
      <c r="J262" s="55" t="str">
        <f t="shared" si="13"/>
        <v>https://permalinkbnd.bnportugal.gov.pt/viewer/273511/?offset=#page=10&amp;viewer=picture&amp;o=info&amp;n=0&amp;q=</v>
      </c>
      <c r="K262" s="45"/>
      <c r="L262" s="45"/>
      <c r="M262" s="45"/>
      <c r="N262" t="s">
        <v>247</v>
      </c>
      <c r="O262">
        <v>273511</v>
      </c>
      <c r="P262" t="str">
        <f t="shared" si="14"/>
        <v>https://permalinkbnd.bnportugal.gov.pt/viewer/273511/?offset=#page=10&amp;viewer=picture&amp;o=info&amp;n=0&amp;q=</v>
      </c>
      <c r="Q262">
        <v>256272</v>
      </c>
      <c r="R262" t="s">
        <v>247</v>
      </c>
      <c r="S262" t="s">
        <v>2275</v>
      </c>
      <c r="T262" t="s">
        <v>1178</v>
      </c>
      <c r="U262" t="s">
        <v>1192</v>
      </c>
      <c r="V262" t="s">
        <v>599</v>
      </c>
      <c r="W262" t="s">
        <v>1551</v>
      </c>
      <c r="X262" t="s">
        <v>599</v>
      </c>
      <c r="Y262" t="s">
        <v>599</v>
      </c>
      <c r="Z262" t="s">
        <v>2276</v>
      </c>
      <c r="AA262" t="s">
        <v>2277</v>
      </c>
      <c r="AB262">
        <v>1823</v>
      </c>
      <c r="AC262">
        <v>1823</v>
      </c>
      <c r="AD262" t="s">
        <v>2278</v>
      </c>
      <c r="AE262" t="s">
        <v>1185</v>
      </c>
      <c r="AF262" t="s">
        <v>599</v>
      </c>
      <c r="AG262" t="s">
        <v>599</v>
      </c>
      <c r="AH262" t="s">
        <v>2279</v>
      </c>
      <c r="AI262" t="s">
        <v>599</v>
      </c>
      <c r="AJ262" t="s">
        <v>599</v>
      </c>
      <c r="AK262" t="s">
        <v>2280</v>
      </c>
      <c r="AL262" t="s">
        <v>1188</v>
      </c>
      <c r="AM262" t="s">
        <v>2281</v>
      </c>
      <c r="AN262" t="s">
        <v>1190</v>
      </c>
      <c r="AO262" t="s">
        <v>599</v>
      </c>
      <c r="AP262" t="s">
        <v>599</v>
      </c>
      <c r="AQ262" t="s">
        <v>599</v>
      </c>
      <c r="AR262" t="s">
        <v>599</v>
      </c>
      <c r="AS262" t="s">
        <v>599</v>
      </c>
      <c r="AT262" t="s">
        <v>599</v>
      </c>
      <c r="AU262" t="s">
        <v>599</v>
      </c>
    </row>
    <row r="263" spans="1:47" s="13" customFormat="1" ht="30" x14ac:dyDescent="0.25">
      <c r="A263" s="9">
        <v>10493</v>
      </c>
      <c r="B263" s="10">
        <v>256272</v>
      </c>
      <c r="C263" s="10">
        <v>1</v>
      </c>
      <c r="D263" s="9">
        <v>11</v>
      </c>
      <c r="E263" s="11" t="s">
        <v>247</v>
      </c>
      <c r="F263" s="11" t="str">
        <f t="shared" si="12"/>
        <v>https://purl.pt/44001</v>
      </c>
      <c r="G263" s="12" t="s">
        <v>248</v>
      </c>
      <c r="H263" s="9" t="s">
        <v>249</v>
      </c>
      <c r="I263" s="34"/>
      <c r="J263" s="55" t="str">
        <f t="shared" si="13"/>
        <v>https://permalinkbnd.bnportugal.gov.pt/viewer/273511/?offset=#page=11&amp;viewer=picture&amp;o=info&amp;n=0&amp;q=</v>
      </c>
      <c r="K263" s="45"/>
      <c r="L263" s="45"/>
      <c r="M263" s="45"/>
      <c r="N263" t="s">
        <v>247</v>
      </c>
      <c r="O263">
        <v>273511</v>
      </c>
      <c r="P263" t="str">
        <f t="shared" si="14"/>
        <v>https://permalinkbnd.bnportugal.gov.pt/viewer/273511/?offset=#page=11&amp;viewer=picture&amp;o=info&amp;n=0&amp;q=</v>
      </c>
      <c r="Q263">
        <v>256272</v>
      </c>
      <c r="R263" t="s">
        <v>247</v>
      </c>
      <c r="S263" t="s">
        <v>2275</v>
      </c>
      <c r="T263" t="s">
        <v>1178</v>
      </c>
      <c r="U263" t="s">
        <v>1192</v>
      </c>
      <c r="V263" t="s">
        <v>599</v>
      </c>
      <c r="W263" t="s">
        <v>1551</v>
      </c>
      <c r="X263" t="s">
        <v>599</v>
      </c>
      <c r="Y263" t="s">
        <v>599</v>
      </c>
      <c r="Z263" t="s">
        <v>2276</v>
      </c>
      <c r="AA263" t="s">
        <v>2277</v>
      </c>
      <c r="AB263">
        <v>1823</v>
      </c>
      <c r="AC263">
        <v>1823</v>
      </c>
      <c r="AD263" t="s">
        <v>2278</v>
      </c>
      <c r="AE263" t="s">
        <v>1185</v>
      </c>
      <c r="AF263" t="s">
        <v>599</v>
      </c>
      <c r="AG263" t="s">
        <v>599</v>
      </c>
      <c r="AH263" t="s">
        <v>2279</v>
      </c>
      <c r="AI263" t="s">
        <v>599</v>
      </c>
      <c r="AJ263" t="s">
        <v>599</v>
      </c>
      <c r="AK263" t="s">
        <v>2280</v>
      </c>
      <c r="AL263" t="s">
        <v>1188</v>
      </c>
      <c r="AM263" t="s">
        <v>2281</v>
      </c>
      <c r="AN263" t="s">
        <v>1190</v>
      </c>
      <c r="AO263" t="s">
        <v>599</v>
      </c>
      <c r="AP263" t="s">
        <v>599</v>
      </c>
      <c r="AQ263" t="s">
        <v>599</v>
      </c>
      <c r="AR263" t="s">
        <v>599</v>
      </c>
      <c r="AS263" t="s">
        <v>599</v>
      </c>
      <c r="AT263" t="s">
        <v>599</v>
      </c>
      <c r="AU263" t="s">
        <v>599</v>
      </c>
    </row>
    <row r="264" spans="1:47" s="13" customFormat="1" ht="30" x14ac:dyDescent="0.25">
      <c r="A264" s="9">
        <v>10498</v>
      </c>
      <c r="B264" s="10">
        <v>458267</v>
      </c>
      <c r="C264" s="10">
        <v>1</v>
      </c>
      <c r="D264" s="9">
        <v>5</v>
      </c>
      <c r="E264" s="11" t="s">
        <v>250</v>
      </c>
      <c r="F264" s="11" t="str">
        <f t="shared" si="12"/>
        <v>https://purl.pt/43971</v>
      </c>
      <c r="G264" s="12" t="s">
        <v>143</v>
      </c>
      <c r="H264" s="9"/>
      <c r="I264" s="34"/>
      <c r="J264" s="55" t="str">
        <f t="shared" si="13"/>
        <v>https://permalinkbnd.bnportugal.gov.pt/viewer/274951/?offset=#page=5&amp;viewer=picture&amp;o=info&amp;n=0&amp;q=</v>
      </c>
      <c r="K264" s="45"/>
      <c r="L264" s="45"/>
      <c r="M264" s="45"/>
      <c r="N264" t="s">
        <v>250</v>
      </c>
      <c r="O264">
        <v>274951</v>
      </c>
      <c r="P264" t="str">
        <f t="shared" si="14"/>
        <v>https://permalinkbnd.bnportugal.gov.pt/viewer/274951/?offset=#page=5&amp;viewer=picture&amp;o=info&amp;n=0&amp;q=</v>
      </c>
      <c r="Q264">
        <v>458267</v>
      </c>
      <c r="R264" t="s">
        <v>250</v>
      </c>
      <c r="S264" t="s">
        <v>2282</v>
      </c>
      <c r="T264" t="s">
        <v>1178</v>
      </c>
      <c r="U264" t="s">
        <v>1192</v>
      </c>
      <c r="V264" t="s">
        <v>599</v>
      </c>
      <c r="W264" t="s">
        <v>2283</v>
      </c>
      <c r="X264" t="s">
        <v>599</v>
      </c>
      <c r="Y264" t="s">
        <v>599</v>
      </c>
      <c r="Z264" t="s">
        <v>1182</v>
      </c>
      <c r="AA264" t="s">
        <v>1221</v>
      </c>
      <c r="AB264">
        <v>1887</v>
      </c>
      <c r="AC264">
        <v>1887</v>
      </c>
      <c r="AD264" t="s">
        <v>2284</v>
      </c>
      <c r="AE264" t="s">
        <v>2285</v>
      </c>
      <c r="AF264" t="s">
        <v>599</v>
      </c>
      <c r="AG264" t="s">
        <v>599</v>
      </c>
      <c r="AH264" t="s">
        <v>599</v>
      </c>
      <c r="AI264" t="s">
        <v>599</v>
      </c>
      <c r="AJ264" t="s">
        <v>599</v>
      </c>
      <c r="AK264" t="s">
        <v>2286</v>
      </c>
      <c r="AL264" t="s">
        <v>2287</v>
      </c>
      <c r="AM264" t="s">
        <v>2288</v>
      </c>
      <c r="AN264" t="s">
        <v>1190</v>
      </c>
      <c r="AO264" t="s">
        <v>599</v>
      </c>
      <c r="AP264" t="s">
        <v>599</v>
      </c>
      <c r="AQ264" t="s">
        <v>599</v>
      </c>
      <c r="AR264" t="s">
        <v>599</v>
      </c>
      <c r="AS264" t="s">
        <v>599</v>
      </c>
      <c r="AT264" t="s">
        <v>599</v>
      </c>
      <c r="AU264" t="s">
        <v>599</v>
      </c>
    </row>
    <row r="265" spans="1:47" s="13" customFormat="1" ht="30" x14ac:dyDescent="0.25">
      <c r="A265" s="9">
        <v>10499</v>
      </c>
      <c r="B265" s="10">
        <v>849980</v>
      </c>
      <c r="C265" s="10">
        <v>1</v>
      </c>
      <c r="D265" s="9">
        <v>96</v>
      </c>
      <c r="E265" s="11" t="s">
        <v>251</v>
      </c>
      <c r="F265" s="11" t="str">
        <f t="shared" si="12"/>
        <v>https://purl.pt/44002</v>
      </c>
      <c r="G265" s="12" t="s">
        <v>252</v>
      </c>
      <c r="H265" s="9"/>
      <c r="I265" s="34"/>
      <c r="J265" s="55" t="str">
        <f t="shared" si="13"/>
        <v>https://permalinkbnd.bnportugal.gov.pt/viewer/273524/?offset=#page=96&amp;viewer=picture&amp;o=info&amp;n=0&amp;q=</v>
      </c>
      <c r="K265" s="45"/>
      <c r="L265" s="45"/>
      <c r="M265" s="45"/>
      <c r="N265" t="s">
        <v>251</v>
      </c>
      <c r="O265">
        <v>273524</v>
      </c>
      <c r="P265" t="str">
        <f t="shared" si="14"/>
        <v>https://permalinkbnd.bnportugal.gov.pt/viewer/273524/?offset=#page=96&amp;viewer=picture&amp;o=info&amp;n=0&amp;q=</v>
      </c>
      <c r="Q265">
        <v>849980</v>
      </c>
      <c r="R265" t="s">
        <v>251</v>
      </c>
      <c r="S265" t="s">
        <v>2289</v>
      </c>
      <c r="T265" t="s">
        <v>1178</v>
      </c>
      <c r="U265" t="s">
        <v>1192</v>
      </c>
      <c r="V265" t="s">
        <v>599</v>
      </c>
      <c r="W265" t="s">
        <v>2290</v>
      </c>
      <c r="X265" t="s">
        <v>599</v>
      </c>
      <c r="Y265" t="s">
        <v>599</v>
      </c>
      <c r="Z265" t="s">
        <v>1182</v>
      </c>
      <c r="AA265" t="s">
        <v>2291</v>
      </c>
      <c r="AB265">
        <v>1880</v>
      </c>
      <c r="AC265">
        <v>1880</v>
      </c>
      <c r="AD265" t="s">
        <v>2292</v>
      </c>
      <c r="AE265" t="s">
        <v>2293</v>
      </c>
      <c r="AF265" t="s">
        <v>599</v>
      </c>
      <c r="AG265" t="s">
        <v>599</v>
      </c>
      <c r="AH265" t="s">
        <v>599</v>
      </c>
      <c r="AI265" t="s">
        <v>599</v>
      </c>
      <c r="AJ265" t="s">
        <v>599</v>
      </c>
      <c r="AK265" t="s">
        <v>2294</v>
      </c>
      <c r="AL265" t="s">
        <v>1188</v>
      </c>
      <c r="AM265" t="s">
        <v>2295</v>
      </c>
      <c r="AN265" t="s">
        <v>1190</v>
      </c>
      <c r="AO265" t="s">
        <v>599</v>
      </c>
      <c r="AP265" t="s">
        <v>599</v>
      </c>
      <c r="AQ265" t="s">
        <v>599</v>
      </c>
      <c r="AR265" t="s">
        <v>599</v>
      </c>
      <c r="AS265" t="s">
        <v>599</v>
      </c>
      <c r="AT265" t="s">
        <v>599</v>
      </c>
      <c r="AU265" t="s">
        <v>599</v>
      </c>
    </row>
    <row r="266" spans="1:47" s="13" customFormat="1" ht="30" x14ac:dyDescent="0.25">
      <c r="A266" s="9"/>
      <c r="B266" s="10">
        <v>849980</v>
      </c>
      <c r="C266" s="10">
        <v>1</v>
      </c>
      <c r="D266" s="9">
        <v>97</v>
      </c>
      <c r="E266" s="11" t="s">
        <v>251</v>
      </c>
      <c r="F266" s="11" t="str">
        <f t="shared" si="12"/>
        <v>https://purl.pt/44002</v>
      </c>
      <c r="G266" s="12"/>
      <c r="H266" s="9"/>
      <c r="I266" s="34"/>
      <c r="J266" s="55" t="str">
        <f t="shared" si="13"/>
        <v>https://permalinkbnd.bnportugal.gov.pt/viewer/273524/?offset=#page=97&amp;viewer=picture&amp;o=info&amp;n=0&amp;q=</v>
      </c>
      <c r="K266" s="45"/>
      <c r="L266" s="45"/>
      <c r="M266" s="45"/>
      <c r="N266" t="s">
        <v>251</v>
      </c>
      <c r="O266">
        <v>273524</v>
      </c>
      <c r="P266" t="str">
        <f t="shared" si="14"/>
        <v>https://permalinkbnd.bnportugal.gov.pt/viewer/273524/?offset=#page=97&amp;viewer=picture&amp;o=info&amp;n=0&amp;q=</v>
      </c>
      <c r="Q266">
        <v>849980</v>
      </c>
      <c r="R266" t="s">
        <v>251</v>
      </c>
      <c r="S266" t="s">
        <v>2289</v>
      </c>
      <c r="T266" t="s">
        <v>1178</v>
      </c>
      <c r="U266" t="s">
        <v>1192</v>
      </c>
      <c r="V266" t="s">
        <v>599</v>
      </c>
      <c r="W266" t="s">
        <v>2290</v>
      </c>
      <c r="X266" t="s">
        <v>599</v>
      </c>
      <c r="Y266" t="s">
        <v>599</v>
      </c>
      <c r="Z266" t="s">
        <v>1182</v>
      </c>
      <c r="AA266" t="s">
        <v>2291</v>
      </c>
      <c r="AB266">
        <v>1880</v>
      </c>
      <c r="AC266">
        <v>1880</v>
      </c>
      <c r="AD266" t="s">
        <v>2292</v>
      </c>
      <c r="AE266" t="s">
        <v>2293</v>
      </c>
      <c r="AF266" t="s">
        <v>599</v>
      </c>
      <c r="AG266" t="s">
        <v>599</v>
      </c>
      <c r="AH266" t="s">
        <v>599</v>
      </c>
      <c r="AI266" t="s">
        <v>599</v>
      </c>
      <c r="AJ266" t="s">
        <v>599</v>
      </c>
      <c r="AK266" t="s">
        <v>2294</v>
      </c>
      <c r="AL266" t="s">
        <v>1188</v>
      </c>
      <c r="AM266" t="s">
        <v>2295</v>
      </c>
      <c r="AN266" t="s">
        <v>1190</v>
      </c>
      <c r="AO266" t="s">
        <v>599</v>
      </c>
      <c r="AP266" t="s">
        <v>599</v>
      </c>
      <c r="AQ266" t="s">
        <v>599</v>
      </c>
      <c r="AR266" t="s">
        <v>599</v>
      </c>
      <c r="AS266" t="s">
        <v>599</v>
      </c>
      <c r="AT266" t="s">
        <v>599</v>
      </c>
      <c r="AU266" t="s">
        <v>599</v>
      </c>
    </row>
    <row r="267" spans="1:47" s="13" customFormat="1" ht="30" x14ac:dyDescent="0.25">
      <c r="A267" s="9"/>
      <c r="B267" s="10">
        <v>849980</v>
      </c>
      <c r="C267" s="10">
        <v>1</v>
      </c>
      <c r="D267" s="9">
        <v>100</v>
      </c>
      <c r="E267" s="11" t="s">
        <v>251</v>
      </c>
      <c r="F267" s="11" t="str">
        <f t="shared" si="12"/>
        <v>https://purl.pt/44002</v>
      </c>
      <c r="G267" s="12"/>
      <c r="H267" s="9"/>
      <c r="I267" s="34"/>
      <c r="J267" s="55" t="str">
        <f t="shared" si="13"/>
        <v>https://permalinkbnd.bnportugal.gov.pt/viewer/273524/?offset=#page=100&amp;viewer=picture&amp;o=info&amp;n=0&amp;q=</v>
      </c>
      <c r="K267" s="45"/>
      <c r="L267" s="45"/>
      <c r="M267" s="45"/>
      <c r="N267" t="s">
        <v>251</v>
      </c>
      <c r="O267">
        <v>273524</v>
      </c>
      <c r="P267" t="str">
        <f t="shared" si="14"/>
        <v>https://permalinkbnd.bnportugal.gov.pt/viewer/273524/?offset=#page=100&amp;viewer=picture&amp;o=info&amp;n=0&amp;q=</v>
      </c>
      <c r="Q267">
        <v>849980</v>
      </c>
      <c r="R267" t="s">
        <v>251</v>
      </c>
      <c r="S267" t="s">
        <v>2289</v>
      </c>
      <c r="T267" t="s">
        <v>1178</v>
      </c>
      <c r="U267" t="s">
        <v>1192</v>
      </c>
      <c r="V267" t="s">
        <v>599</v>
      </c>
      <c r="W267" t="s">
        <v>2290</v>
      </c>
      <c r="X267" t="s">
        <v>599</v>
      </c>
      <c r="Y267" t="s">
        <v>599</v>
      </c>
      <c r="Z267" t="s">
        <v>1182</v>
      </c>
      <c r="AA267" t="s">
        <v>2291</v>
      </c>
      <c r="AB267">
        <v>1880</v>
      </c>
      <c r="AC267">
        <v>1880</v>
      </c>
      <c r="AD267" t="s">
        <v>2292</v>
      </c>
      <c r="AE267" t="s">
        <v>2293</v>
      </c>
      <c r="AF267" t="s">
        <v>599</v>
      </c>
      <c r="AG267" t="s">
        <v>599</v>
      </c>
      <c r="AH267" t="s">
        <v>599</v>
      </c>
      <c r="AI267" t="s">
        <v>599</v>
      </c>
      <c r="AJ267" t="s">
        <v>599</v>
      </c>
      <c r="AK267" t="s">
        <v>2294</v>
      </c>
      <c r="AL267" t="s">
        <v>1188</v>
      </c>
      <c r="AM267" t="s">
        <v>2295</v>
      </c>
      <c r="AN267" t="s">
        <v>1190</v>
      </c>
      <c r="AO267" t="s">
        <v>599</v>
      </c>
      <c r="AP267" t="s">
        <v>599</v>
      </c>
      <c r="AQ267" t="s">
        <v>599</v>
      </c>
      <c r="AR267" t="s">
        <v>599</v>
      </c>
      <c r="AS267" t="s">
        <v>599</v>
      </c>
      <c r="AT267" t="s">
        <v>599</v>
      </c>
      <c r="AU267" t="s">
        <v>599</v>
      </c>
    </row>
    <row r="268" spans="1:47" s="13" customFormat="1" ht="30" x14ac:dyDescent="0.25">
      <c r="A268" s="9"/>
      <c r="B268" s="10">
        <v>849980</v>
      </c>
      <c r="C268" s="10">
        <v>1</v>
      </c>
      <c r="D268" s="9">
        <v>101</v>
      </c>
      <c r="E268" s="11" t="s">
        <v>251</v>
      </c>
      <c r="F268" s="11" t="str">
        <f t="shared" si="12"/>
        <v>https://purl.pt/44002</v>
      </c>
      <c r="G268" s="12"/>
      <c r="H268" s="9"/>
      <c r="I268" s="34"/>
      <c r="J268" s="55" t="str">
        <f t="shared" si="13"/>
        <v>https://permalinkbnd.bnportugal.gov.pt/viewer/273524/?offset=#page=101&amp;viewer=picture&amp;o=info&amp;n=0&amp;q=</v>
      </c>
      <c r="K268" s="45"/>
      <c r="L268" s="45"/>
      <c r="M268" s="45"/>
      <c r="N268" t="s">
        <v>251</v>
      </c>
      <c r="O268">
        <v>273524</v>
      </c>
      <c r="P268" t="str">
        <f t="shared" si="14"/>
        <v>https://permalinkbnd.bnportugal.gov.pt/viewer/273524/?offset=#page=101&amp;viewer=picture&amp;o=info&amp;n=0&amp;q=</v>
      </c>
      <c r="Q268">
        <v>849980</v>
      </c>
      <c r="R268" t="s">
        <v>251</v>
      </c>
      <c r="S268" t="s">
        <v>2289</v>
      </c>
      <c r="T268" t="s">
        <v>1178</v>
      </c>
      <c r="U268" t="s">
        <v>1192</v>
      </c>
      <c r="V268" t="s">
        <v>599</v>
      </c>
      <c r="W268" t="s">
        <v>2290</v>
      </c>
      <c r="X268" t="s">
        <v>599</v>
      </c>
      <c r="Y268" t="s">
        <v>599</v>
      </c>
      <c r="Z268" t="s">
        <v>1182</v>
      </c>
      <c r="AA268" t="s">
        <v>2291</v>
      </c>
      <c r="AB268">
        <v>1880</v>
      </c>
      <c r="AC268">
        <v>1880</v>
      </c>
      <c r="AD268" t="s">
        <v>2292</v>
      </c>
      <c r="AE268" t="s">
        <v>2293</v>
      </c>
      <c r="AF268" t="s">
        <v>599</v>
      </c>
      <c r="AG268" t="s">
        <v>599</v>
      </c>
      <c r="AH268" t="s">
        <v>599</v>
      </c>
      <c r="AI268" t="s">
        <v>599</v>
      </c>
      <c r="AJ268" t="s">
        <v>599</v>
      </c>
      <c r="AK268" t="s">
        <v>2294</v>
      </c>
      <c r="AL268" t="s">
        <v>1188</v>
      </c>
      <c r="AM268" t="s">
        <v>2295</v>
      </c>
      <c r="AN268" t="s">
        <v>1190</v>
      </c>
      <c r="AO268" t="s">
        <v>599</v>
      </c>
      <c r="AP268" t="s">
        <v>599</v>
      </c>
      <c r="AQ268" t="s">
        <v>599</v>
      </c>
      <c r="AR268" t="s">
        <v>599</v>
      </c>
      <c r="AS268" t="s">
        <v>599</v>
      </c>
      <c r="AT268" t="s">
        <v>599</v>
      </c>
      <c r="AU268" t="s">
        <v>599</v>
      </c>
    </row>
    <row r="269" spans="1:47" s="13" customFormat="1" ht="30" x14ac:dyDescent="0.25">
      <c r="A269" s="9">
        <v>10502</v>
      </c>
      <c r="B269" s="10">
        <v>458260</v>
      </c>
      <c r="C269" s="10">
        <v>1</v>
      </c>
      <c r="D269" s="9">
        <v>8</v>
      </c>
      <c r="E269" s="11" t="s">
        <v>253</v>
      </c>
      <c r="F269" s="11" t="str">
        <f t="shared" si="12"/>
        <v>https://purl.pt/44062</v>
      </c>
      <c r="G269" s="12" t="s">
        <v>254</v>
      </c>
      <c r="H269" s="9">
        <v>8</v>
      </c>
      <c r="I269" s="34"/>
      <c r="J269" s="55" t="str">
        <f t="shared" si="13"/>
        <v>https://permalinkbnd.bnportugal.gov.pt/viewer/275168/?offset=#page=8&amp;viewer=picture&amp;o=info&amp;n=0&amp;q=</v>
      </c>
      <c r="K269" s="45"/>
      <c r="L269" s="45"/>
      <c r="M269" s="45"/>
      <c r="N269" t="s">
        <v>253</v>
      </c>
      <c r="O269">
        <v>275168</v>
      </c>
      <c r="P269" t="str">
        <f t="shared" si="14"/>
        <v>https://permalinkbnd.bnportugal.gov.pt/viewer/275168/?offset=#page=8&amp;viewer=picture&amp;o=info&amp;n=0&amp;q=</v>
      </c>
      <c r="Q269">
        <v>458260</v>
      </c>
      <c r="R269" t="s">
        <v>253</v>
      </c>
      <c r="S269" t="s">
        <v>2296</v>
      </c>
      <c r="T269" t="s">
        <v>1178</v>
      </c>
      <c r="U269" t="s">
        <v>1192</v>
      </c>
      <c r="V269" t="s">
        <v>599</v>
      </c>
      <c r="W269" t="s">
        <v>2297</v>
      </c>
      <c r="X269" t="s">
        <v>2298</v>
      </c>
      <c r="Y269" t="s">
        <v>599</v>
      </c>
      <c r="Z269" t="s">
        <v>1182</v>
      </c>
      <c r="AA269" t="s">
        <v>1221</v>
      </c>
      <c r="AB269">
        <v>1888</v>
      </c>
      <c r="AC269">
        <v>1888</v>
      </c>
      <c r="AD269" t="s">
        <v>2299</v>
      </c>
      <c r="AE269" t="s">
        <v>1185</v>
      </c>
      <c r="AF269" t="s">
        <v>599</v>
      </c>
      <c r="AG269" t="s">
        <v>599</v>
      </c>
      <c r="AH269" t="s">
        <v>599</v>
      </c>
      <c r="AI269" t="s">
        <v>599</v>
      </c>
      <c r="AJ269" t="s">
        <v>599</v>
      </c>
      <c r="AK269" t="s">
        <v>2300</v>
      </c>
      <c r="AL269" t="s">
        <v>1188</v>
      </c>
      <c r="AM269" t="s">
        <v>2301</v>
      </c>
      <c r="AN269" t="s">
        <v>1190</v>
      </c>
      <c r="AO269" t="s">
        <v>599</v>
      </c>
      <c r="AP269" t="s">
        <v>599</v>
      </c>
      <c r="AQ269" t="s">
        <v>599</v>
      </c>
      <c r="AR269" t="s">
        <v>599</v>
      </c>
      <c r="AS269" t="s">
        <v>599</v>
      </c>
      <c r="AT269" t="s">
        <v>599</v>
      </c>
      <c r="AU269" t="s">
        <v>599</v>
      </c>
    </row>
    <row r="270" spans="1:47" s="26" customFormat="1" ht="30" x14ac:dyDescent="0.25">
      <c r="A270" s="22">
        <v>10503</v>
      </c>
      <c r="B270" s="23">
        <v>256276</v>
      </c>
      <c r="C270" s="23">
        <v>1</v>
      </c>
      <c r="D270" s="27">
        <v>7</v>
      </c>
      <c r="E270" s="24" t="s">
        <v>255</v>
      </c>
      <c r="F270" s="24" t="str">
        <f t="shared" si="12"/>
        <v>https://purl.pt/44065</v>
      </c>
      <c r="G270" s="25" t="s">
        <v>172</v>
      </c>
      <c r="H270" s="22"/>
      <c r="I270" s="27" t="s">
        <v>615</v>
      </c>
      <c r="J270" s="55" t="str">
        <f t="shared" si="13"/>
        <v>https://permalinkbnd.bnportugal.gov.pt/viewer/275163/?offset=#page=7&amp;viewer=picture&amp;o=info&amp;n=0&amp;q=</v>
      </c>
      <c r="K270" s="45"/>
      <c r="L270" s="45"/>
      <c r="M270" s="45"/>
      <c r="N270" t="s">
        <v>255</v>
      </c>
      <c r="O270">
        <v>275163</v>
      </c>
      <c r="P270" t="str">
        <f t="shared" si="14"/>
        <v>https://permalinkbnd.bnportugal.gov.pt/viewer/275163/?offset=#page=7&amp;viewer=picture&amp;o=info&amp;n=0&amp;q=</v>
      </c>
      <c r="Q270">
        <v>256276</v>
      </c>
      <c r="R270" t="s">
        <v>255</v>
      </c>
      <c r="S270" t="s">
        <v>2302</v>
      </c>
      <c r="T270" t="s">
        <v>1178</v>
      </c>
      <c r="U270" t="s">
        <v>1192</v>
      </c>
      <c r="V270" t="s">
        <v>599</v>
      </c>
      <c r="W270" t="s">
        <v>1551</v>
      </c>
      <c r="X270" t="s">
        <v>599</v>
      </c>
      <c r="Y270" t="s">
        <v>599</v>
      </c>
      <c r="Z270" t="s">
        <v>2303</v>
      </c>
      <c r="AA270" t="s">
        <v>2304</v>
      </c>
      <c r="AB270">
        <v>1827</v>
      </c>
      <c r="AC270">
        <v>1827</v>
      </c>
      <c r="AD270" t="s">
        <v>2305</v>
      </c>
      <c r="AE270" t="s">
        <v>1185</v>
      </c>
      <c r="AF270" t="s">
        <v>599</v>
      </c>
      <c r="AG270" t="s">
        <v>599</v>
      </c>
      <c r="AH270" t="s">
        <v>2306</v>
      </c>
      <c r="AI270" t="s">
        <v>599</v>
      </c>
      <c r="AJ270" t="s">
        <v>2307</v>
      </c>
      <c r="AK270" t="s">
        <v>2308</v>
      </c>
      <c r="AL270" t="s">
        <v>1188</v>
      </c>
      <c r="AM270" t="s">
        <v>2309</v>
      </c>
      <c r="AN270" t="s">
        <v>1190</v>
      </c>
      <c r="AO270" t="s">
        <v>599</v>
      </c>
      <c r="AP270" t="s">
        <v>599</v>
      </c>
      <c r="AQ270" t="s">
        <v>599</v>
      </c>
      <c r="AR270" t="s">
        <v>599</v>
      </c>
      <c r="AS270" t="s">
        <v>599</v>
      </c>
      <c r="AT270" t="s">
        <v>599</v>
      </c>
      <c r="AU270" t="s">
        <v>599</v>
      </c>
    </row>
    <row r="271" spans="1:47" s="13" customFormat="1" ht="30" x14ac:dyDescent="0.25">
      <c r="A271" s="9">
        <v>10510</v>
      </c>
      <c r="B271" s="10">
        <v>849990</v>
      </c>
      <c r="C271" s="10">
        <v>1</v>
      </c>
      <c r="D271" s="9">
        <v>7</v>
      </c>
      <c r="E271" s="11" t="s">
        <v>256</v>
      </c>
      <c r="F271" s="11" t="str">
        <f t="shared" si="12"/>
        <v>https://purl.pt/44063</v>
      </c>
      <c r="G271" s="12" t="s">
        <v>257</v>
      </c>
      <c r="H271" s="9"/>
      <c r="I271" s="34"/>
      <c r="J271" s="55" t="str">
        <f t="shared" si="13"/>
        <v>https://permalinkbnd.bnportugal.gov.pt/viewer/275167/?offset=#page=7&amp;viewer=picture&amp;o=info&amp;n=0&amp;q=</v>
      </c>
      <c r="K271" s="45"/>
      <c r="L271" s="45"/>
      <c r="M271" s="45"/>
      <c r="N271" t="s">
        <v>256</v>
      </c>
      <c r="O271">
        <v>275167</v>
      </c>
      <c r="P271" t="str">
        <f t="shared" si="14"/>
        <v>https://permalinkbnd.bnportugal.gov.pt/viewer/275167/?offset=#page=7&amp;viewer=picture&amp;o=info&amp;n=0&amp;q=</v>
      </c>
      <c r="Q271">
        <v>849990</v>
      </c>
      <c r="R271" t="s">
        <v>256</v>
      </c>
      <c r="S271" t="s">
        <v>2310</v>
      </c>
      <c r="T271" t="s">
        <v>1178</v>
      </c>
      <c r="U271" t="s">
        <v>1192</v>
      </c>
      <c r="V271" t="s">
        <v>599</v>
      </c>
      <c r="W271" t="s">
        <v>2311</v>
      </c>
      <c r="X271" t="s">
        <v>2312</v>
      </c>
      <c r="Y271" t="s">
        <v>599</v>
      </c>
      <c r="Z271" t="s">
        <v>1182</v>
      </c>
      <c r="AA271" t="s">
        <v>2313</v>
      </c>
      <c r="AB271">
        <v>1880</v>
      </c>
      <c r="AC271">
        <v>1880</v>
      </c>
      <c r="AD271" t="s">
        <v>2314</v>
      </c>
      <c r="AE271" t="s">
        <v>2315</v>
      </c>
      <c r="AF271" t="s">
        <v>599</v>
      </c>
      <c r="AG271" t="s">
        <v>599</v>
      </c>
      <c r="AH271" t="s">
        <v>599</v>
      </c>
      <c r="AI271" t="s">
        <v>599</v>
      </c>
      <c r="AJ271" t="s">
        <v>599</v>
      </c>
      <c r="AK271" t="s">
        <v>2316</v>
      </c>
      <c r="AL271" t="s">
        <v>1188</v>
      </c>
      <c r="AM271" t="s">
        <v>2317</v>
      </c>
      <c r="AN271" t="s">
        <v>1190</v>
      </c>
      <c r="AO271" t="s">
        <v>599</v>
      </c>
      <c r="AP271" t="s">
        <v>599</v>
      </c>
      <c r="AQ271" t="s">
        <v>599</v>
      </c>
      <c r="AR271" t="s">
        <v>599</v>
      </c>
      <c r="AS271" t="s">
        <v>599</v>
      </c>
      <c r="AT271" t="s">
        <v>599</v>
      </c>
      <c r="AU271" t="s">
        <v>599</v>
      </c>
    </row>
    <row r="272" spans="1:47" s="13" customFormat="1" ht="105" x14ac:dyDescent="0.25">
      <c r="A272" s="9">
        <v>10512</v>
      </c>
      <c r="B272" s="10">
        <v>851358</v>
      </c>
      <c r="C272" s="10">
        <v>1</v>
      </c>
      <c r="D272" s="9">
        <v>100</v>
      </c>
      <c r="E272" s="11" t="s">
        <v>258</v>
      </c>
      <c r="F272" s="11" t="str">
        <f t="shared" si="12"/>
        <v>https://purl.pt/44344</v>
      </c>
      <c r="G272" s="12" t="s">
        <v>259</v>
      </c>
      <c r="H272" s="9" t="s">
        <v>260</v>
      </c>
      <c r="I272" s="34"/>
      <c r="J272" s="55" t="str">
        <f t="shared" si="13"/>
        <v>https://permalinkbnd.bnportugal.gov.pt/viewer/280465/?offset=#page=100&amp;viewer=picture&amp;o=info&amp;n=0&amp;q=</v>
      </c>
      <c r="K272" s="45"/>
      <c r="L272" s="45"/>
      <c r="M272" s="45"/>
      <c r="N272" t="s">
        <v>258</v>
      </c>
      <c r="O272">
        <v>280465</v>
      </c>
      <c r="P272" t="str">
        <f t="shared" si="14"/>
        <v>https://permalinkbnd.bnportugal.gov.pt/viewer/280465/?offset=#page=100&amp;viewer=picture&amp;o=info&amp;n=0&amp;q=</v>
      </c>
      <c r="Q272">
        <v>851358</v>
      </c>
      <c r="R272" t="s">
        <v>258</v>
      </c>
      <c r="S272" t="s">
        <v>2318</v>
      </c>
      <c r="T272" t="s">
        <v>1178</v>
      </c>
      <c r="U272" t="s">
        <v>1192</v>
      </c>
      <c r="V272" t="s">
        <v>599</v>
      </c>
      <c r="W272" t="s">
        <v>2319</v>
      </c>
      <c r="X272" t="s">
        <v>2320</v>
      </c>
      <c r="Y272" t="s">
        <v>599</v>
      </c>
      <c r="Z272" t="s">
        <v>1182</v>
      </c>
      <c r="AA272" t="s">
        <v>1221</v>
      </c>
      <c r="AB272">
        <v>1886</v>
      </c>
      <c r="AC272">
        <v>1886</v>
      </c>
      <c r="AD272" t="s">
        <v>1241</v>
      </c>
      <c r="AE272" t="s">
        <v>2321</v>
      </c>
      <c r="AF272" t="s">
        <v>599</v>
      </c>
      <c r="AG272" t="s">
        <v>599</v>
      </c>
      <c r="AH272" t="s">
        <v>599</v>
      </c>
      <c r="AI272" t="s">
        <v>599</v>
      </c>
      <c r="AJ272" t="s">
        <v>599</v>
      </c>
      <c r="AK272" t="s">
        <v>2322</v>
      </c>
      <c r="AL272" t="s">
        <v>1188</v>
      </c>
      <c r="AM272" t="s">
        <v>2323</v>
      </c>
      <c r="AN272" t="s">
        <v>1190</v>
      </c>
      <c r="AO272" t="s">
        <v>599</v>
      </c>
      <c r="AP272" t="s">
        <v>599</v>
      </c>
      <c r="AQ272" t="s">
        <v>2324</v>
      </c>
      <c r="AR272" t="s">
        <v>599</v>
      </c>
      <c r="AS272" t="s">
        <v>599</v>
      </c>
      <c r="AT272" t="s">
        <v>599</v>
      </c>
      <c r="AU272" t="s">
        <v>599</v>
      </c>
    </row>
    <row r="273" spans="1:47" s="13" customFormat="1" ht="105" x14ac:dyDescent="0.25">
      <c r="A273" s="9">
        <v>10513</v>
      </c>
      <c r="B273" s="10">
        <v>851358</v>
      </c>
      <c r="C273" s="10">
        <v>1</v>
      </c>
      <c r="D273" s="9">
        <v>121</v>
      </c>
      <c r="E273" s="11" t="s">
        <v>258</v>
      </c>
      <c r="F273" s="11" t="str">
        <f t="shared" si="12"/>
        <v>https://purl.pt/44344</v>
      </c>
      <c r="G273" s="12" t="s">
        <v>259</v>
      </c>
      <c r="H273" s="9" t="s">
        <v>260</v>
      </c>
      <c r="I273" s="34"/>
      <c r="J273" s="55" t="str">
        <f t="shared" si="13"/>
        <v>https://permalinkbnd.bnportugal.gov.pt/viewer/280465/?offset=#page=121&amp;viewer=picture&amp;o=info&amp;n=0&amp;q=</v>
      </c>
      <c r="K273" s="45"/>
      <c r="L273" s="45"/>
      <c r="M273" s="45"/>
      <c r="N273" t="s">
        <v>258</v>
      </c>
      <c r="O273">
        <v>280465</v>
      </c>
      <c r="P273" t="str">
        <f t="shared" si="14"/>
        <v>https://permalinkbnd.bnportugal.gov.pt/viewer/280465/?offset=#page=121&amp;viewer=picture&amp;o=info&amp;n=0&amp;q=</v>
      </c>
      <c r="Q273">
        <v>851358</v>
      </c>
      <c r="R273" t="s">
        <v>258</v>
      </c>
      <c r="S273" t="s">
        <v>2318</v>
      </c>
      <c r="T273" t="s">
        <v>1178</v>
      </c>
      <c r="U273" t="s">
        <v>1192</v>
      </c>
      <c r="V273" t="s">
        <v>599</v>
      </c>
      <c r="W273" t="s">
        <v>2319</v>
      </c>
      <c r="X273" t="s">
        <v>2320</v>
      </c>
      <c r="Y273" t="s">
        <v>599</v>
      </c>
      <c r="Z273" t="s">
        <v>1182</v>
      </c>
      <c r="AA273" t="s">
        <v>1221</v>
      </c>
      <c r="AB273">
        <v>1886</v>
      </c>
      <c r="AC273">
        <v>1886</v>
      </c>
      <c r="AD273" t="s">
        <v>1241</v>
      </c>
      <c r="AE273" t="s">
        <v>2321</v>
      </c>
      <c r="AF273" t="s">
        <v>599</v>
      </c>
      <c r="AG273" t="s">
        <v>599</v>
      </c>
      <c r="AH273" t="s">
        <v>599</v>
      </c>
      <c r="AI273" t="s">
        <v>599</v>
      </c>
      <c r="AJ273" t="s">
        <v>599</v>
      </c>
      <c r="AK273" t="s">
        <v>2322</v>
      </c>
      <c r="AL273" t="s">
        <v>1188</v>
      </c>
      <c r="AM273" t="s">
        <v>2323</v>
      </c>
      <c r="AN273" t="s">
        <v>1190</v>
      </c>
      <c r="AO273" t="s">
        <v>599</v>
      </c>
      <c r="AP273" t="s">
        <v>599</v>
      </c>
      <c r="AQ273" t="s">
        <v>2324</v>
      </c>
      <c r="AR273" t="s">
        <v>599</v>
      </c>
      <c r="AS273" t="s">
        <v>599</v>
      </c>
      <c r="AT273" t="s">
        <v>599</v>
      </c>
      <c r="AU273" t="s">
        <v>599</v>
      </c>
    </row>
    <row r="274" spans="1:47" s="13" customFormat="1" ht="105" x14ac:dyDescent="0.25">
      <c r="A274" s="9">
        <v>10514</v>
      </c>
      <c r="B274" s="10">
        <v>851358</v>
      </c>
      <c r="C274" s="10">
        <v>1</v>
      </c>
      <c r="D274" s="9">
        <v>125</v>
      </c>
      <c r="E274" s="11" t="s">
        <v>258</v>
      </c>
      <c r="F274" s="11" t="str">
        <f t="shared" si="12"/>
        <v>https://purl.pt/44344</v>
      </c>
      <c r="G274" s="12" t="s">
        <v>259</v>
      </c>
      <c r="H274" s="9" t="s">
        <v>260</v>
      </c>
      <c r="I274" s="34"/>
      <c r="J274" s="55" t="str">
        <f t="shared" si="13"/>
        <v>https://permalinkbnd.bnportugal.gov.pt/viewer/280465/?offset=#page=125&amp;viewer=picture&amp;o=info&amp;n=0&amp;q=</v>
      </c>
      <c r="K274" s="45"/>
      <c r="L274" s="45"/>
      <c r="M274" s="45"/>
      <c r="N274" t="s">
        <v>258</v>
      </c>
      <c r="O274">
        <v>280465</v>
      </c>
      <c r="P274" t="str">
        <f t="shared" si="14"/>
        <v>https://permalinkbnd.bnportugal.gov.pt/viewer/280465/?offset=#page=125&amp;viewer=picture&amp;o=info&amp;n=0&amp;q=</v>
      </c>
      <c r="Q274">
        <v>851358</v>
      </c>
      <c r="R274" t="s">
        <v>258</v>
      </c>
      <c r="S274" t="s">
        <v>2318</v>
      </c>
      <c r="T274" t="s">
        <v>1178</v>
      </c>
      <c r="U274" t="s">
        <v>1192</v>
      </c>
      <c r="V274" t="s">
        <v>599</v>
      </c>
      <c r="W274" t="s">
        <v>2319</v>
      </c>
      <c r="X274" t="s">
        <v>2320</v>
      </c>
      <c r="Y274" t="s">
        <v>599</v>
      </c>
      <c r="Z274" t="s">
        <v>1182</v>
      </c>
      <c r="AA274" t="s">
        <v>1221</v>
      </c>
      <c r="AB274">
        <v>1886</v>
      </c>
      <c r="AC274">
        <v>1886</v>
      </c>
      <c r="AD274" t="s">
        <v>1241</v>
      </c>
      <c r="AE274" t="s">
        <v>2321</v>
      </c>
      <c r="AF274" t="s">
        <v>599</v>
      </c>
      <c r="AG274" t="s">
        <v>599</v>
      </c>
      <c r="AH274" t="s">
        <v>599</v>
      </c>
      <c r="AI274" t="s">
        <v>599</v>
      </c>
      <c r="AJ274" t="s">
        <v>599</v>
      </c>
      <c r="AK274" t="s">
        <v>2322</v>
      </c>
      <c r="AL274" t="s">
        <v>1188</v>
      </c>
      <c r="AM274" t="s">
        <v>2323</v>
      </c>
      <c r="AN274" t="s">
        <v>1190</v>
      </c>
      <c r="AO274" t="s">
        <v>599</v>
      </c>
      <c r="AP274" t="s">
        <v>599</v>
      </c>
      <c r="AQ274" t="s">
        <v>2324</v>
      </c>
      <c r="AR274" t="s">
        <v>599</v>
      </c>
      <c r="AS274" t="s">
        <v>599</v>
      </c>
      <c r="AT274" t="s">
        <v>599</v>
      </c>
      <c r="AU274" t="s">
        <v>599</v>
      </c>
    </row>
    <row r="275" spans="1:47" s="13" customFormat="1" ht="105" x14ac:dyDescent="0.25">
      <c r="A275" s="9">
        <v>10515</v>
      </c>
      <c r="B275" s="10">
        <v>851358</v>
      </c>
      <c r="C275" s="10">
        <v>1</v>
      </c>
      <c r="D275" s="9">
        <v>129</v>
      </c>
      <c r="E275" s="11" t="s">
        <v>258</v>
      </c>
      <c r="F275" s="11" t="str">
        <f t="shared" si="12"/>
        <v>https://purl.pt/44344</v>
      </c>
      <c r="G275" s="12" t="s">
        <v>259</v>
      </c>
      <c r="H275" s="9" t="s">
        <v>260</v>
      </c>
      <c r="I275" s="34"/>
      <c r="J275" s="55" t="str">
        <f t="shared" si="13"/>
        <v>https://permalinkbnd.bnportugal.gov.pt/viewer/280465/?offset=#page=129&amp;viewer=picture&amp;o=info&amp;n=0&amp;q=</v>
      </c>
      <c r="K275" s="45"/>
      <c r="L275" s="45"/>
      <c r="M275" s="45"/>
      <c r="N275" t="s">
        <v>258</v>
      </c>
      <c r="O275">
        <v>280465</v>
      </c>
      <c r="P275" t="str">
        <f t="shared" si="14"/>
        <v>https://permalinkbnd.bnportugal.gov.pt/viewer/280465/?offset=#page=129&amp;viewer=picture&amp;o=info&amp;n=0&amp;q=</v>
      </c>
      <c r="Q275">
        <v>851358</v>
      </c>
      <c r="R275" t="s">
        <v>258</v>
      </c>
      <c r="S275" t="s">
        <v>2318</v>
      </c>
      <c r="T275" t="s">
        <v>1178</v>
      </c>
      <c r="U275" t="s">
        <v>1192</v>
      </c>
      <c r="V275" t="s">
        <v>599</v>
      </c>
      <c r="W275" t="s">
        <v>2319</v>
      </c>
      <c r="X275" t="s">
        <v>2320</v>
      </c>
      <c r="Y275" t="s">
        <v>599</v>
      </c>
      <c r="Z275" t="s">
        <v>1182</v>
      </c>
      <c r="AA275" t="s">
        <v>1221</v>
      </c>
      <c r="AB275">
        <v>1886</v>
      </c>
      <c r="AC275">
        <v>1886</v>
      </c>
      <c r="AD275" t="s">
        <v>1241</v>
      </c>
      <c r="AE275" t="s">
        <v>2321</v>
      </c>
      <c r="AF275" t="s">
        <v>599</v>
      </c>
      <c r="AG275" t="s">
        <v>599</v>
      </c>
      <c r="AH275" t="s">
        <v>599</v>
      </c>
      <c r="AI275" t="s">
        <v>599</v>
      </c>
      <c r="AJ275" t="s">
        <v>599</v>
      </c>
      <c r="AK275" t="s">
        <v>2322</v>
      </c>
      <c r="AL275" t="s">
        <v>1188</v>
      </c>
      <c r="AM275" t="s">
        <v>2323</v>
      </c>
      <c r="AN275" t="s">
        <v>1190</v>
      </c>
      <c r="AO275" t="s">
        <v>599</v>
      </c>
      <c r="AP275" t="s">
        <v>599</v>
      </c>
      <c r="AQ275" t="s">
        <v>2324</v>
      </c>
      <c r="AR275" t="s">
        <v>599</v>
      </c>
      <c r="AS275" t="s">
        <v>599</v>
      </c>
      <c r="AT275" t="s">
        <v>599</v>
      </c>
      <c r="AU275" t="s">
        <v>599</v>
      </c>
    </row>
    <row r="276" spans="1:47" s="13" customFormat="1" ht="105" x14ac:dyDescent="0.25">
      <c r="A276" s="9">
        <v>10516</v>
      </c>
      <c r="B276" s="10">
        <v>851358</v>
      </c>
      <c r="C276" s="10">
        <v>1</v>
      </c>
      <c r="D276" s="9">
        <v>137</v>
      </c>
      <c r="E276" s="11" t="s">
        <v>258</v>
      </c>
      <c r="F276" s="11" t="str">
        <f t="shared" si="12"/>
        <v>https://purl.pt/44344</v>
      </c>
      <c r="G276" s="12" t="s">
        <v>259</v>
      </c>
      <c r="H276" s="9" t="s">
        <v>260</v>
      </c>
      <c r="I276" s="34"/>
      <c r="J276" s="55" t="str">
        <f t="shared" si="13"/>
        <v>https://permalinkbnd.bnportugal.gov.pt/viewer/280465/?offset=#page=137&amp;viewer=picture&amp;o=info&amp;n=0&amp;q=</v>
      </c>
      <c r="K276" s="45"/>
      <c r="L276" s="45"/>
      <c r="M276" s="45"/>
      <c r="N276" t="s">
        <v>258</v>
      </c>
      <c r="O276">
        <v>280465</v>
      </c>
      <c r="P276" t="str">
        <f t="shared" si="14"/>
        <v>https://permalinkbnd.bnportugal.gov.pt/viewer/280465/?offset=#page=137&amp;viewer=picture&amp;o=info&amp;n=0&amp;q=</v>
      </c>
      <c r="Q276">
        <v>851358</v>
      </c>
      <c r="R276" t="s">
        <v>258</v>
      </c>
      <c r="S276" t="s">
        <v>2318</v>
      </c>
      <c r="T276" t="s">
        <v>1178</v>
      </c>
      <c r="U276" t="s">
        <v>1192</v>
      </c>
      <c r="V276" t="s">
        <v>599</v>
      </c>
      <c r="W276" t="s">
        <v>2319</v>
      </c>
      <c r="X276" t="s">
        <v>2320</v>
      </c>
      <c r="Y276" t="s">
        <v>599</v>
      </c>
      <c r="Z276" t="s">
        <v>1182</v>
      </c>
      <c r="AA276" t="s">
        <v>1221</v>
      </c>
      <c r="AB276">
        <v>1886</v>
      </c>
      <c r="AC276">
        <v>1886</v>
      </c>
      <c r="AD276" t="s">
        <v>1241</v>
      </c>
      <c r="AE276" t="s">
        <v>2321</v>
      </c>
      <c r="AF276" t="s">
        <v>599</v>
      </c>
      <c r="AG276" t="s">
        <v>599</v>
      </c>
      <c r="AH276" t="s">
        <v>599</v>
      </c>
      <c r="AI276" t="s">
        <v>599</v>
      </c>
      <c r="AJ276" t="s">
        <v>599</v>
      </c>
      <c r="AK276" t="s">
        <v>2322</v>
      </c>
      <c r="AL276" t="s">
        <v>1188</v>
      </c>
      <c r="AM276" t="s">
        <v>2323</v>
      </c>
      <c r="AN276" t="s">
        <v>1190</v>
      </c>
      <c r="AO276" t="s">
        <v>599</v>
      </c>
      <c r="AP276" t="s">
        <v>599</v>
      </c>
      <c r="AQ276" t="s">
        <v>2324</v>
      </c>
      <c r="AR276" t="s">
        <v>599</v>
      </c>
      <c r="AS276" t="s">
        <v>599</v>
      </c>
      <c r="AT276" t="s">
        <v>599</v>
      </c>
      <c r="AU276" t="s">
        <v>599</v>
      </c>
    </row>
    <row r="277" spans="1:47" s="13" customFormat="1" ht="105" x14ac:dyDescent="0.25">
      <c r="A277" s="9">
        <v>10517</v>
      </c>
      <c r="B277" s="10">
        <v>851358</v>
      </c>
      <c r="C277" s="10">
        <v>1</v>
      </c>
      <c r="D277" s="9">
        <v>151</v>
      </c>
      <c r="E277" s="11" t="s">
        <v>258</v>
      </c>
      <c r="F277" s="11" t="str">
        <f t="shared" si="12"/>
        <v>https://purl.pt/44344</v>
      </c>
      <c r="G277" s="12" t="s">
        <v>259</v>
      </c>
      <c r="H277" s="9" t="s">
        <v>260</v>
      </c>
      <c r="I277" s="34"/>
      <c r="J277" s="55" t="str">
        <f t="shared" si="13"/>
        <v>https://permalinkbnd.bnportugal.gov.pt/viewer/280465/?offset=#page=151&amp;viewer=picture&amp;o=info&amp;n=0&amp;q=</v>
      </c>
      <c r="K277" s="45"/>
      <c r="L277" s="45"/>
      <c r="M277" s="45"/>
      <c r="N277" t="s">
        <v>258</v>
      </c>
      <c r="O277">
        <v>280465</v>
      </c>
      <c r="P277" t="str">
        <f t="shared" si="14"/>
        <v>https://permalinkbnd.bnportugal.gov.pt/viewer/280465/?offset=#page=151&amp;viewer=picture&amp;o=info&amp;n=0&amp;q=</v>
      </c>
      <c r="Q277">
        <v>851358</v>
      </c>
      <c r="R277" t="s">
        <v>258</v>
      </c>
      <c r="S277" t="s">
        <v>2318</v>
      </c>
      <c r="T277" t="s">
        <v>1178</v>
      </c>
      <c r="U277" t="s">
        <v>1192</v>
      </c>
      <c r="V277" t="s">
        <v>599</v>
      </c>
      <c r="W277" t="s">
        <v>2319</v>
      </c>
      <c r="X277" t="s">
        <v>2320</v>
      </c>
      <c r="Y277" t="s">
        <v>599</v>
      </c>
      <c r="Z277" t="s">
        <v>1182</v>
      </c>
      <c r="AA277" t="s">
        <v>1221</v>
      </c>
      <c r="AB277">
        <v>1886</v>
      </c>
      <c r="AC277">
        <v>1886</v>
      </c>
      <c r="AD277" t="s">
        <v>1241</v>
      </c>
      <c r="AE277" t="s">
        <v>2321</v>
      </c>
      <c r="AF277" t="s">
        <v>599</v>
      </c>
      <c r="AG277" t="s">
        <v>599</v>
      </c>
      <c r="AH277" t="s">
        <v>599</v>
      </c>
      <c r="AI277" t="s">
        <v>599</v>
      </c>
      <c r="AJ277" t="s">
        <v>599</v>
      </c>
      <c r="AK277" t="s">
        <v>2322</v>
      </c>
      <c r="AL277" t="s">
        <v>1188</v>
      </c>
      <c r="AM277" t="s">
        <v>2323</v>
      </c>
      <c r="AN277" t="s">
        <v>1190</v>
      </c>
      <c r="AO277" t="s">
        <v>599</v>
      </c>
      <c r="AP277" t="s">
        <v>599</v>
      </c>
      <c r="AQ277" t="s">
        <v>2324</v>
      </c>
      <c r="AR277" t="s">
        <v>599</v>
      </c>
      <c r="AS277" t="s">
        <v>599</v>
      </c>
      <c r="AT277" t="s">
        <v>599</v>
      </c>
      <c r="AU277" t="s">
        <v>599</v>
      </c>
    </row>
    <row r="278" spans="1:47" s="13" customFormat="1" ht="105" x14ac:dyDescent="0.25">
      <c r="A278" s="9">
        <v>10518</v>
      </c>
      <c r="B278" s="10">
        <v>851358</v>
      </c>
      <c r="C278" s="10">
        <v>1</v>
      </c>
      <c r="D278" s="9">
        <v>157</v>
      </c>
      <c r="E278" s="11" t="s">
        <v>258</v>
      </c>
      <c r="F278" s="11" t="str">
        <f t="shared" si="12"/>
        <v>https://purl.pt/44344</v>
      </c>
      <c r="G278" s="12" t="s">
        <v>259</v>
      </c>
      <c r="H278" s="9" t="s">
        <v>260</v>
      </c>
      <c r="I278" s="34"/>
      <c r="J278" s="55" t="str">
        <f t="shared" si="13"/>
        <v>https://permalinkbnd.bnportugal.gov.pt/viewer/280465/?offset=#page=157&amp;viewer=picture&amp;o=info&amp;n=0&amp;q=</v>
      </c>
      <c r="K278" s="45"/>
      <c r="L278" s="45"/>
      <c r="M278" s="45"/>
      <c r="N278" t="s">
        <v>258</v>
      </c>
      <c r="O278">
        <v>280465</v>
      </c>
      <c r="P278" t="str">
        <f t="shared" si="14"/>
        <v>https://permalinkbnd.bnportugal.gov.pt/viewer/280465/?offset=#page=157&amp;viewer=picture&amp;o=info&amp;n=0&amp;q=</v>
      </c>
      <c r="Q278">
        <v>851358</v>
      </c>
      <c r="R278" t="s">
        <v>258</v>
      </c>
      <c r="S278" t="s">
        <v>2318</v>
      </c>
      <c r="T278" t="s">
        <v>1178</v>
      </c>
      <c r="U278" t="s">
        <v>1192</v>
      </c>
      <c r="V278" t="s">
        <v>599</v>
      </c>
      <c r="W278" t="s">
        <v>2319</v>
      </c>
      <c r="X278" t="s">
        <v>2320</v>
      </c>
      <c r="Y278" t="s">
        <v>599</v>
      </c>
      <c r="Z278" t="s">
        <v>1182</v>
      </c>
      <c r="AA278" t="s">
        <v>1221</v>
      </c>
      <c r="AB278">
        <v>1886</v>
      </c>
      <c r="AC278">
        <v>1886</v>
      </c>
      <c r="AD278" t="s">
        <v>1241</v>
      </c>
      <c r="AE278" t="s">
        <v>2321</v>
      </c>
      <c r="AF278" t="s">
        <v>599</v>
      </c>
      <c r="AG278" t="s">
        <v>599</v>
      </c>
      <c r="AH278" t="s">
        <v>599</v>
      </c>
      <c r="AI278" t="s">
        <v>599</v>
      </c>
      <c r="AJ278" t="s">
        <v>599</v>
      </c>
      <c r="AK278" t="s">
        <v>2322</v>
      </c>
      <c r="AL278" t="s">
        <v>1188</v>
      </c>
      <c r="AM278" t="s">
        <v>2323</v>
      </c>
      <c r="AN278" t="s">
        <v>1190</v>
      </c>
      <c r="AO278" t="s">
        <v>599</v>
      </c>
      <c r="AP278" t="s">
        <v>599</v>
      </c>
      <c r="AQ278" t="s">
        <v>2324</v>
      </c>
      <c r="AR278" t="s">
        <v>599</v>
      </c>
      <c r="AS278" t="s">
        <v>599</v>
      </c>
      <c r="AT278" t="s">
        <v>599</v>
      </c>
      <c r="AU278" t="s">
        <v>599</v>
      </c>
    </row>
    <row r="279" spans="1:47" s="13" customFormat="1" ht="105" x14ac:dyDescent="0.25">
      <c r="A279" s="9">
        <v>10519</v>
      </c>
      <c r="B279" s="10">
        <v>851358</v>
      </c>
      <c r="C279" s="10">
        <v>1</v>
      </c>
      <c r="D279" s="9">
        <v>159</v>
      </c>
      <c r="E279" s="11" t="s">
        <v>258</v>
      </c>
      <c r="F279" s="11" t="str">
        <f t="shared" si="12"/>
        <v>https://purl.pt/44344</v>
      </c>
      <c r="G279" s="12" t="s">
        <v>259</v>
      </c>
      <c r="H279" s="9" t="s">
        <v>260</v>
      </c>
      <c r="I279" s="34"/>
      <c r="J279" s="55" t="str">
        <f t="shared" si="13"/>
        <v>https://permalinkbnd.bnportugal.gov.pt/viewer/280465/?offset=#page=159&amp;viewer=picture&amp;o=info&amp;n=0&amp;q=</v>
      </c>
      <c r="K279" s="45"/>
      <c r="L279" s="45"/>
      <c r="M279" s="45"/>
      <c r="N279" t="s">
        <v>258</v>
      </c>
      <c r="O279">
        <v>280465</v>
      </c>
      <c r="P279" t="str">
        <f t="shared" si="14"/>
        <v>https://permalinkbnd.bnportugal.gov.pt/viewer/280465/?offset=#page=159&amp;viewer=picture&amp;o=info&amp;n=0&amp;q=</v>
      </c>
      <c r="Q279">
        <v>851358</v>
      </c>
      <c r="R279" t="s">
        <v>258</v>
      </c>
      <c r="S279" t="s">
        <v>2318</v>
      </c>
      <c r="T279" t="s">
        <v>1178</v>
      </c>
      <c r="U279" t="s">
        <v>1192</v>
      </c>
      <c r="V279" t="s">
        <v>599</v>
      </c>
      <c r="W279" t="s">
        <v>2319</v>
      </c>
      <c r="X279" t="s">
        <v>2320</v>
      </c>
      <c r="Y279" t="s">
        <v>599</v>
      </c>
      <c r="Z279" t="s">
        <v>1182</v>
      </c>
      <c r="AA279" t="s">
        <v>1221</v>
      </c>
      <c r="AB279">
        <v>1886</v>
      </c>
      <c r="AC279">
        <v>1886</v>
      </c>
      <c r="AD279" t="s">
        <v>1241</v>
      </c>
      <c r="AE279" t="s">
        <v>2321</v>
      </c>
      <c r="AF279" t="s">
        <v>599</v>
      </c>
      <c r="AG279" t="s">
        <v>599</v>
      </c>
      <c r="AH279" t="s">
        <v>599</v>
      </c>
      <c r="AI279" t="s">
        <v>599</v>
      </c>
      <c r="AJ279" t="s">
        <v>599</v>
      </c>
      <c r="AK279" t="s">
        <v>2322</v>
      </c>
      <c r="AL279" t="s">
        <v>1188</v>
      </c>
      <c r="AM279" t="s">
        <v>2323</v>
      </c>
      <c r="AN279" t="s">
        <v>1190</v>
      </c>
      <c r="AO279" t="s">
        <v>599</v>
      </c>
      <c r="AP279" t="s">
        <v>599</v>
      </c>
      <c r="AQ279" t="s">
        <v>2324</v>
      </c>
      <c r="AR279" t="s">
        <v>599</v>
      </c>
      <c r="AS279" t="s">
        <v>599</v>
      </c>
      <c r="AT279" t="s">
        <v>599</v>
      </c>
      <c r="AU279" t="s">
        <v>599</v>
      </c>
    </row>
    <row r="280" spans="1:47" s="13" customFormat="1" ht="105" x14ac:dyDescent="0.25">
      <c r="A280" s="9">
        <v>10520</v>
      </c>
      <c r="B280" s="10">
        <v>851358</v>
      </c>
      <c r="C280" s="10">
        <v>1</v>
      </c>
      <c r="D280" s="9">
        <v>192</v>
      </c>
      <c r="E280" s="11" t="s">
        <v>258</v>
      </c>
      <c r="F280" s="11" t="str">
        <f t="shared" si="12"/>
        <v>https://purl.pt/44344</v>
      </c>
      <c r="G280" s="12" t="s">
        <v>259</v>
      </c>
      <c r="H280" s="9" t="s">
        <v>260</v>
      </c>
      <c r="I280" s="34"/>
      <c r="J280" s="55" t="str">
        <f t="shared" si="13"/>
        <v>https://permalinkbnd.bnportugal.gov.pt/viewer/280465/?offset=#page=192&amp;viewer=picture&amp;o=info&amp;n=0&amp;q=</v>
      </c>
      <c r="K280" s="45"/>
      <c r="L280" s="45"/>
      <c r="M280" s="45"/>
      <c r="N280" t="s">
        <v>258</v>
      </c>
      <c r="O280">
        <v>280465</v>
      </c>
      <c r="P280" t="str">
        <f t="shared" si="14"/>
        <v>https://permalinkbnd.bnportugal.gov.pt/viewer/280465/?offset=#page=192&amp;viewer=picture&amp;o=info&amp;n=0&amp;q=</v>
      </c>
      <c r="Q280">
        <v>851358</v>
      </c>
      <c r="R280" t="s">
        <v>258</v>
      </c>
      <c r="S280" t="s">
        <v>2318</v>
      </c>
      <c r="T280" t="s">
        <v>1178</v>
      </c>
      <c r="U280" t="s">
        <v>1192</v>
      </c>
      <c r="V280" t="s">
        <v>599</v>
      </c>
      <c r="W280" t="s">
        <v>2319</v>
      </c>
      <c r="X280" t="s">
        <v>2320</v>
      </c>
      <c r="Y280" t="s">
        <v>599</v>
      </c>
      <c r="Z280" t="s">
        <v>1182</v>
      </c>
      <c r="AA280" t="s">
        <v>1221</v>
      </c>
      <c r="AB280">
        <v>1886</v>
      </c>
      <c r="AC280">
        <v>1886</v>
      </c>
      <c r="AD280" t="s">
        <v>1241</v>
      </c>
      <c r="AE280" t="s">
        <v>2321</v>
      </c>
      <c r="AF280" t="s">
        <v>599</v>
      </c>
      <c r="AG280" t="s">
        <v>599</v>
      </c>
      <c r="AH280" t="s">
        <v>599</v>
      </c>
      <c r="AI280" t="s">
        <v>599</v>
      </c>
      <c r="AJ280" t="s">
        <v>599</v>
      </c>
      <c r="AK280" t="s">
        <v>2322</v>
      </c>
      <c r="AL280" t="s">
        <v>1188</v>
      </c>
      <c r="AM280" t="s">
        <v>2323</v>
      </c>
      <c r="AN280" t="s">
        <v>1190</v>
      </c>
      <c r="AO280" t="s">
        <v>599</v>
      </c>
      <c r="AP280" t="s">
        <v>599</v>
      </c>
      <c r="AQ280" t="s">
        <v>2324</v>
      </c>
      <c r="AR280" t="s">
        <v>599</v>
      </c>
      <c r="AS280" t="s">
        <v>599</v>
      </c>
      <c r="AT280" t="s">
        <v>599</v>
      </c>
      <c r="AU280" t="s">
        <v>599</v>
      </c>
    </row>
    <row r="281" spans="1:47" s="13" customFormat="1" ht="105" x14ac:dyDescent="0.25">
      <c r="A281" s="9">
        <v>10521</v>
      </c>
      <c r="B281" s="10">
        <v>851358</v>
      </c>
      <c r="C281" s="10">
        <v>1</v>
      </c>
      <c r="D281" s="9">
        <v>193</v>
      </c>
      <c r="E281" s="11" t="s">
        <v>258</v>
      </c>
      <c r="F281" s="11" t="str">
        <f t="shared" si="12"/>
        <v>https://purl.pt/44344</v>
      </c>
      <c r="G281" s="12" t="s">
        <v>259</v>
      </c>
      <c r="H281" s="9" t="s">
        <v>260</v>
      </c>
      <c r="I281" s="34"/>
      <c r="J281" s="55" t="str">
        <f t="shared" si="13"/>
        <v>https://permalinkbnd.bnportugal.gov.pt/viewer/280465/?offset=#page=193&amp;viewer=picture&amp;o=info&amp;n=0&amp;q=</v>
      </c>
      <c r="K281" s="45"/>
      <c r="L281" s="45"/>
      <c r="M281" s="45"/>
      <c r="N281" t="s">
        <v>258</v>
      </c>
      <c r="O281">
        <v>280465</v>
      </c>
      <c r="P281" t="str">
        <f t="shared" si="14"/>
        <v>https://permalinkbnd.bnportugal.gov.pt/viewer/280465/?offset=#page=193&amp;viewer=picture&amp;o=info&amp;n=0&amp;q=</v>
      </c>
      <c r="Q281">
        <v>851358</v>
      </c>
      <c r="R281" t="s">
        <v>258</v>
      </c>
      <c r="S281" t="s">
        <v>2318</v>
      </c>
      <c r="T281" t="s">
        <v>1178</v>
      </c>
      <c r="U281" t="s">
        <v>1192</v>
      </c>
      <c r="V281" t="s">
        <v>599</v>
      </c>
      <c r="W281" t="s">
        <v>2319</v>
      </c>
      <c r="X281" t="s">
        <v>2320</v>
      </c>
      <c r="Y281" t="s">
        <v>599</v>
      </c>
      <c r="Z281" t="s">
        <v>1182</v>
      </c>
      <c r="AA281" t="s">
        <v>1221</v>
      </c>
      <c r="AB281">
        <v>1886</v>
      </c>
      <c r="AC281">
        <v>1886</v>
      </c>
      <c r="AD281" t="s">
        <v>1241</v>
      </c>
      <c r="AE281" t="s">
        <v>2321</v>
      </c>
      <c r="AF281" t="s">
        <v>599</v>
      </c>
      <c r="AG281" t="s">
        <v>599</v>
      </c>
      <c r="AH281" t="s">
        <v>599</v>
      </c>
      <c r="AI281" t="s">
        <v>599</v>
      </c>
      <c r="AJ281" t="s">
        <v>599</v>
      </c>
      <c r="AK281" t="s">
        <v>2322</v>
      </c>
      <c r="AL281" t="s">
        <v>1188</v>
      </c>
      <c r="AM281" t="s">
        <v>2323</v>
      </c>
      <c r="AN281" t="s">
        <v>1190</v>
      </c>
      <c r="AO281" t="s">
        <v>599</v>
      </c>
      <c r="AP281" t="s">
        <v>599</v>
      </c>
      <c r="AQ281" t="s">
        <v>2324</v>
      </c>
      <c r="AR281" t="s">
        <v>599</v>
      </c>
      <c r="AS281" t="s">
        <v>599</v>
      </c>
      <c r="AT281" t="s">
        <v>599</v>
      </c>
      <c r="AU281" t="s">
        <v>599</v>
      </c>
    </row>
    <row r="282" spans="1:47" s="13" customFormat="1" ht="105" x14ac:dyDescent="0.25">
      <c r="A282" s="9">
        <v>10522</v>
      </c>
      <c r="B282" s="10">
        <v>851358</v>
      </c>
      <c r="C282" s="10">
        <v>1</v>
      </c>
      <c r="D282" s="9">
        <v>226</v>
      </c>
      <c r="E282" s="11" t="s">
        <v>258</v>
      </c>
      <c r="F282" s="11" t="str">
        <f t="shared" si="12"/>
        <v>https://purl.pt/44344</v>
      </c>
      <c r="G282" s="12" t="s">
        <v>259</v>
      </c>
      <c r="H282" s="9" t="s">
        <v>260</v>
      </c>
      <c r="I282" s="34"/>
      <c r="J282" s="55" t="str">
        <f t="shared" si="13"/>
        <v>https://permalinkbnd.bnportugal.gov.pt/viewer/280465/?offset=#page=226&amp;viewer=picture&amp;o=info&amp;n=0&amp;q=</v>
      </c>
      <c r="K282" s="45"/>
      <c r="L282" s="45"/>
      <c r="M282" s="45"/>
      <c r="N282" t="s">
        <v>258</v>
      </c>
      <c r="O282">
        <v>280465</v>
      </c>
      <c r="P282" t="str">
        <f t="shared" si="14"/>
        <v>https://permalinkbnd.bnportugal.gov.pt/viewer/280465/?offset=#page=226&amp;viewer=picture&amp;o=info&amp;n=0&amp;q=</v>
      </c>
      <c r="Q282">
        <v>851358</v>
      </c>
      <c r="R282" t="s">
        <v>258</v>
      </c>
      <c r="S282" t="s">
        <v>2318</v>
      </c>
      <c r="T282" t="s">
        <v>1178</v>
      </c>
      <c r="U282" t="s">
        <v>1192</v>
      </c>
      <c r="V282" t="s">
        <v>599</v>
      </c>
      <c r="W282" t="s">
        <v>2319</v>
      </c>
      <c r="X282" t="s">
        <v>2320</v>
      </c>
      <c r="Y282" t="s">
        <v>599</v>
      </c>
      <c r="Z282" t="s">
        <v>1182</v>
      </c>
      <c r="AA282" t="s">
        <v>1221</v>
      </c>
      <c r="AB282">
        <v>1886</v>
      </c>
      <c r="AC282">
        <v>1886</v>
      </c>
      <c r="AD282" t="s">
        <v>1241</v>
      </c>
      <c r="AE282" t="s">
        <v>2321</v>
      </c>
      <c r="AF282" t="s">
        <v>599</v>
      </c>
      <c r="AG282" t="s">
        <v>599</v>
      </c>
      <c r="AH282" t="s">
        <v>599</v>
      </c>
      <c r="AI282" t="s">
        <v>599</v>
      </c>
      <c r="AJ282" t="s">
        <v>599</v>
      </c>
      <c r="AK282" t="s">
        <v>2322</v>
      </c>
      <c r="AL282" t="s">
        <v>1188</v>
      </c>
      <c r="AM282" t="s">
        <v>2323</v>
      </c>
      <c r="AN282" t="s">
        <v>1190</v>
      </c>
      <c r="AO282" t="s">
        <v>599</v>
      </c>
      <c r="AP282" t="s">
        <v>599</v>
      </c>
      <c r="AQ282" t="s">
        <v>2324</v>
      </c>
      <c r="AR282" t="s">
        <v>599</v>
      </c>
      <c r="AS282" t="s">
        <v>599</v>
      </c>
      <c r="AT282" t="s">
        <v>599</v>
      </c>
      <c r="AU282" t="s">
        <v>599</v>
      </c>
    </row>
    <row r="283" spans="1:47" s="13" customFormat="1" ht="105" x14ac:dyDescent="0.25">
      <c r="A283" s="9">
        <v>10523</v>
      </c>
      <c r="B283" s="10">
        <v>851358</v>
      </c>
      <c r="C283" s="10">
        <v>1</v>
      </c>
      <c r="D283" s="9">
        <v>281</v>
      </c>
      <c r="E283" s="11" t="s">
        <v>258</v>
      </c>
      <c r="F283" s="11" t="str">
        <f t="shared" si="12"/>
        <v>https://purl.pt/44344</v>
      </c>
      <c r="G283" s="12" t="s">
        <v>259</v>
      </c>
      <c r="H283" s="9" t="s">
        <v>260</v>
      </c>
      <c r="I283" s="34"/>
      <c r="J283" s="55" t="str">
        <f t="shared" si="13"/>
        <v>https://permalinkbnd.bnportugal.gov.pt/viewer/280465/?offset=#page=281&amp;viewer=picture&amp;o=info&amp;n=0&amp;q=</v>
      </c>
      <c r="K283" s="45"/>
      <c r="L283" s="45"/>
      <c r="M283" s="45"/>
      <c r="N283" t="s">
        <v>258</v>
      </c>
      <c r="O283">
        <v>280465</v>
      </c>
      <c r="P283" t="str">
        <f t="shared" si="14"/>
        <v>https://permalinkbnd.bnportugal.gov.pt/viewer/280465/?offset=#page=281&amp;viewer=picture&amp;o=info&amp;n=0&amp;q=</v>
      </c>
      <c r="Q283">
        <v>851358</v>
      </c>
      <c r="R283" t="s">
        <v>258</v>
      </c>
      <c r="S283" t="s">
        <v>2318</v>
      </c>
      <c r="T283" t="s">
        <v>1178</v>
      </c>
      <c r="U283" t="s">
        <v>1192</v>
      </c>
      <c r="V283" t="s">
        <v>599</v>
      </c>
      <c r="W283" t="s">
        <v>2319</v>
      </c>
      <c r="X283" t="s">
        <v>2320</v>
      </c>
      <c r="Y283" t="s">
        <v>599</v>
      </c>
      <c r="Z283" t="s">
        <v>1182</v>
      </c>
      <c r="AA283" t="s">
        <v>1221</v>
      </c>
      <c r="AB283">
        <v>1886</v>
      </c>
      <c r="AC283">
        <v>1886</v>
      </c>
      <c r="AD283" t="s">
        <v>1241</v>
      </c>
      <c r="AE283" t="s">
        <v>2321</v>
      </c>
      <c r="AF283" t="s">
        <v>599</v>
      </c>
      <c r="AG283" t="s">
        <v>599</v>
      </c>
      <c r="AH283" t="s">
        <v>599</v>
      </c>
      <c r="AI283" t="s">
        <v>599</v>
      </c>
      <c r="AJ283" t="s">
        <v>599</v>
      </c>
      <c r="AK283" t="s">
        <v>2322</v>
      </c>
      <c r="AL283" t="s">
        <v>1188</v>
      </c>
      <c r="AM283" t="s">
        <v>2323</v>
      </c>
      <c r="AN283" t="s">
        <v>1190</v>
      </c>
      <c r="AO283" t="s">
        <v>599</v>
      </c>
      <c r="AP283" t="s">
        <v>599</v>
      </c>
      <c r="AQ283" t="s">
        <v>2324</v>
      </c>
      <c r="AR283" t="s">
        <v>599</v>
      </c>
      <c r="AS283" t="s">
        <v>599</v>
      </c>
      <c r="AT283" t="s">
        <v>599</v>
      </c>
      <c r="AU283" t="s">
        <v>599</v>
      </c>
    </row>
    <row r="284" spans="1:47" s="13" customFormat="1" ht="105" x14ac:dyDescent="0.25">
      <c r="A284" s="9">
        <v>10524</v>
      </c>
      <c r="B284" s="10">
        <v>851358</v>
      </c>
      <c r="C284" s="10">
        <v>1</v>
      </c>
      <c r="D284" s="9">
        <v>294</v>
      </c>
      <c r="E284" s="11" t="s">
        <v>258</v>
      </c>
      <c r="F284" s="11" t="str">
        <f t="shared" si="12"/>
        <v>https://purl.pt/44344</v>
      </c>
      <c r="G284" s="12" t="s">
        <v>259</v>
      </c>
      <c r="H284" s="9" t="s">
        <v>260</v>
      </c>
      <c r="I284" s="34"/>
      <c r="J284" s="55" t="str">
        <f t="shared" si="13"/>
        <v>https://permalinkbnd.bnportugal.gov.pt/viewer/280465/?offset=#page=294&amp;viewer=picture&amp;o=info&amp;n=0&amp;q=</v>
      </c>
      <c r="K284" s="45"/>
      <c r="L284" s="45"/>
      <c r="M284" s="45"/>
      <c r="N284" t="s">
        <v>258</v>
      </c>
      <c r="O284">
        <v>280465</v>
      </c>
      <c r="P284" t="str">
        <f t="shared" si="14"/>
        <v>https://permalinkbnd.bnportugal.gov.pt/viewer/280465/?offset=#page=294&amp;viewer=picture&amp;o=info&amp;n=0&amp;q=</v>
      </c>
      <c r="Q284">
        <v>851358</v>
      </c>
      <c r="R284" t="s">
        <v>258</v>
      </c>
      <c r="S284" t="s">
        <v>2318</v>
      </c>
      <c r="T284" t="s">
        <v>1178</v>
      </c>
      <c r="U284" t="s">
        <v>1192</v>
      </c>
      <c r="V284" t="s">
        <v>599</v>
      </c>
      <c r="W284" t="s">
        <v>2319</v>
      </c>
      <c r="X284" t="s">
        <v>2320</v>
      </c>
      <c r="Y284" t="s">
        <v>599</v>
      </c>
      <c r="Z284" t="s">
        <v>1182</v>
      </c>
      <c r="AA284" t="s">
        <v>1221</v>
      </c>
      <c r="AB284">
        <v>1886</v>
      </c>
      <c r="AC284">
        <v>1886</v>
      </c>
      <c r="AD284" t="s">
        <v>1241</v>
      </c>
      <c r="AE284" t="s">
        <v>2321</v>
      </c>
      <c r="AF284" t="s">
        <v>599</v>
      </c>
      <c r="AG284" t="s">
        <v>599</v>
      </c>
      <c r="AH284" t="s">
        <v>599</v>
      </c>
      <c r="AI284" t="s">
        <v>599</v>
      </c>
      <c r="AJ284" t="s">
        <v>599</v>
      </c>
      <c r="AK284" t="s">
        <v>2322</v>
      </c>
      <c r="AL284" t="s">
        <v>1188</v>
      </c>
      <c r="AM284" t="s">
        <v>2323</v>
      </c>
      <c r="AN284" t="s">
        <v>1190</v>
      </c>
      <c r="AO284" t="s">
        <v>599</v>
      </c>
      <c r="AP284" t="s">
        <v>599</v>
      </c>
      <c r="AQ284" t="s">
        <v>2324</v>
      </c>
      <c r="AR284" t="s">
        <v>599</v>
      </c>
      <c r="AS284" t="s">
        <v>599</v>
      </c>
      <c r="AT284" t="s">
        <v>599</v>
      </c>
      <c r="AU284" t="s">
        <v>599</v>
      </c>
    </row>
    <row r="285" spans="1:47" s="13" customFormat="1" ht="105" x14ac:dyDescent="0.25">
      <c r="A285" s="9">
        <v>10525</v>
      </c>
      <c r="B285" s="10">
        <v>851358</v>
      </c>
      <c r="C285" s="10">
        <v>1</v>
      </c>
      <c r="D285" s="9">
        <v>325</v>
      </c>
      <c r="E285" s="11" t="s">
        <v>258</v>
      </c>
      <c r="F285" s="11" t="str">
        <f t="shared" si="12"/>
        <v>https://purl.pt/44344</v>
      </c>
      <c r="G285" s="12" t="s">
        <v>259</v>
      </c>
      <c r="H285" s="9" t="s">
        <v>260</v>
      </c>
      <c r="I285" s="34"/>
      <c r="J285" s="55" t="str">
        <f t="shared" si="13"/>
        <v>https://permalinkbnd.bnportugal.gov.pt/viewer/280465/?offset=#page=325&amp;viewer=picture&amp;o=info&amp;n=0&amp;q=</v>
      </c>
      <c r="K285" s="45"/>
      <c r="L285" s="45"/>
      <c r="M285" s="45"/>
      <c r="N285" t="s">
        <v>258</v>
      </c>
      <c r="O285">
        <v>280465</v>
      </c>
      <c r="P285" t="str">
        <f t="shared" si="14"/>
        <v>https://permalinkbnd.bnportugal.gov.pt/viewer/280465/?offset=#page=325&amp;viewer=picture&amp;o=info&amp;n=0&amp;q=</v>
      </c>
      <c r="Q285">
        <v>851358</v>
      </c>
      <c r="R285" t="s">
        <v>258</v>
      </c>
      <c r="S285" t="s">
        <v>2318</v>
      </c>
      <c r="T285" t="s">
        <v>1178</v>
      </c>
      <c r="U285" t="s">
        <v>1192</v>
      </c>
      <c r="V285" t="s">
        <v>599</v>
      </c>
      <c r="W285" t="s">
        <v>2319</v>
      </c>
      <c r="X285" t="s">
        <v>2320</v>
      </c>
      <c r="Y285" t="s">
        <v>599</v>
      </c>
      <c r="Z285" t="s">
        <v>1182</v>
      </c>
      <c r="AA285" t="s">
        <v>1221</v>
      </c>
      <c r="AB285">
        <v>1886</v>
      </c>
      <c r="AC285">
        <v>1886</v>
      </c>
      <c r="AD285" t="s">
        <v>1241</v>
      </c>
      <c r="AE285" t="s">
        <v>2321</v>
      </c>
      <c r="AF285" t="s">
        <v>599</v>
      </c>
      <c r="AG285" t="s">
        <v>599</v>
      </c>
      <c r="AH285" t="s">
        <v>599</v>
      </c>
      <c r="AI285" t="s">
        <v>599</v>
      </c>
      <c r="AJ285" t="s">
        <v>599</v>
      </c>
      <c r="AK285" t="s">
        <v>2322</v>
      </c>
      <c r="AL285" t="s">
        <v>1188</v>
      </c>
      <c r="AM285" t="s">
        <v>2323</v>
      </c>
      <c r="AN285" t="s">
        <v>1190</v>
      </c>
      <c r="AO285" t="s">
        <v>599</v>
      </c>
      <c r="AP285" t="s">
        <v>599</v>
      </c>
      <c r="AQ285" t="s">
        <v>2324</v>
      </c>
      <c r="AR285" t="s">
        <v>599</v>
      </c>
      <c r="AS285" t="s">
        <v>599</v>
      </c>
      <c r="AT285" t="s">
        <v>599</v>
      </c>
      <c r="AU285" t="s">
        <v>599</v>
      </c>
    </row>
    <row r="286" spans="1:47" s="13" customFormat="1" ht="105" x14ac:dyDescent="0.25">
      <c r="A286" s="9">
        <v>10526</v>
      </c>
      <c r="B286" s="10">
        <v>851358</v>
      </c>
      <c r="C286" s="10">
        <v>1</v>
      </c>
      <c r="D286" s="9">
        <v>468</v>
      </c>
      <c r="E286" s="11" t="s">
        <v>258</v>
      </c>
      <c r="F286" s="11" t="str">
        <f t="shared" si="12"/>
        <v>https://purl.pt/44344</v>
      </c>
      <c r="G286" s="12" t="s">
        <v>259</v>
      </c>
      <c r="H286" s="9" t="s">
        <v>260</v>
      </c>
      <c r="I286" s="34"/>
      <c r="J286" s="55" t="str">
        <f t="shared" si="13"/>
        <v>https://permalinkbnd.bnportugal.gov.pt/viewer/280465/?offset=#page=468&amp;viewer=picture&amp;o=info&amp;n=0&amp;q=</v>
      </c>
      <c r="K286" s="45"/>
      <c r="L286" s="45"/>
      <c r="M286" s="45"/>
      <c r="N286" t="s">
        <v>258</v>
      </c>
      <c r="O286">
        <v>280465</v>
      </c>
      <c r="P286" t="str">
        <f t="shared" si="14"/>
        <v>https://permalinkbnd.bnportugal.gov.pt/viewer/280465/?offset=#page=468&amp;viewer=picture&amp;o=info&amp;n=0&amp;q=</v>
      </c>
      <c r="Q286">
        <v>851358</v>
      </c>
      <c r="R286" t="s">
        <v>258</v>
      </c>
      <c r="S286" t="s">
        <v>2318</v>
      </c>
      <c r="T286" t="s">
        <v>1178</v>
      </c>
      <c r="U286" t="s">
        <v>1192</v>
      </c>
      <c r="V286" t="s">
        <v>599</v>
      </c>
      <c r="W286" t="s">
        <v>2319</v>
      </c>
      <c r="X286" t="s">
        <v>2320</v>
      </c>
      <c r="Y286" t="s">
        <v>599</v>
      </c>
      <c r="Z286" t="s">
        <v>1182</v>
      </c>
      <c r="AA286" t="s">
        <v>1221</v>
      </c>
      <c r="AB286">
        <v>1886</v>
      </c>
      <c r="AC286">
        <v>1886</v>
      </c>
      <c r="AD286" t="s">
        <v>1241</v>
      </c>
      <c r="AE286" t="s">
        <v>2321</v>
      </c>
      <c r="AF286" t="s">
        <v>599</v>
      </c>
      <c r="AG286" t="s">
        <v>599</v>
      </c>
      <c r="AH286" t="s">
        <v>599</v>
      </c>
      <c r="AI286" t="s">
        <v>599</v>
      </c>
      <c r="AJ286" t="s">
        <v>599</v>
      </c>
      <c r="AK286" t="s">
        <v>2322</v>
      </c>
      <c r="AL286" t="s">
        <v>1188</v>
      </c>
      <c r="AM286" t="s">
        <v>2323</v>
      </c>
      <c r="AN286" t="s">
        <v>1190</v>
      </c>
      <c r="AO286" t="s">
        <v>599</v>
      </c>
      <c r="AP286" t="s">
        <v>599</v>
      </c>
      <c r="AQ286" t="s">
        <v>2324</v>
      </c>
      <c r="AR286" t="s">
        <v>599</v>
      </c>
      <c r="AS286" t="s">
        <v>599</v>
      </c>
      <c r="AT286" t="s">
        <v>599</v>
      </c>
      <c r="AU286" t="s">
        <v>599</v>
      </c>
    </row>
    <row r="287" spans="1:47" s="43" customFormat="1" ht="105" x14ac:dyDescent="0.25">
      <c r="A287" s="38">
        <v>10527</v>
      </c>
      <c r="B287" s="40">
        <v>851358</v>
      </c>
      <c r="C287" s="40">
        <v>1</v>
      </c>
      <c r="D287" s="38">
        <v>500</v>
      </c>
      <c r="E287" s="41" t="s">
        <v>258</v>
      </c>
      <c r="F287" s="41" t="str">
        <f t="shared" si="12"/>
        <v>https://purl.pt/44344</v>
      </c>
      <c r="G287" s="42" t="s">
        <v>259</v>
      </c>
      <c r="H287" s="38" t="s">
        <v>260</v>
      </c>
      <c r="I287" s="38"/>
      <c r="J287" s="55" t="str">
        <f t="shared" si="13"/>
        <v>https://permalinkbnd.bnportugal.gov.pt/viewer/280465/?offset=#page=500&amp;viewer=picture&amp;o=info&amp;n=0&amp;q=</v>
      </c>
      <c r="K287" s="45"/>
      <c r="L287" s="45"/>
      <c r="M287" s="45"/>
      <c r="N287" t="s">
        <v>258</v>
      </c>
      <c r="O287">
        <v>280465</v>
      </c>
      <c r="P287" t="str">
        <f t="shared" si="14"/>
        <v>https://permalinkbnd.bnportugal.gov.pt/viewer/280465/?offset=#page=500&amp;viewer=picture&amp;o=info&amp;n=0&amp;q=</v>
      </c>
      <c r="Q287">
        <v>851358</v>
      </c>
      <c r="R287" t="s">
        <v>258</v>
      </c>
      <c r="S287" t="s">
        <v>2318</v>
      </c>
      <c r="T287" t="s">
        <v>1178</v>
      </c>
      <c r="U287" t="s">
        <v>1192</v>
      </c>
      <c r="V287" t="s">
        <v>599</v>
      </c>
      <c r="W287" t="s">
        <v>2319</v>
      </c>
      <c r="X287" t="s">
        <v>2320</v>
      </c>
      <c r="Y287" t="s">
        <v>599</v>
      </c>
      <c r="Z287" t="s">
        <v>1182</v>
      </c>
      <c r="AA287" t="s">
        <v>1221</v>
      </c>
      <c r="AB287">
        <v>1886</v>
      </c>
      <c r="AC287">
        <v>1886</v>
      </c>
      <c r="AD287" t="s">
        <v>1241</v>
      </c>
      <c r="AE287" t="s">
        <v>2321</v>
      </c>
      <c r="AF287" t="s">
        <v>599</v>
      </c>
      <c r="AG287" t="s">
        <v>599</v>
      </c>
      <c r="AH287" t="s">
        <v>599</v>
      </c>
      <c r="AI287" t="s">
        <v>599</v>
      </c>
      <c r="AJ287" t="s">
        <v>599</v>
      </c>
      <c r="AK287" t="s">
        <v>2322</v>
      </c>
      <c r="AL287" t="s">
        <v>1188</v>
      </c>
      <c r="AM287" t="s">
        <v>2323</v>
      </c>
      <c r="AN287" t="s">
        <v>1190</v>
      </c>
      <c r="AO287" t="s">
        <v>599</v>
      </c>
      <c r="AP287" t="s">
        <v>599</v>
      </c>
      <c r="AQ287" t="s">
        <v>2324</v>
      </c>
      <c r="AR287" t="s">
        <v>599</v>
      </c>
      <c r="AS287" t="s">
        <v>599</v>
      </c>
      <c r="AT287" t="s">
        <v>599</v>
      </c>
      <c r="AU287" t="s">
        <v>599</v>
      </c>
    </row>
    <row r="288" spans="1:47" s="13" customFormat="1" ht="30" x14ac:dyDescent="0.25">
      <c r="A288" s="9">
        <v>10532</v>
      </c>
      <c r="B288" s="10">
        <v>851957</v>
      </c>
      <c r="C288" s="10">
        <v>1</v>
      </c>
      <c r="D288" s="9">
        <v>5</v>
      </c>
      <c r="E288" s="11" t="s">
        <v>261</v>
      </c>
      <c r="F288" s="11" t="str">
        <f t="shared" si="12"/>
        <v>https://purl.pt/44061</v>
      </c>
      <c r="G288" s="12">
        <v>5</v>
      </c>
      <c r="H288" s="9">
        <v>5</v>
      </c>
      <c r="I288" s="34"/>
      <c r="J288" s="55" t="str">
        <f t="shared" si="13"/>
        <v>https://permalinkbnd.bnportugal.gov.pt/viewer/275169/?offset=#page=5&amp;viewer=picture&amp;o=info&amp;n=0&amp;q=</v>
      </c>
      <c r="K288" s="45"/>
      <c r="L288" s="45"/>
      <c r="M288" s="45"/>
      <c r="N288" t="s">
        <v>261</v>
      </c>
      <c r="O288">
        <v>275169</v>
      </c>
      <c r="P288" t="str">
        <f t="shared" si="14"/>
        <v>https://permalinkbnd.bnportugal.gov.pt/viewer/275169/?offset=#page=5&amp;viewer=picture&amp;o=info&amp;n=0&amp;q=</v>
      </c>
      <c r="Q288">
        <v>851957</v>
      </c>
      <c r="R288" t="s">
        <v>261</v>
      </c>
      <c r="S288" t="s">
        <v>2325</v>
      </c>
      <c r="T288" t="s">
        <v>1178</v>
      </c>
      <c r="U288" t="s">
        <v>1192</v>
      </c>
      <c r="V288" t="s">
        <v>599</v>
      </c>
      <c r="W288" t="s">
        <v>2326</v>
      </c>
      <c r="X288" t="s">
        <v>2327</v>
      </c>
      <c r="Y288" t="s">
        <v>599</v>
      </c>
      <c r="Z288" t="s">
        <v>1182</v>
      </c>
      <c r="AA288" t="s">
        <v>2328</v>
      </c>
      <c r="AB288">
        <v>1880</v>
      </c>
      <c r="AC288">
        <v>1880</v>
      </c>
      <c r="AD288" t="s">
        <v>1276</v>
      </c>
      <c r="AE288" t="s">
        <v>2329</v>
      </c>
      <c r="AF288" t="s">
        <v>599</v>
      </c>
      <c r="AG288" t="s">
        <v>599</v>
      </c>
      <c r="AH288" t="s">
        <v>599</v>
      </c>
      <c r="AI288" t="s">
        <v>599</v>
      </c>
      <c r="AJ288" t="s">
        <v>599</v>
      </c>
      <c r="AK288" t="s">
        <v>2330</v>
      </c>
      <c r="AL288" t="s">
        <v>1188</v>
      </c>
      <c r="AM288" t="s">
        <v>2331</v>
      </c>
      <c r="AN288" t="s">
        <v>1190</v>
      </c>
      <c r="AO288" t="s">
        <v>599</v>
      </c>
      <c r="AP288" t="s">
        <v>599</v>
      </c>
      <c r="AQ288" t="s">
        <v>599</v>
      </c>
      <c r="AR288" t="s">
        <v>599</v>
      </c>
      <c r="AS288" t="s">
        <v>599</v>
      </c>
      <c r="AT288" t="s">
        <v>599</v>
      </c>
      <c r="AU288" t="s">
        <v>599</v>
      </c>
    </row>
    <row r="289" spans="1:47" s="13" customFormat="1" ht="30" x14ac:dyDescent="0.25">
      <c r="A289" s="9">
        <v>10538</v>
      </c>
      <c r="B289" s="10">
        <v>780308</v>
      </c>
      <c r="C289" s="10">
        <v>1</v>
      </c>
      <c r="D289" s="9">
        <v>5</v>
      </c>
      <c r="E289" s="11" t="s">
        <v>262</v>
      </c>
      <c r="F289" s="11" t="str">
        <f t="shared" si="12"/>
        <v>https://purl.pt/44064</v>
      </c>
      <c r="G289" s="12">
        <v>5</v>
      </c>
      <c r="H289" s="9">
        <v>5</v>
      </c>
      <c r="I289" s="34"/>
      <c r="J289" s="55" t="str">
        <f t="shared" si="13"/>
        <v>https://permalinkbnd.bnportugal.gov.pt/viewer/275164/?offset=#page=5&amp;viewer=picture&amp;o=info&amp;n=0&amp;q=</v>
      </c>
      <c r="K289" s="45"/>
      <c r="L289" s="45"/>
      <c r="M289" s="45"/>
      <c r="N289" t="s">
        <v>262</v>
      </c>
      <c r="O289">
        <v>275164</v>
      </c>
      <c r="P289" t="str">
        <f t="shared" si="14"/>
        <v>https://permalinkbnd.bnportugal.gov.pt/viewer/275164/?offset=#page=5&amp;viewer=picture&amp;o=info&amp;n=0&amp;q=</v>
      </c>
      <c r="Q289">
        <v>780308</v>
      </c>
      <c r="R289" t="s">
        <v>262</v>
      </c>
      <c r="S289" t="s">
        <v>2332</v>
      </c>
      <c r="T289" t="s">
        <v>1178</v>
      </c>
      <c r="U289" t="s">
        <v>1192</v>
      </c>
      <c r="V289" t="s">
        <v>599</v>
      </c>
      <c r="W289" t="s">
        <v>2333</v>
      </c>
      <c r="X289" t="s">
        <v>599</v>
      </c>
      <c r="Y289" t="s">
        <v>599</v>
      </c>
      <c r="Z289" t="s">
        <v>1182</v>
      </c>
      <c r="AA289" t="s">
        <v>2334</v>
      </c>
      <c r="AB289">
        <v>1880</v>
      </c>
      <c r="AC289">
        <v>1880</v>
      </c>
      <c r="AD289" t="s">
        <v>2335</v>
      </c>
      <c r="AE289" t="s">
        <v>2336</v>
      </c>
      <c r="AF289" t="s">
        <v>599</v>
      </c>
      <c r="AG289" t="s">
        <v>599</v>
      </c>
      <c r="AH289" t="s">
        <v>599</v>
      </c>
      <c r="AI289" t="s">
        <v>599</v>
      </c>
      <c r="AJ289" t="s">
        <v>599</v>
      </c>
      <c r="AK289" t="s">
        <v>2337</v>
      </c>
      <c r="AL289" t="s">
        <v>1188</v>
      </c>
      <c r="AM289" t="s">
        <v>2338</v>
      </c>
      <c r="AN289" t="s">
        <v>1190</v>
      </c>
      <c r="AO289" t="s">
        <v>599</v>
      </c>
      <c r="AP289" t="s">
        <v>599</v>
      </c>
      <c r="AQ289" t="s">
        <v>599</v>
      </c>
      <c r="AR289" t="s">
        <v>599</v>
      </c>
      <c r="AS289" t="s">
        <v>599</v>
      </c>
      <c r="AT289" t="s">
        <v>599</v>
      </c>
      <c r="AU289" t="s">
        <v>599</v>
      </c>
    </row>
    <row r="290" spans="1:47" s="13" customFormat="1" ht="30" x14ac:dyDescent="0.25">
      <c r="A290" s="9">
        <v>10550</v>
      </c>
      <c r="B290" s="10">
        <v>852081</v>
      </c>
      <c r="C290" s="10">
        <v>1</v>
      </c>
      <c r="D290" s="9">
        <v>4</v>
      </c>
      <c r="E290" s="11" t="s">
        <v>263</v>
      </c>
      <c r="F290" s="11" t="str">
        <f t="shared" si="12"/>
        <v>https://purl.pt/44095</v>
      </c>
      <c r="G290" s="12" t="s">
        <v>264</v>
      </c>
      <c r="H290" s="9">
        <v>4</v>
      </c>
      <c r="I290" s="34"/>
      <c r="J290" s="55" t="str">
        <f t="shared" si="13"/>
        <v>https://permalinkbnd.bnportugal.gov.pt/viewer/275364/?offset=#page=4&amp;viewer=picture&amp;o=info&amp;n=0&amp;q=</v>
      </c>
      <c r="K290" s="45"/>
      <c r="L290" s="45"/>
      <c r="M290" s="45"/>
      <c r="N290" t="s">
        <v>263</v>
      </c>
      <c r="O290">
        <v>275364</v>
      </c>
      <c r="P290" t="str">
        <f t="shared" si="14"/>
        <v>https://permalinkbnd.bnportugal.gov.pt/viewer/275364/?offset=#page=4&amp;viewer=picture&amp;o=info&amp;n=0&amp;q=</v>
      </c>
      <c r="Q290">
        <v>852081</v>
      </c>
      <c r="R290" t="s">
        <v>263</v>
      </c>
      <c r="S290" t="s">
        <v>2339</v>
      </c>
      <c r="T290" t="s">
        <v>1178</v>
      </c>
      <c r="U290" t="s">
        <v>1192</v>
      </c>
      <c r="V290" t="s">
        <v>599</v>
      </c>
      <c r="W290" t="s">
        <v>2333</v>
      </c>
      <c r="X290" t="s">
        <v>2340</v>
      </c>
      <c r="Y290" t="s">
        <v>599</v>
      </c>
      <c r="Z290" t="s">
        <v>1182</v>
      </c>
      <c r="AA290" t="s">
        <v>1221</v>
      </c>
      <c r="AB290">
        <v>1880</v>
      </c>
      <c r="AC290">
        <v>1880</v>
      </c>
      <c r="AD290" t="s">
        <v>2341</v>
      </c>
      <c r="AE290" t="s">
        <v>599</v>
      </c>
      <c r="AF290" t="s">
        <v>599</v>
      </c>
      <c r="AG290" t="s">
        <v>599</v>
      </c>
      <c r="AH290" t="s">
        <v>2342</v>
      </c>
      <c r="AI290" t="s">
        <v>599</v>
      </c>
      <c r="AJ290" t="s">
        <v>599</v>
      </c>
      <c r="AK290" t="s">
        <v>2343</v>
      </c>
      <c r="AL290" t="s">
        <v>1188</v>
      </c>
      <c r="AM290" t="s">
        <v>2344</v>
      </c>
      <c r="AN290" t="s">
        <v>1190</v>
      </c>
      <c r="AO290" t="s">
        <v>599</v>
      </c>
      <c r="AP290" t="s">
        <v>599</v>
      </c>
      <c r="AQ290" t="s">
        <v>599</v>
      </c>
      <c r="AR290" t="s">
        <v>599</v>
      </c>
      <c r="AS290" t="s">
        <v>599</v>
      </c>
      <c r="AT290" t="s">
        <v>599</v>
      </c>
      <c r="AU290" t="s">
        <v>599</v>
      </c>
    </row>
    <row r="291" spans="1:47" s="13" customFormat="1" ht="30" x14ac:dyDescent="0.25">
      <c r="A291" s="9">
        <v>10591</v>
      </c>
      <c r="B291" s="10">
        <v>352640</v>
      </c>
      <c r="C291" s="10">
        <v>1</v>
      </c>
      <c r="D291" s="9">
        <v>6</v>
      </c>
      <c r="E291" s="11" t="s">
        <v>265</v>
      </c>
      <c r="F291" s="11" t="str">
        <f t="shared" si="12"/>
        <v>https://purl.pt/45009</v>
      </c>
      <c r="G291" s="12">
        <v>6</v>
      </c>
      <c r="H291" s="9">
        <v>6</v>
      </c>
      <c r="I291" s="34"/>
      <c r="J291" s="55" t="str">
        <f t="shared" si="13"/>
        <v>https://permalinkbnd.bnportugal.gov.pt/viewer/279243/?offset=#page=6&amp;viewer=picture&amp;o=info&amp;n=0&amp;q=</v>
      </c>
      <c r="K291" s="45"/>
      <c r="L291" s="45"/>
      <c r="M291" s="45"/>
      <c r="N291" t="s">
        <v>265</v>
      </c>
      <c r="O291">
        <v>279243</v>
      </c>
      <c r="P291" t="str">
        <f t="shared" si="14"/>
        <v>https://permalinkbnd.bnportugal.gov.pt/viewer/279243/?offset=#page=6&amp;viewer=picture&amp;o=info&amp;n=0&amp;q=</v>
      </c>
      <c r="Q291">
        <v>352640</v>
      </c>
      <c r="R291" t="s">
        <v>265</v>
      </c>
      <c r="S291" t="s">
        <v>2345</v>
      </c>
      <c r="T291" t="s">
        <v>1178</v>
      </c>
      <c r="U291" t="s">
        <v>1362</v>
      </c>
      <c r="V291" t="s">
        <v>599</v>
      </c>
      <c r="W291" t="s">
        <v>2346</v>
      </c>
      <c r="X291" t="s">
        <v>2347</v>
      </c>
      <c r="Y291" t="s">
        <v>599</v>
      </c>
      <c r="Z291" t="s">
        <v>1182</v>
      </c>
      <c r="AA291" t="s">
        <v>2348</v>
      </c>
      <c r="AB291">
        <v>1824</v>
      </c>
      <c r="AC291">
        <v>1824</v>
      </c>
      <c r="AD291" t="s">
        <v>2349</v>
      </c>
      <c r="AE291" t="s">
        <v>2350</v>
      </c>
      <c r="AF291" t="s">
        <v>599</v>
      </c>
      <c r="AG291" t="s">
        <v>599</v>
      </c>
      <c r="AH291" t="s">
        <v>2351</v>
      </c>
      <c r="AI291" t="s">
        <v>599</v>
      </c>
      <c r="AJ291" t="s">
        <v>599</v>
      </c>
      <c r="AK291" t="s">
        <v>2352</v>
      </c>
      <c r="AL291" t="s">
        <v>1188</v>
      </c>
      <c r="AM291" t="s">
        <v>2353</v>
      </c>
      <c r="AN291" t="s">
        <v>1190</v>
      </c>
      <c r="AO291" t="s">
        <v>599</v>
      </c>
      <c r="AP291" t="s">
        <v>599</v>
      </c>
      <c r="AQ291" t="s">
        <v>599</v>
      </c>
      <c r="AR291" t="s">
        <v>599</v>
      </c>
      <c r="AS291" t="s">
        <v>599</v>
      </c>
      <c r="AT291" t="s">
        <v>599</v>
      </c>
      <c r="AU291" t="s">
        <v>599</v>
      </c>
    </row>
    <row r="292" spans="1:47" s="13" customFormat="1" ht="30" x14ac:dyDescent="0.25">
      <c r="A292" s="9">
        <v>10595</v>
      </c>
      <c r="B292" s="10">
        <v>943524</v>
      </c>
      <c r="C292" s="10">
        <v>1</v>
      </c>
      <c r="D292" s="9">
        <v>6</v>
      </c>
      <c r="E292" s="11" t="s">
        <v>266</v>
      </c>
      <c r="F292" s="11" t="str">
        <f t="shared" si="12"/>
        <v>https://purl.pt/44993</v>
      </c>
      <c r="G292" s="12" t="s">
        <v>267</v>
      </c>
      <c r="H292" s="9">
        <v>6</v>
      </c>
      <c r="I292" s="34"/>
      <c r="J292" s="55" t="str">
        <f t="shared" si="13"/>
        <v>https://permalinkbnd.bnportugal.gov.pt/viewer/279232/?offset=#page=6&amp;viewer=picture&amp;o=info&amp;n=0&amp;q=</v>
      </c>
      <c r="K292" s="45"/>
      <c r="L292" s="45"/>
      <c r="M292" s="45"/>
      <c r="N292" t="s">
        <v>266</v>
      </c>
      <c r="O292">
        <v>279232</v>
      </c>
      <c r="P292" t="str">
        <f t="shared" si="14"/>
        <v>https://permalinkbnd.bnportugal.gov.pt/viewer/279232/?offset=#page=6&amp;viewer=picture&amp;o=info&amp;n=0&amp;q=</v>
      </c>
      <c r="Q292">
        <v>943524</v>
      </c>
      <c r="R292" t="s">
        <v>266</v>
      </c>
      <c r="S292" t="s">
        <v>2354</v>
      </c>
      <c r="T292" t="s">
        <v>1178</v>
      </c>
      <c r="U292" t="s">
        <v>1192</v>
      </c>
      <c r="V292" t="s">
        <v>599</v>
      </c>
      <c r="W292" t="s">
        <v>2355</v>
      </c>
      <c r="X292" t="s">
        <v>2356</v>
      </c>
      <c r="Y292" t="s">
        <v>599</v>
      </c>
      <c r="Z292" t="s">
        <v>2357</v>
      </c>
      <c r="AA292" t="s">
        <v>2358</v>
      </c>
      <c r="AB292">
        <v>1817</v>
      </c>
      <c r="AC292">
        <v>1817</v>
      </c>
      <c r="AD292" t="s">
        <v>2359</v>
      </c>
      <c r="AE292" t="s">
        <v>2360</v>
      </c>
      <c r="AF292" t="s">
        <v>599</v>
      </c>
      <c r="AG292" t="s">
        <v>599</v>
      </c>
      <c r="AH292" t="s">
        <v>599</v>
      </c>
      <c r="AI292" t="s">
        <v>599</v>
      </c>
      <c r="AJ292" t="s">
        <v>599</v>
      </c>
      <c r="AK292" t="s">
        <v>2361</v>
      </c>
      <c r="AL292" t="s">
        <v>1188</v>
      </c>
      <c r="AM292" t="s">
        <v>2362</v>
      </c>
      <c r="AN292" t="s">
        <v>1190</v>
      </c>
      <c r="AO292" t="s">
        <v>599</v>
      </c>
      <c r="AP292" t="s">
        <v>599</v>
      </c>
      <c r="AQ292" t="s">
        <v>599</v>
      </c>
      <c r="AR292" t="s">
        <v>599</v>
      </c>
      <c r="AS292" t="s">
        <v>599</v>
      </c>
      <c r="AT292" t="s">
        <v>599</v>
      </c>
      <c r="AU292" t="s">
        <v>599</v>
      </c>
    </row>
    <row r="293" spans="1:47" s="13" customFormat="1" ht="30" x14ac:dyDescent="0.25">
      <c r="A293" s="9">
        <v>10597</v>
      </c>
      <c r="B293" s="10">
        <v>120404</v>
      </c>
      <c r="C293" s="10">
        <v>1</v>
      </c>
      <c r="D293" s="9">
        <v>1</v>
      </c>
      <c r="E293" s="11" t="s">
        <v>268</v>
      </c>
      <c r="F293" s="11" t="str">
        <f t="shared" si="12"/>
        <v>https://purl.pt/44155</v>
      </c>
      <c r="G293" s="12" t="s">
        <v>269</v>
      </c>
      <c r="H293" s="9"/>
      <c r="I293" s="34"/>
      <c r="J293" s="55" t="str">
        <f t="shared" si="13"/>
        <v>https://permalinkbnd.bnportugal.gov.pt/viewer/276120/?offset=#page=1&amp;viewer=picture&amp;o=info&amp;n=0&amp;q=</v>
      </c>
      <c r="K293" s="45"/>
      <c r="L293" s="45"/>
      <c r="M293" s="45"/>
      <c r="N293" t="s">
        <v>268</v>
      </c>
      <c r="O293">
        <v>276120</v>
      </c>
      <c r="P293" t="str">
        <f t="shared" si="14"/>
        <v>https://permalinkbnd.bnportugal.gov.pt/viewer/276120/?offset=#page=1&amp;viewer=picture&amp;o=info&amp;n=0&amp;q=</v>
      </c>
      <c r="Q293">
        <v>120404</v>
      </c>
      <c r="R293" t="s">
        <v>268</v>
      </c>
      <c r="S293" t="s">
        <v>2363</v>
      </c>
      <c r="T293" t="s">
        <v>1178</v>
      </c>
      <c r="U293" t="s">
        <v>1192</v>
      </c>
      <c r="V293" t="s">
        <v>599</v>
      </c>
      <c r="W293" t="s">
        <v>1193</v>
      </c>
      <c r="X293" t="s">
        <v>599</v>
      </c>
      <c r="Y293" t="s">
        <v>599</v>
      </c>
      <c r="Z293" t="s">
        <v>1552</v>
      </c>
      <c r="AA293" t="s">
        <v>2364</v>
      </c>
      <c r="AB293">
        <v>1880</v>
      </c>
      <c r="AC293">
        <v>1880</v>
      </c>
      <c r="AD293" t="s">
        <v>1554</v>
      </c>
      <c r="AE293" t="s">
        <v>1185</v>
      </c>
      <c r="AF293" t="s">
        <v>599</v>
      </c>
      <c r="AG293" t="s">
        <v>599</v>
      </c>
      <c r="AH293" t="s">
        <v>599</v>
      </c>
      <c r="AI293" t="s">
        <v>599</v>
      </c>
      <c r="AJ293" t="s">
        <v>599</v>
      </c>
      <c r="AK293" t="s">
        <v>2365</v>
      </c>
      <c r="AL293" t="s">
        <v>1188</v>
      </c>
      <c r="AM293" t="s">
        <v>2366</v>
      </c>
      <c r="AN293" t="s">
        <v>1190</v>
      </c>
      <c r="AO293" t="s">
        <v>599</v>
      </c>
      <c r="AP293" t="s">
        <v>599</v>
      </c>
      <c r="AQ293" t="s">
        <v>599</v>
      </c>
      <c r="AR293" t="s">
        <v>599</v>
      </c>
      <c r="AS293" t="s">
        <v>599</v>
      </c>
      <c r="AT293" t="s">
        <v>599</v>
      </c>
      <c r="AU293" t="s">
        <v>599</v>
      </c>
    </row>
    <row r="294" spans="1:47" s="13" customFormat="1" ht="30" x14ac:dyDescent="0.25">
      <c r="A294" s="9">
        <v>10616</v>
      </c>
      <c r="B294" s="10">
        <v>397864</v>
      </c>
      <c r="C294" s="10">
        <v>1</v>
      </c>
      <c r="D294" s="9">
        <v>10</v>
      </c>
      <c r="E294" s="11" t="s">
        <v>270</v>
      </c>
      <c r="F294" s="11" t="str">
        <f t="shared" si="12"/>
        <v>https://purl.pt/45036</v>
      </c>
      <c r="G294" s="12">
        <v>10</v>
      </c>
      <c r="H294" s="9">
        <v>10</v>
      </c>
      <c r="I294" s="34"/>
      <c r="J294" s="55" t="str">
        <f t="shared" si="13"/>
        <v>https://permalinkbnd.bnportugal.gov.pt/viewer/279340/?offset=#page=10&amp;viewer=picture&amp;o=info&amp;n=0&amp;q=</v>
      </c>
      <c r="K294" s="45"/>
      <c r="L294" s="45"/>
      <c r="M294" s="45"/>
      <c r="N294" t="s">
        <v>270</v>
      </c>
      <c r="O294">
        <v>279340</v>
      </c>
      <c r="P294" t="str">
        <f t="shared" si="14"/>
        <v>https://permalinkbnd.bnportugal.gov.pt/viewer/279340/?offset=#page=10&amp;viewer=picture&amp;o=info&amp;n=0&amp;q=</v>
      </c>
      <c r="Q294">
        <v>397864</v>
      </c>
      <c r="R294" t="s">
        <v>270</v>
      </c>
      <c r="S294" t="s">
        <v>2367</v>
      </c>
      <c r="T294" t="s">
        <v>1178</v>
      </c>
      <c r="U294" t="s">
        <v>1502</v>
      </c>
      <c r="V294" t="s">
        <v>1192</v>
      </c>
      <c r="W294" t="s">
        <v>2368</v>
      </c>
      <c r="X294" t="s">
        <v>2369</v>
      </c>
      <c r="Y294" t="s">
        <v>599</v>
      </c>
      <c r="Z294" t="s">
        <v>2370</v>
      </c>
      <c r="AA294" t="s">
        <v>2371</v>
      </c>
      <c r="AB294">
        <v>1808</v>
      </c>
      <c r="AC294">
        <v>1808</v>
      </c>
      <c r="AD294" t="s">
        <v>2372</v>
      </c>
      <c r="AE294" t="s">
        <v>1185</v>
      </c>
      <c r="AF294" t="s">
        <v>599</v>
      </c>
      <c r="AG294" t="s">
        <v>599</v>
      </c>
      <c r="AH294" t="s">
        <v>1746</v>
      </c>
      <c r="AI294" t="s">
        <v>599</v>
      </c>
      <c r="AJ294" t="s">
        <v>599</v>
      </c>
      <c r="AK294" t="s">
        <v>2373</v>
      </c>
      <c r="AL294" t="s">
        <v>1188</v>
      </c>
      <c r="AM294" t="s">
        <v>2374</v>
      </c>
      <c r="AN294" t="s">
        <v>1190</v>
      </c>
      <c r="AO294" t="s">
        <v>599</v>
      </c>
      <c r="AP294" t="s">
        <v>599</v>
      </c>
      <c r="AQ294" t="s">
        <v>599</v>
      </c>
      <c r="AR294" t="s">
        <v>599</v>
      </c>
      <c r="AS294" t="s">
        <v>599</v>
      </c>
      <c r="AT294" t="s">
        <v>599</v>
      </c>
      <c r="AU294" t="s">
        <v>599</v>
      </c>
    </row>
    <row r="295" spans="1:47" s="13" customFormat="1" ht="30" x14ac:dyDescent="0.25">
      <c r="A295" s="9">
        <v>10627</v>
      </c>
      <c r="B295" s="10">
        <v>256426</v>
      </c>
      <c r="C295" s="10">
        <v>1</v>
      </c>
      <c r="D295" s="9">
        <v>8</v>
      </c>
      <c r="E295" s="11" t="s">
        <v>271</v>
      </c>
      <c r="F295" s="11" t="str">
        <f t="shared" si="12"/>
        <v>https://purl.pt/44185</v>
      </c>
      <c r="G295" s="12" t="s">
        <v>272</v>
      </c>
      <c r="H295" s="9">
        <v>8</v>
      </c>
      <c r="I295" s="34"/>
      <c r="J295" s="55" t="str">
        <f t="shared" si="13"/>
        <v>https://permalinkbnd.bnportugal.gov.pt/viewer/276130/?offset=#page=8&amp;viewer=picture&amp;o=info&amp;n=0&amp;q=</v>
      </c>
      <c r="K295" s="45"/>
      <c r="L295" s="45"/>
      <c r="M295" s="45"/>
      <c r="N295" t="s">
        <v>271</v>
      </c>
      <c r="O295">
        <v>276130</v>
      </c>
      <c r="P295" t="str">
        <f t="shared" si="14"/>
        <v>https://permalinkbnd.bnportugal.gov.pt/viewer/276130/?offset=#page=8&amp;viewer=picture&amp;o=info&amp;n=0&amp;q=</v>
      </c>
      <c r="Q295">
        <v>256426</v>
      </c>
      <c r="R295" t="s">
        <v>271</v>
      </c>
      <c r="S295" t="s">
        <v>2375</v>
      </c>
      <c r="T295" t="s">
        <v>1178</v>
      </c>
      <c r="U295" t="s">
        <v>1192</v>
      </c>
      <c r="V295" t="s">
        <v>599</v>
      </c>
      <c r="W295" t="s">
        <v>1551</v>
      </c>
      <c r="X295" t="s">
        <v>599</v>
      </c>
      <c r="Y295" t="s">
        <v>599</v>
      </c>
      <c r="Z295" t="s">
        <v>2376</v>
      </c>
      <c r="AA295" t="s">
        <v>2377</v>
      </c>
      <c r="AB295">
        <v>1855</v>
      </c>
      <c r="AC295">
        <v>1855</v>
      </c>
      <c r="AD295" t="s">
        <v>2378</v>
      </c>
      <c r="AE295" t="s">
        <v>1185</v>
      </c>
      <c r="AF295" t="s">
        <v>599</v>
      </c>
      <c r="AG295" t="s">
        <v>599</v>
      </c>
      <c r="AH295" t="s">
        <v>2379</v>
      </c>
      <c r="AI295" t="s">
        <v>599</v>
      </c>
      <c r="AJ295" t="s">
        <v>2380</v>
      </c>
      <c r="AK295" t="s">
        <v>2381</v>
      </c>
      <c r="AL295" t="s">
        <v>1188</v>
      </c>
      <c r="AM295" t="s">
        <v>2382</v>
      </c>
      <c r="AN295" t="s">
        <v>1190</v>
      </c>
      <c r="AO295" t="s">
        <v>599</v>
      </c>
      <c r="AP295" t="s">
        <v>599</v>
      </c>
      <c r="AQ295" t="s">
        <v>599</v>
      </c>
      <c r="AR295" t="s">
        <v>599</v>
      </c>
      <c r="AS295" t="s">
        <v>599</v>
      </c>
      <c r="AT295" t="s">
        <v>599</v>
      </c>
      <c r="AU295" t="s">
        <v>599</v>
      </c>
    </row>
    <row r="296" spans="1:47" s="13" customFormat="1" ht="30" x14ac:dyDescent="0.25">
      <c r="A296" s="9">
        <v>10633</v>
      </c>
      <c r="B296" s="10">
        <v>381260</v>
      </c>
      <c r="C296" s="10">
        <v>1</v>
      </c>
      <c r="D296" s="9">
        <v>9</v>
      </c>
      <c r="E296" s="11" t="s">
        <v>273</v>
      </c>
      <c r="F296" s="11" t="str">
        <f t="shared" si="12"/>
        <v>https://purl.pt/44190</v>
      </c>
      <c r="G296" s="12" t="s">
        <v>274</v>
      </c>
      <c r="H296" s="9" t="s">
        <v>275</v>
      </c>
      <c r="I296" s="34"/>
      <c r="J296" s="55" t="str">
        <f t="shared" si="13"/>
        <v>https://permalinkbnd.bnportugal.gov.pt/viewer/273100/?offset=#page=9&amp;viewer=picture&amp;o=info&amp;n=0&amp;q=</v>
      </c>
      <c r="K296" s="45"/>
      <c r="L296" s="45"/>
      <c r="M296" s="45"/>
      <c r="N296" t="s">
        <v>273</v>
      </c>
      <c r="O296">
        <v>273100</v>
      </c>
      <c r="P296" t="str">
        <f t="shared" si="14"/>
        <v>https://permalinkbnd.bnportugal.gov.pt/viewer/273100/?offset=#page=9&amp;viewer=picture&amp;o=info&amp;n=0&amp;q=</v>
      </c>
      <c r="Q296">
        <v>381260</v>
      </c>
      <c r="R296" t="s">
        <v>273</v>
      </c>
      <c r="S296" t="s">
        <v>2383</v>
      </c>
      <c r="T296" t="s">
        <v>1178</v>
      </c>
      <c r="U296" t="s">
        <v>1192</v>
      </c>
      <c r="V296" t="s">
        <v>599</v>
      </c>
      <c r="W296" t="s">
        <v>2384</v>
      </c>
      <c r="X296" t="s">
        <v>2385</v>
      </c>
      <c r="Y296" t="s">
        <v>599</v>
      </c>
      <c r="Z296" t="s">
        <v>2386</v>
      </c>
      <c r="AA296" t="s">
        <v>2387</v>
      </c>
      <c r="AB296">
        <v>1720</v>
      </c>
      <c r="AC296">
        <v>1720</v>
      </c>
      <c r="AD296" t="s">
        <v>2388</v>
      </c>
      <c r="AE296" t="s">
        <v>1185</v>
      </c>
      <c r="AF296" t="s">
        <v>599</v>
      </c>
      <c r="AG296" t="s">
        <v>2389</v>
      </c>
      <c r="AH296" t="s">
        <v>2390</v>
      </c>
      <c r="AI296" t="s">
        <v>599</v>
      </c>
      <c r="AJ296" t="s">
        <v>599</v>
      </c>
      <c r="AK296" t="s">
        <v>2391</v>
      </c>
      <c r="AL296" t="s">
        <v>1188</v>
      </c>
      <c r="AM296" t="s">
        <v>2392</v>
      </c>
      <c r="AN296" t="s">
        <v>1190</v>
      </c>
      <c r="AO296" t="s">
        <v>599</v>
      </c>
      <c r="AP296" t="s">
        <v>599</v>
      </c>
      <c r="AQ296" t="s">
        <v>2393</v>
      </c>
      <c r="AR296" t="s">
        <v>599</v>
      </c>
      <c r="AS296" t="s">
        <v>599</v>
      </c>
      <c r="AT296" t="s">
        <v>599</v>
      </c>
      <c r="AU296" t="s">
        <v>599</v>
      </c>
    </row>
    <row r="297" spans="1:47" s="13" customFormat="1" ht="30" x14ac:dyDescent="0.25">
      <c r="A297" s="9">
        <v>10634</v>
      </c>
      <c r="B297" s="10">
        <v>381260</v>
      </c>
      <c r="C297" s="10">
        <v>1</v>
      </c>
      <c r="D297" s="9">
        <v>16</v>
      </c>
      <c r="E297" s="11" t="s">
        <v>273</v>
      </c>
      <c r="F297" s="11" t="str">
        <f t="shared" si="12"/>
        <v>https://purl.pt/44190</v>
      </c>
      <c r="G297" s="12" t="s">
        <v>274</v>
      </c>
      <c r="H297" s="9" t="s">
        <v>275</v>
      </c>
      <c r="I297" s="34"/>
      <c r="J297" s="55" t="str">
        <f t="shared" si="13"/>
        <v>https://permalinkbnd.bnportugal.gov.pt/viewer/273100/?offset=#page=16&amp;viewer=picture&amp;o=info&amp;n=0&amp;q=</v>
      </c>
      <c r="K297" s="45"/>
      <c r="L297" s="45"/>
      <c r="M297" s="45"/>
      <c r="N297" t="s">
        <v>273</v>
      </c>
      <c r="O297">
        <v>273100</v>
      </c>
      <c r="P297" t="str">
        <f t="shared" si="14"/>
        <v>https://permalinkbnd.bnportugal.gov.pt/viewer/273100/?offset=#page=16&amp;viewer=picture&amp;o=info&amp;n=0&amp;q=</v>
      </c>
      <c r="Q297">
        <v>381260</v>
      </c>
      <c r="R297" t="s">
        <v>273</v>
      </c>
      <c r="S297" t="s">
        <v>2383</v>
      </c>
      <c r="T297" t="s">
        <v>1178</v>
      </c>
      <c r="U297" t="s">
        <v>1192</v>
      </c>
      <c r="V297" t="s">
        <v>599</v>
      </c>
      <c r="W297" t="s">
        <v>2384</v>
      </c>
      <c r="X297" t="s">
        <v>2385</v>
      </c>
      <c r="Y297" t="s">
        <v>599</v>
      </c>
      <c r="Z297" t="s">
        <v>2386</v>
      </c>
      <c r="AA297" t="s">
        <v>2387</v>
      </c>
      <c r="AB297">
        <v>1720</v>
      </c>
      <c r="AC297">
        <v>1720</v>
      </c>
      <c r="AD297" t="s">
        <v>2388</v>
      </c>
      <c r="AE297" t="s">
        <v>1185</v>
      </c>
      <c r="AF297" t="s">
        <v>599</v>
      </c>
      <c r="AG297" t="s">
        <v>2389</v>
      </c>
      <c r="AH297" t="s">
        <v>2390</v>
      </c>
      <c r="AI297" t="s">
        <v>599</v>
      </c>
      <c r="AJ297" t="s">
        <v>599</v>
      </c>
      <c r="AK297" t="s">
        <v>2391</v>
      </c>
      <c r="AL297" t="s">
        <v>1188</v>
      </c>
      <c r="AM297" t="s">
        <v>2392</v>
      </c>
      <c r="AN297" t="s">
        <v>1190</v>
      </c>
      <c r="AO297" t="s">
        <v>599</v>
      </c>
      <c r="AP297" t="s">
        <v>599</v>
      </c>
      <c r="AQ297" t="s">
        <v>2393</v>
      </c>
      <c r="AR297" t="s">
        <v>599</v>
      </c>
      <c r="AS297" t="s">
        <v>599</v>
      </c>
      <c r="AT297" t="s">
        <v>599</v>
      </c>
      <c r="AU297" t="s">
        <v>599</v>
      </c>
    </row>
    <row r="298" spans="1:47" s="13" customFormat="1" ht="45" x14ac:dyDescent="0.25">
      <c r="A298" s="9">
        <v>10635</v>
      </c>
      <c r="B298" s="10">
        <v>397821</v>
      </c>
      <c r="C298" s="10">
        <v>1</v>
      </c>
      <c r="D298" s="9">
        <v>7</v>
      </c>
      <c r="E298" s="11" t="s">
        <v>276</v>
      </c>
      <c r="F298" s="11" t="str">
        <f t="shared" si="12"/>
        <v>https://purl.pt/44005</v>
      </c>
      <c r="G298" s="12" t="s">
        <v>277</v>
      </c>
      <c r="H298" s="9" t="s">
        <v>278</v>
      </c>
      <c r="I298" s="34"/>
      <c r="J298" s="55" t="str">
        <f t="shared" si="13"/>
        <v>https://permalinkbnd.bnportugal.gov.pt/viewer/273782/?offset=#page=7&amp;viewer=picture&amp;o=info&amp;n=0&amp;q=</v>
      </c>
      <c r="K298" s="45"/>
      <c r="L298" s="45"/>
      <c r="M298" s="45"/>
      <c r="N298" t="s">
        <v>276</v>
      </c>
      <c r="O298">
        <v>273782</v>
      </c>
      <c r="P298" t="str">
        <f t="shared" si="14"/>
        <v>https://permalinkbnd.bnportugal.gov.pt/viewer/273782/?offset=#page=7&amp;viewer=picture&amp;o=info&amp;n=0&amp;q=</v>
      </c>
      <c r="Q298">
        <v>397821</v>
      </c>
      <c r="R298" t="s">
        <v>276</v>
      </c>
      <c r="S298" t="s">
        <v>2394</v>
      </c>
      <c r="T298" t="s">
        <v>1178</v>
      </c>
      <c r="U298" t="s">
        <v>1192</v>
      </c>
      <c r="V298" t="s">
        <v>599</v>
      </c>
      <c r="W298" t="s">
        <v>1193</v>
      </c>
      <c r="X298" t="s">
        <v>1202</v>
      </c>
      <c r="Y298" t="s">
        <v>599</v>
      </c>
      <c r="Z298" t="s">
        <v>1182</v>
      </c>
      <c r="AA298" t="s">
        <v>1203</v>
      </c>
      <c r="AB298">
        <v>1898</v>
      </c>
      <c r="AC298">
        <v>1898</v>
      </c>
      <c r="AD298" t="s">
        <v>1204</v>
      </c>
      <c r="AE298" t="s">
        <v>1185</v>
      </c>
      <c r="AF298" t="s">
        <v>599</v>
      </c>
      <c r="AG298" t="s">
        <v>599</v>
      </c>
      <c r="AH298" t="s">
        <v>1205</v>
      </c>
      <c r="AI298" t="s">
        <v>599</v>
      </c>
      <c r="AJ298" t="s">
        <v>599</v>
      </c>
      <c r="AK298" t="s">
        <v>2395</v>
      </c>
      <c r="AL298" t="s">
        <v>1188</v>
      </c>
      <c r="AM298" t="s">
        <v>2396</v>
      </c>
      <c r="AN298" t="s">
        <v>1190</v>
      </c>
      <c r="AO298" t="s">
        <v>599</v>
      </c>
      <c r="AP298" t="s">
        <v>599</v>
      </c>
      <c r="AQ298" t="s">
        <v>599</v>
      </c>
      <c r="AR298" t="s">
        <v>599</v>
      </c>
      <c r="AS298" t="s">
        <v>599</v>
      </c>
      <c r="AT298" t="s">
        <v>599</v>
      </c>
      <c r="AU298" t="s">
        <v>599</v>
      </c>
    </row>
    <row r="299" spans="1:47" s="13" customFormat="1" ht="45" x14ac:dyDescent="0.25">
      <c r="A299" s="9">
        <v>10636</v>
      </c>
      <c r="B299" s="10">
        <v>397821</v>
      </c>
      <c r="C299" s="10">
        <v>1</v>
      </c>
      <c r="D299" s="9">
        <v>12</v>
      </c>
      <c r="E299" s="11" t="s">
        <v>276</v>
      </c>
      <c r="F299" s="11" t="str">
        <f t="shared" si="12"/>
        <v>https://purl.pt/44005</v>
      </c>
      <c r="G299" s="12" t="s">
        <v>277</v>
      </c>
      <c r="H299" s="9" t="s">
        <v>278</v>
      </c>
      <c r="I299" s="34"/>
      <c r="J299" s="55" t="str">
        <f t="shared" si="13"/>
        <v>https://permalinkbnd.bnportugal.gov.pt/viewer/273782/?offset=#page=12&amp;viewer=picture&amp;o=info&amp;n=0&amp;q=</v>
      </c>
      <c r="K299" s="45"/>
      <c r="L299" s="45"/>
      <c r="M299" s="45"/>
      <c r="N299" t="s">
        <v>276</v>
      </c>
      <c r="O299">
        <v>273782</v>
      </c>
      <c r="P299" t="str">
        <f t="shared" si="14"/>
        <v>https://permalinkbnd.bnportugal.gov.pt/viewer/273782/?offset=#page=12&amp;viewer=picture&amp;o=info&amp;n=0&amp;q=</v>
      </c>
      <c r="Q299">
        <v>397821</v>
      </c>
      <c r="R299" t="s">
        <v>276</v>
      </c>
      <c r="S299" t="s">
        <v>2394</v>
      </c>
      <c r="T299" t="s">
        <v>1178</v>
      </c>
      <c r="U299" t="s">
        <v>1192</v>
      </c>
      <c r="V299" t="s">
        <v>599</v>
      </c>
      <c r="W299" t="s">
        <v>1193</v>
      </c>
      <c r="X299" t="s">
        <v>1202</v>
      </c>
      <c r="Y299" t="s">
        <v>599</v>
      </c>
      <c r="Z299" t="s">
        <v>1182</v>
      </c>
      <c r="AA299" t="s">
        <v>1203</v>
      </c>
      <c r="AB299">
        <v>1898</v>
      </c>
      <c r="AC299">
        <v>1898</v>
      </c>
      <c r="AD299" t="s">
        <v>1204</v>
      </c>
      <c r="AE299" t="s">
        <v>1185</v>
      </c>
      <c r="AF299" t="s">
        <v>599</v>
      </c>
      <c r="AG299" t="s">
        <v>599</v>
      </c>
      <c r="AH299" t="s">
        <v>1205</v>
      </c>
      <c r="AI299" t="s">
        <v>599</v>
      </c>
      <c r="AJ299" t="s">
        <v>599</v>
      </c>
      <c r="AK299" t="s">
        <v>2395</v>
      </c>
      <c r="AL299" t="s">
        <v>1188</v>
      </c>
      <c r="AM299" t="s">
        <v>2396</v>
      </c>
      <c r="AN299" t="s">
        <v>1190</v>
      </c>
      <c r="AO299" t="s">
        <v>599</v>
      </c>
      <c r="AP299" t="s">
        <v>599</v>
      </c>
      <c r="AQ299" t="s">
        <v>599</v>
      </c>
      <c r="AR299" t="s">
        <v>599</v>
      </c>
      <c r="AS299" t="s">
        <v>599</v>
      </c>
      <c r="AT299" t="s">
        <v>599</v>
      </c>
      <c r="AU299" t="s">
        <v>599</v>
      </c>
    </row>
    <row r="300" spans="1:47" s="13" customFormat="1" ht="45" x14ac:dyDescent="0.25">
      <c r="A300" s="9">
        <v>10637</v>
      </c>
      <c r="B300" s="10">
        <v>397821</v>
      </c>
      <c r="C300" s="10">
        <v>1</v>
      </c>
      <c r="D300" s="9">
        <v>25</v>
      </c>
      <c r="E300" s="11" t="s">
        <v>276</v>
      </c>
      <c r="F300" s="11" t="str">
        <f t="shared" si="12"/>
        <v>https://purl.pt/44005</v>
      </c>
      <c r="G300" s="12" t="s">
        <v>277</v>
      </c>
      <c r="H300" s="9" t="s">
        <v>278</v>
      </c>
      <c r="I300" s="34"/>
      <c r="J300" s="55" t="str">
        <f t="shared" si="13"/>
        <v>https://permalinkbnd.bnportugal.gov.pt/viewer/273782/?offset=#page=25&amp;viewer=picture&amp;o=info&amp;n=0&amp;q=</v>
      </c>
      <c r="K300" s="45"/>
      <c r="L300" s="45"/>
      <c r="M300" s="45"/>
      <c r="N300" t="s">
        <v>276</v>
      </c>
      <c r="O300">
        <v>273782</v>
      </c>
      <c r="P300" t="str">
        <f t="shared" si="14"/>
        <v>https://permalinkbnd.bnportugal.gov.pt/viewer/273782/?offset=#page=25&amp;viewer=picture&amp;o=info&amp;n=0&amp;q=</v>
      </c>
      <c r="Q300">
        <v>397821</v>
      </c>
      <c r="R300" t="s">
        <v>276</v>
      </c>
      <c r="S300" t="s">
        <v>2394</v>
      </c>
      <c r="T300" t="s">
        <v>1178</v>
      </c>
      <c r="U300" t="s">
        <v>1192</v>
      </c>
      <c r="V300" t="s">
        <v>599</v>
      </c>
      <c r="W300" t="s">
        <v>1193</v>
      </c>
      <c r="X300" t="s">
        <v>1202</v>
      </c>
      <c r="Y300" t="s">
        <v>599</v>
      </c>
      <c r="Z300" t="s">
        <v>1182</v>
      </c>
      <c r="AA300" t="s">
        <v>1203</v>
      </c>
      <c r="AB300">
        <v>1898</v>
      </c>
      <c r="AC300">
        <v>1898</v>
      </c>
      <c r="AD300" t="s">
        <v>1204</v>
      </c>
      <c r="AE300" t="s">
        <v>1185</v>
      </c>
      <c r="AF300" t="s">
        <v>599</v>
      </c>
      <c r="AG300" t="s">
        <v>599</v>
      </c>
      <c r="AH300" t="s">
        <v>1205</v>
      </c>
      <c r="AI300" t="s">
        <v>599</v>
      </c>
      <c r="AJ300" t="s">
        <v>599</v>
      </c>
      <c r="AK300" t="s">
        <v>2395</v>
      </c>
      <c r="AL300" t="s">
        <v>1188</v>
      </c>
      <c r="AM300" t="s">
        <v>2396</v>
      </c>
      <c r="AN300" t="s">
        <v>1190</v>
      </c>
      <c r="AO300" t="s">
        <v>599</v>
      </c>
      <c r="AP300" t="s">
        <v>599</v>
      </c>
      <c r="AQ300" t="s">
        <v>599</v>
      </c>
      <c r="AR300" t="s">
        <v>599</v>
      </c>
      <c r="AS300" t="s">
        <v>599</v>
      </c>
      <c r="AT300" t="s">
        <v>599</v>
      </c>
      <c r="AU300" t="s">
        <v>599</v>
      </c>
    </row>
    <row r="301" spans="1:47" s="13" customFormat="1" ht="45" x14ac:dyDescent="0.25">
      <c r="A301" s="9">
        <v>10638</v>
      </c>
      <c r="B301" s="10">
        <v>397821</v>
      </c>
      <c r="C301" s="10">
        <v>1</v>
      </c>
      <c r="D301" s="9">
        <v>48</v>
      </c>
      <c r="E301" s="11" t="s">
        <v>276</v>
      </c>
      <c r="F301" s="11" t="str">
        <f t="shared" si="12"/>
        <v>https://purl.pt/44005</v>
      </c>
      <c r="G301" s="12" t="s">
        <v>277</v>
      </c>
      <c r="H301" s="9" t="s">
        <v>278</v>
      </c>
      <c r="I301" s="34"/>
      <c r="J301" s="55" t="str">
        <f t="shared" si="13"/>
        <v>https://permalinkbnd.bnportugal.gov.pt/viewer/273782/?offset=#page=48&amp;viewer=picture&amp;o=info&amp;n=0&amp;q=</v>
      </c>
      <c r="K301" s="45"/>
      <c r="L301" s="45"/>
      <c r="M301" s="45"/>
      <c r="N301" t="s">
        <v>276</v>
      </c>
      <c r="O301">
        <v>273782</v>
      </c>
      <c r="P301" t="str">
        <f t="shared" si="14"/>
        <v>https://permalinkbnd.bnportugal.gov.pt/viewer/273782/?offset=#page=48&amp;viewer=picture&amp;o=info&amp;n=0&amp;q=</v>
      </c>
      <c r="Q301">
        <v>397821</v>
      </c>
      <c r="R301" t="s">
        <v>276</v>
      </c>
      <c r="S301" t="s">
        <v>2394</v>
      </c>
      <c r="T301" t="s">
        <v>1178</v>
      </c>
      <c r="U301" t="s">
        <v>1192</v>
      </c>
      <c r="V301" t="s">
        <v>599</v>
      </c>
      <c r="W301" t="s">
        <v>1193</v>
      </c>
      <c r="X301" t="s">
        <v>1202</v>
      </c>
      <c r="Y301" t="s">
        <v>599</v>
      </c>
      <c r="Z301" t="s">
        <v>1182</v>
      </c>
      <c r="AA301" t="s">
        <v>1203</v>
      </c>
      <c r="AB301">
        <v>1898</v>
      </c>
      <c r="AC301">
        <v>1898</v>
      </c>
      <c r="AD301" t="s">
        <v>1204</v>
      </c>
      <c r="AE301" t="s">
        <v>1185</v>
      </c>
      <c r="AF301" t="s">
        <v>599</v>
      </c>
      <c r="AG301" t="s">
        <v>599</v>
      </c>
      <c r="AH301" t="s">
        <v>1205</v>
      </c>
      <c r="AI301" t="s">
        <v>599</v>
      </c>
      <c r="AJ301" t="s">
        <v>599</v>
      </c>
      <c r="AK301" t="s">
        <v>2395</v>
      </c>
      <c r="AL301" t="s">
        <v>1188</v>
      </c>
      <c r="AM301" t="s">
        <v>2396</v>
      </c>
      <c r="AN301" t="s">
        <v>1190</v>
      </c>
      <c r="AO301" t="s">
        <v>599</v>
      </c>
      <c r="AP301" t="s">
        <v>599</v>
      </c>
      <c r="AQ301" t="s">
        <v>599</v>
      </c>
      <c r="AR301" t="s">
        <v>599</v>
      </c>
      <c r="AS301" t="s">
        <v>599</v>
      </c>
      <c r="AT301" t="s">
        <v>599</v>
      </c>
      <c r="AU301" t="s">
        <v>599</v>
      </c>
    </row>
    <row r="302" spans="1:47" s="13" customFormat="1" ht="45" x14ac:dyDescent="0.25">
      <c r="A302" s="9">
        <v>10639</v>
      </c>
      <c r="B302" s="10">
        <v>397821</v>
      </c>
      <c r="C302" s="10">
        <v>1</v>
      </c>
      <c r="D302" s="9">
        <v>103</v>
      </c>
      <c r="E302" s="11" t="s">
        <v>276</v>
      </c>
      <c r="F302" s="11" t="str">
        <f t="shared" si="12"/>
        <v>https://purl.pt/44005</v>
      </c>
      <c r="G302" s="12" t="s">
        <v>277</v>
      </c>
      <c r="H302" s="9" t="s">
        <v>278</v>
      </c>
      <c r="I302" s="34"/>
      <c r="J302" s="55" t="str">
        <f t="shared" si="13"/>
        <v>https://permalinkbnd.bnportugal.gov.pt/viewer/273782/?offset=#page=103&amp;viewer=picture&amp;o=info&amp;n=0&amp;q=</v>
      </c>
      <c r="K302" s="45"/>
      <c r="L302" s="45"/>
      <c r="M302" s="45"/>
      <c r="N302" t="s">
        <v>276</v>
      </c>
      <c r="O302">
        <v>273782</v>
      </c>
      <c r="P302" t="str">
        <f t="shared" si="14"/>
        <v>https://permalinkbnd.bnportugal.gov.pt/viewer/273782/?offset=#page=103&amp;viewer=picture&amp;o=info&amp;n=0&amp;q=</v>
      </c>
      <c r="Q302">
        <v>397821</v>
      </c>
      <c r="R302" t="s">
        <v>276</v>
      </c>
      <c r="S302" t="s">
        <v>2394</v>
      </c>
      <c r="T302" t="s">
        <v>1178</v>
      </c>
      <c r="U302" t="s">
        <v>1192</v>
      </c>
      <c r="V302" t="s">
        <v>599</v>
      </c>
      <c r="W302" t="s">
        <v>1193</v>
      </c>
      <c r="X302" t="s">
        <v>1202</v>
      </c>
      <c r="Y302" t="s">
        <v>599</v>
      </c>
      <c r="Z302" t="s">
        <v>1182</v>
      </c>
      <c r="AA302" t="s">
        <v>1203</v>
      </c>
      <c r="AB302">
        <v>1898</v>
      </c>
      <c r="AC302">
        <v>1898</v>
      </c>
      <c r="AD302" t="s">
        <v>1204</v>
      </c>
      <c r="AE302" t="s">
        <v>1185</v>
      </c>
      <c r="AF302" t="s">
        <v>599</v>
      </c>
      <c r="AG302" t="s">
        <v>599</v>
      </c>
      <c r="AH302" t="s">
        <v>1205</v>
      </c>
      <c r="AI302" t="s">
        <v>599</v>
      </c>
      <c r="AJ302" t="s">
        <v>599</v>
      </c>
      <c r="AK302" t="s">
        <v>2395</v>
      </c>
      <c r="AL302" t="s">
        <v>1188</v>
      </c>
      <c r="AM302" t="s">
        <v>2396</v>
      </c>
      <c r="AN302" t="s">
        <v>1190</v>
      </c>
      <c r="AO302" t="s">
        <v>599</v>
      </c>
      <c r="AP302" t="s">
        <v>599</v>
      </c>
      <c r="AQ302" t="s">
        <v>599</v>
      </c>
      <c r="AR302" t="s">
        <v>599</v>
      </c>
      <c r="AS302" t="s">
        <v>599</v>
      </c>
      <c r="AT302" t="s">
        <v>599</v>
      </c>
      <c r="AU302" t="s">
        <v>599</v>
      </c>
    </row>
    <row r="303" spans="1:47" s="13" customFormat="1" ht="45" x14ac:dyDescent="0.25">
      <c r="A303" s="9">
        <v>10640</v>
      </c>
      <c r="B303" s="10">
        <v>397821</v>
      </c>
      <c r="C303" s="10">
        <v>1</v>
      </c>
      <c r="D303" s="9">
        <v>163</v>
      </c>
      <c r="E303" s="11" t="s">
        <v>276</v>
      </c>
      <c r="F303" s="11" t="str">
        <f t="shared" si="12"/>
        <v>https://purl.pt/44005</v>
      </c>
      <c r="G303" s="12" t="s">
        <v>277</v>
      </c>
      <c r="H303" s="9" t="s">
        <v>278</v>
      </c>
      <c r="I303" s="34"/>
      <c r="J303" s="55" t="str">
        <f t="shared" si="13"/>
        <v>https://permalinkbnd.bnportugal.gov.pt/viewer/273782/?offset=#page=163&amp;viewer=picture&amp;o=info&amp;n=0&amp;q=</v>
      </c>
      <c r="K303" s="45"/>
      <c r="L303" s="45"/>
      <c r="M303" s="45"/>
      <c r="N303" t="s">
        <v>276</v>
      </c>
      <c r="O303">
        <v>273782</v>
      </c>
      <c r="P303" t="str">
        <f t="shared" si="14"/>
        <v>https://permalinkbnd.bnportugal.gov.pt/viewer/273782/?offset=#page=163&amp;viewer=picture&amp;o=info&amp;n=0&amp;q=</v>
      </c>
      <c r="Q303">
        <v>397821</v>
      </c>
      <c r="R303" t="s">
        <v>276</v>
      </c>
      <c r="S303" t="s">
        <v>2394</v>
      </c>
      <c r="T303" t="s">
        <v>1178</v>
      </c>
      <c r="U303" t="s">
        <v>1192</v>
      </c>
      <c r="V303" t="s">
        <v>599</v>
      </c>
      <c r="W303" t="s">
        <v>1193</v>
      </c>
      <c r="X303" t="s">
        <v>1202</v>
      </c>
      <c r="Y303" t="s">
        <v>599</v>
      </c>
      <c r="Z303" t="s">
        <v>1182</v>
      </c>
      <c r="AA303" t="s">
        <v>1203</v>
      </c>
      <c r="AB303">
        <v>1898</v>
      </c>
      <c r="AC303">
        <v>1898</v>
      </c>
      <c r="AD303" t="s">
        <v>1204</v>
      </c>
      <c r="AE303" t="s">
        <v>1185</v>
      </c>
      <c r="AF303" t="s">
        <v>599</v>
      </c>
      <c r="AG303" t="s">
        <v>599</v>
      </c>
      <c r="AH303" t="s">
        <v>1205</v>
      </c>
      <c r="AI303" t="s">
        <v>599</v>
      </c>
      <c r="AJ303" t="s">
        <v>599</v>
      </c>
      <c r="AK303" t="s">
        <v>2395</v>
      </c>
      <c r="AL303" t="s">
        <v>1188</v>
      </c>
      <c r="AM303" t="s">
        <v>2396</v>
      </c>
      <c r="AN303" t="s">
        <v>1190</v>
      </c>
      <c r="AO303" t="s">
        <v>599</v>
      </c>
      <c r="AP303" t="s">
        <v>599</v>
      </c>
      <c r="AQ303" t="s">
        <v>599</v>
      </c>
      <c r="AR303" t="s">
        <v>599</v>
      </c>
      <c r="AS303" t="s">
        <v>599</v>
      </c>
      <c r="AT303" t="s">
        <v>599</v>
      </c>
      <c r="AU303" t="s">
        <v>599</v>
      </c>
    </row>
    <row r="304" spans="1:47" s="13" customFormat="1" ht="45" x14ac:dyDescent="0.25">
      <c r="A304" s="9">
        <v>10641</v>
      </c>
      <c r="B304" s="10">
        <v>397821</v>
      </c>
      <c r="C304" s="10">
        <v>1</v>
      </c>
      <c r="D304" s="9">
        <v>237</v>
      </c>
      <c r="E304" s="11" t="s">
        <v>276</v>
      </c>
      <c r="F304" s="11" t="str">
        <f t="shared" si="12"/>
        <v>https://purl.pt/44005</v>
      </c>
      <c r="G304" s="12" t="s">
        <v>277</v>
      </c>
      <c r="H304" s="9" t="s">
        <v>278</v>
      </c>
      <c r="I304" s="34"/>
      <c r="J304" s="55" t="str">
        <f t="shared" si="13"/>
        <v>https://permalinkbnd.bnportugal.gov.pt/viewer/273782/?offset=#page=237&amp;viewer=picture&amp;o=info&amp;n=0&amp;q=</v>
      </c>
      <c r="K304" s="45"/>
      <c r="L304" s="45"/>
      <c r="M304" s="45"/>
      <c r="N304" t="s">
        <v>276</v>
      </c>
      <c r="O304">
        <v>273782</v>
      </c>
      <c r="P304" t="str">
        <f t="shared" si="14"/>
        <v>https://permalinkbnd.bnportugal.gov.pt/viewer/273782/?offset=#page=237&amp;viewer=picture&amp;o=info&amp;n=0&amp;q=</v>
      </c>
      <c r="Q304">
        <v>397821</v>
      </c>
      <c r="R304" t="s">
        <v>276</v>
      </c>
      <c r="S304" t="s">
        <v>2394</v>
      </c>
      <c r="T304" t="s">
        <v>1178</v>
      </c>
      <c r="U304" t="s">
        <v>1192</v>
      </c>
      <c r="V304" t="s">
        <v>599</v>
      </c>
      <c r="W304" t="s">
        <v>1193</v>
      </c>
      <c r="X304" t="s">
        <v>1202</v>
      </c>
      <c r="Y304" t="s">
        <v>599</v>
      </c>
      <c r="Z304" t="s">
        <v>1182</v>
      </c>
      <c r="AA304" t="s">
        <v>1203</v>
      </c>
      <c r="AB304">
        <v>1898</v>
      </c>
      <c r="AC304">
        <v>1898</v>
      </c>
      <c r="AD304" t="s">
        <v>1204</v>
      </c>
      <c r="AE304" t="s">
        <v>1185</v>
      </c>
      <c r="AF304" t="s">
        <v>599</v>
      </c>
      <c r="AG304" t="s">
        <v>599</v>
      </c>
      <c r="AH304" t="s">
        <v>1205</v>
      </c>
      <c r="AI304" t="s">
        <v>599</v>
      </c>
      <c r="AJ304" t="s">
        <v>599</v>
      </c>
      <c r="AK304" t="s">
        <v>2395</v>
      </c>
      <c r="AL304" t="s">
        <v>1188</v>
      </c>
      <c r="AM304" t="s">
        <v>2396</v>
      </c>
      <c r="AN304" t="s">
        <v>1190</v>
      </c>
      <c r="AO304" t="s">
        <v>599</v>
      </c>
      <c r="AP304" t="s">
        <v>599</v>
      </c>
      <c r="AQ304" t="s">
        <v>599</v>
      </c>
      <c r="AR304" t="s">
        <v>599</v>
      </c>
      <c r="AS304" t="s">
        <v>599</v>
      </c>
      <c r="AT304" t="s">
        <v>599</v>
      </c>
      <c r="AU304" t="s">
        <v>599</v>
      </c>
    </row>
    <row r="305" spans="1:47" s="13" customFormat="1" ht="45" x14ac:dyDescent="0.25">
      <c r="A305" s="9">
        <v>10642</v>
      </c>
      <c r="B305" s="10">
        <v>397821</v>
      </c>
      <c r="C305" s="10">
        <v>1</v>
      </c>
      <c r="D305" s="9">
        <v>239</v>
      </c>
      <c r="E305" s="11" t="s">
        <v>276</v>
      </c>
      <c r="F305" s="11" t="str">
        <f t="shared" si="12"/>
        <v>https://purl.pt/44005</v>
      </c>
      <c r="G305" s="12" t="s">
        <v>277</v>
      </c>
      <c r="H305" s="9" t="s">
        <v>278</v>
      </c>
      <c r="I305" s="34"/>
      <c r="J305" s="55" t="str">
        <f t="shared" si="13"/>
        <v>https://permalinkbnd.bnportugal.gov.pt/viewer/273782/?offset=#page=239&amp;viewer=picture&amp;o=info&amp;n=0&amp;q=</v>
      </c>
      <c r="K305" s="45"/>
      <c r="L305" s="45"/>
      <c r="M305" s="45"/>
      <c r="N305" t="s">
        <v>276</v>
      </c>
      <c r="O305">
        <v>273782</v>
      </c>
      <c r="P305" t="str">
        <f t="shared" si="14"/>
        <v>https://permalinkbnd.bnportugal.gov.pt/viewer/273782/?offset=#page=239&amp;viewer=picture&amp;o=info&amp;n=0&amp;q=</v>
      </c>
      <c r="Q305">
        <v>397821</v>
      </c>
      <c r="R305" t="s">
        <v>276</v>
      </c>
      <c r="S305" t="s">
        <v>2394</v>
      </c>
      <c r="T305" t="s">
        <v>1178</v>
      </c>
      <c r="U305" t="s">
        <v>1192</v>
      </c>
      <c r="V305" t="s">
        <v>599</v>
      </c>
      <c r="W305" t="s">
        <v>1193</v>
      </c>
      <c r="X305" t="s">
        <v>1202</v>
      </c>
      <c r="Y305" t="s">
        <v>599</v>
      </c>
      <c r="Z305" t="s">
        <v>1182</v>
      </c>
      <c r="AA305" t="s">
        <v>1203</v>
      </c>
      <c r="AB305">
        <v>1898</v>
      </c>
      <c r="AC305">
        <v>1898</v>
      </c>
      <c r="AD305" t="s">
        <v>1204</v>
      </c>
      <c r="AE305" t="s">
        <v>1185</v>
      </c>
      <c r="AF305" t="s">
        <v>599</v>
      </c>
      <c r="AG305" t="s">
        <v>599</v>
      </c>
      <c r="AH305" t="s">
        <v>1205</v>
      </c>
      <c r="AI305" t="s">
        <v>599</v>
      </c>
      <c r="AJ305" t="s">
        <v>599</v>
      </c>
      <c r="AK305" t="s">
        <v>2395</v>
      </c>
      <c r="AL305" t="s">
        <v>1188</v>
      </c>
      <c r="AM305" t="s">
        <v>2396</v>
      </c>
      <c r="AN305" t="s">
        <v>1190</v>
      </c>
      <c r="AO305" t="s">
        <v>599</v>
      </c>
      <c r="AP305" t="s">
        <v>599</v>
      </c>
      <c r="AQ305" t="s">
        <v>599</v>
      </c>
      <c r="AR305" t="s">
        <v>599</v>
      </c>
      <c r="AS305" t="s">
        <v>599</v>
      </c>
      <c r="AT305" t="s">
        <v>599</v>
      </c>
      <c r="AU305" t="s">
        <v>599</v>
      </c>
    </row>
    <row r="306" spans="1:47" s="13" customFormat="1" ht="45" x14ac:dyDescent="0.25">
      <c r="A306" s="9">
        <v>10643</v>
      </c>
      <c r="B306" s="10">
        <v>397821</v>
      </c>
      <c r="C306" s="10">
        <v>1</v>
      </c>
      <c r="D306" s="9">
        <v>293</v>
      </c>
      <c r="E306" s="11" t="s">
        <v>276</v>
      </c>
      <c r="F306" s="11" t="str">
        <f t="shared" si="12"/>
        <v>https://purl.pt/44005</v>
      </c>
      <c r="G306" s="12" t="s">
        <v>277</v>
      </c>
      <c r="H306" s="9" t="s">
        <v>278</v>
      </c>
      <c r="I306" s="34"/>
      <c r="J306" s="55" t="str">
        <f t="shared" si="13"/>
        <v>https://permalinkbnd.bnportugal.gov.pt/viewer/273782/?offset=#page=293&amp;viewer=picture&amp;o=info&amp;n=0&amp;q=</v>
      </c>
      <c r="K306" s="45"/>
      <c r="L306" s="45"/>
      <c r="M306" s="45"/>
      <c r="N306" t="s">
        <v>276</v>
      </c>
      <c r="O306">
        <v>273782</v>
      </c>
      <c r="P306" t="str">
        <f t="shared" si="14"/>
        <v>https://permalinkbnd.bnportugal.gov.pt/viewer/273782/?offset=#page=293&amp;viewer=picture&amp;o=info&amp;n=0&amp;q=</v>
      </c>
      <c r="Q306">
        <v>397821</v>
      </c>
      <c r="R306" t="s">
        <v>276</v>
      </c>
      <c r="S306" t="s">
        <v>2394</v>
      </c>
      <c r="T306" t="s">
        <v>1178</v>
      </c>
      <c r="U306" t="s">
        <v>1192</v>
      </c>
      <c r="V306" t="s">
        <v>599</v>
      </c>
      <c r="W306" t="s">
        <v>1193</v>
      </c>
      <c r="X306" t="s">
        <v>1202</v>
      </c>
      <c r="Y306" t="s">
        <v>599</v>
      </c>
      <c r="Z306" t="s">
        <v>1182</v>
      </c>
      <c r="AA306" t="s">
        <v>1203</v>
      </c>
      <c r="AB306">
        <v>1898</v>
      </c>
      <c r="AC306">
        <v>1898</v>
      </c>
      <c r="AD306" t="s">
        <v>1204</v>
      </c>
      <c r="AE306" t="s">
        <v>1185</v>
      </c>
      <c r="AF306" t="s">
        <v>599</v>
      </c>
      <c r="AG306" t="s">
        <v>599</v>
      </c>
      <c r="AH306" t="s">
        <v>1205</v>
      </c>
      <c r="AI306" t="s">
        <v>599</v>
      </c>
      <c r="AJ306" t="s">
        <v>599</v>
      </c>
      <c r="AK306" t="s">
        <v>2395</v>
      </c>
      <c r="AL306" t="s">
        <v>1188</v>
      </c>
      <c r="AM306" t="s">
        <v>2396</v>
      </c>
      <c r="AN306" t="s">
        <v>1190</v>
      </c>
      <c r="AO306" t="s">
        <v>599</v>
      </c>
      <c r="AP306" t="s">
        <v>599</v>
      </c>
      <c r="AQ306" t="s">
        <v>599</v>
      </c>
      <c r="AR306" t="s">
        <v>599</v>
      </c>
      <c r="AS306" t="s">
        <v>599</v>
      </c>
      <c r="AT306" t="s">
        <v>599</v>
      </c>
      <c r="AU306" t="s">
        <v>599</v>
      </c>
    </row>
    <row r="307" spans="1:47" s="13" customFormat="1" ht="45" x14ac:dyDescent="0.25">
      <c r="A307" s="9">
        <v>10644</v>
      </c>
      <c r="B307" s="10">
        <v>397821</v>
      </c>
      <c r="C307" s="10">
        <v>1</v>
      </c>
      <c r="D307" s="9">
        <v>347</v>
      </c>
      <c r="E307" s="11" t="s">
        <v>276</v>
      </c>
      <c r="F307" s="11" t="str">
        <f t="shared" si="12"/>
        <v>https://purl.pt/44005</v>
      </c>
      <c r="G307" s="12" t="s">
        <v>277</v>
      </c>
      <c r="H307" s="9" t="s">
        <v>278</v>
      </c>
      <c r="I307" s="34"/>
      <c r="J307" s="55" t="str">
        <f t="shared" si="13"/>
        <v>https://permalinkbnd.bnportugal.gov.pt/viewer/273782/?offset=#page=347&amp;viewer=picture&amp;o=info&amp;n=0&amp;q=</v>
      </c>
      <c r="K307" s="45"/>
      <c r="L307" s="45"/>
      <c r="M307" s="45"/>
      <c r="N307" t="s">
        <v>276</v>
      </c>
      <c r="O307">
        <v>273782</v>
      </c>
      <c r="P307" t="str">
        <f t="shared" si="14"/>
        <v>https://permalinkbnd.bnportugal.gov.pt/viewer/273782/?offset=#page=347&amp;viewer=picture&amp;o=info&amp;n=0&amp;q=</v>
      </c>
      <c r="Q307">
        <v>397821</v>
      </c>
      <c r="R307" t="s">
        <v>276</v>
      </c>
      <c r="S307" t="s">
        <v>2394</v>
      </c>
      <c r="T307" t="s">
        <v>1178</v>
      </c>
      <c r="U307" t="s">
        <v>1192</v>
      </c>
      <c r="V307" t="s">
        <v>599</v>
      </c>
      <c r="W307" t="s">
        <v>1193</v>
      </c>
      <c r="X307" t="s">
        <v>1202</v>
      </c>
      <c r="Y307" t="s">
        <v>599</v>
      </c>
      <c r="Z307" t="s">
        <v>1182</v>
      </c>
      <c r="AA307" t="s">
        <v>1203</v>
      </c>
      <c r="AB307">
        <v>1898</v>
      </c>
      <c r="AC307">
        <v>1898</v>
      </c>
      <c r="AD307" t="s">
        <v>1204</v>
      </c>
      <c r="AE307" t="s">
        <v>1185</v>
      </c>
      <c r="AF307" t="s">
        <v>599</v>
      </c>
      <c r="AG307" t="s">
        <v>599</v>
      </c>
      <c r="AH307" t="s">
        <v>1205</v>
      </c>
      <c r="AI307" t="s">
        <v>599</v>
      </c>
      <c r="AJ307" t="s">
        <v>599</v>
      </c>
      <c r="AK307" t="s">
        <v>2395</v>
      </c>
      <c r="AL307" t="s">
        <v>1188</v>
      </c>
      <c r="AM307" t="s">
        <v>2396</v>
      </c>
      <c r="AN307" t="s">
        <v>1190</v>
      </c>
      <c r="AO307" t="s">
        <v>599</v>
      </c>
      <c r="AP307" t="s">
        <v>599</v>
      </c>
      <c r="AQ307" t="s">
        <v>599</v>
      </c>
      <c r="AR307" t="s">
        <v>599</v>
      </c>
      <c r="AS307" t="s">
        <v>599</v>
      </c>
      <c r="AT307" t="s">
        <v>599</v>
      </c>
      <c r="AU307" t="s">
        <v>599</v>
      </c>
    </row>
    <row r="308" spans="1:47" s="13" customFormat="1" ht="45" x14ac:dyDescent="0.25">
      <c r="A308" s="9">
        <v>10645</v>
      </c>
      <c r="B308" s="10">
        <v>397821</v>
      </c>
      <c r="C308" s="10">
        <v>1</v>
      </c>
      <c r="D308" s="9">
        <v>349</v>
      </c>
      <c r="E308" s="11" t="s">
        <v>276</v>
      </c>
      <c r="F308" s="11" t="str">
        <f t="shared" si="12"/>
        <v>https://purl.pt/44005</v>
      </c>
      <c r="G308" s="12" t="s">
        <v>277</v>
      </c>
      <c r="H308" s="9" t="s">
        <v>278</v>
      </c>
      <c r="I308" s="34"/>
      <c r="J308" s="55" t="str">
        <f t="shared" si="13"/>
        <v>https://permalinkbnd.bnportugal.gov.pt/viewer/273782/?offset=#page=349&amp;viewer=picture&amp;o=info&amp;n=0&amp;q=</v>
      </c>
      <c r="K308" s="45"/>
      <c r="L308" s="45"/>
      <c r="M308" s="45"/>
      <c r="N308" t="s">
        <v>276</v>
      </c>
      <c r="O308">
        <v>273782</v>
      </c>
      <c r="P308" t="str">
        <f t="shared" si="14"/>
        <v>https://permalinkbnd.bnportugal.gov.pt/viewer/273782/?offset=#page=349&amp;viewer=picture&amp;o=info&amp;n=0&amp;q=</v>
      </c>
      <c r="Q308">
        <v>397821</v>
      </c>
      <c r="R308" t="s">
        <v>276</v>
      </c>
      <c r="S308" t="s">
        <v>2394</v>
      </c>
      <c r="T308" t="s">
        <v>1178</v>
      </c>
      <c r="U308" t="s">
        <v>1192</v>
      </c>
      <c r="V308" t="s">
        <v>599</v>
      </c>
      <c r="W308" t="s">
        <v>1193</v>
      </c>
      <c r="X308" t="s">
        <v>1202</v>
      </c>
      <c r="Y308" t="s">
        <v>599</v>
      </c>
      <c r="Z308" t="s">
        <v>1182</v>
      </c>
      <c r="AA308" t="s">
        <v>1203</v>
      </c>
      <c r="AB308">
        <v>1898</v>
      </c>
      <c r="AC308">
        <v>1898</v>
      </c>
      <c r="AD308" t="s">
        <v>1204</v>
      </c>
      <c r="AE308" t="s">
        <v>1185</v>
      </c>
      <c r="AF308" t="s">
        <v>599</v>
      </c>
      <c r="AG308" t="s">
        <v>599</v>
      </c>
      <c r="AH308" t="s">
        <v>1205</v>
      </c>
      <c r="AI308" t="s">
        <v>599</v>
      </c>
      <c r="AJ308" t="s">
        <v>599</v>
      </c>
      <c r="AK308" t="s">
        <v>2395</v>
      </c>
      <c r="AL308" t="s">
        <v>1188</v>
      </c>
      <c r="AM308" t="s">
        <v>2396</v>
      </c>
      <c r="AN308" t="s">
        <v>1190</v>
      </c>
      <c r="AO308" t="s">
        <v>599</v>
      </c>
      <c r="AP308" t="s">
        <v>599</v>
      </c>
      <c r="AQ308" t="s">
        <v>599</v>
      </c>
      <c r="AR308" t="s">
        <v>599</v>
      </c>
      <c r="AS308" t="s">
        <v>599</v>
      </c>
      <c r="AT308" t="s">
        <v>599</v>
      </c>
      <c r="AU308" t="s">
        <v>599</v>
      </c>
    </row>
    <row r="309" spans="1:47" s="13" customFormat="1" ht="45" x14ac:dyDescent="0.25">
      <c r="A309" s="9">
        <v>10646</v>
      </c>
      <c r="B309" s="10">
        <v>397821</v>
      </c>
      <c r="C309" s="10">
        <v>1</v>
      </c>
      <c r="D309" s="9">
        <v>399</v>
      </c>
      <c r="E309" s="11" t="s">
        <v>276</v>
      </c>
      <c r="F309" s="11" t="str">
        <f t="shared" si="12"/>
        <v>https://purl.pt/44005</v>
      </c>
      <c r="G309" s="12" t="s">
        <v>277</v>
      </c>
      <c r="H309" s="9" t="s">
        <v>278</v>
      </c>
      <c r="I309" s="34"/>
      <c r="J309" s="55" t="str">
        <f t="shared" si="13"/>
        <v>https://permalinkbnd.bnportugal.gov.pt/viewer/273782/?offset=#page=399&amp;viewer=picture&amp;o=info&amp;n=0&amp;q=</v>
      </c>
      <c r="K309" s="45"/>
      <c r="L309" s="45"/>
      <c r="M309" s="45"/>
      <c r="N309" t="s">
        <v>276</v>
      </c>
      <c r="O309">
        <v>273782</v>
      </c>
      <c r="P309" t="str">
        <f t="shared" si="14"/>
        <v>https://permalinkbnd.bnportugal.gov.pt/viewer/273782/?offset=#page=399&amp;viewer=picture&amp;o=info&amp;n=0&amp;q=</v>
      </c>
      <c r="Q309">
        <v>397821</v>
      </c>
      <c r="R309" t="s">
        <v>276</v>
      </c>
      <c r="S309" t="s">
        <v>2394</v>
      </c>
      <c r="T309" t="s">
        <v>1178</v>
      </c>
      <c r="U309" t="s">
        <v>1192</v>
      </c>
      <c r="V309" t="s">
        <v>599</v>
      </c>
      <c r="W309" t="s">
        <v>1193</v>
      </c>
      <c r="X309" t="s">
        <v>1202</v>
      </c>
      <c r="Y309" t="s">
        <v>599</v>
      </c>
      <c r="Z309" t="s">
        <v>1182</v>
      </c>
      <c r="AA309" t="s">
        <v>1203</v>
      </c>
      <c r="AB309">
        <v>1898</v>
      </c>
      <c r="AC309">
        <v>1898</v>
      </c>
      <c r="AD309" t="s">
        <v>1204</v>
      </c>
      <c r="AE309" t="s">
        <v>1185</v>
      </c>
      <c r="AF309" t="s">
        <v>599</v>
      </c>
      <c r="AG309" t="s">
        <v>599</v>
      </c>
      <c r="AH309" t="s">
        <v>1205</v>
      </c>
      <c r="AI309" t="s">
        <v>599</v>
      </c>
      <c r="AJ309" t="s">
        <v>599</v>
      </c>
      <c r="AK309" t="s">
        <v>2395</v>
      </c>
      <c r="AL309" t="s">
        <v>1188</v>
      </c>
      <c r="AM309" t="s">
        <v>2396</v>
      </c>
      <c r="AN309" t="s">
        <v>1190</v>
      </c>
      <c r="AO309" t="s">
        <v>599</v>
      </c>
      <c r="AP309" t="s">
        <v>599</v>
      </c>
      <c r="AQ309" t="s">
        <v>599</v>
      </c>
      <c r="AR309" t="s">
        <v>599</v>
      </c>
      <c r="AS309" t="s">
        <v>599</v>
      </c>
      <c r="AT309" t="s">
        <v>599</v>
      </c>
      <c r="AU309" t="s">
        <v>599</v>
      </c>
    </row>
    <row r="310" spans="1:47" s="13" customFormat="1" ht="45" x14ac:dyDescent="0.25">
      <c r="A310" s="9">
        <v>10647</v>
      </c>
      <c r="B310" s="10">
        <v>397821</v>
      </c>
      <c r="C310" s="10">
        <v>1</v>
      </c>
      <c r="D310" s="9">
        <v>401</v>
      </c>
      <c r="E310" s="11" t="s">
        <v>276</v>
      </c>
      <c r="F310" s="11" t="str">
        <f t="shared" si="12"/>
        <v>https://purl.pt/44005</v>
      </c>
      <c r="G310" s="12" t="s">
        <v>277</v>
      </c>
      <c r="H310" s="9" t="s">
        <v>278</v>
      </c>
      <c r="I310" s="34"/>
      <c r="J310" s="55" t="str">
        <f t="shared" si="13"/>
        <v>https://permalinkbnd.bnportugal.gov.pt/viewer/273782/?offset=#page=401&amp;viewer=picture&amp;o=info&amp;n=0&amp;q=</v>
      </c>
      <c r="K310" s="45"/>
      <c r="L310" s="45"/>
      <c r="M310" s="45"/>
      <c r="N310" t="s">
        <v>276</v>
      </c>
      <c r="O310">
        <v>273782</v>
      </c>
      <c r="P310" t="str">
        <f t="shared" si="14"/>
        <v>https://permalinkbnd.bnportugal.gov.pt/viewer/273782/?offset=#page=401&amp;viewer=picture&amp;o=info&amp;n=0&amp;q=</v>
      </c>
      <c r="Q310">
        <v>397821</v>
      </c>
      <c r="R310" t="s">
        <v>276</v>
      </c>
      <c r="S310" t="s">
        <v>2394</v>
      </c>
      <c r="T310" t="s">
        <v>1178</v>
      </c>
      <c r="U310" t="s">
        <v>1192</v>
      </c>
      <c r="V310" t="s">
        <v>599</v>
      </c>
      <c r="W310" t="s">
        <v>1193</v>
      </c>
      <c r="X310" t="s">
        <v>1202</v>
      </c>
      <c r="Y310" t="s">
        <v>599</v>
      </c>
      <c r="Z310" t="s">
        <v>1182</v>
      </c>
      <c r="AA310" t="s">
        <v>1203</v>
      </c>
      <c r="AB310">
        <v>1898</v>
      </c>
      <c r="AC310">
        <v>1898</v>
      </c>
      <c r="AD310" t="s">
        <v>1204</v>
      </c>
      <c r="AE310" t="s">
        <v>1185</v>
      </c>
      <c r="AF310" t="s">
        <v>599</v>
      </c>
      <c r="AG310" t="s">
        <v>599</v>
      </c>
      <c r="AH310" t="s">
        <v>1205</v>
      </c>
      <c r="AI310" t="s">
        <v>599</v>
      </c>
      <c r="AJ310" t="s">
        <v>599</v>
      </c>
      <c r="AK310" t="s">
        <v>2395</v>
      </c>
      <c r="AL310" t="s">
        <v>1188</v>
      </c>
      <c r="AM310" t="s">
        <v>2396</v>
      </c>
      <c r="AN310" t="s">
        <v>1190</v>
      </c>
      <c r="AO310" t="s">
        <v>599</v>
      </c>
      <c r="AP310" t="s">
        <v>599</v>
      </c>
      <c r="AQ310" t="s">
        <v>599</v>
      </c>
      <c r="AR310" t="s">
        <v>599</v>
      </c>
      <c r="AS310" t="s">
        <v>599</v>
      </c>
      <c r="AT310" t="s">
        <v>599</v>
      </c>
      <c r="AU310" t="s">
        <v>599</v>
      </c>
    </row>
    <row r="311" spans="1:47" s="13" customFormat="1" ht="45" x14ac:dyDescent="0.25">
      <c r="A311" s="9">
        <v>10648</v>
      </c>
      <c r="B311" s="10">
        <v>397821</v>
      </c>
      <c r="C311" s="10">
        <v>1</v>
      </c>
      <c r="D311" s="9">
        <v>445</v>
      </c>
      <c r="E311" s="11" t="s">
        <v>276</v>
      </c>
      <c r="F311" s="11" t="str">
        <f t="shared" si="12"/>
        <v>https://purl.pt/44005</v>
      </c>
      <c r="G311" s="12" t="s">
        <v>277</v>
      </c>
      <c r="H311" s="9" t="s">
        <v>278</v>
      </c>
      <c r="I311" s="34"/>
      <c r="J311" s="55" t="str">
        <f t="shared" si="13"/>
        <v>https://permalinkbnd.bnportugal.gov.pt/viewer/273782/?offset=#page=445&amp;viewer=picture&amp;o=info&amp;n=0&amp;q=</v>
      </c>
      <c r="K311" s="45"/>
      <c r="L311" s="45"/>
      <c r="M311" s="45"/>
      <c r="N311" t="s">
        <v>276</v>
      </c>
      <c r="O311">
        <v>273782</v>
      </c>
      <c r="P311" t="str">
        <f t="shared" si="14"/>
        <v>https://permalinkbnd.bnportugal.gov.pt/viewer/273782/?offset=#page=445&amp;viewer=picture&amp;o=info&amp;n=0&amp;q=</v>
      </c>
      <c r="Q311">
        <v>397821</v>
      </c>
      <c r="R311" t="s">
        <v>276</v>
      </c>
      <c r="S311" t="s">
        <v>2394</v>
      </c>
      <c r="T311" t="s">
        <v>1178</v>
      </c>
      <c r="U311" t="s">
        <v>1192</v>
      </c>
      <c r="V311" t="s">
        <v>599</v>
      </c>
      <c r="W311" t="s">
        <v>1193</v>
      </c>
      <c r="X311" t="s">
        <v>1202</v>
      </c>
      <c r="Y311" t="s">
        <v>599</v>
      </c>
      <c r="Z311" t="s">
        <v>1182</v>
      </c>
      <c r="AA311" t="s">
        <v>1203</v>
      </c>
      <c r="AB311">
        <v>1898</v>
      </c>
      <c r="AC311">
        <v>1898</v>
      </c>
      <c r="AD311" t="s">
        <v>1204</v>
      </c>
      <c r="AE311" t="s">
        <v>1185</v>
      </c>
      <c r="AF311" t="s">
        <v>599</v>
      </c>
      <c r="AG311" t="s">
        <v>599</v>
      </c>
      <c r="AH311" t="s">
        <v>1205</v>
      </c>
      <c r="AI311" t="s">
        <v>599</v>
      </c>
      <c r="AJ311" t="s">
        <v>599</v>
      </c>
      <c r="AK311" t="s">
        <v>2395</v>
      </c>
      <c r="AL311" t="s">
        <v>1188</v>
      </c>
      <c r="AM311" t="s">
        <v>2396</v>
      </c>
      <c r="AN311" t="s">
        <v>1190</v>
      </c>
      <c r="AO311" t="s">
        <v>599</v>
      </c>
      <c r="AP311" t="s">
        <v>599</v>
      </c>
      <c r="AQ311" t="s">
        <v>599</v>
      </c>
      <c r="AR311" t="s">
        <v>599</v>
      </c>
      <c r="AS311" t="s">
        <v>599</v>
      </c>
      <c r="AT311" t="s">
        <v>599</v>
      </c>
      <c r="AU311" t="s">
        <v>599</v>
      </c>
    </row>
    <row r="312" spans="1:47" s="13" customFormat="1" ht="45" x14ac:dyDescent="0.25">
      <c r="A312" s="9">
        <v>10649</v>
      </c>
      <c r="B312" s="10">
        <v>397821</v>
      </c>
      <c r="C312" s="10">
        <v>1</v>
      </c>
      <c r="D312" s="9">
        <v>447</v>
      </c>
      <c r="E312" s="11" t="s">
        <v>276</v>
      </c>
      <c r="F312" s="11" t="str">
        <f t="shared" si="12"/>
        <v>https://purl.pt/44005</v>
      </c>
      <c r="G312" s="12" t="s">
        <v>277</v>
      </c>
      <c r="H312" s="9" t="s">
        <v>278</v>
      </c>
      <c r="I312" s="34"/>
      <c r="J312" s="55" t="str">
        <f t="shared" si="13"/>
        <v>https://permalinkbnd.bnportugal.gov.pt/viewer/273782/?offset=#page=447&amp;viewer=picture&amp;o=info&amp;n=0&amp;q=</v>
      </c>
      <c r="K312" s="45"/>
      <c r="L312" s="45"/>
      <c r="M312" s="45"/>
      <c r="N312" t="s">
        <v>276</v>
      </c>
      <c r="O312">
        <v>273782</v>
      </c>
      <c r="P312" t="str">
        <f t="shared" si="14"/>
        <v>https://permalinkbnd.bnportugal.gov.pt/viewer/273782/?offset=#page=447&amp;viewer=picture&amp;o=info&amp;n=0&amp;q=</v>
      </c>
      <c r="Q312">
        <v>397821</v>
      </c>
      <c r="R312" t="s">
        <v>276</v>
      </c>
      <c r="S312" t="s">
        <v>2394</v>
      </c>
      <c r="T312" t="s">
        <v>1178</v>
      </c>
      <c r="U312" t="s">
        <v>1192</v>
      </c>
      <c r="V312" t="s">
        <v>599</v>
      </c>
      <c r="W312" t="s">
        <v>1193</v>
      </c>
      <c r="X312" t="s">
        <v>1202</v>
      </c>
      <c r="Y312" t="s">
        <v>599</v>
      </c>
      <c r="Z312" t="s">
        <v>1182</v>
      </c>
      <c r="AA312" t="s">
        <v>1203</v>
      </c>
      <c r="AB312">
        <v>1898</v>
      </c>
      <c r="AC312">
        <v>1898</v>
      </c>
      <c r="AD312" t="s">
        <v>1204</v>
      </c>
      <c r="AE312" t="s">
        <v>1185</v>
      </c>
      <c r="AF312" t="s">
        <v>599</v>
      </c>
      <c r="AG312" t="s">
        <v>599</v>
      </c>
      <c r="AH312" t="s">
        <v>1205</v>
      </c>
      <c r="AI312" t="s">
        <v>599</v>
      </c>
      <c r="AJ312" t="s">
        <v>599</v>
      </c>
      <c r="AK312" t="s">
        <v>2395</v>
      </c>
      <c r="AL312" t="s">
        <v>1188</v>
      </c>
      <c r="AM312" t="s">
        <v>2396</v>
      </c>
      <c r="AN312" t="s">
        <v>1190</v>
      </c>
      <c r="AO312" t="s">
        <v>599</v>
      </c>
      <c r="AP312" t="s">
        <v>599</v>
      </c>
      <c r="AQ312" t="s">
        <v>599</v>
      </c>
      <c r="AR312" t="s">
        <v>599</v>
      </c>
      <c r="AS312" t="s">
        <v>599</v>
      </c>
      <c r="AT312" t="s">
        <v>599</v>
      </c>
      <c r="AU312" t="s">
        <v>599</v>
      </c>
    </row>
    <row r="313" spans="1:47" s="13" customFormat="1" ht="45" x14ac:dyDescent="0.25">
      <c r="A313" s="9">
        <v>10650</v>
      </c>
      <c r="B313" s="10">
        <v>397821</v>
      </c>
      <c r="C313" s="10">
        <v>1</v>
      </c>
      <c r="D313" s="9">
        <v>497</v>
      </c>
      <c r="E313" s="11" t="s">
        <v>276</v>
      </c>
      <c r="F313" s="11" t="str">
        <f t="shared" si="12"/>
        <v>https://purl.pt/44005</v>
      </c>
      <c r="G313" s="12" t="s">
        <v>277</v>
      </c>
      <c r="H313" s="9" t="s">
        <v>278</v>
      </c>
      <c r="I313" s="34"/>
      <c r="J313" s="55" t="str">
        <f t="shared" si="13"/>
        <v>https://permalinkbnd.bnportugal.gov.pt/viewer/273782/?offset=#page=497&amp;viewer=picture&amp;o=info&amp;n=0&amp;q=</v>
      </c>
      <c r="K313" s="45"/>
      <c r="L313" s="45"/>
      <c r="M313" s="45"/>
      <c r="N313" t="s">
        <v>276</v>
      </c>
      <c r="O313">
        <v>273782</v>
      </c>
      <c r="P313" t="str">
        <f t="shared" si="14"/>
        <v>https://permalinkbnd.bnportugal.gov.pt/viewer/273782/?offset=#page=497&amp;viewer=picture&amp;o=info&amp;n=0&amp;q=</v>
      </c>
      <c r="Q313">
        <v>397821</v>
      </c>
      <c r="R313" t="s">
        <v>276</v>
      </c>
      <c r="S313" t="s">
        <v>2394</v>
      </c>
      <c r="T313" t="s">
        <v>1178</v>
      </c>
      <c r="U313" t="s">
        <v>1192</v>
      </c>
      <c r="V313" t="s">
        <v>599</v>
      </c>
      <c r="W313" t="s">
        <v>1193</v>
      </c>
      <c r="X313" t="s">
        <v>1202</v>
      </c>
      <c r="Y313" t="s">
        <v>599</v>
      </c>
      <c r="Z313" t="s">
        <v>1182</v>
      </c>
      <c r="AA313" t="s">
        <v>1203</v>
      </c>
      <c r="AB313">
        <v>1898</v>
      </c>
      <c r="AC313">
        <v>1898</v>
      </c>
      <c r="AD313" t="s">
        <v>1204</v>
      </c>
      <c r="AE313" t="s">
        <v>1185</v>
      </c>
      <c r="AF313" t="s">
        <v>599</v>
      </c>
      <c r="AG313" t="s">
        <v>599</v>
      </c>
      <c r="AH313" t="s">
        <v>1205</v>
      </c>
      <c r="AI313" t="s">
        <v>599</v>
      </c>
      <c r="AJ313" t="s">
        <v>599</v>
      </c>
      <c r="AK313" t="s">
        <v>2395</v>
      </c>
      <c r="AL313" t="s">
        <v>1188</v>
      </c>
      <c r="AM313" t="s">
        <v>2396</v>
      </c>
      <c r="AN313" t="s">
        <v>1190</v>
      </c>
      <c r="AO313" t="s">
        <v>599</v>
      </c>
      <c r="AP313" t="s">
        <v>599</v>
      </c>
      <c r="AQ313" t="s">
        <v>599</v>
      </c>
      <c r="AR313" t="s">
        <v>599</v>
      </c>
      <c r="AS313" t="s">
        <v>599</v>
      </c>
      <c r="AT313" t="s">
        <v>599</v>
      </c>
      <c r="AU313" t="s">
        <v>599</v>
      </c>
    </row>
    <row r="314" spans="1:47" s="13" customFormat="1" ht="45" x14ac:dyDescent="0.25">
      <c r="A314" s="9">
        <v>10651</v>
      </c>
      <c r="B314" s="10">
        <v>397821</v>
      </c>
      <c r="C314" s="10">
        <v>1</v>
      </c>
      <c r="D314" s="9">
        <v>499</v>
      </c>
      <c r="E314" s="11" t="s">
        <v>276</v>
      </c>
      <c r="F314" s="11" t="str">
        <f t="shared" si="12"/>
        <v>https://purl.pt/44005</v>
      </c>
      <c r="G314" s="12" t="s">
        <v>277</v>
      </c>
      <c r="H314" s="9" t="s">
        <v>278</v>
      </c>
      <c r="I314" s="34"/>
      <c r="J314" s="55" t="str">
        <f t="shared" si="13"/>
        <v>https://permalinkbnd.bnportugal.gov.pt/viewer/273782/?offset=#page=499&amp;viewer=picture&amp;o=info&amp;n=0&amp;q=</v>
      </c>
      <c r="K314" s="45"/>
      <c r="L314" s="45"/>
      <c r="M314" s="45"/>
      <c r="N314" t="s">
        <v>276</v>
      </c>
      <c r="O314">
        <v>273782</v>
      </c>
      <c r="P314" t="str">
        <f t="shared" si="14"/>
        <v>https://permalinkbnd.bnportugal.gov.pt/viewer/273782/?offset=#page=499&amp;viewer=picture&amp;o=info&amp;n=0&amp;q=</v>
      </c>
      <c r="Q314">
        <v>397821</v>
      </c>
      <c r="R314" t="s">
        <v>276</v>
      </c>
      <c r="S314" t="s">
        <v>2394</v>
      </c>
      <c r="T314" t="s">
        <v>1178</v>
      </c>
      <c r="U314" t="s">
        <v>1192</v>
      </c>
      <c r="V314" t="s">
        <v>599</v>
      </c>
      <c r="W314" t="s">
        <v>1193</v>
      </c>
      <c r="X314" t="s">
        <v>1202</v>
      </c>
      <c r="Y314" t="s">
        <v>599</v>
      </c>
      <c r="Z314" t="s">
        <v>1182</v>
      </c>
      <c r="AA314" t="s">
        <v>1203</v>
      </c>
      <c r="AB314">
        <v>1898</v>
      </c>
      <c r="AC314">
        <v>1898</v>
      </c>
      <c r="AD314" t="s">
        <v>1204</v>
      </c>
      <c r="AE314" t="s">
        <v>1185</v>
      </c>
      <c r="AF314" t="s">
        <v>599</v>
      </c>
      <c r="AG314" t="s">
        <v>599</v>
      </c>
      <c r="AH314" t="s">
        <v>1205</v>
      </c>
      <c r="AI314" t="s">
        <v>599</v>
      </c>
      <c r="AJ314" t="s">
        <v>599</v>
      </c>
      <c r="AK314" t="s">
        <v>2395</v>
      </c>
      <c r="AL314" t="s">
        <v>1188</v>
      </c>
      <c r="AM314" t="s">
        <v>2396</v>
      </c>
      <c r="AN314" t="s">
        <v>1190</v>
      </c>
      <c r="AO314" t="s">
        <v>599</v>
      </c>
      <c r="AP314" t="s">
        <v>599</v>
      </c>
      <c r="AQ314" t="s">
        <v>599</v>
      </c>
      <c r="AR314" t="s">
        <v>599</v>
      </c>
      <c r="AS314" t="s">
        <v>599</v>
      </c>
      <c r="AT314" t="s">
        <v>599</v>
      </c>
      <c r="AU314" t="s">
        <v>599</v>
      </c>
    </row>
    <row r="315" spans="1:47" s="13" customFormat="1" ht="45" x14ac:dyDescent="0.25">
      <c r="A315" s="9">
        <v>10652</v>
      </c>
      <c r="B315" s="10">
        <v>397821</v>
      </c>
      <c r="C315" s="10">
        <v>1</v>
      </c>
      <c r="D315" s="9">
        <v>547</v>
      </c>
      <c r="E315" s="11" t="s">
        <v>276</v>
      </c>
      <c r="F315" s="11" t="str">
        <f t="shared" si="12"/>
        <v>https://purl.pt/44005</v>
      </c>
      <c r="G315" s="12" t="s">
        <v>277</v>
      </c>
      <c r="H315" s="9" t="s">
        <v>278</v>
      </c>
      <c r="I315" s="34"/>
      <c r="J315" s="55" t="str">
        <f t="shared" si="13"/>
        <v>https://permalinkbnd.bnportugal.gov.pt/viewer/273782/?offset=#page=547&amp;viewer=picture&amp;o=info&amp;n=0&amp;q=</v>
      </c>
      <c r="K315" s="45"/>
      <c r="L315" s="45"/>
      <c r="M315" s="45"/>
      <c r="N315" t="s">
        <v>276</v>
      </c>
      <c r="O315">
        <v>273782</v>
      </c>
      <c r="P315" t="str">
        <f t="shared" si="14"/>
        <v>https://permalinkbnd.bnportugal.gov.pt/viewer/273782/?offset=#page=547&amp;viewer=picture&amp;o=info&amp;n=0&amp;q=</v>
      </c>
      <c r="Q315">
        <v>397821</v>
      </c>
      <c r="R315" t="s">
        <v>276</v>
      </c>
      <c r="S315" t="s">
        <v>2394</v>
      </c>
      <c r="T315" t="s">
        <v>1178</v>
      </c>
      <c r="U315" t="s">
        <v>1192</v>
      </c>
      <c r="V315" t="s">
        <v>599</v>
      </c>
      <c r="W315" t="s">
        <v>1193</v>
      </c>
      <c r="X315" t="s">
        <v>1202</v>
      </c>
      <c r="Y315" t="s">
        <v>599</v>
      </c>
      <c r="Z315" t="s">
        <v>1182</v>
      </c>
      <c r="AA315" t="s">
        <v>1203</v>
      </c>
      <c r="AB315">
        <v>1898</v>
      </c>
      <c r="AC315">
        <v>1898</v>
      </c>
      <c r="AD315" t="s">
        <v>1204</v>
      </c>
      <c r="AE315" t="s">
        <v>1185</v>
      </c>
      <c r="AF315" t="s">
        <v>599</v>
      </c>
      <c r="AG315" t="s">
        <v>599</v>
      </c>
      <c r="AH315" t="s">
        <v>1205</v>
      </c>
      <c r="AI315" t="s">
        <v>599</v>
      </c>
      <c r="AJ315" t="s">
        <v>599</v>
      </c>
      <c r="AK315" t="s">
        <v>2395</v>
      </c>
      <c r="AL315" t="s">
        <v>1188</v>
      </c>
      <c r="AM315" t="s">
        <v>2396</v>
      </c>
      <c r="AN315" t="s">
        <v>1190</v>
      </c>
      <c r="AO315" t="s">
        <v>599</v>
      </c>
      <c r="AP315" t="s">
        <v>599</v>
      </c>
      <c r="AQ315" t="s">
        <v>599</v>
      </c>
      <c r="AR315" t="s">
        <v>599</v>
      </c>
      <c r="AS315" t="s">
        <v>599</v>
      </c>
      <c r="AT315" t="s">
        <v>599</v>
      </c>
      <c r="AU315" t="s">
        <v>599</v>
      </c>
    </row>
    <row r="316" spans="1:47" s="13" customFormat="1" ht="45" x14ac:dyDescent="0.25">
      <c r="A316" s="9">
        <v>10653</v>
      </c>
      <c r="B316" s="10">
        <v>397821</v>
      </c>
      <c r="C316" s="10">
        <v>1</v>
      </c>
      <c r="D316" s="9">
        <v>549</v>
      </c>
      <c r="E316" s="11" t="s">
        <v>276</v>
      </c>
      <c r="F316" s="11" t="str">
        <f t="shared" si="12"/>
        <v>https://purl.pt/44005</v>
      </c>
      <c r="G316" s="12" t="s">
        <v>277</v>
      </c>
      <c r="H316" s="9" t="s">
        <v>278</v>
      </c>
      <c r="I316" s="34"/>
      <c r="J316" s="55" t="str">
        <f t="shared" si="13"/>
        <v>https://permalinkbnd.bnportugal.gov.pt/viewer/273782/?offset=#page=549&amp;viewer=picture&amp;o=info&amp;n=0&amp;q=</v>
      </c>
      <c r="K316" s="45"/>
      <c r="L316" s="45"/>
      <c r="M316" s="45"/>
      <c r="N316" t="s">
        <v>276</v>
      </c>
      <c r="O316">
        <v>273782</v>
      </c>
      <c r="P316" t="str">
        <f t="shared" si="14"/>
        <v>https://permalinkbnd.bnportugal.gov.pt/viewer/273782/?offset=#page=549&amp;viewer=picture&amp;o=info&amp;n=0&amp;q=</v>
      </c>
      <c r="Q316">
        <v>397821</v>
      </c>
      <c r="R316" t="s">
        <v>276</v>
      </c>
      <c r="S316" t="s">
        <v>2394</v>
      </c>
      <c r="T316" t="s">
        <v>1178</v>
      </c>
      <c r="U316" t="s">
        <v>1192</v>
      </c>
      <c r="V316" t="s">
        <v>599</v>
      </c>
      <c r="W316" t="s">
        <v>1193</v>
      </c>
      <c r="X316" t="s">
        <v>1202</v>
      </c>
      <c r="Y316" t="s">
        <v>599</v>
      </c>
      <c r="Z316" t="s">
        <v>1182</v>
      </c>
      <c r="AA316" t="s">
        <v>1203</v>
      </c>
      <c r="AB316">
        <v>1898</v>
      </c>
      <c r="AC316">
        <v>1898</v>
      </c>
      <c r="AD316" t="s">
        <v>1204</v>
      </c>
      <c r="AE316" t="s">
        <v>1185</v>
      </c>
      <c r="AF316" t="s">
        <v>599</v>
      </c>
      <c r="AG316" t="s">
        <v>599</v>
      </c>
      <c r="AH316" t="s">
        <v>1205</v>
      </c>
      <c r="AI316" t="s">
        <v>599</v>
      </c>
      <c r="AJ316" t="s">
        <v>599</v>
      </c>
      <c r="AK316" t="s">
        <v>2395</v>
      </c>
      <c r="AL316" t="s">
        <v>1188</v>
      </c>
      <c r="AM316" t="s">
        <v>2396</v>
      </c>
      <c r="AN316" t="s">
        <v>1190</v>
      </c>
      <c r="AO316" t="s">
        <v>599</v>
      </c>
      <c r="AP316" t="s">
        <v>599</v>
      </c>
      <c r="AQ316" t="s">
        <v>599</v>
      </c>
      <c r="AR316" t="s">
        <v>599</v>
      </c>
      <c r="AS316" t="s">
        <v>599</v>
      </c>
      <c r="AT316" t="s">
        <v>599</v>
      </c>
      <c r="AU316" t="s">
        <v>599</v>
      </c>
    </row>
    <row r="317" spans="1:47" s="13" customFormat="1" ht="75" x14ac:dyDescent="0.25">
      <c r="A317" s="9">
        <v>10655</v>
      </c>
      <c r="B317" s="10">
        <v>2284</v>
      </c>
      <c r="C317" s="10">
        <v>1</v>
      </c>
      <c r="D317" s="9">
        <v>67</v>
      </c>
      <c r="E317" s="11" t="s">
        <v>279</v>
      </c>
      <c r="F317" s="11" t="str">
        <f t="shared" si="12"/>
        <v>https://purl.pt/43957</v>
      </c>
      <c r="G317" s="12" t="s">
        <v>280</v>
      </c>
      <c r="H317" s="9" t="s">
        <v>281</v>
      </c>
      <c r="I317" s="34"/>
      <c r="J317" s="55" t="str">
        <f t="shared" si="13"/>
        <v>https://permalinkbnd.bnportugal.gov.pt/viewer/272627/?offset=#page=67&amp;viewer=picture&amp;o=info&amp;n=0&amp;q=</v>
      </c>
      <c r="K317" s="45"/>
      <c r="L317" s="45"/>
      <c r="M317" s="45"/>
      <c r="N317" t="s">
        <v>279</v>
      </c>
      <c r="O317">
        <v>272627</v>
      </c>
      <c r="P317" t="str">
        <f t="shared" si="14"/>
        <v>https://permalinkbnd.bnportugal.gov.pt/viewer/272627/?offset=#page=67&amp;viewer=picture&amp;o=info&amp;n=0&amp;q=</v>
      </c>
      <c r="Q317">
        <v>2284</v>
      </c>
      <c r="R317" t="s">
        <v>279</v>
      </c>
      <c r="S317" t="s">
        <v>2397</v>
      </c>
      <c r="T317" t="s">
        <v>1178</v>
      </c>
      <c r="U317" t="s">
        <v>1192</v>
      </c>
      <c r="V317" t="s">
        <v>599</v>
      </c>
      <c r="W317" t="s">
        <v>1193</v>
      </c>
      <c r="X317" t="s">
        <v>2398</v>
      </c>
      <c r="Y317" t="s">
        <v>599</v>
      </c>
      <c r="Z317" t="s">
        <v>2399</v>
      </c>
      <c r="AA317" t="s">
        <v>2261</v>
      </c>
      <c r="AB317">
        <v>1960</v>
      </c>
      <c r="AC317">
        <v>1960</v>
      </c>
      <c r="AD317" t="s">
        <v>2400</v>
      </c>
      <c r="AE317" t="s">
        <v>1185</v>
      </c>
      <c r="AF317" t="s">
        <v>599</v>
      </c>
      <c r="AG317" t="s">
        <v>599</v>
      </c>
      <c r="AH317" t="s">
        <v>2401</v>
      </c>
      <c r="AI317" t="s">
        <v>599</v>
      </c>
      <c r="AJ317" t="s">
        <v>599</v>
      </c>
      <c r="AK317" t="s">
        <v>2402</v>
      </c>
      <c r="AL317" t="s">
        <v>1188</v>
      </c>
      <c r="AM317" t="s">
        <v>2403</v>
      </c>
      <c r="AN317" t="s">
        <v>1190</v>
      </c>
      <c r="AO317" t="s">
        <v>599</v>
      </c>
      <c r="AP317" t="s">
        <v>599</v>
      </c>
      <c r="AQ317" t="s">
        <v>599</v>
      </c>
      <c r="AR317" t="s">
        <v>599</v>
      </c>
      <c r="AS317" t="s">
        <v>599</v>
      </c>
      <c r="AT317" t="s">
        <v>599</v>
      </c>
      <c r="AU317" t="s">
        <v>599</v>
      </c>
    </row>
    <row r="318" spans="1:47" s="13" customFormat="1" ht="75" x14ac:dyDescent="0.25">
      <c r="A318" s="9">
        <v>10656</v>
      </c>
      <c r="B318" s="10">
        <v>2284</v>
      </c>
      <c r="C318" s="10">
        <v>1</v>
      </c>
      <c r="D318" s="9">
        <v>71</v>
      </c>
      <c r="E318" s="11" t="s">
        <v>279</v>
      </c>
      <c r="F318" s="11" t="str">
        <f t="shared" si="12"/>
        <v>https://purl.pt/43957</v>
      </c>
      <c r="G318" s="12" t="s">
        <v>280</v>
      </c>
      <c r="H318" s="9" t="s">
        <v>281</v>
      </c>
      <c r="I318" s="34"/>
      <c r="J318" s="55" t="str">
        <f t="shared" si="13"/>
        <v>https://permalinkbnd.bnportugal.gov.pt/viewer/272627/?offset=#page=71&amp;viewer=picture&amp;o=info&amp;n=0&amp;q=</v>
      </c>
      <c r="K318" s="45"/>
      <c r="L318" s="45"/>
      <c r="M318" s="45"/>
      <c r="N318" t="s">
        <v>279</v>
      </c>
      <c r="O318">
        <v>272627</v>
      </c>
      <c r="P318" t="str">
        <f t="shared" si="14"/>
        <v>https://permalinkbnd.bnportugal.gov.pt/viewer/272627/?offset=#page=71&amp;viewer=picture&amp;o=info&amp;n=0&amp;q=</v>
      </c>
      <c r="Q318">
        <v>2284</v>
      </c>
      <c r="R318" t="s">
        <v>279</v>
      </c>
      <c r="S318" t="s">
        <v>2397</v>
      </c>
      <c r="T318" t="s">
        <v>1178</v>
      </c>
      <c r="U318" t="s">
        <v>1192</v>
      </c>
      <c r="V318" t="s">
        <v>599</v>
      </c>
      <c r="W318" t="s">
        <v>1193</v>
      </c>
      <c r="X318" t="s">
        <v>2398</v>
      </c>
      <c r="Y318" t="s">
        <v>599</v>
      </c>
      <c r="Z318" t="s">
        <v>2399</v>
      </c>
      <c r="AA318" t="s">
        <v>2261</v>
      </c>
      <c r="AB318">
        <v>1960</v>
      </c>
      <c r="AC318">
        <v>1960</v>
      </c>
      <c r="AD318" t="s">
        <v>2400</v>
      </c>
      <c r="AE318" t="s">
        <v>1185</v>
      </c>
      <c r="AF318" t="s">
        <v>599</v>
      </c>
      <c r="AG318" t="s">
        <v>599</v>
      </c>
      <c r="AH318" t="s">
        <v>2401</v>
      </c>
      <c r="AI318" t="s">
        <v>599</v>
      </c>
      <c r="AJ318" t="s">
        <v>599</v>
      </c>
      <c r="AK318" t="s">
        <v>2402</v>
      </c>
      <c r="AL318" t="s">
        <v>1188</v>
      </c>
      <c r="AM318" t="s">
        <v>2403</v>
      </c>
      <c r="AN318" t="s">
        <v>1190</v>
      </c>
      <c r="AO318" t="s">
        <v>599</v>
      </c>
      <c r="AP318" t="s">
        <v>599</v>
      </c>
      <c r="AQ318" t="s">
        <v>599</v>
      </c>
      <c r="AR318" t="s">
        <v>599</v>
      </c>
      <c r="AS318" t="s">
        <v>599</v>
      </c>
      <c r="AT318" t="s">
        <v>599</v>
      </c>
      <c r="AU318" t="s">
        <v>599</v>
      </c>
    </row>
    <row r="319" spans="1:47" s="13" customFormat="1" ht="75" x14ac:dyDescent="0.25">
      <c r="A319" s="9">
        <v>10657</v>
      </c>
      <c r="B319" s="10">
        <v>2284</v>
      </c>
      <c r="C319" s="10">
        <v>1</v>
      </c>
      <c r="D319" s="9">
        <v>101</v>
      </c>
      <c r="E319" s="11" t="s">
        <v>279</v>
      </c>
      <c r="F319" s="11" t="str">
        <f t="shared" si="12"/>
        <v>https://purl.pt/43957</v>
      </c>
      <c r="G319" s="12" t="s">
        <v>280</v>
      </c>
      <c r="H319" s="9" t="s">
        <v>281</v>
      </c>
      <c r="I319" s="34"/>
      <c r="J319" s="55" t="str">
        <f t="shared" si="13"/>
        <v>https://permalinkbnd.bnportugal.gov.pt/viewer/272627/?offset=#page=101&amp;viewer=picture&amp;o=info&amp;n=0&amp;q=</v>
      </c>
      <c r="K319" s="45"/>
      <c r="L319" s="45"/>
      <c r="M319" s="45"/>
      <c r="N319" t="s">
        <v>279</v>
      </c>
      <c r="O319">
        <v>272627</v>
      </c>
      <c r="P319" t="str">
        <f t="shared" si="14"/>
        <v>https://permalinkbnd.bnportugal.gov.pt/viewer/272627/?offset=#page=101&amp;viewer=picture&amp;o=info&amp;n=0&amp;q=</v>
      </c>
      <c r="Q319">
        <v>2284</v>
      </c>
      <c r="R319" t="s">
        <v>279</v>
      </c>
      <c r="S319" t="s">
        <v>2397</v>
      </c>
      <c r="T319" t="s">
        <v>1178</v>
      </c>
      <c r="U319" t="s">
        <v>1192</v>
      </c>
      <c r="V319" t="s">
        <v>599</v>
      </c>
      <c r="W319" t="s">
        <v>1193</v>
      </c>
      <c r="X319" t="s">
        <v>2398</v>
      </c>
      <c r="Y319" t="s">
        <v>599</v>
      </c>
      <c r="Z319" t="s">
        <v>2399</v>
      </c>
      <c r="AA319" t="s">
        <v>2261</v>
      </c>
      <c r="AB319">
        <v>1960</v>
      </c>
      <c r="AC319">
        <v>1960</v>
      </c>
      <c r="AD319" t="s">
        <v>2400</v>
      </c>
      <c r="AE319" t="s">
        <v>1185</v>
      </c>
      <c r="AF319" t="s">
        <v>599</v>
      </c>
      <c r="AG319" t="s">
        <v>599</v>
      </c>
      <c r="AH319" t="s">
        <v>2401</v>
      </c>
      <c r="AI319" t="s">
        <v>599</v>
      </c>
      <c r="AJ319" t="s">
        <v>599</v>
      </c>
      <c r="AK319" t="s">
        <v>2402</v>
      </c>
      <c r="AL319" t="s">
        <v>1188</v>
      </c>
      <c r="AM319" t="s">
        <v>2403</v>
      </c>
      <c r="AN319" t="s">
        <v>1190</v>
      </c>
      <c r="AO319" t="s">
        <v>599</v>
      </c>
      <c r="AP319" t="s">
        <v>599</v>
      </c>
      <c r="AQ319" t="s">
        <v>599</v>
      </c>
      <c r="AR319" t="s">
        <v>599</v>
      </c>
      <c r="AS319" t="s">
        <v>599</v>
      </c>
      <c r="AT319" t="s">
        <v>599</v>
      </c>
      <c r="AU319" t="s">
        <v>599</v>
      </c>
    </row>
    <row r="320" spans="1:47" s="13" customFormat="1" ht="75" x14ac:dyDescent="0.25">
      <c r="A320" s="9">
        <v>10658</v>
      </c>
      <c r="B320" s="10">
        <v>2284</v>
      </c>
      <c r="C320" s="10">
        <v>1</v>
      </c>
      <c r="D320" s="9">
        <v>133</v>
      </c>
      <c r="E320" s="11" t="s">
        <v>279</v>
      </c>
      <c r="F320" s="11" t="str">
        <f t="shared" si="12"/>
        <v>https://purl.pt/43957</v>
      </c>
      <c r="G320" s="12" t="s">
        <v>280</v>
      </c>
      <c r="H320" s="9" t="s">
        <v>281</v>
      </c>
      <c r="I320" s="34"/>
      <c r="J320" s="55" t="str">
        <f t="shared" si="13"/>
        <v>https://permalinkbnd.bnportugal.gov.pt/viewer/272627/?offset=#page=133&amp;viewer=picture&amp;o=info&amp;n=0&amp;q=</v>
      </c>
      <c r="K320" s="45"/>
      <c r="L320" s="45"/>
      <c r="M320" s="45"/>
      <c r="N320" t="s">
        <v>279</v>
      </c>
      <c r="O320">
        <v>272627</v>
      </c>
      <c r="P320" t="str">
        <f t="shared" si="14"/>
        <v>https://permalinkbnd.bnportugal.gov.pt/viewer/272627/?offset=#page=133&amp;viewer=picture&amp;o=info&amp;n=0&amp;q=</v>
      </c>
      <c r="Q320">
        <v>2284</v>
      </c>
      <c r="R320" t="s">
        <v>279</v>
      </c>
      <c r="S320" t="s">
        <v>2397</v>
      </c>
      <c r="T320" t="s">
        <v>1178</v>
      </c>
      <c r="U320" t="s">
        <v>1192</v>
      </c>
      <c r="V320" t="s">
        <v>599</v>
      </c>
      <c r="W320" t="s">
        <v>1193</v>
      </c>
      <c r="X320" t="s">
        <v>2398</v>
      </c>
      <c r="Y320" t="s">
        <v>599</v>
      </c>
      <c r="Z320" t="s">
        <v>2399</v>
      </c>
      <c r="AA320" t="s">
        <v>2261</v>
      </c>
      <c r="AB320">
        <v>1960</v>
      </c>
      <c r="AC320">
        <v>1960</v>
      </c>
      <c r="AD320" t="s">
        <v>2400</v>
      </c>
      <c r="AE320" t="s">
        <v>1185</v>
      </c>
      <c r="AF320" t="s">
        <v>599</v>
      </c>
      <c r="AG320" t="s">
        <v>599</v>
      </c>
      <c r="AH320" t="s">
        <v>2401</v>
      </c>
      <c r="AI320" t="s">
        <v>599</v>
      </c>
      <c r="AJ320" t="s">
        <v>599</v>
      </c>
      <c r="AK320" t="s">
        <v>2402</v>
      </c>
      <c r="AL320" t="s">
        <v>1188</v>
      </c>
      <c r="AM320" t="s">
        <v>2403</v>
      </c>
      <c r="AN320" t="s">
        <v>1190</v>
      </c>
      <c r="AO320" t="s">
        <v>599</v>
      </c>
      <c r="AP320" t="s">
        <v>599</v>
      </c>
      <c r="AQ320" t="s">
        <v>599</v>
      </c>
      <c r="AR320" t="s">
        <v>599</v>
      </c>
      <c r="AS320" t="s">
        <v>599</v>
      </c>
      <c r="AT320" t="s">
        <v>599</v>
      </c>
      <c r="AU320" t="s">
        <v>599</v>
      </c>
    </row>
    <row r="321" spans="1:47" s="13" customFormat="1" ht="75" x14ac:dyDescent="0.25">
      <c r="A321" s="9">
        <v>10659</v>
      </c>
      <c r="B321" s="10">
        <v>2284</v>
      </c>
      <c r="C321" s="10">
        <v>1</v>
      </c>
      <c r="D321" s="9">
        <v>173</v>
      </c>
      <c r="E321" s="11" t="s">
        <v>279</v>
      </c>
      <c r="F321" s="11" t="str">
        <f t="shared" si="12"/>
        <v>https://purl.pt/43957</v>
      </c>
      <c r="G321" s="12" t="s">
        <v>280</v>
      </c>
      <c r="H321" s="9" t="s">
        <v>281</v>
      </c>
      <c r="I321" s="34"/>
      <c r="J321" s="55" t="str">
        <f t="shared" si="13"/>
        <v>https://permalinkbnd.bnportugal.gov.pt/viewer/272627/?offset=#page=173&amp;viewer=picture&amp;o=info&amp;n=0&amp;q=</v>
      </c>
      <c r="K321" s="45"/>
      <c r="L321" s="45"/>
      <c r="M321" s="45"/>
      <c r="N321" t="s">
        <v>279</v>
      </c>
      <c r="O321">
        <v>272627</v>
      </c>
      <c r="P321" t="str">
        <f t="shared" si="14"/>
        <v>https://permalinkbnd.bnportugal.gov.pt/viewer/272627/?offset=#page=173&amp;viewer=picture&amp;o=info&amp;n=0&amp;q=</v>
      </c>
      <c r="Q321">
        <v>2284</v>
      </c>
      <c r="R321" t="s">
        <v>279</v>
      </c>
      <c r="S321" t="s">
        <v>2397</v>
      </c>
      <c r="T321" t="s">
        <v>1178</v>
      </c>
      <c r="U321" t="s">
        <v>1192</v>
      </c>
      <c r="V321" t="s">
        <v>599</v>
      </c>
      <c r="W321" t="s">
        <v>1193</v>
      </c>
      <c r="X321" t="s">
        <v>2398</v>
      </c>
      <c r="Y321" t="s">
        <v>599</v>
      </c>
      <c r="Z321" t="s">
        <v>2399</v>
      </c>
      <c r="AA321" t="s">
        <v>2261</v>
      </c>
      <c r="AB321">
        <v>1960</v>
      </c>
      <c r="AC321">
        <v>1960</v>
      </c>
      <c r="AD321" t="s">
        <v>2400</v>
      </c>
      <c r="AE321" t="s">
        <v>1185</v>
      </c>
      <c r="AF321" t="s">
        <v>599</v>
      </c>
      <c r="AG321" t="s">
        <v>599</v>
      </c>
      <c r="AH321" t="s">
        <v>2401</v>
      </c>
      <c r="AI321" t="s">
        <v>599</v>
      </c>
      <c r="AJ321" t="s">
        <v>599</v>
      </c>
      <c r="AK321" t="s">
        <v>2402</v>
      </c>
      <c r="AL321" t="s">
        <v>1188</v>
      </c>
      <c r="AM321" t="s">
        <v>2403</v>
      </c>
      <c r="AN321" t="s">
        <v>1190</v>
      </c>
      <c r="AO321" t="s">
        <v>599</v>
      </c>
      <c r="AP321" t="s">
        <v>599</v>
      </c>
      <c r="AQ321" t="s">
        <v>599</v>
      </c>
      <c r="AR321" t="s">
        <v>599</v>
      </c>
      <c r="AS321" t="s">
        <v>599</v>
      </c>
      <c r="AT321" t="s">
        <v>599</v>
      </c>
      <c r="AU321" t="s">
        <v>599</v>
      </c>
    </row>
    <row r="322" spans="1:47" s="13" customFormat="1" ht="75" x14ac:dyDescent="0.25">
      <c r="A322" s="9">
        <v>10660</v>
      </c>
      <c r="B322" s="10">
        <v>2284</v>
      </c>
      <c r="C322" s="10">
        <v>1</v>
      </c>
      <c r="D322" s="9">
        <v>203</v>
      </c>
      <c r="E322" s="11" t="s">
        <v>279</v>
      </c>
      <c r="F322" s="11" t="str">
        <f t="shared" si="12"/>
        <v>https://purl.pt/43957</v>
      </c>
      <c r="G322" s="12" t="s">
        <v>280</v>
      </c>
      <c r="H322" s="9" t="s">
        <v>281</v>
      </c>
      <c r="I322" s="34"/>
      <c r="J322" s="55" t="str">
        <f t="shared" si="13"/>
        <v>https://permalinkbnd.bnportugal.gov.pt/viewer/272627/?offset=#page=203&amp;viewer=picture&amp;o=info&amp;n=0&amp;q=</v>
      </c>
      <c r="K322" s="45"/>
      <c r="L322" s="45"/>
      <c r="M322" s="45"/>
      <c r="N322" t="s">
        <v>279</v>
      </c>
      <c r="O322">
        <v>272627</v>
      </c>
      <c r="P322" t="str">
        <f t="shared" si="14"/>
        <v>https://permalinkbnd.bnportugal.gov.pt/viewer/272627/?offset=#page=203&amp;viewer=picture&amp;o=info&amp;n=0&amp;q=</v>
      </c>
      <c r="Q322">
        <v>2284</v>
      </c>
      <c r="R322" t="s">
        <v>279</v>
      </c>
      <c r="S322" t="s">
        <v>2397</v>
      </c>
      <c r="T322" t="s">
        <v>1178</v>
      </c>
      <c r="U322" t="s">
        <v>1192</v>
      </c>
      <c r="V322" t="s">
        <v>599</v>
      </c>
      <c r="W322" t="s">
        <v>1193</v>
      </c>
      <c r="X322" t="s">
        <v>2398</v>
      </c>
      <c r="Y322" t="s">
        <v>599</v>
      </c>
      <c r="Z322" t="s">
        <v>2399</v>
      </c>
      <c r="AA322" t="s">
        <v>2261</v>
      </c>
      <c r="AB322">
        <v>1960</v>
      </c>
      <c r="AC322">
        <v>1960</v>
      </c>
      <c r="AD322" t="s">
        <v>2400</v>
      </c>
      <c r="AE322" t="s">
        <v>1185</v>
      </c>
      <c r="AF322" t="s">
        <v>599</v>
      </c>
      <c r="AG322" t="s">
        <v>599</v>
      </c>
      <c r="AH322" t="s">
        <v>2401</v>
      </c>
      <c r="AI322" t="s">
        <v>599</v>
      </c>
      <c r="AJ322" t="s">
        <v>599</v>
      </c>
      <c r="AK322" t="s">
        <v>2402</v>
      </c>
      <c r="AL322" t="s">
        <v>1188</v>
      </c>
      <c r="AM322" t="s">
        <v>2403</v>
      </c>
      <c r="AN322" t="s">
        <v>1190</v>
      </c>
      <c r="AO322" t="s">
        <v>599</v>
      </c>
      <c r="AP322" t="s">
        <v>599</v>
      </c>
      <c r="AQ322" t="s">
        <v>599</v>
      </c>
      <c r="AR322" t="s">
        <v>599</v>
      </c>
      <c r="AS322" t="s">
        <v>599</v>
      </c>
      <c r="AT322" t="s">
        <v>599</v>
      </c>
      <c r="AU322" t="s">
        <v>599</v>
      </c>
    </row>
    <row r="323" spans="1:47" s="13" customFormat="1" ht="75" x14ac:dyDescent="0.25">
      <c r="A323" s="9">
        <v>10661</v>
      </c>
      <c r="B323" s="10">
        <v>2284</v>
      </c>
      <c r="C323" s="10">
        <v>1</v>
      </c>
      <c r="D323" s="9">
        <v>231</v>
      </c>
      <c r="E323" s="11" t="s">
        <v>279</v>
      </c>
      <c r="F323" s="11" t="str">
        <f t="shared" ref="F323:F386" si="15">HYPERLINK(E323)</f>
        <v>https://purl.pt/43957</v>
      </c>
      <c r="G323" s="12" t="s">
        <v>280</v>
      </c>
      <c r="H323" s="9" t="s">
        <v>281</v>
      </c>
      <c r="I323" s="34"/>
      <c r="J323" s="55" t="str">
        <f t="shared" ref="J323:J386" si="16">HYPERLINK(P323)</f>
        <v>https://permalinkbnd.bnportugal.gov.pt/viewer/272627/?offset=#page=231&amp;viewer=picture&amp;o=info&amp;n=0&amp;q=</v>
      </c>
      <c r="K323" s="45"/>
      <c r="L323" s="45"/>
      <c r="M323" s="45"/>
      <c r="N323" t="s">
        <v>279</v>
      </c>
      <c r="O323">
        <v>272627</v>
      </c>
      <c r="P323" t="str">
        <f t="shared" ref="P323:P386" si="17">CONCATENATE("https://permalinkbnd.bnportugal.gov.pt/viewer/",O323,"/?offset=#page=",D323,"&amp;viewer=picture&amp;o=info&amp;n=0&amp;q=")</f>
        <v>https://permalinkbnd.bnportugal.gov.pt/viewer/272627/?offset=#page=231&amp;viewer=picture&amp;o=info&amp;n=0&amp;q=</v>
      </c>
      <c r="Q323">
        <v>2284</v>
      </c>
      <c r="R323" t="s">
        <v>279</v>
      </c>
      <c r="S323" t="s">
        <v>2397</v>
      </c>
      <c r="T323" t="s">
        <v>1178</v>
      </c>
      <c r="U323" t="s">
        <v>1192</v>
      </c>
      <c r="V323" t="s">
        <v>599</v>
      </c>
      <c r="W323" t="s">
        <v>1193</v>
      </c>
      <c r="X323" t="s">
        <v>2398</v>
      </c>
      <c r="Y323" t="s">
        <v>599</v>
      </c>
      <c r="Z323" t="s">
        <v>2399</v>
      </c>
      <c r="AA323" t="s">
        <v>2261</v>
      </c>
      <c r="AB323">
        <v>1960</v>
      </c>
      <c r="AC323">
        <v>1960</v>
      </c>
      <c r="AD323" t="s">
        <v>2400</v>
      </c>
      <c r="AE323" t="s">
        <v>1185</v>
      </c>
      <c r="AF323" t="s">
        <v>599</v>
      </c>
      <c r="AG323" t="s">
        <v>599</v>
      </c>
      <c r="AH323" t="s">
        <v>2401</v>
      </c>
      <c r="AI323" t="s">
        <v>599</v>
      </c>
      <c r="AJ323" t="s">
        <v>599</v>
      </c>
      <c r="AK323" t="s">
        <v>2402</v>
      </c>
      <c r="AL323" t="s">
        <v>1188</v>
      </c>
      <c r="AM323" t="s">
        <v>2403</v>
      </c>
      <c r="AN323" t="s">
        <v>1190</v>
      </c>
      <c r="AO323" t="s">
        <v>599</v>
      </c>
      <c r="AP323" t="s">
        <v>599</v>
      </c>
      <c r="AQ323" t="s">
        <v>599</v>
      </c>
      <c r="AR323" t="s">
        <v>599</v>
      </c>
      <c r="AS323" t="s">
        <v>599</v>
      </c>
      <c r="AT323" t="s">
        <v>599</v>
      </c>
      <c r="AU323" t="s">
        <v>599</v>
      </c>
    </row>
    <row r="324" spans="1:47" s="13" customFormat="1" ht="75" x14ac:dyDescent="0.25">
      <c r="A324" s="9">
        <v>10662</v>
      </c>
      <c r="B324" s="10">
        <v>2284</v>
      </c>
      <c r="C324" s="10">
        <v>1</v>
      </c>
      <c r="D324" s="9">
        <v>259</v>
      </c>
      <c r="E324" s="11" t="s">
        <v>279</v>
      </c>
      <c r="F324" s="11" t="str">
        <f t="shared" si="15"/>
        <v>https://purl.pt/43957</v>
      </c>
      <c r="G324" s="12" t="s">
        <v>280</v>
      </c>
      <c r="H324" s="9" t="s">
        <v>281</v>
      </c>
      <c r="I324" s="34"/>
      <c r="J324" s="55" t="str">
        <f t="shared" si="16"/>
        <v>https://permalinkbnd.bnportugal.gov.pt/viewer/272627/?offset=#page=259&amp;viewer=picture&amp;o=info&amp;n=0&amp;q=</v>
      </c>
      <c r="K324" s="45"/>
      <c r="L324" s="45"/>
      <c r="M324" s="45"/>
      <c r="N324" t="s">
        <v>279</v>
      </c>
      <c r="O324">
        <v>272627</v>
      </c>
      <c r="P324" t="str">
        <f t="shared" si="17"/>
        <v>https://permalinkbnd.bnportugal.gov.pt/viewer/272627/?offset=#page=259&amp;viewer=picture&amp;o=info&amp;n=0&amp;q=</v>
      </c>
      <c r="Q324">
        <v>2284</v>
      </c>
      <c r="R324" t="s">
        <v>279</v>
      </c>
      <c r="S324" t="s">
        <v>2397</v>
      </c>
      <c r="T324" t="s">
        <v>1178</v>
      </c>
      <c r="U324" t="s">
        <v>1192</v>
      </c>
      <c r="V324" t="s">
        <v>599</v>
      </c>
      <c r="W324" t="s">
        <v>1193</v>
      </c>
      <c r="X324" t="s">
        <v>2398</v>
      </c>
      <c r="Y324" t="s">
        <v>599</v>
      </c>
      <c r="Z324" t="s">
        <v>2399</v>
      </c>
      <c r="AA324" t="s">
        <v>2261</v>
      </c>
      <c r="AB324">
        <v>1960</v>
      </c>
      <c r="AC324">
        <v>1960</v>
      </c>
      <c r="AD324" t="s">
        <v>2400</v>
      </c>
      <c r="AE324" t="s">
        <v>1185</v>
      </c>
      <c r="AF324" t="s">
        <v>599</v>
      </c>
      <c r="AG324" t="s">
        <v>599</v>
      </c>
      <c r="AH324" t="s">
        <v>2401</v>
      </c>
      <c r="AI324" t="s">
        <v>599</v>
      </c>
      <c r="AJ324" t="s">
        <v>599</v>
      </c>
      <c r="AK324" t="s">
        <v>2402</v>
      </c>
      <c r="AL324" t="s">
        <v>1188</v>
      </c>
      <c r="AM324" t="s">
        <v>2403</v>
      </c>
      <c r="AN324" t="s">
        <v>1190</v>
      </c>
      <c r="AO324" t="s">
        <v>599</v>
      </c>
      <c r="AP324" t="s">
        <v>599</v>
      </c>
      <c r="AQ324" t="s">
        <v>599</v>
      </c>
      <c r="AR324" t="s">
        <v>599</v>
      </c>
      <c r="AS324" t="s">
        <v>599</v>
      </c>
      <c r="AT324" t="s">
        <v>599</v>
      </c>
      <c r="AU324" t="s">
        <v>599</v>
      </c>
    </row>
    <row r="325" spans="1:47" s="13" customFormat="1" ht="75" x14ac:dyDescent="0.25">
      <c r="A325" s="9">
        <v>10663</v>
      </c>
      <c r="B325" s="10">
        <v>2284</v>
      </c>
      <c r="C325" s="10">
        <v>1</v>
      </c>
      <c r="D325" s="9">
        <v>285</v>
      </c>
      <c r="E325" s="11" t="s">
        <v>279</v>
      </c>
      <c r="F325" s="11" t="str">
        <f t="shared" si="15"/>
        <v>https://purl.pt/43957</v>
      </c>
      <c r="G325" s="12" t="s">
        <v>280</v>
      </c>
      <c r="H325" s="9" t="s">
        <v>281</v>
      </c>
      <c r="I325" s="34"/>
      <c r="J325" s="55" t="str">
        <f t="shared" si="16"/>
        <v>https://permalinkbnd.bnportugal.gov.pt/viewer/272627/?offset=#page=285&amp;viewer=picture&amp;o=info&amp;n=0&amp;q=</v>
      </c>
      <c r="K325" s="45"/>
      <c r="L325" s="45"/>
      <c r="M325" s="45"/>
      <c r="N325" t="s">
        <v>279</v>
      </c>
      <c r="O325">
        <v>272627</v>
      </c>
      <c r="P325" t="str">
        <f t="shared" si="17"/>
        <v>https://permalinkbnd.bnportugal.gov.pt/viewer/272627/?offset=#page=285&amp;viewer=picture&amp;o=info&amp;n=0&amp;q=</v>
      </c>
      <c r="Q325">
        <v>2284</v>
      </c>
      <c r="R325" t="s">
        <v>279</v>
      </c>
      <c r="S325" t="s">
        <v>2397</v>
      </c>
      <c r="T325" t="s">
        <v>1178</v>
      </c>
      <c r="U325" t="s">
        <v>1192</v>
      </c>
      <c r="V325" t="s">
        <v>599</v>
      </c>
      <c r="W325" t="s">
        <v>1193</v>
      </c>
      <c r="X325" t="s">
        <v>2398</v>
      </c>
      <c r="Y325" t="s">
        <v>599</v>
      </c>
      <c r="Z325" t="s">
        <v>2399</v>
      </c>
      <c r="AA325" t="s">
        <v>2261</v>
      </c>
      <c r="AB325">
        <v>1960</v>
      </c>
      <c r="AC325">
        <v>1960</v>
      </c>
      <c r="AD325" t="s">
        <v>2400</v>
      </c>
      <c r="AE325" t="s">
        <v>1185</v>
      </c>
      <c r="AF325" t="s">
        <v>599</v>
      </c>
      <c r="AG325" t="s">
        <v>599</v>
      </c>
      <c r="AH325" t="s">
        <v>2401</v>
      </c>
      <c r="AI325" t="s">
        <v>599</v>
      </c>
      <c r="AJ325" t="s">
        <v>599</v>
      </c>
      <c r="AK325" t="s">
        <v>2402</v>
      </c>
      <c r="AL325" t="s">
        <v>1188</v>
      </c>
      <c r="AM325" t="s">
        <v>2403</v>
      </c>
      <c r="AN325" t="s">
        <v>1190</v>
      </c>
      <c r="AO325" t="s">
        <v>599</v>
      </c>
      <c r="AP325" t="s">
        <v>599</v>
      </c>
      <c r="AQ325" t="s">
        <v>599</v>
      </c>
      <c r="AR325" t="s">
        <v>599</v>
      </c>
      <c r="AS325" t="s">
        <v>599</v>
      </c>
      <c r="AT325" t="s">
        <v>599</v>
      </c>
      <c r="AU325" t="s">
        <v>599</v>
      </c>
    </row>
    <row r="326" spans="1:47" s="13" customFormat="1" ht="75" x14ac:dyDescent="0.25">
      <c r="A326" s="9">
        <v>10664</v>
      </c>
      <c r="B326" s="10">
        <v>2284</v>
      </c>
      <c r="C326" s="10">
        <v>1</v>
      </c>
      <c r="D326" s="9">
        <v>313</v>
      </c>
      <c r="E326" s="11" t="s">
        <v>279</v>
      </c>
      <c r="F326" s="11" t="str">
        <f t="shared" si="15"/>
        <v>https://purl.pt/43957</v>
      </c>
      <c r="G326" s="12" t="s">
        <v>280</v>
      </c>
      <c r="H326" s="9" t="s">
        <v>281</v>
      </c>
      <c r="I326" s="34"/>
      <c r="J326" s="55" t="str">
        <f t="shared" si="16"/>
        <v>https://permalinkbnd.bnportugal.gov.pt/viewer/272627/?offset=#page=313&amp;viewer=picture&amp;o=info&amp;n=0&amp;q=</v>
      </c>
      <c r="K326" s="45"/>
      <c r="L326" s="45"/>
      <c r="M326" s="45"/>
      <c r="N326" t="s">
        <v>279</v>
      </c>
      <c r="O326">
        <v>272627</v>
      </c>
      <c r="P326" t="str">
        <f t="shared" si="17"/>
        <v>https://permalinkbnd.bnportugal.gov.pt/viewer/272627/?offset=#page=313&amp;viewer=picture&amp;o=info&amp;n=0&amp;q=</v>
      </c>
      <c r="Q326">
        <v>2284</v>
      </c>
      <c r="R326" t="s">
        <v>279</v>
      </c>
      <c r="S326" t="s">
        <v>2397</v>
      </c>
      <c r="T326" t="s">
        <v>1178</v>
      </c>
      <c r="U326" t="s">
        <v>1192</v>
      </c>
      <c r="V326" t="s">
        <v>599</v>
      </c>
      <c r="W326" t="s">
        <v>1193</v>
      </c>
      <c r="X326" t="s">
        <v>2398</v>
      </c>
      <c r="Y326" t="s">
        <v>599</v>
      </c>
      <c r="Z326" t="s">
        <v>2399</v>
      </c>
      <c r="AA326" t="s">
        <v>2261</v>
      </c>
      <c r="AB326">
        <v>1960</v>
      </c>
      <c r="AC326">
        <v>1960</v>
      </c>
      <c r="AD326" t="s">
        <v>2400</v>
      </c>
      <c r="AE326" t="s">
        <v>1185</v>
      </c>
      <c r="AF326" t="s">
        <v>599</v>
      </c>
      <c r="AG326" t="s">
        <v>599</v>
      </c>
      <c r="AH326" t="s">
        <v>2401</v>
      </c>
      <c r="AI326" t="s">
        <v>599</v>
      </c>
      <c r="AJ326" t="s">
        <v>599</v>
      </c>
      <c r="AK326" t="s">
        <v>2402</v>
      </c>
      <c r="AL326" t="s">
        <v>1188</v>
      </c>
      <c r="AM326" t="s">
        <v>2403</v>
      </c>
      <c r="AN326" t="s">
        <v>1190</v>
      </c>
      <c r="AO326" t="s">
        <v>599</v>
      </c>
      <c r="AP326" t="s">
        <v>599</v>
      </c>
      <c r="AQ326" t="s">
        <v>599</v>
      </c>
      <c r="AR326" t="s">
        <v>599</v>
      </c>
      <c r="AS326" t="s">
        <v>599</v>
      </c>
      <c r="AT326" t="s">
        <v>599</v>
      </c>
      <c r="AU326" t="s">
        <v>599</v>
      </c>
    </row>
    <row r="327" spans="1:47" s="13" customFormat="1" ht="75" x14ac:dyDescent="0.25">
      <c r="A327" s="9">
        <v>10665</v>
      </c>
      <c r="B327" s="10">
        <v>2284</v>
      </c>
      <c r="C327" s="10">
        <v>1</v>
      </c>
      <c r="D327" s="9">
        <v>341</v>
      </c>
      <c r="E327" s="11" t="s">
        <v>279</v>
      </c>
      <c r="F327" s="11" t="str">
        <f t="shared" si="15"/>
        <v>https://purl.pt/43957</v>
      </c>
      <c r="G327" s="12" t="s">
        <v>280</v>
      </c>
      <c r="H327" s="9" t="s">
        <v>281</v>
      </c>
      <c r="I327" s="34"/>
      <c r="J327" s="55" t="str">
        <f t="shared" si="16"/>
        <v>https://permalinkbnd.bnportugal.gov.pt/viewer/272627/?offset=#page=341&amp;viewer=picture&amp;o=info&amp;n=0&amp;q=</v>
      </c>
      <c r="K327" s="45"/>
      <c r="L327" s="45"/>
      <c r="M327" s="45"/>
      <c r="N327" t="s">
        <v>279</v>
      </c>
      <c r="O327">
        <v>272627</v>
      </c>
      <c r="P327" t="str">
        <f t="shared" si="17"/>
        <v>https://permalinkbnd.bnportugal.gov.pt/viewer/272627/?offset=#page=341&amp;viewer=picture&amp;o=info&amp;n=0&amp;q=</v>
      </c>
      <c r="Q327">
        <v>2284</v>
      </c>
      <c r="R327" t="s">
        <v>279</v>
      </c>
      <c r="S327" t="s">
        <v>2397</v>
      </c>
      <c r="T327" t="s">
        <v>1178</v>
      </c>
      <c r="U327" t="s">
        <v>1192</v>
      </c>
      <c r="V327" t="s">
        <v>599</v>
      </c>
      <c r="W327" t="s">
        <v>1193</v>
      </c>
      <c r="X327" t="s">
        <v>2398</v>
      </c>
      <c r="Y327" t="s">
        <v>599</v>
      </c>
      <c r="Z327" t="s">
        <v>2399</v>
      </c>
      <c r="AA327" t="s">
        <v>2261</v>
      </c>
      <c r="AB327">
        <v>1960</v>
      </c>
      <c r="AC327">
        <v>1960</v>
      </c>
      <c r="AD327" t="s">
        <v>2400</v>
      </c>
      <c r="AE327" t="s">
        <v>1185</v>
      </c>
      <c r="AF327" t="s">
        <v>599</v>
      </c>
      <c r="AG327" t="s">
        <v>599</v>
      </c>
      <c r="AH327" t="s">
        <v>2401</v>
      </c>
      <c r="AI327" t="s">
        <v>599</v>
      </c>
      <c r="AJ327" t="s">
        <v>599</v>
      </c>
      <c r="AK327" t="s">
        <v>2402</v>
      </c>
      <c r="AL327" t="s">
        <v>1188</v>
      </c>
      <c r="AM327" t="s">
        <v>2403</v>
      </c>
      <c r="AN327" t="s">
        <v>1190</v>
      </c>
      <c r="AO327" t="s">
        <v>599</v>
      </c>
      <c r="AP327" t="s">
        <v>599</v>
      </c>
      <c r="AQ327" t="s">
        <v>599</v>
      </c>
      <c r="AR327" t="s">
        <v>599</v>
      </c>
      <c r="AS327" t="s">
        <v>599</v>
      </c>
      <c r="AT327" t="s">
        <v>599</v>
      </c>
      <c r="AU327" t="s">
        <v>599</v>
      </c>
    </row>
    <row r="328" spans="1:47" s="13" customFormat="1" ht="45" x14ac:dyDescent="0.25">
      <c r="A328" s="9">
        <v>10678</v>
      </c>
      <c r="B328" s="10">
        <v>256560</v>
      </c>
      <c r="C328" s="10">
        <v>1</v>
      </c>
      <c r="D328" s="9">
        <v>8</v>
      </c>
      <c r="E328" s="11" t="s">
        <v>282</v>
      </c>
      <c r="F328" s="11" t="str">
        <f t="shared" si="15"/>
        <v>https://purl.pt/44314</v>
      </c>
      <c r="G328" s="12" t="s">
        <v>283</v>
      </c>
      <c r="H328" s="9" t="s">
        <v>284</v>
      </c>
      <c r="I328" s="34"/>
      <c r="J328" s="55" t="str">
        <f t="shared" si="16"/>
        <v>https://permalinkbnd.bnportugal.gov.pt/viewer/277151/?offset=#page=8&amp;viewer=picture&amp;o=info&amp;n=0&amp;q=</v>
      </c>
      <c r="K328" s="45"/>
      <c r="L328" s="45"/>
      <c r="M328" s="45"/>
      <c r="N328" t="s">
        <v>282</v>
      </c>
      <c r="O328">
        <v>277151</v>
      </c>
      <c r="P328" t="str">
        <f t="shared" si="17"/>
        <v>https://permalinkbnd.bnportugal.gov.pt/viewer/277151/?offset=#page=8&amp;viewer=picture&amp;o=info&amp;n=0&amp;q=</v>
      </c>
      <c r="Q328">
        <v>256560</v>
      </c>
      <c r="R328" t="s">
        <v>282</v>
      </c>
      <c r="S328" t="s">
        <v>2404</v>
      </c>
      <c r="T328" t="s">
        <v>1178</v>
      </c>
      <c r="U328" t="s">
        <v>1192</v>
      </c>
      <c r="V328" t="s">
        <v>599</v>
      </c>
      <c r="W328" t="s">
        <v>1551</v>
      </c>
      <c r="X328" t="s">
        <v>599</v>
      </c>
      <c r="Y328" t="s">
        <v>599</v>
      </c>
      <c r="Z328" t="s">
        <v>2405</v>
      </c>
      <c r="AA328" t="s">
        <v>2406</v>
      </c>
      <c r="AB328">
        <v>1865</v>
      </c>
      <c r="AC328">
        <v>1865</v>
      </c>
      <c r="AD328" t="s">
        <v>2407</v>
      </c>
      <c r="AE328" t="s">
        <v>1185</v>
      </c>
      <c r="AF328" t="s">
        <v>599</v>
      </c>
      <c r="AG328" t="s">
        <v>599</v>
      </c>
      <c r="AH328" t="s">
        <v>2408</v>
      </c>
      <c r="AI328" t="s">
        <v>599</v>
      </c>
      <c r="AJ328" t="s">
        <v>2409</v>
      </c>
      <c r="AK328" t="s">
        <v>2410</v>
      </c>
      <c r="AL328" t="s">
        <v>1188</v>
      </c>
      <c r="AM328" t="s">
        <v>2411</v>
      </c>
      <c r="AN328" t="s">
        <v>1190</v>
      </c>
      <c r="AO328" t="s">
        <v>599</v>
      </c>
      <c r="AP328" t="s">
        <v>2412</v>
      </c>
      <c r="AQ328" t="s">
        <v>599</v>
      </c>
      <c r="AR328" t="s">
        <v>599</v>
      </c>
      <c r="AS328" t="s">
        <v>599</v>
      </c>
      <c r="AT328" t="s">
        <v>599</v>
      </c>
      <c r="AU328" t="s">
        <v>599</v>
      </c>
    </row>
    <row r="329" spans="1:47" s="13" customFormat="1" ht="45" x14ac:dyDescent="0.25">
      <c r="A329" s="9">
        <v>10679</v>
      </c>
      <c r="B329" s="10">
        <v>256560</v>
      </c>
      <c r="C329" s="10">
        <v>1</v>
      </c>
      <c r="D329" s="9">
        <v>63</v>
      </c>
      <c r="E329" s="11" t="s">
        <v>282</v>
      </c>
      <c r="F329" s="11" t="str">
        <f t="shared" si="15"/>
        <v>https://purl.pt/44314</v>
      </c>
      <c r="G329" s="12" t="s">
        <v>283</v>
      </c>
      <c r="H329" s="9" t="s">
        <v>284</v>
      </c>
      <c r="I329" s="34"/>
      <c r="J329" s="55" t="str">
        <f t="shared" si="16"/>
        <v>https://permalinkbnd.bnportugal.gov.pt/viewer/277151/?offset=#page=63&amp;viewer=picture&amp;o=info&amp;n=0&amp;q=</v>
      </c>
      <c r="K329" s="45"/>
      <c r="L329" s="45"/>
      <c r="M329" s="45"/>
      <c r="N329" t="s">
        <v>282</v>
      </c>
      <c r="O329">
        <v>277151</v>
      </c>
      <c r="P329" t="str">
        <f t="shared" si="17"/>
        <v>https://permalinkbnd.bnportugal.gov.pt/viewer/277151/?offset=#page=63&amp;viewer=picture&amp;o=info&amp;n=0&amp;q=</v>
      </c>
      <c r="Q329">
        <v>256560</v>
      </c>
      <c r="R329" t="s">
        <v>282</v>
      </c>
      <c r="S329" t="s">
        <v>2404</v>
      </c>
      <c r="T329" t="s">
        <v>1178</v>
      </c>
      <c r="U329" t="s">
        <v>1192</v>
      </c>
      <c r="V329" t="s">
        <v>599</v>
      </c>
      <c r="W329" t="s">
        <v>1551</v>
      </c>
      <c r="X329" t="s">
        <v>599</v>
      </c>
      <c r="Y329" t="s">
        <v>599</v>
      </c>
      <c r="Z329" t="s">
        <v>2405</v>
      </c>
      <c r="AA329" t="s">
        <v>2406</v>
      </c>
      <c r="AB329">
        <v>1865</v>
      </c>
      <c r="AC329">
        <v>1865</v>
      </c>
      <c r="AD329" t="s">
        <v>2407</v>
      </c>
      <c r="AE329" t="s">
        <v>1185</v>
      </c>
      <c r="AF329" t="s">
        <v>599</v>
      </c>
      <c r="AG329" t="s">
        <v>599</v>
      </c>
      <c r="AH329" t="s">
        <v>2408</v>
      </c>
      <c r="AI329" t="s">
        <v>599</v>
      </c>
      <c r="AJ329" t="s">
        <v>2409</v>
      </c>
      <c r="AK329" t="s">
        <v>2410</v>
      </c>
      <c r="AL329" t="s">
        <v>1188</v>
      </c>
      <c r="AM329" t="s">
        <v>2411</v>
      </c>
      <c r="AN329" t="s">
        <v>1190</v>
      </c>
      <c r="AO329" t="s">
        <v>599</v>
      </c>
      <c r="AP329" t="s">
        <v>2412</v>
      </c>
      <c r="AQ329" t="s">
        <v>599</v>
      </c>
      <c r="AR329" t="s">
        <v>599</v>
      </c>
      <c r="AS329" t="s">
        <v>599</v>
      </c>
      <c r="AT329" t="s">
        <v>599</v>
      </c>
      <c r="AU329" t="s">
        <v>599</v>
      </c>
    </row>
    <row r="330" spans="1:47" s="13" customFormat="1" ht="45" x14ac:dyDescent="0.25">
      <c r="A330" s="9">
        <v>10680</v>
      </c>
      <c r="B330" s="10">
        <v>256560</v>
      </c>
      <c r="C330" s="10">
        <v>1</v>
      </c>
      <c r="D330" s="9">
        <v>101</v>
      </c>
      <c r="E330" s="11" t="s">
        <v>282</v>
      </c>
      <c r="F330" s="11" t="str">
        <f t="shared" si="15"/>
        <v>https://purl.pt/44314</v>
      </c>
      <c r="G330" s="12" t="s">
        <v>283</v>
      </c>
      <c r="H330" s="9" t="s">
        <v>284</v>
      </c>
      <c r="I330" s="34"/>
      <c r="J330" s="55" t="str">
        <f t="shared" si="16"/>
        <v>https://permalinkbnd.bnportugal.gov.pt/viewer/277151/?offset=#page=101&amp;viewer=picture&amp;o=info&amp;n=0&amp;q=</v>
      </c>
      <c r="K330" s="45"/>
      <c r="L330" s="45"/>
      <c r="M330" s="45"/>
      <c r="N330" t="s">
        <v>282</v>
      </c>
      <c r="O330">
        <v>277151</v>
      </c>
      <c r="P330" t="str">
        <f t="shared" si="17"/>
        <v>https://permalinkbnd.bnportugal.gov.pt/viewer/277151/?offset=#page=101&amp;viewer=picture&amp;o=info&amp;n=0&amp;q=</v>
      </c>
      <c r="Q330">
        <v>256560</v>
      </c>
      <c r="R330" t="s">
        <v>282</v>
      </c>
      <c r="S330" t="s">
        <v>2404</v>
      </c>
      <c r="T330" t="s">
        <v>1178</v>
      </c>
      <c r="U330" t="s">
        <v>1192</v>
      </c>
      <c r="V330" t="s">
        <v>599</v>
      </c>
      <c r="W330" t="s">
        <v>1551</v>
      </c>
      <c r="X330" t="s">
        <v>599</v>
      </c>
      <c r="Y330" t="s">
        <v>599</v>
      </c>
      <c r="Z330" t="s">
        <v>2405</v>
      </c>
      <c r="AA330" t="s">
        <v>2406</v>
      </c>
      <c r="AB330">
        <v>1865</v>
      </c>
      <c r="AC330">
        <v>1865</v>
      </c>
      <c r="AD330" t="s">
        <v>2407</v>
      </c>
      <c r="AE330" t="s">
        <v>1185</v>
      </c>
      <c r="AF330" t="s">
        <v>599</v>
      </c>
      <c r="AG330" t="s">
        <v>599</v>
      </c>
      <c r="AH330" t="s">
        <v>2408</v>
      </c>
      <c r="AI330" t="s">
        <v>599</v>
      </c>
      <c r="AJ330" t="s">
        <v>2409</v>
      </c>
      <c r="AK330" t="s">
        <v>2410</v>
      </c>
      <c r="AL330" t="s">
        <v>1188</v>
      </c>
      <c r="AM330" t="s">
        <v>2411</v>
      </c>
      <c r="AN330" t="s">
        <v>1190</v>
      </c>
      <c r="AO330" t="s">
        <v>599</v>
      </c>
      <c r="AP330" t="s">
        <v>2412</v>
      </c>
      <c r="AQ330" t="s">
        <v>599</v>
      </c>
      <c r="AR330" t="s">
        <v>599</v>
      </c>
      <c r="AS330" t="s">
        <v>599</v>
      </c>
      <c r="AT330" t="s">
        <v>599</v>
      </c>
      <c r="AU330" t="s">
        <v>599</v>
      </c>
    </row>
    <row r="331" spans="1:47" s="13" customFormat="1" ht="45" x14ac:dyDescent="0.25">
      <c r="A331" s="9">
        <v>10681</v>
      </c>
      <c r="B331" s="10">
        <v>256560</v>
      </c>
      <c r="C331" s="10">
        <v>1</v>
      </c>
      <c r="D331" s="9">
        <v>143</v>
      </c>
      <c r="E331" s="11" t="s">
        <v>282</v>
      </c>
      <c r="F331" s="11" t="str">
        <f t="shared" si="15"/>
        <v>https://purl.pt/44314</v>
      </c>
      <c r="G331" s="12" t="s">
        <v>283</v>
      </c>
      <c r="H331" s="9" t="s">
        <v>284</v>
      </c>
      <c r="I331" s="34"/>
      <c r="J331" s="55" t="str">
        <f t="shared" si="16"/>
        <v>https://permalinkbnd.bnportugal.gov.pt/viewer/277151/?offset=#page=143&amp;viewer=picture&amp;o=info&amp;n=0&amp;q=</v>
      </c>
      <c r="K331" s="45"/>
      <c r="L331" s="45"/>
      <c r="M331" s="45"/>
      <c r="N331" t="s">
        <v>282</v>
      </c>
      <c r="O331">
        <v>277151</v>
      </c>
      <c r="P331" t="str">
        <f t="shared" si="17"/>
        <v>https://permalinkbnd.bnportugal.gov.pt/viewer/277151/?offset=#page=143&amp;viewer=picture&amp;o=info&amp;n=0&amp;q=</v>
      </c>
      <c r="Q331">
        <v>256560</v>
      </c>
      <c r="R331" t="s">
        <v>282</v>
      </c>
      <c r="S331" t="s">
        <v>2404</v>
      </c>
      <c r="T331" t="s">
        <v>1178</v>
      </c>
      <c r="U331" t="s">
        <v>1192</v>
      </c>
      <c r="V331" t="s">
        <v>599</v>
      </c>
      <c r="W331" t="s">
        <v>1551</v>
      </c>
      <c r="X331" t="s">
        <v>599</v>
      </c>
      <c r="Y331" t="s">
        <v>599</v>
      </c>
      <c r="Z331" t="s">
        <v>2405</v>
      </c>
      <c r="AA331" t="s">
        <v>2406</v>
      </c>
      <c r="AB331">
        <v>1865</v>
      </c>
      <c r="AC331">
        <v>1865</v>
      </c>
      <c r="AD331" t="s">
        <v>2407</v>
      </c>
      <c r="AE331" t="s">
        <v>1185</v>
      </c>
      <c r="AF331" t="s">
        <v>599</v>
      </c>
      <c r="AG331" t="s">
        <v>599</v>
      </c>
      <c r="AH331" t="s">
        <v>2408</v>
      </c>
      <c r="AI331" t="s">
        <v>599</v>
      </c>
      <c r="AJ331" t="s">
        <v>2409</v>
      </c>
      <c r="AK331" t="s">
        <v>2410</v>
      </c>
      <c r="AL331" t="s">
        <v>1188</v>
      </c>
      <c r="AM331" t="s">
        <v>2411</v>
      </c>
      <c r="AN331" t="s">
        <v>1190</v>
      </c>
      <c r="AO331" t="s">
        <v>599</v>
      </c>
      <c r="AP331" t="s">
        <v>2412</v>
      </c>
      <c r="AQ331" t="s">
        <v>599</v>
      </c>
      <c r="AR331" t="s">
        <v>599</v>
      </c>
      <c r="AS331" t="s">
        <v>599</v>
      </c>
      <c r="AT331" t="s">
        <v>599</v>
      </c>
      <c r="AU331" t="s">
        <v>599</v>
      </c>
    </row>
    <row r="332" spans="1:47" s="13" customFormat="1" ht="45" x14ac:dyDescent="0.25">
      <c r="A332" s="9">
        <v>10682</v>
      </c>
      <c r="B332" s="10">
        <v>256560</v>
      </c>
      <c r="C332" s="10">
        <v>1</v>
      </c>
      <c r="D332" s="9">
        <v>195</v>
      </c>
      <c r="E332" s="11" t="s">
        <v>282</v>
      </c>
      <c r="F332" s="11" t="str">
        <f t="shared" si="15"/>
        <v>https://purl.pt/44314</v>
      </c>
      <c r="G332" s="12" t="s">
        <v>283</v>
      </c>
      <c r="H332" s="9" t="s">
        <v>284</v>
      </c>
      <c r="I332" s="34"/>
      <c r="J332" s="55" t="str">
        <f t="shared" si="16"/>
        <v>https://permalinkbnd.bnportugal.gov.pt/viewer/277151/?offset=#page=195&amp;viewer=picture&amp;o=info&amp;n=0&amp;q=</v>
      </c>
      <c r="K332" s="45"/>
      <c r="L332" s="45"/>
      <c r="M332" s="45"/>
      <c r="N332" t="s">
        <v>282</v>
      </c>
      <c r="O332">
        <v>277151</v>
      </c>
      <c r="P332" t="str">
        <f t="shared" si="17"/>
        <v>https://permalinkbnd.bnportugal.gov.pt/viewer/277151/?offset=#page=195&amp;viewer=picture&amp;o=info&amp;n=0&amp;q=</v>
      </c>
      <c r="Q332">
        <v>256560</v>
      </c>
      <c r="R332" t="s">
        <v>282</v>
      </c>
      <c r="S332" t="s">
        <v>2404</v>
      </c>
      <c r="T332" t="s">
        <v>1178</v>
      </c>
      <c r="U332" t="s">
        <v>1192</v>
      </c>
      <c r="V332" t="s">
        <v>599</v>
      </c>
      <c r="W332" t="s">
        <v>1551</v>
      </c>
      <c r="X332" t="s">
        <v>599</v>
      </c>
      <c r="Y332" t="s">
        <v>599</v>
      </c>
      <c r="Z332" t="s">
        <v>2405</v>
      </c>
      <c r="AA332" t="s">
        <v>2406</v>
      </c>
      <c r="AB332">
        <v>1865</v>
      </c>
      <c r="AC332">
        <v>1865</v>
      </c>
      <c r="AD332" t="s">
        <v>2407</v>
      </c>
      <c r="AE332" t="s">
        <v>1185</v>
      </c>
      <c r="AF332" t="s">
        <v>599</v>
      </c>
      <c r="AG332" t="s">
        <v>599</v>
      </c>
      <c r="AH332" t="s">
        <v>2408</v>
      </c>
      <c r="AI332" t="s">
        <v>599</v>
      </c>
      <c r="AJ332" t="s">
        <v>2409</v>
      </c>
      <c r="AK332" t="s">
        <v>2410</v>
      </c>
      <c r="AL332" t="s">
        <v>1188</v>
      </c>
      <c r="AM332" t="s">
        <v>2411</v>
      </c>
      <c r="AN332" t="s">
        <v>1190</v>
      </c>
      <c r="AO332" t="s">
        <v>599</v>
      </c>
      <c r="AP332" t="s">
        <v>2412</v>
      </c>
      <c r="AQ332" t="s">
        <v>599</v>
      </c>
      <c r="AR332" t="s">
        <v>599</v>
      </c>
      <c r="AS332" t="s">
        <v>599</v>
      </c>
      <c r="AT332" t="s">
        <v>599</v>
      </c>
      <c r="AU332" t="s">
        <v>599</v>
      </c>
    </row>
    <row r="333" spans="1:47" s="13" customFormat="1" ht="45" x14ac:dyDescent="0.25">
      <c r="A333" s="9">
        <v>10683</v>
      </c>
      <c r="B333" s="10">
        <v>256560</v>
      </c>
      <c r="C333" s="10">
        <v>1</v>
      </c>
      <c r="D333" s="9">
        <v>233</v>
      </c>
      <c r="E333" s="11" t="s">
        <v>282</v>
      </c>
      <c r="F333" s="11" t="str">
        <f t="shared" si="15"/>
        <v>https://purl.pt/44314</v>
      </c>
      <c r="G333" s="12" t="s">
        <v>283</v>
      </c>
      <c r="H333" s="9" t="s">
        <v>284</v>
      </c>
      <c r="I333" s="34"/>
      <c r="J333" s="55" t="str">
        <f t="shared" si="16"/>
        <v>https://permalinkbnd.bnportugal.gov.pt/viewer/277151/?offset=#page=233&amp;viewer=picture&amp;o=info&amp;n=0&amp;q=</v>
      </c>
      <c r="K333" s="45"/>
      <c r="L333" s="45"/>
      <c r="M333" s="45"/>
      <c r="N333" t="s">
        <v>282</v>
      </c>
      <c r="O333">
        <v>277151</v>
      </c>
      <c r="P333" t="str">
        <f t="shared" si="17"/>
        <v>https://permalinkbnd.bnportugal.gov.pt/viewer/277151/?offset=#page=233&amp;viewer=picture&amp;o=info&amp;n=0&amp;q=</v>
      </c>
      <c r="Q333">
        <v>256560</v>
      </c>
      <c r="R333" t="s">
        <v>282</v>
      </c>
      <c r="S333" t="s">
        <v>2404</v>
      </c>
      <c r="T333" t="s">
        <v>1178</v>
      </c>
      <c r="U333" t="s">
        <v>1192</v>
      </c>
      <c r="V333" t="s">
        <v>599</v>
      </c>
      <c r="W333" t="s">
        <v>1551</v>
      </c>
      <c r="X333" t="s">
        <v>599</v>
      </c>
      <c r="Y333" t="s">
        <v>599</v>
      </c>
      <c r="Z333" t="s">
        <v>2405</v>
      </c>
      <c r="AA333" t="s">
        <v>2406</v>
      </c>
      <c r="AB333">
        <v>1865</v>
      </c>
      <c r="AC333">
        <v>1865</v>
      </c>
      <c r="AD333" t="s">
        <v>2407</v>
      </c>
      <c r="AE333" t="s">
        <v>1185</v>
      </c>
      <c r="AF333" t="s">
        <v>599</v>
      </c>
      <c r="AG333" t="s">
        <v>599</v>
      </c>
      <c r="AH333" t="s">
        <v>2408</v>
      </c>
      <c r="AI333" t="s">
        <v>599</v>
      </c>
      <c r="AJ333" t="s">
        <v>2409</v>
      </c>
      <c r="AK333" t="s">
        <v>2410</v>
      </c>
      <c r="AL333" t="s">
        <v>1188</v>
      </c>
      <c r="AM333" t="s">
        <v>2411</v>
      </c>
      <c r="AN333" t="s">
        <v>1190</v>
      </c>
      <c r="AO333" t="s">
        <v>599</v>
      </c>
      <c r="AP333" t="s">
        <v>2412</v>
      </c>
      <c r="AQ333" t="s">
        <v>599</v>
      </c>
      <c r="AR333" t="s">
        <v>599</v>
      </c>
      <c r="AS333" t="s">
        <v>599</v>
      </c>
      <c r="AT333" t="s">
        <v>599</v>
      </c>
      <c r="AU333" t="s">
        <v>599</v>
      </c>
    </row>
    <row r="334" spans="1:47" s="13" customFormat="1" ht="45" x14ac:dyDescent="0.25">
      <c r="A334" s="9">
        <v>10684</v>
      </c>
      <c r="B334" s="10">
        <v>256560</v>
      </c>
      <c r="C334" s="10">
        <v>1</v>
      </c>
      <c r="D334" s="9">
        <v>269</v>
      </c>
      <c r="E334" s="11" t="s">
        <v>282</v>
      </c>
      <c r="F334" s="11" t="str">
        <f t="shared" si="15"/>
        <v>https://purl.pt/44314</v>
      </c>
      <c r="G334" s="12" t="s">
        <v>283</v>
      </c>
      <c r="H334" s="9" t="s">
        <v>284</v>
      </c>
      <c r="I334" s="34"/>
      <c r="J334" s="55" t="str">
        <f t="shared" si="16"/>
        <v>https://permalinkbnd.bnportugal.gov.pt/viewer/277151/?offset=#page=269&amp;viewer=picture&amp;o=info&amp;n=0&amp;q=</v>
      </c>
      <c r="K334" s="45"/>
      <c r="L334" s="45"/>
      <c r="M334" s="45"/>
      <c r="N334" t="s">
        <v>282</v>
      </c>
      <c r="O334">
        <v>277151</v>
      </c>
      <c r="P334" t="str">
        <f t="shared" si="17"/>
        <v>https://permalinkbnd.bnportugal.gov.pt/viewer/277151/?offset=#page=269&amp;viewer=picture&amp;o=info&amp;n=0&amp;q=</v>
      </c>
      <c r="Q334">
        <v>256560</v>
      </c>
      <c r="R334" t="s">
        <v>282</v>
      </c>
      <c r="S334" t="s">
        <v>2404</v>
      </c>
      <c r="T334" t="s">
        <v>1178</v>
      </c>
      <c r="U334" t="s">
        <v>1192</v>
      </c>
      <c r="V334" t="s">
        <v>599</v>
      </c>
      <c r="W334" t="s">
        <v>1551</v>
      </c>
      <c r="X334" t="s">
        <v>599</v>
      </c>
      <c r="Y334" t="s">
        <v>599</v>
      </c>
      <c r="Z334" t="s">
        <v>2405</v>
      </c>
      <c r="AA334" t="s">
        <v>2406</v>
      </c>
      <c r="AB334">
        <v>1865</v>
      </c>
      <c r="AC334">
        <v>1865</v>
      </c>
      <c r="AD334" t="s">
        <v>2407</v>
      </c>
      <c r="AE334" t="s">
        <v>1185</v>
      </c>
      <c r="AF334" t="s">
        <v>599</v>
      </c>
      <c r="AG334" t="s">
        <v>599</v>
      </c>
      <c r="AH334" t="s">
        <v>2408</v>
      </c>
      <c r="AI334" t="s">
        <v>599</v>
      </c>
      <c r="AJ334" t="s">
        <v>2409</v>
      </c>
      <c r="AK334" t="s">
        <v>2410</v>
      </c>
      <c r="AL334" t="s">
        <v>1188</v>
      </c>
      <c r="AM334" t="s">
        <v>2411</v>
      </c>
      <c r="AN334" t="s">
        <v>1190</v>
      </c>
      <c r="AO334" t="s">
        <v>599</v>
      </c>
      <c r="AP334" t="s">
        <v>2412</v>
      </c>
      <c r="AQ334" t="s">
        <v>599</v>
      </c>
      <c r="AR334" t="s">
        <v>599</v>
      </c>
      <c r="AS334" t="s">
        <v>599</v>
      </c>
      <c r="AT334" t="s">
        <v>599</v>
      </c>
      <c r="AU334" t="s">
        <v>599</v>
      </c>
    </row>
    <row r="335" spans="1:47" s="13" customFormat="1" ht="45" x14ac:dyDescent="0.25">
      <c r="A335" s="9">
        <v>10685</v>
      </c>
      <c r="B335" s="10">
        <v>256560</v>
      </c>
      <c r="C335" s="10">
        <v>1</v>
      </c>
      <c r="D335" s="9">
        <v>305</v>
      </c>
      <c r="E335" s="11" t="s">
        <v>282</v>
      </c>
      <c r="F335" s="11" t="str">
        <f t="shared" si="15"/>
        <v>https://purl.pt/44314</v>
      </c>
      <c r="G335" s="12" t="s">
        <v>283</v>
      </c>
      <c r="H335" s="9" t="s">
        <v>284</v>
      </c>
      <c r="I335" s="34"/>
      <c r="J335" s="55" t="str">
        <f t="shared" si="16"/>
        <v>https://permalinkbnd.bnportugal.gov.pt/viewer/277151/?offset=#page=305&amp;viewer=picture&amp;o=info&amp;n=0&amp;q=</v>
      </c>
      <c r="K335" s="45"/>
      <c r="L335" s="45"/>
      <c r="M335" s="45"/>
      <c r="N335" t="s">
        <v>282</v>
      </c>
      <c r="O335">
        <v>277151</v>
      </c>
      <c r="P335" t="str">
        <f t="shared" si="17"/>
        <v>https://permalinkbnd.bnportugal.gov.pt/viewer/277151/?offset=#page=305&amp;viewer=picture&amp;o=info&amp;n=0&amp;q=</v>
      </c>
      <c r="Q335">
        <v>256560</v>
      </c>
      <c r="R335" t="s">
        <v>282</v>
      </c>
      <c r="S335" t="s">
        <v>2404</v>
      </c>
      <c r="T335" t="s">
        <v>1178</v>
      </c>
      <c r="U335" t="s">
        <v>1192</v>
      </c>
      <c r="V335" t="s">
        <v>599</v>
      </c>
      <c r="W335" t="s">
        <v>1551</v>
      </c>
      <c r="X335" t="s">
        <v>599</v>
      </c>
      <c r="Y335" t="s">
        <v>599</v>
      </c>
      <c r="Z335" t="s">
        <v>2405</v>
      </c>
      <c r="AA335" t="s">
        <v>2406</v>
      </c>
      <c r="AB335">
        <v>1865</v>
      </c>
      <c r="AC335">
        <v>1865</v>
      </c>
      <c r="AD335" t="s">
        <v>2407</v>
      </c>
      <c r="AE335" t="s">
        <v>1185</v>
      </c>
      <c r="AF335" t="s">
        <v>599</v>
      </c>
      <c r="AG335" t="s">
        <v>599</v>
      </c>
      <c r="AH335" t="s">
        <v>2408</v>
      </c>
      <c r="AI335" t="s">
        <v>599</v>
      </c>
      <c r="AJ335" t="s">
        <v>2409</v>
      </c>
      <c r="AK335" t="s">
        <v>2410</v>
      </c>
      <c r="AL335" t="s">
        <v>1188</v>
      </c>
      <c r="AM335" t="s">
        <v>2411</v>
      </c>
      <c r="AN335" t="s">
        <v>1190</v>
      </c>
      <c r="AO335" t="s">
        <v>599</v>
      </c>
      <c r="AP335" t="s">
        <v>2412</v>
      </c>
      <c r="AQ335" t="s">
        <v>599</v>
      </c>
      <c r="AR335" t="s">
        <v>599</v>
      </c>
      <c r="AS335" t="s">
        <v>599</v>
      </c>
      <c r="AT335" t="s">
        <v>599</v>
      </c>
      <c r="AU335" t="s">
        <v>599</v>
      </c>
    </row>
    <row r="336" spans="1:47" s="13" customFormat="1" ht="45" x14ac:dyDescent="0.25">
      <c r="A336" s="9">
        <v>10686</v>
      </c>
      <c r="B336" s="10">
        <v>256560</v>
      </c>
      <c r="C336" s="10">
        <v>1</v>
      </c>
      <c r="D336" s="9">
        <v>337</v>
      </c>
      <c r="E336" s="11" t="s">
        <v>282</v>
      </c>
      <c r="F336" s="11" t="str">
        <f t="shared" si="15"/>
        <v>https://purl.pt/44314</v>
      </c>
      <c r="G336" s="12" t="s">
        <v>283</v>
      </c>
      <c r="H336" s="9" t="s">
        <v>284</v>
      </c>
      <c r="I336" s="34"/>
      <c r="J336" s="55" t="str">
        <f t="shared" si="16"/>
        <v>https://permalinkbnd.bnportugal.gov.pt/viewer/277151/?offset=#page=337&amp;viewer=picture&amp;o=info&amp;n=0&amp;q=</v>
      </c>
      <c r="K336" s="45"/>
      <c r="L336" s="45"/>
      <c r="M336" s="45"/>
      <c r="N336" t="s">
        <v>282</v>
      </c>
      <c r="O336">
        <v>277151</v>
      </c>
      <c r="P336" t="str">
        <f t="shared" si="17"/>
        <v>https://permalinkbnd.bnportugal.gov.pt/viewer/277151/?offset=#page=337&amp;viewer=picture&amp;o=info&amp;n=0&amp;q=</v>
      </c>
      <c r="Q336">
        <v>256560</v>
      </c>
      <c r="R336" t="s">
        <v>282</v>
      </c>
      <c r="S336" t="s">
        <v>2404</v>
      </c>
      <c r="T336" t="s">
        <v>1178</v>
      </c>
      <c r="U336" t="s">
        <v>1192</v>
      </c>
      <c r="V336" t="s">
        <v>599</v>
      </c>
      <c r="W336" t="s">
        <v>1551</v>
      </c>
      <c r="X336" t="s">
        <v>599</v>
      </c>
      <c r="Y336" t="s">
        <v>599</v>
      </c>
      <c r="Z336" t="s">
        <v>2405</v>
      </c>
      <c r="AA336" t="s">
        <v>2406</v>
      </c>
      <c r="AB336">
        <v>1865</v>
      </c>
      <c r="AC336">
        <v>1865</v>
      </c>
      <c r="AD336" t="s">
        <v>2407</v>
      </c>
      <c r="AE336" t="s">
        <v>1185</v>
      </c>
      <c r="AF336" t="s">
        <v>599</v>
      </c>
      <c r="AG336" t="s">
        <v>599</v>
      </c>
      <c r="AH336" t="s">
        <v>2408</v>
      </c>
      <c r="AI336" t="s">
        <v>599</v>
      </c>
      <c r="AJ336" t="s">
        <v>2409</v>
      </c>
      <c r="AK336" t="s">
        <v>2410</v>
      </c>
      <c r="AL336" t="s">
        <v>1188</v>
      </c>
      <c r="AM336" t="s">
        <v>2411</v>
      </c>
      <c r="AN336" t="s">
        <v>1190</v>
      </c>
      <c r="AO336" t="s">
        <v>599</v>
      </c>
      <c r="AP336" t="s">
        <v>2412</v>
      </c>
      <c r="AQ336" t="s">
        <v>599</v>
      </c>
      <c r="AR336" t="s">
        <v>599</v>
      </c>
      <c r="AS336" t="s">
        <v>599</v>
      </c>
      <c r="AT336" t="s">
        <v>599</v>
      </c>
      <c r="AU336" t="s">
        <v>599</v>
      </c>
    </row>
    <row r="337" spans="1:47" s="13" customFormat="1" ht="45" x14ac:dyDescent="0.25">
      <c r="A337" s="9">
        <v>10687</v>
      </c>
      <c r="B337" s="10">
        <v>256560</v>
      </c>
      <c r="C337" s="10">
        <v>1</v>
      </c>
      <c r="D337" s="9">
        <v>373</v>
      </c>
      <c r="E337" s="11" t="s">
        <v>282</v>
      </c>
      <c r="F337" s="11" t="str">
        <f t="shared" si="15"/>
        <v>https://purl.pt/44314</v>
      </c>
      <c r="G337" s="12" t="s">
        <v>283</v>
      </c>
      <c r="H337" s="9" t="s">
        <v>284</v>
      </c>
      <c r="I337" s="34"/>
      <c r="J337" s="55" t="str">
        <f t="shared" si="16"/>
        <v>https://permalinkbnd.bnportugal.gov.pt/viewer/277151/?offset=#page=373&amp;viewer=picture&amp;o=info&amp;n=0&amp;q=</v>
      </c>
      <c r="K337" s="45"/>
      <c r="L337" s="45"/>
      <c r="M337" s="45"/>
      <c r="N337" t="s">
        <v>282</v>
      </c>
      <c r="O337">
        <v>277151</v>
      </c>
      <c r="P337" t="str">
        <f t="shared" si="17"/>
        <v>https://permalinkbnd.bnportugal.gov.pt/viewer/277151/?offset=#page=373&amp;viewer=picture&amp;o=info&amp;n=0&amp;q=</v>
      </c>
      <c r="Q337">
        <v>256560</v>
      </c>
      <c r="R337" t="s">
        <v>282</v>
      </c>
      <c r="S337" t="s">
        <v>2404</v>
      </c>
      <c r="T337" t="s">
        <v>1178</v>
      </c>
      <c r="U337" t="s">
        <v>1192</v>
      </c>
      <c r="V337" t="s">
        <v>599</v>
      </c>
      <c r="W337" t="s">
        <v>1551</v>
      </c>
      <c r="X337" t="s">
        <v>599</v>
      </c>
      <c r="Y337" t="s">
        <v>599</v>
      </c>
      <c r="Z337" t="s">
        <v>2405</v>
      </c>
      <c r="AA337" t="s">
        <v>2406</v>
      </c>
      <c r="AB337">
        <v>1865</v>
      </c>
      <c r="AC337">
        <v>1865</v>
      </c>
      <c r="AD337" t="s">
        <v>2407</v>
      </c>
      <c r="AE337" t="s">
        <v>1185</v>
      </c>
      <c r="AF337" t="s">
        <v>599</v>
      </c>
      <c r="AG337" t="s">
        <v>599</v>
      </c>
      <c r="AH337" t="s">
        <v>2408</v>
      </c>
      <c r="AI337" t="s">
        <v>599</v>
      </c>
      <c r="AJ337" t="s">
        <v>2409</v>
      </c>
      <c r="AK337" t="s">
        <v>2410</v>
      </c>
      <c r="AL337" t="s">
        <v>1188</v>
      </c>
      <c r="AM337" t="s">
        <v>2411</v>
      </c>
      <c r="AN337" t="s">
        <v>1190</v>
      </c>
      <c r="AO337" t="s">
        <v>599</v>
      </c>
      <c r="AP337" t="s">
        <v>2412</v>
      </c>
      <c r="AQ337" t="s">
        <v>599</v>
      </c>
      <c r="AR337" t="s">
        <v>599</v>
      </c>
      <c r="AS337" t="s">
        <v>599</v>
      </c>
      <c r="AT337" t="s">
        <v>599</v>
      </c>
      <c r="AU337" t="s">
        <v>599</v>
      </c>
    </row>
    <row r="338" spans="1:47" s="13" customFormat="1" ht="45" x14ac:dyDescent="0.25">
      <c r="A338" s="9">
        <v>10688</v>
      </c>
      <c r="B338" s="10">
        <v>256560</v>
      </c>
      <c r="C338" s="10">
        <v>1</v>
      </c>
      <c r="D338" s="9">
        <v>409</v>
      </c>
      <c r="E338" s="11" t="s">
        <v>282</v>
      </c>
      <c r="F338" s="11" t="str">
        <f t="shared" si="15"/>
        <v>https://purl.pt/44314</v>
      </c>
      <c r="G338" s="12" t="s">
        <v>283</v>
      </c>
      <c r="H338" s="9" t="s">
        <v>284</v>
      </c>
      <c r="I338" s="34"/>
      <c r="J338" s="55" t="str">
        <f t="shared" si="16"/>
        <v>https://permalinkbnd.bnportugal.gov.pt/viewer/277151/?offset=#page=409&amp;viewer=picture&amp;o=info&amp;n=0&amp;q=</v>
      </c>
      <c r="K338" s="45"/>
      <c r="L338" s="45"/>
      <c r="M338" s="45"/>
      <c r="N338" t="s">
        <v>282</v>
      </c>
      <c r="O338">
        <v>277151</v>
      </c>
      <c r="P338" t="str">
        <f t="shared" si="17"/>
        <v>https://permalinkbnd.bnportugal.gov.pt/viewer/277151/?offset=#page=409&amp;viewer=picture&amp;o=info&amp;n=0&amp;q=</v>
      </c>
      <c r="Q338">
        <v>256560</v>
      </c>
      <c r="R338" t="s">
        <v>282</v>
      </c>
      <c r="S338" t="s">
        <v>2404</v>
      </c>
      <c r="T338" t="s">
        <v>1178</v>
      </c>
      <c r="U338" t="s">
        <v>1192</v>
      </c>
      <c r="V338" t="s">
        <v>599</v>
      </c>
      <c r="W338" t="s">
        <v>1551</v>
      </c>
      <c r="X338" t="s">
        <v>599</v>
      </c>
      <c r="Y338" t="s">
        <v>599</v>
      </c>
      <c r="Z338" t="s">
        <v>2405</v>
      </c>
      <c r="AA338" t="s">
        <v>2406</v>
      </c>
      <c r="AB338">
        <v>1865</v>
      </c>
      <c r="AC338">
        <v>1865</v>
      </c>
      <c r="AD338" t="s">
        <v>2407</v>
      </c>
      <c r="AE338" t="s">
        <v>1185</v>
      </c>
      <c r="AF338" t="s">
        <v>599</v>
      </c>
      <c r="AG338" t="s">
        <v>599</v>
      </c>
      <c r="AH338" t="s">
        <v>2408</v>
      </c>
      <c r="AI338" t="s">
        <v>599</v>
      </c>
      <c r="AJ338" t="s">
        <v>2409</v>
      </c>
      <c r="AK338" t="s">
        <v>2410</v>
      </c>
      <c r="AL338" t="s">
        <v>1188</v>
      </c>
      <c r="AM338" t="s">
        <v>2411</v>
      </c>
      <c r="AN338" t="s">
        <v>1190</v>
      </c>
      <c r="AO338" t="s">
        <v>599</v>
      </c>
      <c r="AP338" t="s">
        <v>2412</v>
      </c>
      <c r="AQ338" t="s">
        <v>599</v>
      </c>
      <c r="AR338" t="s">
        <v>599</v>
      </c>
      <c r="AS338" t="s">
        <v>599</v>
      </c>
      <c r="AT338" t="s">
        <v>599</v>
      </c>
      <c r="AU338" t="s">
        <v>599</v>
      </c>
    </row>
    <row r="339" spans="1:47" s="13" customFormat="1" ht="75" x14ac:dyDescent="0.25">
      <c r="A339" s="9">
        <v>10694</v>
      </c>
      <c r="B339" s="10">
        <v>852331</v>
      </c>
      <c r="C339" s="10">
        <v>1</v>
      </c>
      <c r="D339" s="9">
        <v>12</v>
      </c>
      <c r="E339" s="11" t="s">
        <v>285</v>
      </c>
      <c r="F339" s="11" t="str">
        <f t="shared" si="15"/>
        <v>https://purl.pt/44308</v>
      </c>
      <c r="G339" s="12" t="s">
        <v>286</v>
      </c>
      <c r="H339" s="9" t="s">
        <v>287</v>
      </c>
      <c r="I339" s="34"/>
      <c r="J339" s="55" t="str">
        <f t="shared" si="16"/>
        <v>https://permalinkbnd.bnportugal.gov.pt/viewer/277145/?offset=#page=12&amp;viewer=picture&amp;o=info&amp;n=0&amp;q=</v>
      </c>
      <c r="K339" s="45"/>
      <c r="L339" s="45"/>
      <c r="M339" s="45"/>
      <c r="N339" t="s">
        <v>285</v>
      </c>
      <c r="O339">
        <v>277145</v>
      </c>
      <c r="P339" t="str">
        <f t="shared" si="17"/>
        <v>https://permalinkbnd.bnportugal.gov.pt/viewer/277145/?offset=#page=12&amp;viewer=picture&amp;o=info&amp;n=0&amp;q=</v>
      </c>
      <c r="Q339">
        <v>852331</v>
      </c>
      <c r="R339" t="s">
        <v>285</v>
      </c>
      <c r="S339" t="s">
        <v>2413</v>
      </c>
      <c r="T339" t="s">
        <v>1226</v>
      </c>
      <c r="U339" t="s">
        <v>1192</v>
      </c>
      <c r="V339" t="s">
        <v>599</v>
      </c>
      <c r="W339" t="s">
        <v>2414</v>
      </c>
      <c r="X339" t="s">
        <v>2415</v>
      </c>
      <c r="Y339" t="s">
        <v>599</v>
      </c>
      <c r="Z339" t="s">
        <v>1182</v>
      </c>
      <c r="AA339" t="s">
        <v>2416</v>
      </c>
      <c r="AB339">
        <v>1889</v>
      </c>
      <c r="AC339">
        <v>1889</v>
      </c>
      <c r="AD339" t="s">
        <v>599</v>
      </c>
      <c r="AE339" t="s">
        <v>599</v>
      </c>
      <c r="AF339" t="s">
        <v>599</v>
      </c>
      <c r="AG339" t="s">
        <v>599</v>
      </c>
      <c r="AH339" t="s">
        <v>2417</v>
      </c>
      <c r="AI339" t="s">
        <v>599</v>
      </c>
      <c r="AJ339" t="s">
        <v>599</v>
      </c>
      <c r="AK339" t="s">
        <v>2418</v>
      </c>
      <c r="AL339" t="s">
        <v>1188</v>
      </c>
      <c r="AM339" t="s">
        <v>2419</v>
      </c>
      <c r="AN339" t="s">
        <v>1190</v>
      </c>
      <c r="AO339" t="s">
        <v>599</v>
      </c>
      <c r="AP339" t="s">
        <v>599</v>
      </c>
      <c r="AQ339" t="s">
        <v>599</v>
      </c>
      <c r="AR339" t="s">
        <v>599</v>
      </c>
      <c r="AS339" t="s">
        <v>599</v>
      </c>
      <c r="AT339" t="s">
        <v>599</v>
      </c>
      <c r="AU339" t="s">
        <v>599</v>
      </c>
    </row>
    <row r="340" spans="1:47" s="13" customFormat="1" ht="75" x14ac:dyDescent="0.25">
      <c r="A340" s="9">
        <v>10695</v>
      </c>
      <c r="B340" s="10">
        <v>852331</v>
      </c>
      <c r="C340" s="10">
        <v>1</v>
      </c>
      <c r="D340" s="9">
        <v>110</v>
      </c>
      <c r="E340" s="11" t="s">
        <v>285</v>
      </c>
      <c r="F340" s="11" t="str">
        <f t="shared" si="15"/>
        <v>https://purl.pt/44308</v>
      </c>
      <c r="G340" s="12" t="s">
        <v>286</v>
      </c>
      <c r="H340" s="9" t="s">
        <v>287</v>
      </c>
      <c r="I340" s="34"/>
      <c r="J340" s="55" t="str">
        <f t="shared" si="16"/>
        <v>https://permalinkbnd.bnportugal.gov.pt/viewer/277145/?offset=#page=110&amp;viewer=picture&amp;o=info&amp;n=0&amp;q=</v>
      </c>
      <c r="K340" s="45"/>
      <c r="L340" s="45"/>
      <c r="M340" s="45"/>
      <c r="N340" t="s">
        <v>285</v>
      </c>
      <c r="O340">
        <v>277145</v>
      </c>
      <c r="P340" t="str">
        <f t="shared" si="17"/>
        <v>https://permalinkbnd.bnportugal.gov.pt/viewer/277145/?offset=#page=110&amp;viewer=picture&amp;o=info&amp;n=0&amp;q=</v>
      </c>
      <c r="Q340">
        <v>852331</v>
      </c>
      <c r="R340" t="s">
        <v>285</v>
      </c>
      <c r="S340" t="s">
        <v>2413</v>
      </c>
      <c r="T340" t="s">
        <v>1226</v>
      </c>
      <c r="U340" t="s">
        <v>1192</v>
      </c>
      <c r="V340" t="s">
        <v>599</v>
      </c>
      <c r="W340" t="s">
        <v>2414</v>
      </c>
      <c r="X340" t="s">
        <v>2415</v>
      </c>
      <c r="Y340" t="s">
        <v>599</v>
      </c>
      <c r="Z340" t="s">
        <v>1182</v>
      </c>
      <c r="AA340" t="s">
        <v>2416</v>
      </c>
      <c r="AB340">
        <v>1889</v>
      </c>
      <c r="AC340">
        <v>1889</v>
      </c>
      <c r="AD340" t="s">
        <v>599</v>
      </c>
      <c r="AE340" t="s">
        <v>599</v>
      </c>
      <c r="AF340" t="s">
        <v>599</v>
      </c>
      <c r="AG340" t="s">
        <v>599</v>
      </c>
      <c r="AH340" t="s">
        <v>2417</v>
      </c>
      <c r="AI340" t="s">
        <v>599</v>
      </c>
      <c r="AJ340" t="s">
        <v>599</v>
      </c>
      <c r="AK340" t="s">
        <v>2418</v>
      </c>
      <c r="AL340" t="s">
        <v>1188</v>
      </c>
      <c r="AM340" t="s">
        <v>2419</v>
      </c>
      <c r="AN340" t="s">
        <v>1190</v>
      </c>
      <c r="AO340" t="s">
        <v>599</v>
      </c>
      <c r="AP340" t="s">
        <v>599</v>
      </c>
      <c r="AQ340" t="s">
        <v>599</v>
      </c>
      <c r="AR340" t="s">
        <v>599</v>
      </c>
      <c r="AS340" t="s">
        <v>599</v>
      </c>
      <c r="AT340" t="s">
        <v>599</v>
      </c>
      <c r="AU340" t="s">
        <v>599</v>
      </c>
    </row>
    <row r="341" spans="1:47" s="13" customFormat="1" ht="75" x14ac:dyDescent="0.25">
      <c r="A341" s="9">
        <v>10696</v>
      </c>
      <c r="B341" s="10">
        <v>852331</v>
      </c>
      <c r="C341" s="10">
        <v>1</v>
      </c>
      <c r="D341" s="9">
        <v>273</v>
      </c>
      <c r="E341" s="11" t="s">
        <v>285</v>
      </c>
      <c r="F341" s="11" t="str">
        <f t="shared" si="15"/>
        <v>https://purl.pt/44308</v>
      </c>
      <c r="G341" s="12" t="s">
        <v>286</v>
      </c>
      <c r="H341" s="9" t="s">
        <v>287</v>
      </c>
      <c r="I341" s="34"/>
      <c r="J341" s="55" t="str">
        <f t="shared" si="16"/>
        <v>https://permalinkbnd.bnportugal.gov.pt/viewer/277145/?offset=#page=273&amp;viewer=picture&amp;o=info&amp;n=0&amp;q=</v>
      </c>
      <c r="K341" s="45"/>
      <c r="L341" s="45"/>
      <c r="M341" s="45"/>
      <c r="N341" t="s">
        <v>285</v>
      </c>
      <c r="O341">
        <v>277145</v>
      </c>
      <c r="P341" t="str">
        <f t="shared" si="17"/>
        <v>https://permalinkbnd.bnportugal.gov.pt/viewer/277145/?offset=#page=273&amp;viewer=picture&amp;o=info&amp;n=0&amp;q=</v>
      </c>
      <c r="Q341">
        <v>852331</v>
      </c>
      <c r="R341" t="s">
        <v>285</v>
      </c>
      <c r="S341" t="s">
        <v>2413</v>
      </c>
      <c r="T341" t="s">
        <v>1226</v>
      </c>
      <c r="U341" t="s">
        <v>1192</v>
      </c>
      <c r="V341" t="s">
        <v>599</v>
      </c>
      <c r="W341" t="s">
        <v>2414</v>
      </c>
      <c r="X341" t="s">
        <v>2415</v>
      </c>
      <c r="Y341" t="s">
        <v>599</v>
      </c>
      <c r="Z341" t="s">
        <v>1182</v>
      </c>
      <c r="AA341" t="s">
        <v>2416</v>
      </c>
      <c r="AB341">
        <v>1889</v>
      </c>
      <c r="AC341">
        <v>1889</v>
      </c>
      <c r="AD341" t="s">
        <v>599</v>
      </c>
      <c r="AE341" t="s">
        <v>599</v>
      </c>
      <c r="AF341" t="s">
        <v>599</v>
      </c>
      <c r="AG341" t="s">
        <v>599</v>
      </c>
      <c r="AH341" t="s">
        <v>2417</v>
      </c>
      <c r="AI341" t="s">
        <v>599</v>
      </c>
      <c r="AJ341" t="s">
        <v>599</v>
      </c>
      <c r="AK341" t="s">
        <v>2418</v>
      </c>
      <c r="AL341" t="s">
        <v>1188</v>
      </c>
      <c r="AM341" t="s">
        <v>2419</v>
      </c>
      <c r="AN341" t="s">
        <v>1190</v>
      </c>
      <c r="AO341" t="s">
        <v>599</v>
      </c>
      <c r="AP341" t="s">
        <v>599</v>
      </c>
      <c r="AQ341" t="s">
        <v>599</v>
      </c>
      <c r="AR341" t="s">
        <v>599</v>
      </c>
      <c r="AS341" t="s">
        <v>599</v>
      </c>
      <c r="AT341" t="s">
        <v>599</v>
      </c>
      <c r="AU341" t="s">
        <v>599</v>
      </c>
    </row>
    <row r="342" spans="1:47" s="13" customFormat="1" ht="30" x14ac:dyDescent="0.25">
      <c r="A342" s="9">
        <v>10700</v>
      </c>
      <c r="B342" s="10">
        <v>852140</v>
      </c>
      <c r="C342" s="10">
        <v>1</v>
      </c>
      <c r="D342" s="9">
        <v>23</v>
      </c>
      <c r="E342" s="11" t="s">
        <v>288</v>
      </c>
      <c r="F342" s="11" t="str">
        <f t="shared" si="15"/>
        <v>https://purl.pt/44007</v>
      </c>
      <c r="G342" s="12" t="s">
        <v>289</v>
      </c>
      <c r="H342" s="9" t="s">
        <v>290</v>
      </c>
      <c r="I342" s="34"/>
      <c r="J342" s="55" t="str">
        <f t="shared" si="16"/>
        <v>https://permalinkbnd.bnportugal.gov.pt/viewer/273814/?offset=#page=23&amp;viewer=picture&amp;o=info&amp;n=0&amp;q=</v>
      </c>
      <c r="K342" s="45"/>
      <c r="L342" s="45"/>
      <c r="M342" s="45"/>
      <c r="N342" t="s">
        <v>288</v>
      </c>
      <c r="O342">
        <v>273814</v>
      </c>
      <c r="P342" t="str">
        <f t="shared" si="17"/>
        <v>https://permalinkbnd.bnportugal.gov.pt/viewer/273814/?offset=#page=23&amp;viewer=picture&amp;o=info&amp;n=0&amp;q=</v>
      </c>
      <c r="Q342">
        <v>852140</v>
      </c>
      <c r="R342" t="s">
        <v>288</v>
      </c>
      <c r="S342" t="s">
        <v>2420</v>
      </c>
      <c r="T342" t="s">
        <v>1178</v>
      </c>
      <c r="U342" t="s">
        <v>1192</v>
      </c>
      <c r="V342" t="s">
        <v>599</v>
      </c>
      <c r="W342" t="s">
        <v>2421</v>
      </c>
      <c r="X342" t="s">
        <v>2422</v>
      </c>
      <c r="Y342" t="s">
        <v>599</v>
      </c>
      <c r="Z342" t="s">
        <v>1182</v>
      </c>
      <c r="AA342" t="s">
        <v>2423</v>
      </c>
      <c r="AB342">
        <v>1898</v>
      </c>
      <c r="AC342">
        <v>1898</v>
      </c>
      <c r="AD342" t="s">
        <v>2424</v>
      </c>
      <c r="AE342" t="s">
        <v>2425</v>
      </c>
      <c r="AF342" t="s">
        <v>599</v>
      </c>
      <c r="AG342" t="s">
        <v>599</v>
      </c>
      <c r="AH342" t="s">
        <v>599</v>
      </c>
      <c r="AI342" t="s">
        <v>599</v>
      </c>
      <c r="AJ342" t="s">
        <v>599</v>
      </c>
      <c r="AK342" t="s">
        <v>2426</v>
      </c>
      <c r="AL342" t="s">
        <v>1188</v>
      </c>
      <c r="AM342" t="s">
        <v>2427</v>
      </c>
      <c r="AN342" t="s">
        <v>1190</v>
      </c>
      <c r="AO342" t="s">
        <v>599</v>
      </c>
      <c r="AP342" t="s">
        <v>599</v>
      </c>
      <c r="AQ342" t="s">
        <v>599</v>
      </c>
      <c r="AR342" t="s">
        <v>599</v>
      </c>
      <c r="AS342" t="s">
        <v>599</v>
      </c>
      <c r="AT342" t="s">
        <v>599</v>
      </c>
      <c r="AU342" t="s">
        <v>599</v>
      </c>
    </row>
    <row r="343" spans="1:47" s="13" customFormat="1" ht="30" x14ac:dyDescent="0.25">
      <c r="A343" s="9">
        <v>10701</v>
      </c>
      <c r="B343" s="10">
        <v>852140</v>
      </c>
      <c r="C343" s="10">
        <v>1</v>
      </c>
      <c r="D343" s="9">
        <v>102</v>
      </c>
      <c r="E343" s="11" t="s">
        <v>288</v>
      </c>
      <c r="F343" s="11" t="str">
        <f t="shared" si="15"/>
        <v>https://purl.pt/44007</v>
      </c>
      <c r="G343" s="12" t="s">
        <v>289</v>
      </c>
      <c r="H343" s="9" t="s">
        <v>290</v>
      </c>
      <c r="I343" s="34"/>
      <c r="J343" s="55" t="str">
        <f t="shared" si="16"/>
        <v>https://permalinkbnd.bnportugal.gov.pt/viewer/273814/?offset=#page=102&amp;viewer=picture&amp;o=info&amp;n=0&amp;q=</v>
      </c>
      <c r="K343" s="45"/>
      <c r="L343" s="45"/>
      <c r="M343" s="45"/>
      <c r="N343" t="s">
        <v>288</v>
      </c>
      <c r="O343">
        <v>273814</v>
      </c>
      <c r="P343" t="str">
        <f t="shared" si="17"/>
        <v>https://permalinkbnd.bnportugal.gov.pt/viewer/273814/?offset=#page=102&amp;viewer=picture&amp;o=info&amp;n=0&amp;q=</v>
      </c>
      <c r="Q343">
        <v>852140</v>
      </c>
      <c r="R343" t="s">
        <v>288</v>
      </c>
      <c r="S343" t="s">
        <v>2420</v>
      </c>
      <c r="T343" t="s">
        <v>1178</v>
      </c>
      <c r="U343" t="s">
        <v>1192</v>
      </c>
      <c r="V343" t="s">
        <v>599</v>
      </c>
      <c r="W343" t="s">
        <v>2421</v>
      </c>
      <c r="X343" t="s">
        <v>2422</v>
      </c>
      <c r="Y343" t="s">
        <v>599</v>
      </c>
      <c r="Z343" t="s">
        <v>1182</v>
      </c>
      <c r="AA343" t="s">
        <v>2423</v>
      </c>
      <c r="AB343">
        <v>1898</v>
      </c>
      <c r="AC343">
        <v>1898</v>
      </c>
      <c r="AD343" t="s">
        <v>2424</v>
      </c>
      <c r="AE343" t="s">
        <v>2425</v>
      </c>
      <c r="AF343" t="s">
        <v>599</v>
      </c>
      <c r="AG343" t="s">
        <v>599</v>
      </c>
      <c r="AH343" t="s">
        <v>599</v>
      </c>
      <c r="AI343" t="s">
        <v>599</v>
      </c>
      <c r="AJ343" t="s">
        <v>599</v>
      </c>
      <c r="AK343" t="s">
        <v>2426</v>
      </c>
      <c r="AL343" t="s">
        <v>1188</v>
      </c>
      <c r="AM343" t="s">
        <v>2427</v>
      </c>
      <c r="AN343" t="s">
        <v>1190</v>
      </c>
      <c r="AO343" t="s">
        <v>599</v>
      </c>
      <c r="AP343" t="s">
        <v>599</v>
      </c>
      <c r="AQ343" t="s">
        <v>599</v>
      </c>
      <c r="AR343" t="s">
        <v>599</v>
      </c>
      <c r="AS343" t="s">
        <v>599</v>
      </c>
      <c r="AT343" t="s">
        <v>599</v>
      </c>
      <c r="AU343" t="s">
        <v>599</v>
      </c>
    </row>
    <row r="344" spans="1:47" s="13" customFormat="1" ht="30" x14ac:dyDescent="0.25">
      <c r="A344" s="9">
        <v>10702</v>
      </c>
      <c r="B344" s="10">
        <v>852140</v>
      </c>
      <c r="C344" s="10">
        <v>1</v>
      </c>
      <c r="D344" s="9">
        <v>198</v>
      </c>
      <c r="E344" s="11" t="s">
        <v>288</v>
      </c>
      <c r="F344" s="11" t="str">
        <f t="shared" si="15"/>
        <v>https://purl.pt/44007</v>
      </c>
      <c r="G344" s="12" t="s">
        <v>289</v>
      </c>
      <c r="H344" s="9" t="s">
        <v>290</v>
      </c>
      <c r="I344" s="34"/>
      <c r="J344" s="55" t="str">
        <f t="shared" si="16"/>
        <v>https://permalinkbnd.bnportugal.gov.pt/viewer/273814/?offset=#page=198&amp;viewer=picture&amp;o=info&amp;n=0&amp;q=</v>
      </c>
      <c r="K344" s="45"/>
      <c r="L344" s="45"/>
      <c r="M344" s="45"/>
      <c r="N344" t="s">
        <v>288</v>
      </c>
      <c r="O344">
        <v>273814</v>
      </c>
      <c r="P344" t="str">
        <f t="shared" si="17"/>
        <v>https://permalinkbnd.bnportugal.gov.pt/viewer/273814/?offset=#page=198&amp;viewer=picture&amp;o=info&amp;n=0&amp;q=</v>
      </c>
      <c r="Q344">
        <v>852140</v>
      </c>
      <c r="R344" t="s">
        <v>288</v>
      </c>
      <c r="S344" t="s">
        <v>2420</v>
      </c>
      <c r="T344" t="s">
        <v>1178</v>
      </c>
      <c r="U344" t="s">
        <v>1192</v>
      </c>
      <c r="V344" t="s">
        <v>599</v>
      </c>
      <c r="W344" t="s">
        <v>2421</v>
      </c>
      <c r="X344" t="s">
        <v>2422</v>
      </c>
      <c r="Y344" t="s">
        <v>599</v>
      </c>
      <c r="Z344" t="s">
        <v>1182</v>
      </c>
      <c r="AA344" t="s">
        <v>2423</v>
      </c>
      <c r="AB344">
        <v>1898</v>
      </c>
      <c r="AC344">
        <v>1898</v>
      </c>
      <c r="AD344" t="s">
        <v>2424</v>
      </c>
      <c r="AE344" t="s">
        <v>2425</v>
      </c>
      <c r="AF344" t="s">
        <v>599</v>
      </c>
      <c r="AG344" t="s">
        <v>599</v>
      </c>
      <c r="AH344" t="s">
        <v>599</v>
      </c>
      <c r="AI344" t="s">
        <v>599</v>
      </c>
      <c r="AJ344" t="s">
        <v>599</v>
      </c>
      <c r="AK344" t="s">
        <v>2426</v>
      </c>
      <c r="AL344" t="s">
        <v>1188</v>
      </c>
      <c r="AM344" t="s">
        <v>2427</v>
      </c>
      <c r="AN344" t="s">
        <v>1190</v>
      </c>
      <c r="AO344" t="s">
        <v>599</v>
      </c>
      <c r="AP344" t="s">
        <v>599</v>
      </c>
      <c r="AQ344" t="s">
        <v>599</v>
      </c>
      <c r="AR344" t="s">
        <v>599</v>
      </c>
      <c r="AS344" t="s">
        <v>599</v>
      </c>
      <c r="AT344" t="s">
        <v>599</v>
      </c>
      <c r="AU344" t="s">
        <v>599</v>
      </c>
    </row>
    <row r="345" spans="1:47" s="13" customFormat="1" ht="45" x14ac:dyDescent="0.25">
      <c r="A345" s="9">
        <v>10705</v>
      </c>
      <c r="B345" s="10">
        <v>256620</v>
      </c>
      <c r="C345" s="10">
        <v>1</v>
      </c>
      <c r="D345" s="9">
        <v>8</v>
      </c>
      <c r="E345" s="11" t="s">
        <v>291</v>
      </c>
      <c r="F345" s="11" t="str">
        <f t="shared" si="15"/>
        <v>https://purl.pt/44315</v>
      </c>
      <c r="G345" s="12" t="s">
        <v>292</v>
      </c>
      <c r="H345" s="9" t="s">
        <v>293</v>
      </c>
      <c r="I345" s="34"/>
      <c r="J345" s="55" t="str">
        <f t="shared" si="16"/>
        <v>https://permalinkbnd.bnportugal.gov.pt/viewer/277150/?offset=#page=8&amp;viewer=picture&amp;o=info&amp;n=0&amp;q=</v>
      </c>
      <c r="K345" s="45"/>
      <c r="L345" s="45"/>
      <c r="M345" s="45"/>
      <c r="N345" t="s">
        <v>291</v>
      </c>
      <c r="O345">
        <v>277150</v>
      </c>
      <c r="P345" t="str">
        <f t="shared" si="17"/>
        <v>https://permalinkbnd.bnportugal.gov.pt/viewer/277150/?offset=#page=8&amp;viewer=picture&amp;o=info&amp;n=0&amp;q=</v>
      </c>
      <c r="Q345">
        <v>256620</v>
      </c>
      <c r="R345" t="s">
        <v>291</v>
      </c>
      <c r="S345" t="s">
        <v>2428</v>
      </c>
      <c r="T345" t="s">
        <v>1178</v>
      </c>
      <c r="U345" t="s">
        <v>1192</v>
      </c>
      <c r="V345" t="s">
        <v>599</v>
      </c>
      <c r="W345" t="s">
        <v>1551</v>
      </c>
      <c r="X345" t="s">
        <v>599</v>
      </c>
      <c r="Y345" t="s">
        <v>599</v>
      </c>
      <c r="Z345" t="s">
        <v>2429</v>
      </c>
      <c r="AA345" t="s">
        <v>2430</v>
      </c>
      <c r="AB345">
        <v>1873</v>
      </c>
      <c r="AC345">
        <v>1873</v>
      </c>
      <c r="AD345" t="s">
        <v>2431</v>
      </c>
      <c r="AE345" t="s">
        <v>1185</v>
      </c>
      <c r="AF345" t="s">
        <v>599</v>
      </c>
      <c r="AG345" t="s">
        <v>599</v>
      </c>
      <c r="AH345" t="s">
        <v>2432</v>
      </c>
      <c r="AI345" t="s">
        <v>599</v>
      </c>
      <c r="AJ345" t="s">
        <v>2433</v>
      </c>
      <c r="AK345" t="s">
        <v>2434</v>
      </c>
      <c r="AL345" t="s">
        <v>1188</v>
      </c>
      <c r="AM345" t="s">
        <v>2435</v>
      </c>
      <c r="AN345" t="s">
        <v>1190</v>
      </c>
      <c r="AO345" t="s">
        <v>599</v>
      </c>
      <c r="AP345" t="s">
        <v>2412</v>
      </c>
      <c r="AQ345" t="s">
        <v>599</v>
      </c>
      <c r="AR345" t="s">
        <v>599</v>
      </c>
      <c r="AS345" t="s">
        <v>599</v>
      </c>
      <c r="AT345" t="s">
        <v>599</v>
      </c>
      <c r="AU345" t="s">
        <v>599</v>
      </c>
    </row>
    <row r="346" spans="1:47" s="13" customFormat="1" ht="45" x14ac:dyDescent="0.25">
      <c r="A346" s="9">
        <v>10706</v>
      </c>
      <c r="B346" s="10">
        <v>256620</v>
      </c>
      <c r="C346" s="10">
        <v>1</v>
      </c>
      <c r="D346" s="9">
        <v>59</v>
      </c>
      <c r="E346" s="11" t="s">
        <v>291</v>
      </c>
      <c r="F346" s="11" t="str">
        <f t="shared" si="15"/>
        <v>https://purl.pt/44315</v>
      </c>
      <c r="G346" s="12" t="s">
        <v>292</v>
      </c>
      <c r="H346" s="9" t="s">
        <v>293</v>
      </c>
      <c r="I346" s="34"/>
      <c r="J346" s="55" t="str">
        <f t="shared" si="16"/>
        <v>https://permalinkbnd.bnportugal.gov.pt/viewer/277150/?offset=#page=59&amp;viewer=picture&amp;o=info&amp;n=0&amp;q=</v>
      </c>
      <c r="K346" s="45"/>
      <c r="L346" s="45"/>
      <c r="M346" s="45"/>
      <c r="N346" t="s">
        <v>291</v>
      </c>
      <c r="O346">
        <v>277150</v>
      </c>
      <c r="P346" t="str">
        <f t="shared" si="17"/>
        <v>https://permalinkbnd.bnportugal.gov.pt/viewer/277150/?offset=#page=59&amp;viewer=picture&amp;o=info&amp;n=0&amp;q=</v>
      </c>
      <c r="Q346">
        <v>256620</v>
      </c>
      <c r="R346" t="s">
        <v>291</v>
      </c>
      <c r="S346" t="s">
        <v>2428</v>
      </c>
      <c r="T346" t="s">
        <v>1178</v>
      </c>
      <c r="U346" t="s">
        <v>1192</v>
      </c>
      <c r="V346" t="s">
        <v>599</v>
      </c>
      <c r="W346" t="s">
        <v>1551</v>
      </c>
      <c r="X346" t="s">
        <v>599</v>
      </c>
      <c r="Y346" t="s">
        <v>599</v>
      </c>
      <c r="Z346" t="s">
        <v>2429</v>
      </c>
      <c r="AA346" t="s">
        <v>2430</v>
      </c>
      <c r="AB346">
        <v>1873</v>
      </c>
      <c r="AC346">
        <v>1873</v>
      </c>
      <c r="AD346" t="s">
        <v>2431</v>
      </c>
      <c r="AE346" t="s">
        <v>1185</v>
      </c>
      <c r="AF346" t="s">
        <v>599</v>
      </c>
      <c r="AG346" t="s">
        <v>599</v>
      </c>
      <c r="AH346" t="s">
        <v>2432</v>
      </c>
      <c r="AI346" t="s">
        <v>599</v>
      </c>
      <c r="AJ346" t="s">
        <v>2433</v>
      </c>
      <c r="AK346" t="s">
        <v>2434</v>
      </c>
      <c r="AL346" t="s">
        <v>1188</v>
      </c>
      <c r="AM346" t="s">
        <v>2435</v>
      </c>
      <c r="AN346" t="s">
        <v>1190</v>
      </c>
      <c r="AO346" t="s">
        <v>599</v>
      </c>
      <c r="AP346" t="s">
        <v>2412</v>
      </c>
      <c r="AQ346" t="s">
        <v>599</v>
      </c>
      <c r="AR346" t="s">
        <v>599</v>
      </c>
      <c r="AS346" t="s">
        <v>599</v>
      </c>
      <c r="AT346" t="s">
        <v>599</v>
      </c>
      <c r="AU346" t="s">
        <v>599</v>
      </c>
    </row>
    <row r="347" spans="1:47" s="13" customFormat="1" ht="45" x14ac:dyDescent="0.25">
      <c r="A347" s="9">
        <v>10707</v>
      </c>
      <c r="B347" s="10">
        <v>256620</v>
      </c>
      <c r="C347" s="10">
        <v>1</v>
      </c>
      <c r="D347" s="9">
        <v>97</v>
      </c>
      <c r="E347" s="11" t="s">
        <v>291</v>
      </c>
      <c r="F347" s="11" t="str">
        <f t="shared" si="15"/>
        <v>https://purl.pt/44315</v>
      </c>
      <c r="G347" s="12" t="s">
        <v>292</v>
      </c>
      <c r="H347" s="9" t="s">
        <v>293</v>
      </c>
      <c r="I347" s="34"/>
      <c r="J347" s="55" t="str">
        <f t="shared" si="16"/>
        <v>https://permalinkbnd.bnportugal.gov.pt/viewer/277150/?offset=#page=97&amp;viewer=picture&amp;o=info&amp;n=0&amp;q=</v>
      </c>
      <c r="K347" s="45"/>
      <c r="L347" s="45"/>
      <c r="M347" s="45"/>
      <c r="N347" t="s">
        <v>291</v>
      </c>
      <c r="O347">
        <v>277150</v>
      </c>
      <c r="P347" t="str">
        <f t="shared" si="17"/>
        <v>https://permalinkbnd.bnportugal.gov.pt/viewer/277150/?offset=#page=97&amp;viewer=picture&amp;o=info&amp;n=0&amp;q=</v>
      </c>
      <c r="Q347">
        <v>256620</v>
      </c>
      <c r="R347" t="s">
        <v>291</v>
      </c>
      <c r="S347" t="s">
        <v>2428</v>
      </c>
      <c r="T347" t="s">
        <v>1178</v>
      </c>
      <c r="U347" t="s">
        <v>1192</v>
      </c>
      <c r="V347" t="s">
        <v>599</v>
      </c>
      <c r="W347" t="s">
        <v>1551</v>
      </c>
      <c r="X347" t="s">
        <v>599</v>
      </c>
      <c r="Y347" t="s">
        <v>599</v>
      </c>
      <c r="Z347" t="s">
        <v>2429</v>
      </c>
      <c r="AA347" t="s">
        <v>2430</v>
      </c>
      <c r="AB347">
        <v>1873</v>
      </c>
      <c r="AC347">
        <v>1873</v>
      </c>
      <c r="AD347" t="s">
        <v>2431</v>
      </c>
      <c r="AE347" t="s">
        <v>1185</v>
      </c>
      <c r="AF347" t="s">
        <v>599</v>
      </c>
      <c r="AG347" t="s">
        <v>599</v>
      </c>
      <c r="AH347" t="s">
        <v>2432</v>
      </c>
      <c r="AI347" t="s">
        <v>599</v>
      </c>
      <c r="AJ347" t="s">
        <v>2433</v>
      </c>
      <c r="AK347" t="s">
        <v>2434</v>
      </c>
      <c r="AL347" t="s">
        <v>1188</v>
      </c>
      <c r="AM347" t="s">
        <v>2435</v>
      </c>
      <c r="AN347" t="s">
        <v>1190</v>
      </c>
      <c r="AO347" t="s">
        <v>599</v>
      </c>
      <c r="AP347" t="s">
        <v>2412</v>
      </c>
      <c r="AQ347" t="s">
        <v>599</v>
      </c>
      <c r="AR347" t="s">
        <v>599</v>
      </c>
      <c r="AS347" t="s">
        <v>599</v>
      </c>
      <c r="AT347" t="s">
        <v>599</v>
      </c>
      <c r="AU347" t="s">
        <v>599</v>
      </c>
    </row>
    <row r="348" spans="1:47" s="13" customFormat="1" ht="45" x14ac:dyDescent="0.25">
      <c r="A348" s="9">
        <v>10708</v>
      </c>
      <c r="B348" s="10">
        <v>256620</v>
      </c>
      <c r="C348" s="10">
        <v>1</v>
      </c>
      <c r="D348" s="9">
        <v>139</v>
      </c>
      <c r="E348" s="11" t="s">
        <v>291</v>
      </c>
      <c r="F348" s="11" t="str">
        <f t="shared" si="15"/>
        <v>https://purl.pt/44315</v>
      </c>
      <c r="G348" s="12" t="s">
        <v>292</v>
      </c>
      <c r="H348" s="9" t="s">
        <v>293</v>
      </c>
      <c r="I348" s="34"/>
      <c r="J348" s="55" t="str">
        <f t="shared" si="16"/>
        <v>https://permalinkbnd.bnportugal.gov.pt/viewer/277150/?offset=#page=139&amp;viewer=picture&amp;o=info&amp;n=0&amp;q=</v>
      </c>
      <c r="K348" s="45"/>
      <c r="L348" s="45"/>
      <c r="M348" s="45"/>
      <c r="N348" t="s">
        <v>291</v>
      </c>
      <c r="O348">
        <v>277150</v>
      </c>
      <c r="P348" t="str">
        <f t="shared" si="17"/>
        <v>https://permalinkbnd.bnportugal.gov.pt/viewer/277150/?offset=#page=139&amp;viewer=picture&amp;o=info&amp;n=0&amp;q=</v>
      </c>
      <c r="Q348">
        <v>256620</v>
      </c>
      <c r="R348" t="s">
        <v>291</v>
      </c>
      <c r="S348" t="s">
        <v>2428</v>
      </c>
      <c r="T348" t="s">
        <v>1178</v>
      </c>
      <c r="U348" t="s">
        <v>1192</v>
      </c>
      <c r="V348" t="s">
        <v>599</v>
      </c>
      <c r="W348" t="s">
        <v>1551</v>
      </c>
      <c r="X348" t="s">
        <v>599</v>
      </c>
      <c r="Y348" t="s">
        <v>599</v>
      </c>
      <c r="Z348" t="s">
        <v>2429</v>
      </c>
      <c r="AA348" t="s">
        <v>2430</v>
      </c>
      <c r="AB348">
        <v>1873</v>
      </c>
      <c r="AC348">
        <v>1873</v>
      </c>
      <c r="AD348" t="s">
        <v>2431</v>
      </c>
      <c r="AE348" t="s">
        <v>1185</v>
      </c>
      <c r="AF348" t="s">
        <v>599</v>
      </c>
      <c r="AG348" t="s">
        <v>599</v>
      </c>
      <c r="AH348" t="s">
        <v>2432</v>
      </c>
      <c r="AI348" t="s">
        <v>599</v>
      </c>
      <c r="AJ348" t="s">
        <v>2433</v>
      </c>
      <c r="AK348" t="s">
        <v>2434</v>
      </c>
      <c r="AL348" t="s">
        <v>1188</v>
      </c>
      <c r="AM348" t="s">
        <v>2435</v>
      </c>
      <c r="AN348" t="s">
        <v>1190</v>
      </c>
      <c r="AO348" t="s">
        <v>599</v>
      </c>
      <c r="AP348" t="s">
        <v>2412</v>
      </c>
      <c r="AQ348" t="s">
        <v>599</v>
      </c>
      <c r="AR348" t="s">
        <v>599</v>
      </c>
      <c r="AS348" t="s">
        <v>599</v>
      </c>
      <c r="AT348" t="s">
        <v>599</v>
      </c>
      <c r="AU348" t="s">
        <v>599</v>
      </c>
    </row>
    <row r="349" spans="1:47" s="13" customFormat="1" ht="45" x14ac:dyDescent="0.25">
      <c r="A349" s="9">
        <v>10709</v>
      </c>
      <c r="B349" s="10">
        <v>256620</v>
      </c>
      <c r="C349" s="10">
        <v>1</v>
      </c>
      <c r="D349" s="9">
        <v>191</v>
      </c>
      <c r="E349" s="11" t="s">
        <v>291</v>
      </c>
      <c r="F349" s="11" t="str">
        <f t="shared" si="15"/>
        <v>https://purl.pt/44315</v>
      </c>
      <c r="G349" s="12" t="s">
        <v>292</v>
      </c>
      <c r="H349" s="9" t="s">
        <v>293</v>
      </c>
      <c r="I349" s="34"/>
      <c r="J349" s="55" t="str">
        <f t="shared" si="16"/>
        <v>https://permalinkbnd.bnportugal.gov.pt/viewer/277150/?offset=#page=191&amp;viewer=picture&amp;o=info&amp;n=0&amp;q=</v>
      </c>
      <c r="K349" s="45"/>
      <c r="L349" s="45"/>
      <c r="M349" s="45"/>
      <c r="N349" t="s">
        <v>291</v>
      </c>
      <c r="O349">
        <v>277150</v>
      </c>
      <c r="P349" t="str">
        <f t="shared" si="17"/>
        <v>https://permalinkbnd.bnportugal.gov.pt/viewer/277150/?offset=#page=191&amp;viewer=picture&amp;o=info&amp;n=0&amp;q=</v>
      </c>
      <c r="Q349">
        <v>256620</v>
      </c>
      <c r="R349" t="s">
        <v>291</v>
      </c>
      <c r="S349" t="s">
        <v>2428</v>
      </c>
      <c r="T349" t="s">
        <v>1178</v>
      </c>
      <c r="U349" t="s">
        <v>1192</v>
      </c>
      <c r="V349" t="s">
        <v>599</v>
      </c>
      <c r="W349" t="s">
        <v>1551</v>
      </c>
      <c r="X349" t="s">
        <v>599</v>
      </c>
      <c r="Y349" t="s">
        <v>599</v>
      </c>
      <c r="Z349" t="s">
        <v>2429</v>
      </c>
      <c r="AA349" t="s">
        <v>2430</v>
      </c>
      <c r="AB349">
        <v>1873</v>
      </c>
      <c r="AC349">
        <v>1873</v>
      </c>
      <c r="AD349" t="s">
        <v>2431</v>
      </c>
      <c r="AE349" t="s">
        <v>1185</v>
      </c>
      <c r="AF349" t="s">
        <v>599</v>
      </c>
      <c r="AG349" t="s">
        <v>599</v>
      </c>
      <c r="AH349" t="s">
        <v>2432</v>
      </c>
      <c r="AI349" t="s">
        <v>599</v>
      </c>
      <c r="AJ349" t="s">
        <v>2433</v>
      </c>
      <c r="AK349" t="s">
        <v>2434</v>
      </c>
      <c r="AL349" t="s">
        <v>1188</v>
      </c>
      <c r="AM349" t="s">
        <v>2435</v>
      </c>
      <c r="AN349" t="s">
        <v>1190</v>
      </c>
      <c r="AO349" t="s">
        <v>599</v>
      </c>
      <c r="AP349" t="s">
        <v>2412</v>
      </c>
      <c r="AQ349" t="s">
        <v>599</v>
      </c>
      <c r="AR349" t="s">
        <v>599</v>
      </c>
      <c r="AS349" t="s">
        <v>599</v>
      </c>
      <c r="AT349" t="s">
        <v>599</v>
      </c>
      <c r="AU349" t="s">
        <v>599</v>
      </c>
    </row>
    <row r="350" spans="1:47" s="13" customFormat="1" ht="45" x14ac:dyDescent="0.25">
      <c r="A350" s="9">
        <v>10710</v>
      </c>
      <c r="B350" s="10">
        <v>256620</v>
      </c>
      <c r="C350" s="10">
        <v>1</v>
      </c>
      <c r="D350" s="9">
        <v>229</v>
      </c>
      <c r="E350" s="11" t="s">
        <v>291</v>
      </c>
      <c r="F350" s="11" t="str">
        <f t="shared" si="15"/>
        <v>https://purl.pt/44315</v>
      </c>
      <c r="G350" s="12" t="s">
        <v>292</v>
      </c>
      <c r="H350" s="9" t="s">
        <v>293</v>
      </c>
      <c r="I350" s="34"/>
      <c r="J350" s="55" t="str">
        <f t="shared" si="16"/>
        <v>https://permalinkbnd.bnportugal.gov.pt/viewer/277150/?offset=#page=229&amp;viewer=picture&amp;o=info&amp;n=0&amp;q=</v>
      </c>
      <c r="K350" s="45"/>
      <c r="L350" s="45"/>
      <c r="M350" s="45"/>
      <c r="N350" t="s">
        <v>291</v>
      </c>
      <c r="O350">
        <v>277150</v>
      </c>
      <c r="P350" t="str">
        <f t="shared" si="17"/>
        <v>https://permalinkbnd.bnportugal.gov.pt/viewer/277150/?offset=#page=229&amp;viewer=picture&amp;o=info&amp;n=0&amp;q=</v>
      </c>
      <c r="Q350">
        <v>256620</v>
      </c>
      <c r="R350" t="s">
        <v>291</v>
      </c>
      <c r="S350" t="s">
        <v>2428</v>
      </c>
      <c r="T350" t="s">
        <v>1178</v>
      </c>
      <c r="U350" t="s">
        <v>1192</v>
      </c>
      <c r="V350" t="s">
        <v>599</v>
      </c>
      <c r="W350" t="s">
        <v>1551</v>
      </c>
      <c r="X350" t="s">
        <v>599</v>
      </c>
      <c r="Y350" t="s">
        <v>599</v>
      </c>
      <c r="Z350" t="s">
        <v>2429</v>
      </c>
      <c r="AA350" t="s">
        <v>2430</v>
      </c>
      <c r="AB350">
        <v>1873</v>
      </c>
      <c r="AC350">
        <v>1873</v>
      </c>
      <c r="AD350" t="s">
        <v>2431</v>
      </c>
      <c r="AE350" t="s">
        <v>1185</v>
      </c>
      <c r="AF350" t="s">
        <v>599</v>
      </c>
      <c r="AG350" t="s">
        <v>599</v>
      </c>
      <c r="AH350" t="s">
        <v>2432</v>
      </c>
      <c r="AI350" t="s">
        <v>599</v>
      </c>
      <c r="AJ350" t="s">
        <v>2433</v>
      </c>
      <c r="AK350" t="s">
        <v>2434</v>
      </c>
      <c r="AL350" t="s">
        <v>1188</v>
      </c>
      <c r="AM350" t="s">
        <v>2435</v>
      </c>
      <c r="AN350" t="s">
        <v>1190</v>
      </c>
      <c r="AO350" t="s">
        <v>599</v>
      </c>
      <c r="AP350" t="s">
        <v>2412</v>
      </c>
      <c r="AQ350" t="s">
        <v>599</v>
      </c>
      <c r="AR350" t="s">
        <v>599</v>
      </c>
      <c r="AS350" t="s">
        <v>599</v>
      </c>
      <c r="AT350" t="s">
        <v>599</v>
      </c>
      <c r="AU350" t="s">
        <v>599</v>
      </c>
    </row>
    <row r="351" spans="1:47" s="13" customFormat="1" ht="45" x14ac:dyDescent="0.25">
      <c r="A351" s="9">
        <v>10711</v>
      </c>
      <c r="B351" s="10">
        <v>256620</v>
      </c>
      <c r="C351" s="10">
        <v>1</v>
      </c>
      <c r="D351" s="9">
        <v>265</v>
      </c>
      <c r="E351" s="11" t="s">
        <v>291</v>
      </c>
      <c r="F351" s="11" t="str">
        <f t="shared" si="15"/>
        <v>https://purl.pt/44315</v>
      </c>
      <c r="G351" s="12" t="s">
        <v>292</v>
      </c>
      <c r="H351" s="9" t="s">
        <v>293</v>
      </c>
      <c r="I351" s="34"/>
      <c r="J351" s="55" t="str">
        <f t="shared" si="16"/>
        <v>https://permalinkbnd.bnportugal.gov.pt/viewer/277150/?offset=#page=265&amp;viewer=picture&amp;o=info&amp;n=0&amp;q=</v>
      </c>
      <c r="K351" s="45"/>
      <c r="L351" s="45"/>
      <c r="M351" s="45"/>
      <c r="N351" t="s">
        <v>291</v>
      </c>
      <c r="O351">
        <v>277150</v>
      </c>
      <c r="P351" t="str">
        <f t="shared" si="17"/>
        <v>https://permalinkbnd.bnportugal.gov.pt/viewer/277150/?offset=#page=265&amp;viewer=picture&amp;o=info&amp;n=0&amp;q=</v>
      </c>
      <c r="Q351">
        <v>256620</v>
      </c>
      <c r="R351" t="s">
        <v>291</v>
      </c>
      <c r="S351" t="s">
        <v>2428</v>
      </c>
      <c r="T351" t="s">
        <v>1178</v>
      </c>
      <c r="U351" t="s">
        <v>1192</v>
      </c>
      <c r="V351" t="s">
        <v>599</v>
      </c>
      <c r="W351" t="s">
        <v>1551</v>
      </c>
      <c r="X351" t="s">
        <v>599</v>
      </c>
      <c r="Y351" t="s">
        <v>599</v>
      </c>
      <c r="Z351" t="s">
        <v>2429</v>
      </c>
      <c r="AA351" t="s">
        <v>2430</v>
      </c>
      <c r="AB351">
        <v>1873</v>
      </c>
      <c r="AC351">
        <v>1873</v>
      </c>
      <c r="AD351" t="s">
        <v>2431</v>
      </c>
      <c r="AE351" t="s">
        <v>1185</v>
      </c>
      <c r="AF351" t="s">
        <v>599</v>
      </c>
      <c r="AG351" t="s">
        <v>599</v>
      </c>
      <c r="AH351" t="s">
        <v>2432</v>
      </c>
      <c r="AI351" t="s">
        <v>599</v>
      </c>
      <c r="AJ351" t="s">
        <v>2433</v>
      </c>
      <c r="AK351" t="s">
        <v>2434</v>
      </c>
      <c r="AL351" t="s">
        <v>1188</v>
      </c>
      <c r="AM351" t="s">
        <v>2435</v>
      </c>
      <c r="AN351" t="s">
        <v>1190</v>
      </c>
      <c r="AO351" t="s">
        <v>599</v>
      </c>
      <c r="AP351" t="s">
        <v>2412</v>
      </c>
      <c r="AQ351" t="s">
        <v>599</v>
      </c>
      <c r="AR351" t="s">
        <v>599</v>
      </c>
      <c r="AS351" t="s">
        <v>599</v>
      </c>
      <c r="AT351" t="s">
        <v>599</v>
      </c>
      <c r="AU351" t="s">
        <v>599</v>
      </c>
    </row>
    <row r="352" spans="1:47" s="13" customFormat="1" ht="45" x14ac:dyDescent="0.25">
      <c r="A352" s="9">
        <v>10712</v>
      </c>
      <c r="B352" s="10">
        <v>256620</v>
      </c>
      <c r="C352" s="10">
        <v>1</v>
      </c>
      <c r="D352" s="9">
        <v>301</v>
      </c>
      <c r="E352" s="11" t="s">
        <v>291</v>
      </c>
      <c r="F352" s="11" t="str">
        <f t="shared" si="15"/>
        <v>https://purl.pt/44315</v>
      </c>
      <c r="G352" s="12" t="s">
        <v>292</v>
      </c>
      <c r="H352" s="9" t="s">
        <v>293</v>
      </c>
      <c r="I352" s="34"/>
      <c r="J352" s="55" t="str">
        <f t="shared" si="16"/>
        <v>https://permalinkbnd.bnportugal.gov.pt/viewer/277150/?offset=#page=301&amp;viewer=picture&amp;o=info&amp;n=0&amp;q=</v>
      </c>
      <c r="K352" s="45"/>
      <c r="L352" s="45"/>
      <c r="M352" s="45"/>
      <c r="N352" t="s">
        <v>291</v>
      </c>
      <c r="O352">
        <v>277150</v>
      </c>
      <c r="P352" t="str">
        <f t="shared" si="17"/>
        <v>https://permalinkbnd.bnportugal.gov.pt/viewer/277150/?offset=#page=301&amp;viewer=picture&amp;o=info&amp;n=0&amp;q=</v>
      </c>
      <c r="Q352">
        <v>256620</v>
      </c>
      <c r="R352" t="s">
        <v>291</v>
      </c>
      <c r="S352" t="s">
        <v>2428</v>
      </c>
      <c r="T352" t="s">
        <v>1178</v>
      </c>
      <c r="U352" t="s">
        <v>1192</v>
      </c>
      <c r="V352" t="s">
        <v>599</v>
      </c>
      <c r="W352" t="s">
        <v>1551</v>
      </c>
      <c r="X352" t="s">
        <v>599</v>
      </c>
      <c r="Y352" t="s">
        <v>599</v>
      </c>
      <c r="Z352" t="s">
        <v>2429</v>
      </c>
      <c r="AA352" t="s">
        <v>2430</v>
      </c>
      <c r="AB352">
        <v>1873</v>
      </c>
      <c r="AC352">
        <v>1873</v>
      </c>
      <c r="AD352" t="s">
        <v>2431</v>
      </c>
      <c r="AE352" t="s">
        <v>1185</v>
      </c>
      <c r="AF352" t="s">
        <v>599</v>
      </c>
      <c r="AG352" t="s">
        <v>599</v>
      </c>
      <c r="AH352" t="s">
        <v>2432</v>
      </c>
      <c r="AI352" t="s">
        <v>599</v>
      </c>
      <c r="AJ352" t="s">
        <v>2433</v>
      </c>
      <c r="AK352" t="s">
        <v>2434</v>
      </c>
      <c r="AL352" t="s">
        <v>1188</v>
      </c>
      <c r="AM352" t="s">
        <v>2435</v>
      </c>
      <c r="AN352" t="s">
        <v>1190</v>
      </c>
      <c r="AO352" t="s">
        <v>599</v>
      </c>
      <c r="AP352" t="s">
        <v>2412</v>
      </c>
      <c r="AQ352" t="s">
        <v>599</v>
      </c>
      <c r="AR352" t="s">
        <v>599</v>
      </c>
      <c r="AS352" t="s">
        <v>599</v>
      </c>
      <c r="AT352" t="s">
        <v>599</v>
      </c>
      <c r="AU352" t="s">
        <v>599</v>
      </c>
    </row>
    <row r="353" spans="1:47" s="13" customFormat="1" ht="45" x14ac:dyDescent="0.25">
      <c r="A353" s="9">
        <v>10713</v>
      </c>
      <c r="B353" s="10">
        <v>256620</v>
      </c>
      <c r="C353" s="10">
        <v>1</v>
      </c>
      <c r="D353" s="9">
        <v>333</v>
      </c>
      <c r="E353" s="11" t="s">
        <v>291</v>
      </c>
      <c r="F353" s="11" t="str">
        <f t="shared" si="15"/>
        <v>https://purl.pt/44315</v>
      </c>
      <c r="G353" s="12" t="s">
        <v>292</v>
      </c>
      <c r="H353" s="9" t="s">
        <v>293</v>
      </c>
      <c r="I353" s="34"/>
      <c r="J353" s="55" t="str">
        <f t="shared" si="16"/>
        <v>https://permalinkbnd.bnportugal.gov.pt/viewer/277150/?offset=#page=333&amp;viewer=picture&amp;o=info&amp;n=0&amp;q=</v>
      </c>
      <c r="K353" s="45"/>
      <c r="L353" s="45"/>
      <c r="M353" s="45"/>
      <c r="N353" t="s">
        <v>291</v>
      </c>
      <c r="O353">
        <v>277150</v>
      </c>
      <c r="P353" t="str">
        <f t="shared" si="17"/>
        <v>https://permalinkbnd.bnportugal.gov.pt/viewer/277150/?offset=#page=333&amp;viewer=picture&amp;o=info&amp;n=0&amp;q=</v>
      </c>
      <c r="Q353">
        <v>256620</v>
      </c>
      <c r="R353" t="s">
        <v>291</v>
      </c>
      <c r="S353" t="s">
        <v>2428</v>
      </c>
      <c r="T353" t="s">
        <v>1178</v>
      </c>
      <c r="U353" t="s">
        <v>1192</v>
      </c>
      <c r="V353" t="s">
        <v>599</v>
      </c>
      <c r="W353" t="s">
        <v>1551</v>
      </c>
      <c r="X353" t="s">
        <v>599</v>
      </c>
      <c r="Y353" t="s">
        <v>599</v>
      </c>
      <c r="Z353" t="s">
        <v>2429</v>
      </c>
      <c r="AA353" t="s">
        <v>2430</v>
      </c>
      <c r="AB353">
        <v>1873</v>
      </c>
      <c r="AC353">
        <v>1873</v>
      </c>
      <c r="AD353" t="s">
        <v>2431</v>
      </c>
      <c r="AE353" t="s">
        <v>1185</v>
      </c>
      <c r="AF353" t="s">
        <v>599</v>
      </c>
      <c r="AG353" t="s">
        <v>599</v>
      </c>
      <c r="AH353" t="s">
        <v>2432</v>
      </c>
      <c r="AI353" t="s">
        <v>599</v>
      </c>
      <c r="AJ353" t="s">
        <v>2433</v>
      </c>
      <c r="AK353" t="s">
        <v>2434</v>
      </c>
      <c r="AL353" t="s">
        <v>1188</v>
      </c>
      <c r="AM353" t="s">
        <v>2435</v>
      </c>
      <c r="AN353" t="s">
        <v>1190</v>
      </c>
      <c r="AO353" t="s">
        <v>599</v>
      </c>
      <c r="AP353" t="s">
        <v>2412</v>
      </c>
      <c r="AQ353" t="s">
        <v>599</v>
      </c>
      <c r="AR353" t="s">
        <v>599</v>
      </c>
      <c r="AS353" t="s">
        <v>599</v>
      </c>
      <c r="AT353" t="s">
        <v>599</v>
      </c>
      <c r="AU353" t="s">
        <v>599</v>
      </c>
    </row>
    <row r="354" spans="1:47" s="13" customFormat="1" ht="45" x14ac:dyDescent="0.25">
      <c r="A354" s="9">
        <v>10714</v>
      </c>
      <c r="B354" s="10">
        <v>256620</v>
      </c>
      <c r="C354" s="10">
        <v>1</v>
      </c>
      <c r="D354" s="9">
        <v>369</v>
      </c>
      <c r="E354" s="11" t="s">
        <v>291</v>
      </c>
      <c r="F354" s="11" t="str">
        <f t="shared" si="15"/>
        <v>https://purl.pt/44315</v>
      </c>
      <c r="G354" s="12" t="s">
        <v>292</v>
      </c>
      <c r="H354" s="9" t="s">
        <v>293</v>
      </c>
      <c r="I354" s="34"/>
      <c r="J354" s="55" t="str">
        <f t="shared" si="16"/>
        <v>https://permalinkbnd.bnportugal.gov.pt/viewer/277150/?offset=#page=369&amp;viewer=picture&amp;o=info&amp;n=0&amp;q=</v>
      </c>
      <c r="K354" s="45"/>
      <c r="L354" s="45"/>
      <c r="M354" s="45"/>
      <c r="N354" t="s">
        <v>291</v>
      </c>
      <c r="O354">
        <v>277150</v>
      </c>
      <c r="P354" t="str">
        <f t="shared" si="17"/>
        <v>https://permalinkbnd.bnportugal.gov.pt/viewer/277150/?offset=#page=369&amp;viewer=picture&amp;o=info&amp;n=0&amp;q=</v>
      </c>
      <c r="Q354">
        <v>256620</v>
      </c>
      <c r="R354" t="s">
        <v>291</v>
      </c>
      <c r="S354" t="s">
        <v>2428</v>
      </c>
      <c r="T354" t="s">
        <v>1178</v>
      </c>
      <c r="U354" t="s">
        <v>1192</v>
      </c>
      <c r="V354" t="s">
        <v>599</v>
      </c>
      <c r="W354" t="s">
        <v>1551</v>
      </c>
      <c r="X354" t="s">
        <v>599</v>
      </c>
      <c r="Y354" t="s">
        <v>599</v>
      </c>
      <c r="Z354" t="s">
        <v>2429</v>
      </c>
      <c r="AA354" t="s">
        <v>2430</v>
      </c>
      <c r="AB354">
        <v>1873</v>
      </c>
      <c r="AC354">
        <v>1873</v>
      </c>
      <c r="AD354" t="s">
        <v>2431</v>
      </c>
      <c r="AE354" t="s">
        <v>1185</v>
      </c>
      <c r="AF354" t="s">
        <v>599</v>
      </c>
      <c r="AG354" t="s">
        <v>599</v>
      </c>
      <c r="AH354" t="s">
        <v>2432</v>
      </c>
      <c r="AI354" t="s">
        <v>599</v>
      </c>
      <c r="AJ354" t="s">
        <v>2433</v>
      </c>
      <c r="AK354" t="s">
        <v>2434</v>
      </c>
      <c r="AL354" t="s">
        <v>1188</v>
      </c>
      <c r="AM354" t="s">
        <v>2435</v>
      </c>
      <c r="AN354" t="s">
        <v>1190</v>
      </c>
      <c r="AO354" t="s">
        <v>599</v>
      </c>
      <c r="AP354" t="s">
        <v>2412</v>
      </c>
      <c r="AQ354" t="s">
        <v>599</v>
      </c>
      <c r="AR354" t="s">
        <v>599</v>
      </c>
      <c r="AS354" t="s">
        <v>599</v>
      </c>
      <c r="AT354" t="s">
        <v>599</v>
      </c>
      <c r="AU354" t="s">
        <v>599</v>
      </c>
    </row>
    <row r="355" spans="1:47" s="13" customFormat="1" ht="45" x14ac:dyDescent="0.25">
      <c r="A355" s="9">
        <v>10715</v>
      </c>
      <c r="B355" s="10">
        <v>256620</v>
      </c>
      <c r="C355" s="10">
        <v>1</v>
      </c>
      <c r="D355" s="9">
        <v>405</v>
      </c>
      <c r="E355" s="11" t="s">
        <v>291</v>
      </c>
      <c r="F355" s="11" t="str">
        <f t="shared" si="15"/>
        <v>https://purl.pt/44315</v>
      </c>
      <c r="G355" s="12" t="s">
        <v>292</v>
      </c>
      <c r="H355" s="9" t="s">
        <v>293</v>
      </c>
      <c r="I355" s="34"/>
      <c r="J355" s="55" t="str">
        <f t="shared" si="16"/>
        <v>https://permalinkbnd.bnportugal.gov.pt/viewer/277150/?offset=#page=405&amp;viewer=picture&amp;o=info&amp;n=0&amp;q=</v>
      </c>
      <c r="K355" s="45"/>
      <c r="L355" s="45"/>
      <c r="M355" s="45"/>
      <c r="N355" t="s">
        <v>291</v>
      </c>
      <c r="O355">
        <v>277150</v>
      </c>
      <c r="P355" t="str">
        <f t="shared" si="17"/>
        <v>https://permalinkbnd.bnportugal.gov.pt/viewer/277150/?offset=#page=405&amp;viewer=picture&amp;o=info&amp;n=0&amp;q=</v>
      </c>
      <c r="Q355">
        <v>256620</v>
      </c>
      <c r="R355" t="s">
        <v>291</v>
      </c>
      <c r="S355" t="s">
        <v>2428</v>
      </c>
      <c r="T355" t="s">
        <v>1178</v>
      </c>
      <c r="U355" t="s">
        <v>1192</v>
      </c>
      <c r="V355" t="s">
        <v>599</v>
      </c>
      <c r="W355" t="s">
        <v>1551</v>
      </c>
      <c r="X355" t="s">
        <v>599</v>
      </c>
      <c r="Y355" t="s">
        <v>599</v>
      </c>
      <c r="Z355" t="s">
        <v>2429</v>
      </c>
      <c r="AA355" t="s">
        <v>2430</v>
      </c>
      <c r="AB355">
        <v>1873</v>
      </c>
      <c r="AC355">
        <v>1873</v>
      </c>
      <c r="AD355" t="s">
        <v>2431</v>
      </c>
      <c r="AE355" t="s">
        <v>1185</v>
      </c>
      <c r="AF355" t="s">
        <v>599</v>
      </c>
      <c r="AG355" t="s">
        <v>599</v>
      </c>
      <c r="AH355" t="s">
        <v>2432</v>
      </c>
      <c r="AI355" t="s">
        <v>599</v>
      </c>
      <c r="AJ355" t="s">
        <v>2433</v>
      </c>
      <c r="AK355" t="s">
        <v>2434</v>
      </c>
      <c r="AL355" t="s">
        <v>1188</v>
      </c>
      <c r="AM355" t="s">
        <v>2435</v>
      </c>
      <c r="AN355" t="s">
        <v>1190</v>
      </c>
      <c r="AO355" t="s">
        <v>599</v>
      </c>
      <c r="AP355" t="s">
        <v>2412</v>
      </c>
      <c r="AQ355" t="s">
        <v>599</v>
      </c>
      <c r="AR355" t="s">
        <v>599</v>
      </c>
      <c r="AS355" t="s">
        <v>599</v>
      </c>
      <c r="AT355" t="s">
        <v>599</v>
      </c>
      <c r="AU355" t="s">
        <v>599</v>
      </c>
    </row>
    <row r="356" spans="1:47" s="13" customFormat="1" ht="30" x14ac:dyDescent="0.25">
      <c r="A356" s="9">
        <v>10725</v>
      </c>
      <c r="B356" s="10">
        <v>257364</v>
      </c>
      <c r="C356" s="10">
        <v>1</v>
      </c>
      <c r="D356" s="9">
        <v>6</v>
      </c>
      <c r="E356" s="11" t="s">
        <v>294</v>
      </c>
      <c r="F356" s="11" t="str">
        <f t="shared" si="15"/>
        <v>https://purl.pt/44312</v>
      </c>
      <c r="G356" s="12" t="s">
        <v>295</v>
      </c>
      <c r="H356" s="9">
        <v>6</v>
      </c>
      <c r="I356" s="34"/>
      <c r="J356" s="55" t="str">
        <f t="shared" si="16"/>
        <v>https://permalinkbnd.bnportugal.gov.pt/viewer/281138/?offset=#page=6&amp;viewer=picture&amp;o=info&amp;n=0&amp;q=</v>
      </c>
      <c r="K356" s="45"/>
      <c r="L356" s="45"/>
      <c r="M356" s="45"/>
      <c r="N356" t="s">
        <v>294</v>
      </c>
      <c r="O356">
        <v>281138</v>
      </c>
      <c r="P356" t="str">
        <f t="shared" si="17"/>
        <v>https://permalinkbnd.bnportugal.gov.pt/viewer/281138/?offset=#page=6&amp;viewer=picture&amp;o=info&amp;n=0&amp;q=</v>
      </c>
      <c r="Q356">
        <v>257364</v>
      </c>
      <c r="R356" t="s">
        <v>294</v>
      </c>
      <c r="S356" t="s">
        <v>2436</v>
      </c>
      <c r="T356" t="s">
        <v>1178</v>
      </c>
      <c r="U356" t="s">
        <v>1192</v>
      </c>
      <c r="V356" t="s">
        <v>599</v>
      </c>
      <c r="W356" t="s">
        <v>1551</v>
      </c>
      <c r="X356" t="s">
        <v>599</v>
      </c>
      <c r="Y356" t="s">
        <v>599</v>
      </c>
      <c r="Z356" t="s">
        <v>2437</v>
      </c>
      <c r="AA356" t="s">
        <v>2438</v>
      </c>
      <c r="AB356">
        <v>1875</v>
      </c>
      <c r="AC356">
        <v>1875</v>
      </c>
      <c r="AD356" t="s">
        <v>2439</v>
      </c>
      <c r="AE356" t="s">
        <v>1185</v>
      </c>
      <c r="AF356" t="s">
        <v>599</v>
      </c>
      <c r="AG356" t="s">
        <v>599</v>
      </c>
      <c r="AH356" t="s">
        <v>2440</v>
      </c>
      <c r="AI356" t="s">
        <v>599</v>
      </c>
      <c r="AJ356" t="s">
        <v>2441</v>
      </c>
      <c r="AK356" t="s">
        <v>2442</v>
      </c>
      <c r="AL356" t="s">
        <v>1188</v>
      </c>
      <c r="AM356" t="s">
        <v>2443</v>
      </c>
      <c r="AN356" t="s">
        <v>1190</v>
      </c>
      <c r="AO356" t="s">
        <v>599</v>
      </c>
      <c r="AP356" t="s">
        <v>599</v>
      </c>
      <c r="AQ356" t="s">
        <v>599</v>
      </c>
      <c r="AR356" t="s">
        <v>599</v>
      </c>
      <c r="AS356" t="s">
        <v>599</v>
      </c>
      <c r="AT356" t="s">
        <v>599</v>
      </c>
      <c r="AU356" t="s">
        <v>599</v>
      </c>
    </row>
    <row r="357" spans="1:47" s="13" customFormat="1" ht="30" x14ac:dyDescent="0.25">
      <c r="A357" s="9">
        <v>10728</v>
      </c>
      <c r="B357" s="10">
        <v>196562</v>
      </c>
      <c r="C357" s="10">
        <v>1</v>
      </c>
      <c r="D357" s="9">
        <v>11</v>
      </c>
      <c r="E357" s="11" t="s">
        <v>296</v>
      </c>
      <c r="F357" s="11" t="str">
        <f t="shared" si="15"/>
        <v>https://purl.pt/45043</v>
      </c>
      <c r="G357" s="12">
        <v>11</v>
      </c>
      <c r="H357" s="9">
        <v>11</v>
      </c>
      <c r="I357" s="34"/>
      <c r="J357" s="55" t="str">
        <f t="shared" si="16"/>
        <v>https://permalinkbnd.bnportugal.gov.pt/viewer/1892/?offset=#page=11&amp;viewer=picture&amp;o=info&amp;n=0&amp;q=</v>
      </c>
      <c r="K357" s="45"/>
      <c r="L357" s="45"/>
      <c r="M357" s="45"/>
      <c r="N357" t="s">
        <v>296</v>
      </c>
      <c r="O357">
        <v>1892</v>
      </c>
      <c r="P357" t="str">
        <f t="shared" si="17"/>
        <v>https://permalinkbnd.bnportugal.gov.pt/viewer/1892/?offset=#page=11&amp;viewer=picture&amp;o=info&amp;n=0&amp;q=</v>
      </c>
      <c r="Q357">
        <v>196562</v>
      </c>
      <c r="R357" t="s">
        <v>296</v>
      </c>
      <c r="S357" t="s">
        <v>2444</v>
      </c>
      <c r="T357" t="s">
        <v>1178</v>
      </c>
      <c r="U357" t="s">
        <v>1192</v>
      </c>
      <c r="V357" t="s">
        <v>599</v>
      </c>
      <c r="W357" t="s">
        <v>2445</v>
      </c>
      <c r="X357" t="s">
        <v>2446</v>
      </c>
      <c r="Y357" t="s">
        <v>599</v>
      </c>
      <c r="Z357" t="s">
        <v>1182</v>
      </c>
      <c r="AA357" t="s">
        <v>2447</v>
      </c>
      <c r="AB357">
        <v>1892</v>
      </c>
      <c r="AC357">
        <v>1892</v>
      </c>
      <c r="AD357" t="s">
        <v>2448</v>
      </c>
      <c r="AE357" t="s">
        <v>599</v>
      </c>
      <c r="AF357" t="s">
        <v>2449</v>
      </c>
      <c r="AG357" t="s">
        <v>599</v>
      </c>
      <c r="AH357" t="s">
        <v>599</v>
      </c>
      <c r="AI357" t="s">
        <v>599</v>
      </c>
      <c r="AJ357" t="s">
        <v>599</v>
      </c>
      <c r="AK357" t="s">
        <v>2450</v>
      </c>
      <c r="AL357" t="s">
        <v>1188</v>
      </c>
      <c r="AM357" t="s">
        <v>2451</v>
      </c>
      <c r="AN357" t="s">
        <v>1190</v>
      </c>
      <c r="AO357" t="s">
        <v>2452</v>
      </c>
      <c r="AP357" t="s">
        <v>599</v>
      </c>
      <c r="AQ357" t="s">
        <v>599</v>
      </c>
      <c r="AR357" t="s">
        <v>599</v>
      </c>
      <c r="AS357" t="s">
        <v>2453</v>
      </c>
      <c r="AT357" t="s">
        <v>599</v>
      </c>
      <c r="AU357" t="s">
        <v>599</v>
      </c>
    </row>
    <row r="358" spans="1:47" s="13" customFormat="1" ht="30" x14ac:dyDescent="0.25">
      <c r="A358" s="9">
        <v>10729</v>
      </c>
      <c r="B358" s="10">
        <v>257368</v>
      </c>
      <c r="C358" s="10">
        <v>1</v>
      </c>
      <c r="D358" s="9">
        <v>6</v>
      </c>
      <c r="E358" s="11" t="s">
        <v>297</v>
      </c>
      <c r="F358" s="11" t="str">
        <f t="shared" si="15"/>
        <v>https://purl.pt/44309</v>
      </c>
      <c r="G358" s="12" t="s">
        <v>298</v>
      </c>
      <c r="H358" s="9">
        <v>6</v>
      </c>
      <c r="I358" s="34"/>
      <c r="J358" s="55" t="str">
        <f t="shared" si="16"/>
        <v>https://permalinkbnd.bnportugal.gov.pt/viewer/277143/?offset=#page=6&amp;viewer=picture&amp;o=info&amp;n=0&amp;q=</v>
      </c>
      <c r="K358" s="45"/>
      <c r="L358" s="45"/>
      <c r="M358" s="45"/>
      <c r="N358" t="s">
        <v>297</v>
      </c>
      <c r="O358">
        <v>277143</v>
      </c>
      <c r="P358" t="str">
        <f t="shared" si="17"/>
        <v>https://permalinkbnd.bnportugal.gov.pt/viewer/277143/?offset=#page=6&amp;viewer=picture&amp;o=info&amp;n=0&amp;q=</v>
      </c>
      <c r="Q358">
        <v>257368</v>
      </c>
      <c r="R358" t="s">
        <v>297</v>
      </c>
      <c r="S358" t="s">
        <v>2454</v>
      </c>
      <c r="T358" t="s">
        <v>1178</v>
      </c>
      <c r="U358" t="s">
        <v>1192</v>
      </c>
      <c r="V358" t="s">
        <v>599</v>
      </c>
      <c r="W358" t="s">
        <v>1551</v>
      </c>
      <c r="X358" t="s">
        <v>599</v>
      </c>
      <c r="Y358" t="s">
        <v>599</v>
      </c>
      <c r="Z358" t="s">
        <v>2455</v>
      </c>
      <c r="AA358" t="s">
        <v>2456</v>
      </c>
      <c r="AB358">
        <v>1876</v>
      </c>
      <c r="AC358">
        <v>1876</v>
      </c>
      <c r="AD358" t="s">
        <v>2457</v>
      </c>
      <c r="AE358" t="s">
        <v>1185</v>
      </c>
      <c r="AF358" t="s">
        <v>599</v>
      </c>
      <c r="AG358" t="s">
        <v>599</v>
      </c>
      <c r="AH358" t="s">
        <v>2458</v>
      </c>
      <c r="AI358" t="s">
        <v>599</v>
      </c>
      <c r="AJ358" t="s">
        <v>2459</v>
      </c>
      <c r="AK358" t="s">
        <v>2460</v>
      </c>
      <c r="AL358" t="s">
        <v>1188</v>
      </c>
      <c r="AM358" t="s">
        <v>2461</v>
      </c>
      <c r="AN358" t="s">
        <v>1190</v>
      </c>
      <c r="AO358" t="s">
        <v>599</v>
      </c>
      <c r="AP358" t="s">
        <v>599</v>
      </c>
      <c r="AQ358" t="s">
        <v>599</v>
      </c>
      <c r="AR358" t="s">
        <v>599</v>
      </c>
      <c r="AS358" t="s">
        <v>599</v>
      </c>
      <c r="AT358" t="s">
        <v>599</v>
      </c>
      <c r="AU358" t="s">
        <v>599</v>
      </c>
    </row>
    <row r="359" spans="1:47" s="13" customFormat="1" ht="45" x14ac:dyDescent="0.25">
      <c r="A359" s="9">
        <v>10737</v>
      </c>
      <c r="B359" s="10">
        <v>257404</v>
      </c>
      <c r="C359" s="10">
        <v>1</v>
      </c>
      <c r="D359" s="9">
        <v>6</v>
      </c>
      <c r="E359" s="11" t="s">
        <v>299</v>
      </c>
      <c r="F359" s="11" t="str">
        <f t="shared" si="15"/>
        <v>https://purl.pt/44311</v>
      </c>
      <c r="G359" s="12" t="s">
        <v>300</v>
      </c>
      <c r="H359" s="9" t="s">
        <v>301</v>
      </c>
      <c r="I359" s="34"/>
      <c r="J359" s="55" t="str">
        <f t="shared" si="16"/>
        <v>https://permalinkbnd.bnportugal.gov.pt/viewer/277149/?offset=#page=6&amp;viewer=picture&amp;o=info&amp;n=0&amp;q=</v>
      </c>
      <c r="K359" s="45"/>
      <c r="L359" s="45"/>
      <c r="M359" s="45"/>
      <c r="N359" t="s">
        <v>299</v>
      </c>
      <c r="O359">
        <v>277149</v>
      </c>
      <c r="P359" t="str">
        <f t="shared" si="17"/>
        <v>https://permalinkbnd.bnportugal.gov.pt/viewer/277149/?offset=#page=6&amp;viewer=picture&amp;o=info&amp;n=0&amp;q=</v>
      </c>
      <c r="Q359">
        <v>257404</v>
      </c>
      <c r="R359" t="s">
        <v>299</v>
      </c>
      <c r="S359" t="s">
        <v>2462</v>
      </c>
      <c r="T359" t="s">
        <v>1178</v>
      </c>
      <c r="U359" t="s">
        <v>1192</v>
      </c>
      <c r="V359" t="s">
        <v>599</v>
      </c>
      <c r="W359" t="s">
        <v>1551</v>
      </c>
      <c r="X359" t="s">
        <v>599</v>
      </c>
      <c r="Y359" t="s">
        <v>599</v>
      </c>
      <c r="Z359" t="s">
        <v>2463</v>
      </c>
      <c r="AA359" t="s">
        <v>2464</v>
      </c>
      <c r="AB359">
        <v>1880</v>
      </c>
      <c r="AC359">
        <v>1880</v>
      </c>
      <c r="AD359" t="s">
        <v>2465</v>
      </c>
      <c r="AE359" t="s">
        <v>1185</v>
      </c>
      <c r="AF359" t="s">
        <v>599</v>
      </c>
      <c r="AG359" t="s">
        <v>599</v>
      </c>
      <c r="AH359" t="s">
        <v>2466</v>
      </c>
      <c r="AI359" t="s">
        <v>599</v>
      </c>
      <c r="AJ359" t="s">
        <v>599</v>
      </c>
      <c r="AK359" t="s">
        <v>2467</v>
      </c>
      <c r="AL359" t="s">
        <v>1188</v>
      </c>
      <c r="AM359" t="s">
        <v>2468</v>
      </c>
      <c r="AN359" t="s">
        <v>1190</v>
      </c>
      <c r="AO359" t="s">
        <v>2469</v>
      </c>
      <c r="AP359" t="s">
        <v>599</v>
      </c>
      <c r="AQ359" t="s">
        <v>599</v>
      </c>
      <c r="AR359" t="s">
        <v>599</v>
      </c>
      <c r="AS359" t="s">
        <v>599</v>
      </c>
      <c r="AT359" t="s">
        <v>599</v>
      </c>
      <c r="AU359" t="s">
        <v>599</v>
      </c>
    </row>
    <row r="360" spans="1:47" s="13" customFormat="1" ht="45" x14ac:dyDescent="0.25">
      <c r="A360" s="9">
        <v>10738</v>
      </c>
      <c r="B360" s="10">
        <v>257404</v>
      </c>
      <c r="C360" s="10">
        <v>1</v>
      </c>
      <c r="D360" s="9">
        <v>282</v>
      </c>
      <c r="E360" s="11" t="s">
        <v>299</v>
      </c>
      <c r="F360" s="11" t="str">
        <f t="shared" si="15"/>
        <v>https://purl.pt/44311</v>
      </c>
      <c r="G360" s="12" t="s">
        <v>300</v>
      </c>
      <c r="H360" s="9" t="s">
        <v>301</v>
      </c>
      <c r="I360" s="34"/>
      <c r="J360" s="55" t="str">
        <f t="shared" si="16"/>
        <v>https://permalinkbnd.bnportugal.gov.pt/viewer/277149/?offset=#page=282&amp;viewer=picture&amp;o=info&amp;n=0&amp;q=</v>
      </c>
      <c r="K360" s="45"/>
      <c r="L360" s="45"/>
      <c r="M360" s="45"/>
      <c r="N360" t="s">
        <v>299</v>
      </c>
      <c r="O360">
        <v>277149</v>
      </c>
      <c r="P360" t="str">
        <f t="shared" si="17"/>
        <v>https://permalinkbnd.bnportugal.gov.pt/viewer/277149/?offset=#page=282&amp;viewer=picture&amp;o=info&amp;n=0&amp;q=</v>
      </c>
      <c r="Q360">
        <v>257404</v>
      </c>
      <c r="R360" t="s">
        <v>299</v>
      </c>
      <c r="S360" t="s">
        <v>2462</v>
      </c>
      <c r="T360" t="s">
        <v>1178</v>
      </c>
      <c r="U360" t="s">
        <v>1192</v>
      </c>
      <c r="V360" t="s">
        <v>599</v>
      </c>
      <c r="W360" t="s">
        <v>1551</v>
      </c>
      <c r="X360" t="s">
        <v>599</v>
      </c>
      <c r="Y360" t="s">
        <v>599</v>
      </c>
      <c r="Z360" t="s">
        <v>2463</v>
      </c>
      <c r="AA360" t="s">
        <v>2464</v>
      </c>
      <c r="AB360">
        <v>1880</v>
      </c>
      <c r="AC360">
        <v>1880</v>
      </c>
      <c r="AD360" t="s">
        <v>2465</v>
      </c>
      <c r="AE360" t="s">
        <v>1185</v>
      </c>
      <c r="AF360" t="s">
        <v>599</v>
      </c>
      <c r="AG360" t="s">
        <v>599</v>
      </c>
      <c r="AH360" t="s">
        <v>2466</v>
      </c>
      <c r="AI360" t="s">
        <v>599</v>
      </c>
      <c r="AJ360" t="s">
        <v>599</v>
      </c>
      <c r="AK360" t="s">
        <v>2467</v>
      </c>
      <c r="AL360" t="s">
        <v>1188</v>
      </c>
      <c r="AM360" t="s">
        <v>2468</v>
      </c>
      <c r="AN360" t="s">
        <v>1190</v>
      </c>
      <c r="AO360" t="s">
        <v>2469</v>
      </c>
      <c r="AP360" t="s">
        <v>599</v>
      </c>
      <c r="AQ360" t="s">
        <v>599</v>
      </c>
      <c r="AR360" t="s">
        <v>599</v>
      </c>
      <c r="AS360" t="s">
        <v>599</v>
      </c>
      <c r="AT360" t="s">
        <v>599</v>
      </c>
      <c r="AU360" t="s">
        <v>599</v>
      </c>
    </row>
    <row r="361" spans="1:47" s="13" customFormat="1" ht="45" x14ac:dyDescent="0.25">
      <c r="A361" s="9">
        <v>10739</v>
      </c>
      <c r="B361" s="10">
        <v>257404</v>
      </c>
      <c r="C361" s="10">
        <v>1</v>
      </c>
      <c r="D361" s="9">
        <v>318</v>
      </c>
      <c r="E361" s="11" t="s">
        <v>299</v>
      </c>
      <c r="F361" s="11" t="str">
        <f t="shared" si="15"/>
        <v>https://purl.pt/44311</v>
      </c>
      <c r="G361" s="12" t="s">
        <v>300</v>
      </c>
      <c r="H361" s="9" t="s">
        <v>301</v>
      </c>
      <c r="I361" s="34"/>
      <c r="J361" s="55" t="str">
        <f t="shared" si="16"/>
        <v>https://permalinkbnd.bnportugal.gov.pt/viewer/277149/?offset=#page=318&amp;viewer=picture&amp;o=info&amp;n=0&amp;q=</v>
      </c>
      <c r="K361" s="45"/>
      <c r="L361" s="45"/>
      <c r="M361" s="45"/>
      <c r="N361" t="s">
        <v>299</v>
      </c>
      <c r="O361">
        <v>277149</v>
      </c>
      <c r="P361" t="str">
        <f t="shared" si="17"/>
        <v>https://permalinkbnd.bnportugal.gov.pt/viewer/277149/?offset=#page=318&amp;viewer=picture&amp;o=info&amp;n=0&amp;q=</v>
      </c>
      <c r="Q361">
        <v>257404</v>
      </c>
      <c r="R361" t="s">
        <v>299</v>
      </c>
      <c r="S361" t="s">
        <v>2462</v>
      </c>
      <c r="T361" t="s">
        <v>1178</v>
      </c>
      <c r="U361" t="s">
        <v>1192</v>
      </c>
      <c r="V361" t="s">
        <v>599</v>
      </c>
      <c r="W361" t="s">
        <v>1551</v>
      </c>
      <c r="X361" t="s">
        <v>599</v>
      </c>
      <c r="Y361" t="s">
        <v>599</v>
      </c>
      <c r="Z361" t="s">
        <v>2463</v>
      </c>
      <c r="AA361" t="s">
        <v>2464</v>
      </c>
      <c r="AB361">
        <v>1880</v>
      </c>
      <c r="AC361">
        <v>1880</v>
      </c>
      <c r="AD361" t="s">
        <v>2465</v>
      </c>
      <c r="AE361" t="s">
        <v>1185</v>
      </c>
      <c r="AF361" t="s">
        <v>599</v>
      </c>
      <c r="AG361" t="s">
        <v>599</v>
      </c>
      <c r="AH361" t="s">
        <v>2466</v>
      </c>
      <c r="AI361" t="s">
        <v>599</v>
      </c>
      <c r="AJ361" t="s">
        <v>599</v>
      </c>
      <c r="AK361" t="s">
        <v>2467</v>
      </c>
      <c r="AL361" t="s">
        <v>1188</v>
      </c>
      <c r="AM361" t="s">
        <v>2468</v>
      </c>
      <c r="AN361" t="s">
        <v>1190</v>
      </c>
      <c r="AO361" t="s">
        <v>2469</v>
      </c>
      <c r="AP361" t="s">
        <v>599</v>
      </c>
      <c r="AQ361" t="s">
        <v>599</v>
      </c>
      <c r="AR361" t="s">
        <v>599</v>
      </c>
      <c r="AS361" t="s">
        <v>599</v>
      </c>
      <c r="AT361" t="s">
        <v>599</v>
      </c>
      <c r="AU361" t="s">
        <v>599</v>
      </c>
    </row>
    <row r="362" spans="1:47" s="13" customFormat="1" ht="45" x14ac:dyDescent="0.25">
      <c r="A362" s="9">
        <v>10742</v>
      </c>
      <c r="B362" s="10">
        <v>220128</v>
      </c>
      <c r="C362" s="10">
        <v>1</v>
      </c>
      <c r="D362" s="9">
        <v>101</v>
      </c>
      <c r="E362" s="11" t="s">
        <v>302</v>
      </c>
      <c r="F362" s="11" t="str">
        <f t="shared" si="15"/>
        <v>https://purl.pt/43961</v>
      </c>
      <c r="G362" s="12" t="s">
        <v>303</v>
      </c>
      <c r="H362" s="9" t="s">
        <v>304</v>
      </c>
      <c r="I362" s="34"/>
      <c r="J362" s="55" t="str">
        <f t="shared" si="16"/>
        <v>https://permalinkbnd.bnportugal.gov.pt/viewer/272672/?offset=#page=101&amp;viewer=picture&amp;o=info&amp;n=0&amp;q=</v>
      </c>
      <c r="K362" s="45"/>
      <c r="L362" s="45"/>
      <c r="M362" s="45"/>
      <c r="N362" t="s">
        <v>302</v>
      </c>
      <c r="O362">
        <v>272672</v>
      </c>
      <c r="P362" t="str">
        <f t="shared" si="17"/>
        <v>https://permalinkbnd.bnportugal.gov.pt/viewer/272672/?offset=#page=101&amp;viewer=picture&amp;o=info&amp;n=0&amp;q=</v>
      </c>
      <c r="Q362">
        <v>220128</v>
      </c>
      <c r="R362" t="s">
        <v>302</v>
      </c>
      <c r="S362" t="s">
        <v>2470</v>
      </c>
      <c r="T362" t="s">
        <v>1178</v>
      </c>
      <c r="U362" t="s">
        <v>1192</v>
      </c>
      <c r="V362" t="s">
        <v>599</v>
      </c>
      <c r="W362" t="s">
        <v>1193</v>
      </c>
      <c r="X362" t="s">
        <v>599</v>
      </c>
      <c r="Y362" t="s">
        <v>599</v>
      </c>
      <c r="Z362" t="s">
        <v>2471</v>
      </c>
      <c r="AA362" t="s">
        <v>2472</v>
      </c>
      <c r="AB362">
        <v>1989</v>
      </c>
      <c r="AC362">
        <v>1989</v>
      </c>
      <c r="AD362" t="s">
        <v>2473</v>
      </c>
      <c r="AE362" t="s">
        <v>1185</v>
      </c>
      <c r="AF362" t="s">
        <v>599</v>
      </c>
      <c r="AG362" t="s">
        <v>599</v>
      </c>
      <c r="AH362" t="s">
        <v>2474</v>
      </c>
      <c r="AI362" t="s">
        <v>599</v>
      </c>
      <c r="AJ362" t="s">
        <v>599</v>
      </c>
      <c r="AK362" t="s">
        <v>2475</v>
      </c>
      <c r="AL362" t="s">
        <v>1188</v>
      </c>
      <c r="AM362" t="s">
        <v>2476</v>
      </c>
      <c r="AN362" t="s">
        <v>1190</v>
      </c>
      <c r="AO362" t="s">
        <v>599</v>
      </c>
      <c r="AP362" t="s">
        <v>599</v>
      </c>
      <c r="AQ362" t="s">
        <v>599</v>
      </c>
      <c r="AR362" t="s">
        <v>599</v>
      </c>
      <c r="AS362" t="s">
        <v>599</v>
      </c>
      <c r="AT362" t="s">
        <v>599</v>
      </c>
      <c r="AU362" t="s">
        <v>599</v>
      </c>
    </row>
    <row r="363" spans="1:47" s="13" customFormat="1" ht="45" x14ac:dyDescent="0.25">
      <c r="A363" s="9">
        <v>10743</v>
      </c>
      <c r="B363" s="10">
        <v>220128</v>
      </c>
      <c r="C363" s="10">
        <v>1</v>
      </c>
      <c r="D363" s="9">
        <v>159</v>
      </c>
      <c r="E363" s="11" t="s">
        <v>302</v>
      </c>
      <c r="F363" s="11" t="str">
        <f t="shared" si="15"/>
        <v>https://purl.pt/43961</v>
      </c>
      <c r="G363" s="12" t="s">
        <v>303</v>
      </c>
      <c r="H363" s="9" t="s">
        <v>304</v>
      </c>
      <c r="I363" s="34"/>
      <c r="J363" s="55" t="str">
        <f t="shared" si="16"/>
        <v>https://permalinkbnd.bnportugal.gov.pt/viewer/272672/?offset=#page=159&amp;viewer=picture&amp;o=info&amp;n=0&amp;q=</v>
      </c>
      <c r="K363" s="45"/>
      <c r="L363" s="45"/>
      <c r="M363" s="45"/>
      <c r="N363" t="s">
        <v>302</v>
      </c>
      <c r="O363">
        <v>272672</v>
      </c>
      <c r="P363" t="str">
        <f t="shared" si="17"/>
        <v>https://permalinkbnd.bnportugal.gov.pt/viewer/272672/?offset=#page=159&amp;viewer=picture&amp;o=info&amp;n=0&amp;q=</v>
      </c>
      <c r="Q363">
        <v>220128</v>
      </c>
      <c r="R363" t="s">
        <v>302</v>
      </c>
      <c r="S363" t="s">
        <v>2470</v>
      </c>
      <c r="T363" t="s">
        <v>1178</v>
      </c>
      <c r="U363" t="s">
        <v>1192</v>
      </c>
      <c r="V363" t="s">
        <v>599</v>
      </c>
      <c r="W363" t="s">
        <v>1193</v>
      </c>
      <c r="X363" t="s">
        <v>599</v>
      </c>
      <c r="Y363" t="s">
        <v>599</v>
      </c>
      <c r="Z363" t="s">
        <v>2471</v>
      </c>
      <c r="AA363" t="s">
        <v>2472</v>
      </c>
      <c r="AB363">
        <v>1989</v>
      </c>
      <c r="AC363">
        <v>1989</v>
      </c>
      <c r="AD363" t="s">
        <v>2473</v>
      </c>
      <c r="AE363" t="s">
        <v>1185</v>
      </c>
      <c r="AF363" t="s">
        <v>599</v>
      </c>
      <c r="AG363" t="s">
        <v>599</v>
      </c>
      <c r="AH363" t="s">
        <v>2474</v>
      </c>
      <c r="AI363" t="s">
        <v>599</v>
      </c>
      <c r="AJ363" t="s">
        <v>599</v>
      </c>
      <c r="AK363" t="s">
        <v>2475</v>
      </c>
      <c r="AL363" t="s">
        <v>1188</v>
      </c>
      <c r="AM363" t="s">
        <v>2476</v>
      </c>
      <c r="AN363" t="s">
        <v>1190</v>
      </c>
      <c r="AO363" t="s">
        <v>599</v>
      </c>
      <c r="AP363" t="s">
        <v>599</v>
      </c>
      <c r="AQ363" t="s">
        <v>599</v>
      </c>
      <c r="AR363" t="s">
        <v>599</v>
      </c>
      <c r="AS363" t="s">
        <v>599</v>
      </c>
      <c r="AT363" t="s">
        <v>599</v>
      </c>
      <c r="AU363" t="s">
        <v>599</v>
      </c>
    </row>
    <row r="364" spans="1:47" s="13" customFormat="1" ht="45" x14ac:dyDescent="0.25">
      <c r="A364" s="9">
        <v>10744</v>
      </c>
      <c r="B364" s="10">
        <v>220128</v>
      </c>
      <c r="C364" s="10">
        <v>1</v>
      </c>
      <c r="D364" s="9">
        <v>201</v>
      </c>
      <c r="E364" s="11" t="s">
        <v>302</v>
      </c>
      <c r="F364" s="11" t="str">
        <f t="shared" si="15"/>
        <v>https://purl.pt/43961</v>
      </c>
      <c r="G364" s="12" t="s">
        <v>303</v>
      </c>
      <c r="H364" s="9" t="s">
        <v>304</v>
      </c>
      <c r="I364" s="34"/>
      <c r="J364" s="55" t="str">
        <f t="shared" si="16"/>
        <v>https://permalinkbnd.bnportugal.gov.pt/viewer/272672/?offset=#page=201&amp;viewer=picture&amp;o=info&amp;n=0&amp;q=</v>
      </c>
      <c r="K364" s="45"/>
      <c r="L364" s="45"/>
      <c r="M364" s="45"/>
      <c r="N364" t="s">
        <v>302</v>
      </c>
      <c r="O364">
        <v>272672</v>
      </c>
      <c r="P364" t="str">
        <f t="shared" si="17"/>
        <v>https://permalinkbnd.bnportugal.gov.pt/viewer/272672/?offset=#page=201&amp;viewer=picture&amp;o=info&amp;n=0&amp;q=</v>
      </c>
      <c r="Q364">
        <v>220128</v>
      </c>
      <c r="R364" t="s">
        <v>302</v>
      </c>
      <c r="S364" t="s">
        <v>2470</v>
      </c>
      <c r="T364" t="s">
        <v>1178</v>
      </c>
      <c r="U364" t="s">
        <v>1192</v>
      </c>
      <c r="V364" t="s">
        <v>599</v>
      </c>
      <c r="W364" t="s">
        <v>1193</v>
      </c>
      <c r="X364" t="s">
        <v>599</v>
      </c>
      <c r="Y364" t="s">
        <v>599</v>
      </c>
      <c r="Z364" t="s">
        <v>2471</v>
      </c>
      <c r="AA364" t="s">
        <v>2472</v>
      </c>
      <c r="AB364">
        <v>1989</v>
      </c>
      <c r="AC364">
        <v>1989</v>
      </c>
      <c r="AD364" t="s">
        <v>2473</v>
      </c>
      <c r="AE364" t="s">
        <v>1185</v>
      </c>
      <c r="AF364" t="s">
        <v>599</v>
      </c>
      <c r="AG364" t="s">
        <v>599</v>
      </c>
      <c r="AH364" t="s">
        <v>2474</v>
      </c>
      <c r="AI364" t="s">
        <v>599</v>
      </c>
      <c r="AJ364" t="s">
        <v>599</v>
      </c>
      <c r="AK364" t="s">
        <v>2475</v>
      </c>
      <c r="AL364" t="s">
        <v>1188</v>
      </c>
      <c r="AM364" t="s">
        <v>2476</v>
      </c>
      <c r="AN364" t="s">
        <v>1190</v>
      </c>
      <c r="AO364" t="s">
        <v>599</v>
      </c>
      <c r="AP364" t="s">
        <v>599</v>
      </c>
      <c r="AQ364" t="s">
        <v>599</v>
      </c>
      <c r="AR364" t="s">
        <v>599</v>
      </c>
      <c r="AS364" t="s">
        <v>599</v>
      </c>
      <c r="AT364" t="s">
        <v>599</v>
      </c>
      <c r="AU364" t="s">
        <v>599</v>
      </c>
    </row>
    <row r="365" spans="1:47" s="13" customFormat="1" ht="45" x14ac:dyDescent="0.25">
      <c r="A365" s="9">
        <v>10745</v>
      </c>
      <c r="B365" s="10">
        <v>220128</v>
      </c>
      <c r="C365" s="10">
        <v>1</v>
      </c>
      <c r="D365" s="9">
        <v>307</v>
      </c>
      <c r="E365" s="11" t="s">
        <v>302</v>
      </c>
      <c r="F365" s="11" t="str">
        <f t="shared" si="15"/>
        <v>https://purl.pt/43961</v>
      </c>
      <c r="G365" s="12" t="s">
        <v>303</v>
      </c>
      <c r="H365" s="9" t="s">
        <v>304</v>
      </c>
      <c r="I365" s="34"/>
      <c r="J365" s="55" t="str">
        <f t="shared" si="16"/>
        <v>https://permalinkbnd.bnportugal.gov.pt/viewer/272672/?offset=#page=307&amp;viewer=picture&amp;o=info&amp;n=0&amp;q=</v>
      </c>
      <c r="K365" s="45"/>
      <c r="L365" s="45"/>
      <c r="M365" s="45"/>
      <c r="N365" t="s">
        <v>302</v>
      </c>
      <c r="O365">
        <v>272672</v>
      </c>
      <c r="P365" t="str">
        <f t="shared" si="17"/>
        <v>https://permalinkbnd.bnportugal.gov.pt/viewer/272672/?offset=#page=307&amp;viewer=picture&amp;o=info&amp;n=0&amp;q=</v>
      </c>
      <c r="Q365">
        <v>220128</v>
      </c>
      <c r="R365" t="s">
        <v>302</v>
      </c>
      <c r="S365" t="s">
        <v>2470</v>
      </c>
      <c r="T365" t="s">
        <v>1178</v>
      </c>
      <c r="U365" t="s">
        <v>1192</v>
      </c>
      <c r="V365" t="s">
        <v>599</v>
      </c>
      <c r="W365" t="s">
        <v>1193</v>
      </c>
      <c r="X365" t="s">
        <v>599</v>
      </c>
      <c r="Y365" t="s">
        <v>599</v>
      </c>
      <c r="Z365" t="s">
        <v>2471</v>
      </c>
      <c r="AA365" t="s">
        <v>2472</v>
      </c>
      <c r="AB365">
        <v>1989</v>
      </c>
      <c r="AC365">
        <v>1989</v>
      </c>
      <c r="AD365" t="s">
        <v>2473</v>
      </c>
      <c r="AE365" t="s">
        <v>1185</v>
      </c>
      <c r="AF365" t="s">
        <v>599</v>
      </c>
      <c r="AG365" t="s">
        <v>599</v>
      </c>
      <c r="AH365" t="s">
        <v>2474</v>
      </c>
      <c r="AI365" t="s">
        <v>599</v>
      </c>
      <c r="AJ365" t="s">
        <v>599</v>
      </c>
      <c r="AK365" t="s">
        <v>2475</v>
      </c>
      <c r="AL365" t="s">
        <v>1188</v>
      </c>
      <c r="AM365" t="s">
        <v>2476</v>
      </c>
      <c r="AN365" t="s">
        <v>1190</v>
      </c>
      <c r="AO365" t="s">
        <v>599</v>
      </c>
      <c r="AP365" t="s">
        <v>599</v>
      </c>
      <c r="AQ365" t="s">
        <v>599</v>
      </c>
      <c r="AR365" t="s">
        <v>599</v>
      </c>
      <c r="AS365" t="s">
        <v>599</v>
      </c>
      <c r="AT365" t="s">
        <v>599</v>
      </c>
      <c r="AU365" t="s">
        <v>599</v>
      </c>
    </row>
    <row r="366" spans="1:47" s="13" customFormat="1" ht="30" x14ac:dyDescent="0.25">
      <c r="A366" s="9">
        <v>10750</v>
      </c>
      <c r="B366" s="10">
        <v>453095</v>
      </c>
      <c r="C366" s="10">
        <v>1</v>
      </c>
      <c r="D366" s="9">
        <v>5</v>
      </c>
      <c r="E366" s="11" t="s">
        <v>305</v>
      </c>
      <c r="F366" s="11" t="str">
        <f t="shared" si="15"/>
        <v>https://purl.pt/44009</v>
      </c>
      <c r="G366" s="12" t="s">
        <v>306</v>
      </c>
      <c r="H366" s="9" t="s">
        <v>307</v>
      </c>
      <c r="I366" s="34"/>
      <c r="J366" s="55" t="str">
        <f t="shared" si="16"/>
        <v>https://permalinkbnd.bnportugal.gov.pt/viewer/272668/?offset=#page=5&amp;viewer=picture&amp;o=info&amp;n=0&amp;q=</v>
      </c>
      <c r="K366" s="45"/>
      <c r="L366" s="45"/>
      <c r="M366" s="45"/>
      <c r="N366" t="s">
        <v>305</v>
      </c>
      <c r="O366">
        <v>272668</v>
      </c>
      <c r="P366" t="str">
        <f t="shared" si="17"/>
        <v>https://permalinkbnd.bnportugal.gov.pt/viewer/272668/?offset=#page=5&amp;viewer=picture&amp;o=info&amp;n=0&amp;q=</v>
      </c>
      <c r="Q366">
        <v>453095</v>
      </c>
      <c r="R366" t="s">
        <v>305</v>
      </c>
      <c r="S366" t="s">
        <v>2477</v>
      </c>
      <c r="T366" t="s">
        <v>1178</v>
      </c>
      <c r="U366" t="s">
        <v>1192</v>
      </c>
      <c r="V366" t="s">
        <v>599</v>
      </c>
      <c r="W366" t="s">
        <v>2478</v>
      </c>
      <c r="X366" t="s">
        <v>599</v>
      </c>
      <c r="Y366" t="s">
        <v>599</v>
      </c>
      <c r="Z366" t="s">
        <v>1182</v>
      </c>
      <c r="AA366" t="s">
        <v>2479</v>
      </c>
      <c r="AB366">
        <v>1994</v>
      </c>
      <c r="AC366">
        <v>1994</v>
      </c>
      <c r="AD366" t="s">
        <v>2480</v>
      </c>
      <c r="AE366" t="s">
        <v>1185</v>
      </c>
      <c r="AF366" t="s">
        <v>599</v>
      </c>
      <c r="AG366" t="s">
        <v>599</v>
      </c>
      <c r="AH366" t="s">
        <v>2481</v>
      </c>
      <c r="AI366" t="s">
        <v>599</v>
      </c>
      <c r="AJ366" t="s">
        <v>599</v>
      </c>
      <c r="AK366" t="s">
        <v>2482</v>
      </c>
      <c r="AL366" t="s">
        <v>1188</v>
      </c>
      <c r="AM366" t="s">
        <v>2483</v>
      </c>
      <c r="AN366" t="s">
        <v>1190</v>
      </c>
      <c r="AO366" t="s">
        <v>599</v>
      </c>
      <c r="AP366" t="s">
        <v>599</v>
      </c>
      <c r="AQ366" t="s">
        <v>599</v>
      </c>
      <c r="AR366" t="s">
        <v>599</v>
      </c>
      <c r="AS366" t="s">
        <v>599</v>
      </c>
      <c r="AT366" t="s">
        <v>599</v>
      </c>
      <c r="AU366" t="s">
        <v>599</v>
      </c>
    </row>
    <row r="367" spans="1:47" s="13" customFormat="1" ht="30" x14ac:dyDescent="0.25">
      <c r="A367" s="9">
        <v>10751</v>
      </c>
      <c r="B367" s="10">
        <v>453095</v>
      </c>
      <c r="C367" s="10">
        <v>1</v>
      </c>
      <c r="D367" s="9">
        <v>63</v>
      </c>
      <c r="E367" s="11" t="s">
        <v>305</v>
      </c>
      <c r="F367" s="11" t="str">
        <f t="shared" si="15"/>
        <v>https://purl.pt/44009</v>
      </c>
      <c r="G367" s="12" t="s">
        <v>306</v>
      </c>
      <c r="H367" s="9" t="s">
        <v>307</v>
      </c>
      <c r="I367" s="34"/>
      <c r="J367" s="55" t="str">
        <f t="shared" si="16"/>
        <v>https://permalinkbnd.bnportugal.gov.pt/viewer/272668/?offset=#page=63&amp;viewer=picture&amp;o=info&amp;n=0&amp;q=</v>
      </c>
      <c r="K367" s="45"/>
      <c r="L367" s="45"/>
      <c r="M367" s="45"/>
      <c r="N367" t="s">
        <v>305</v>
      </c>
      <c r="O367">
        <v>272668</v>
      </c>
      <c r="P367" t="str">
        <f t="shared" si="17"/>
        <v>https://permalinkbnd.bnportugal.gov.pt/viewer/272668/?offset=#page=63&amp;viewer=picture&amp;o=info&amp;n=0&amp;q=</v>
      </c>
      <c r="Q367">
        <v>453095</v>
      </c>
      <c r="R367" t="s">
        <v>305</v>
      </c>
      <c r="S367" t="s">
        <v>2477</v>
      </c>
      <c r="T367" t="s">
        <v>1178</v>
      </c>
      <c r="U367" t="s">
        <v>1192</v>
      </c>
      <c r="V367" t="s">
        <v>599</v>
      </c>
      <c r="W367" t="s">
        <v>2478</v>
      </c>
      <c r="X367" t="s">
        <v>599</v>
      </c>
      <c r="Y367" t="s">
        <v>599</v>
      </c>
      <c r="Z367" t="s">
        <v>1182</v>
      </c>
      <c r="AA367" t="s">
        <v>2479</v>
      </c>
      <c r="AB367">
        <v>1994</v>
      </c>
      <c r="AC367">
        <v>1994</v>
      </c>
      <c r="AD367" t="s">
        <v>2480</v>
      </c>
      <c r="AE367" t="s">
        <v>1185</v>
      </c>
      <c r="AF367" t="s">
        <v>599</v>
      </c>
      <c r="AG367" t="s">
        <v>599</v>
      </c>
      <c r="AH367" t="s">
        <v>2481</v>
      </c>
      <c r="AI367" t="s">
        <v>599</v>
      </c>
      <c r="AJ367" t="s">
        <v>599</v>
      </c>
      <c r="AK367" t="s">
        <v>2482</v>
      </c>
      <c r="AL367" t="s">
        <v>1188</v>
      </c>
      <c r="AM367" t="s">
        <v>2483</v>
      </c>
      <c r="AN367" t="s">
        <v>1190</v>
      </c>
      <c r="AO367" t="s">
        <v>599</v>
      </c>
      <c r="AP367" t="s">
        <v>599</v>
      </c>
      <c r="AQ367" t="s">
        <v>599</v>
      </c>
      <c r="AR367" t="s">
        <v>599</v>
      </c>
      <c r="AS367" t="s">
        <v>599</v>
      </c>
      <c r="AT367" t="s">
        <v>599</v>
      </c>
      <c r="AU367" t="s">
        <v>599</v>
      </c>
    </row>
    <row r="368" spans="1:47" s="13" customFormat="1" ht="30" x14ac:dyDescent="0.25">
      <c r="A368" s="9">
        <v>10752</v>
      </c>
      <c r="B368" s="10">
        <v>453095</v>
      </c>
      <c r="C368" s="10">
        <v>1</v>
      </c>
      <c r="D368" s="9">
        <v>65</v>
      </c>
      <c r="E368" s="11" t="s">
        <v>305</v>
      </c>
      <c r="F368" s="11" t="str">
        <f t="shared" si="15"/>
        <v>https://purl.pt/44009</v>
      </c>
      <c r="G368" s="12" t="s">
        <v>306</v>
      </c>
      <c r="H368" s="9" t="s">
        <v>307</v>
      </c>
      <c r="I368" s="34"/>
      <c r="J368" s="55" t="str">
        <f t="shared" si="16"/>
        <v>https://permalinkbnd.bnportugal.gov.pt/viewer/272668/?offset=#page=65&amp;viewer=picture&amp;o=info&amp;n=0&amp;q=</v>
      </c>
      <c r="K368" s="45"/>
      <c r="L368" s="45"/>
      <c r="M368" s="45"/>
      <c r="N368" t="s">
        <v>305</v>
      </c>
      <c r="O368">
        <v>272668</v>
      </c>
      <c r="P368" t="str">
        <f t="shared" si="17"/>
        <v>https://permalinkbnd.bnportugal.gov.pt/viewer/272668/?offset=#page=65&amp;viewer=picture&amp;o=info&amp;n=0&amp;q=</v>
      </c>
      <c r="Q368">
        <v>453095</v>
      </c>
      <c r="R368" t="s">
        <v>305</v>
      </c>
      <c r="S368" t="s">
        <v>2477</v>
      </c>
      <c r="T368" t="s">
        <v>1178</v>
      </c>
      <c r="U368" t="s">
        <v>1192</v>
      </c>
      <c r="V368" t="s">
        <v>599</v>
      </c>
      <c r="W368" t="s">
        <v>2478</v>
      </c>
      <c r="X368" t="s">
        <v>599</v>
      </c>
      <c r="Y368" t="s">
        <v>599</v>
      </c>
      <c r="Z368" t="s">
        <v>1182</v>
      </c>
      <c r="AA368" t="s">
        <v>2479</v>
      </c>
      <c r="AB368">
        <v>1994</v>
      </c>
      <c r="AC368">
        <v>1994</v>
      </c>
      <c r="AD368" t="s">
        <v>2480</v>
      </c>
      <c r="AE368" t="s">
        <v>1185</v>
      </c>
      <c r="AF368" t="s">
        <v>599</v>
      </c>
      <c r="AG368" t="s">
        <v>599</v>
      </c>
      <c r="AH368" t="s">
        <v>2481</v>
      </c>
      <c r="AI368" t="s">
        <v>599</v>
      </c>
      <c r="AJ368" t="s">
        <v>599</v>
      </c>
      <c r="AK368" t="s">
        <v>2482</v>
      </c>
      <c r="AL368" t="s">
        <v>1188</v>
      </c>
      <c r="AM368" t="s">
        <v>2483</v>
      </c>
      <c r="AN368" t="s">
        <v>1190</v>
      </c>
      <c r="AO368" t="s">
        <v>599</v>
      </c>
      <c r="AP368" t="s">
        <v>599</v>
      </c>
      <c r="AQ368" t="s">
        <v>599</v>
      </c>
      <c r="AR368" t="s">
        <v>599</v>
      </c>
      <c r="AS368" t="s">
        <v>599</v>
      </c>
      <c r="AT368" t="s">
        <v>599</v>
      </c>
      <c r="AU368" t="s">
        <v>599</v>
      </c>
    </row>
    <row r="369" spans="1:47" s="13" customFormat="1" ht="30" x14ac:dyDescent="0.25">
      <c r="A369" s="9">
        <v>10753</v>
      </c>
      <c r="B369" s="10">
        <v>453095</v>
      </c>
      <c r="C369" s="10">
        <v>1</v>
      </c>
      <c r="D369" s="9">
        <v>203</v>
      </c>
      <c r="E369" s="11" t="s">
        <v>305</v>
      </c>
      <c r="F369" s="11" t="str">
        <f t="shared" si="15"/>
        <v>https://purl.pt/44009</v>
      </c>
      <c r="G369" s="12" t="s">
        <v>306</v>
      </c>
      <c r="H369" s="9" t="s">
        <v>307</v>
      </c>
      <c r="I369" s="34"/>
      <c r="J369" s="55" t="str">
        <f t="shared" si="16"/>
        <v>https://permalinkbnd.bnportugal.gov.pt/viewer/272668/?offset=#page=203&amp;viewer=picture&amp;o=info&amp;n=0&amp;q=</v>
      </c>
      <c r="K369" s="45"/>
      <c r="L369" s="45"/>
      <c r="M369" s="45"/>
      <c r="N369" t="s">
        <v>305</v>
      </c>
      <c r="O369">
        <v>272668</v>
      </c>
      <c r="P369" t="str">
        <f t="shared" si="17"/>
        <v>https://permalinkbnd.bnportugal.gov.pt/viewer/272668/?offset=#page=203&amp;viewer=picture&amp;o=info&amp;n=0&amp;q=</v>
      </c>
      <c r="Q369">
        <v>453095</v>
      </c>
      <c r="R369" t="s">
        <v>305</v>
      </c>
      <c r="S369" t="s">
        <v>2477</v>
      </c>
      <c r="T369" t="s">
        <v>1178</v>
      </c>
      <c r="U369" t="s">
        <v>1192</v>
      </c>
      <c r="V369" t="s">
        <v>599</v>
      </c>
      <c r="W369" t="s">
        <v>2478</v>
      </c>
      <c r="X369" t="s">
        <v>599</v>
      </c>
      <c r="Y369" t="s">
        <v>599</v>
      </c>
      <c r="Z369" t="s">
        <v>1182</v>
      </c>
      <c r="AA369" t="s">
        <v>2479</v>
      </c>
      <c r="AB369">
        <v>1994</v>
      </c>
      <c r="AC369">
        <v>1994</v>
      </c>
      <c r="AD369" t="s">
        <v>2480</v>
      </c>
      <c r="AE369" t="s">
        <v>1185</v>
      </c>
      <c r="AF369" t="s">
        <v>599</v>
      </c>
      <c r="AG369" t="s">
        <v>599</v>
      </c>
      <c r="AH369" t="s">
        <v>2481</v>
      </c>
      <c r="AI369" t="s">
        <v>599</v>
      </c>
      <c r="AJ369" t="s">
        <v>599</v>
      </c>
      <c r="AK369" t="s">
        <v>2482</v>
      </c>
      <c r="AL369" t="s">
        <v>1188</v>
      </c>
      <c r="AM369" t="s">
        <v>2483</v>
      </c>
      <c r="AN369" t="s">
        <v>1190</v>
      </c>
      <c r="AO369" t="s">
        <v>599</v>
      </c>
      <c r="AP369" t="s">
        <v>599</v>
      </c>
      <c r="AQ369" t="s">
        <v>599</v>
      </c>
      <c r="AR369" t="s">
        <v>599</v>
      </c>
      <c r="AS369" t="s">
        <v>599</v>
      </c>
      <c r="AT369" t="s">
        <v>599</v>
      </c>
      <c r="AU369" t="s">
        <v>599</v>
      </c>
    </row>
    <row r="370" spans="1:47" s="13" customFormat="1" ht="30" x14ac:dyDescent="0.25">
      <c r="A370" s="9">
        <v>10754</v>
      </c>
      <c r="B370" s="10">
        <v>453095</v>
      </c>
      <c r="C370" s="10">
        <v>1</v>
      </c>
      <c r="D370" s="9">
        <v>291</v>
      </c>
      <c r="E370" s="11" t="s">
        <v>305</v>
      </c>
      <c r="F370" s="11" t="str">
        <f t="shared" si="15"/>
        <v>https://purl.pt/44009</v>
      </c>
      <c r="G370" s="12" t="s">
        <v>306</v>
      </c>
      <c r="H370" s="9" t="s">
        <v>307</v>
      </c>
      <c r="I370" s="34"/>
      <c r="J370" s="55" t="str">
        <f t="shared" si="16"/>
        <v>https://permalinkbnd.bnportugal.gov.pt/viewer/272668/?offset=#page=291&amp;viewer=picture&amp;o=info&amp;n=0&amp;q=</v>
      </c>
      <c r="K370" s="45"/>
      <c r="L370" s="45"/>
      <c r="M370" s="45"/>
      <c r="N370" t="s">
        <v>305</v>
      </c>
      <c r="O370">
        <v>272668</v>
      </c>
      <c r="P370" t="str">
        <f t="shared" si="17"/>
        <v>https://permalinkbnd.bnportugal.gov.pt/viewer/272668/?offset=#page=291&amp;viewer=picture&amp;o=info&amp;n=0&amp;q=</v>
      </c>
      <c r="Q370">
        <v>453095</v>
      </c>
      <c r="R370" t="s">
        <v>305</v>
      </c>
      <c r="S370" t="s">
        <v>2477</v>
      </c>
      <c r="T370" t="s">
        <v>1178</v>
      </c>
      <c r="U370" t="s">
        <v>1192</v>
      </c>
      <c r="V370" t="s">
        <v>599</v>
      </c>
      <c r="W370" t="s">
        <v>2478</v>
      </c>
      <c r="X370" t="s">
        <v>599</v>
      </c>
      <c r="Y370" t="s">
        <v>599</v>
      </c>
      <c r="Z370" t="s">
        <v>1182</v>
      </c>
      <c r="AA370" t="s">
        <v>2479</v>
      </c>
      <c r="AB370">
        <v>1994</v>
      </c>
      <c r="AC370">
        <v>1994</v>
      </c>
      <c r="AD370" t="s">
        <v>2480</v>
      </c>
      <c r="AE370" t="s">
        <v>1185</v>
      </c>
      <c r="AF370" t="s">
        <v>599</v>
      </c>
      <c r="AG370" t="s">
        <v>599</v>
      </c>
      <c r="AH370" t="s">
        <v>2481</v>
      </c>
      <c r="AI370" t="s">
        <v>599</v>
      </c>
      <c r="AJ370" t="s">
        <v>599</v>
      </c>
      <c r="AK370" t="s">
        <v>2482</v>
      </c>
      <c r="AL370" t="s">
        <v>1188</v>
      </c>
      <c r="AM370" t="s">
        <v>2483</v>
      </c>
      <c r="AN370" t="s">
        <v>1190</v>
      </c>
      <c r="AO370" t="s">
        <v>599</v>
      </c>
      <c r="AP370" t="s">
        <v>599</v>
      </c>
      <c r="AQ370" t="s">
        <v>599</v>
      </c>
      <c r="AR370" t="s">
        <v>599</v>
      </c>
      <c r="AS370" t="s">
        <v>599</v>
      </c>
      <c r="AT370" t="s">
        <v>599</v>
      </c>
      <c r="AU370" t="s">
        <v>599</v>
      </c>
    </row>
    <row r="371" spans="1:47" s="13" customFormat="1" ht="30" x14ac:dyDescent="0.25">
      <c r="A371" s="9">
        <v>10755</v>
      </c>
      <c r="B371" s="10">
        <v>453095</v>
      </c>
      <c r="C371" s="10">
        <v>1</v>
      </c>
      <c r="D371" s="9">
        <v>397</v>
      </c>
      <c r="E371" s="11" t="s">
        <v>305</v>
      </c>
      <c r="F371" s="11" t="str">
        <f t="shared" si="15"/>
        <v>https://purl.pt/44009</v>
      </c>
      <c r="G371" s="12" t="s">
        <v>306</v>
      </c>
      <c r="H371" s="9" t="s">
        <v>307</v>
      </c>
      <c r="I371" s="34"/>
      <c r="J371" s="55" t="str">
        <f t="shared" si="16"/>
        <v>https://permalinkbnd.bnportugal.gov.pt/viewer/272668/?offset=#page=397&amp;viewer=picture&amp;o=info&amp;n=0&amp;q=</v>
      </c>
      <c r="K371" s="45"/>
      <c r="L371" s="45"/>
      <c r="M371" s="45"/>
      <c r="N371" t="s">
        <v>305</v>
      </c>
      <c r="O371">
        <v>272668</v>
      </c>
      <c r="P371" t="str">
        <f t="shared" si="17"/>
        <v>https://permalinkbnd.bnportugal.gov.pt/viewer/272668/?offset=#page=397&amp;viewer=picture&amp;o=info&amp;n=0&amp;q=</v>
      </c>
      <c r="Q371">
        <v>453095</v>
      </c>
      <c r="R371" t="s">
        <v>305</v>
      </c>
      <c r="S371" t="s">
        <v>2477</v>
      </c>
      <c r="T371" t="s">
        <v>1178</v>
      </c>
      <c r="U371" t="s">
        <v>1192</v>
      </c>
      <c r="V371" t="s">
        <v>599</v>
      </c>
      <c r="W371" t="s">
        <v>2478</v>
      </c>
      <c r="X371" t="s">
        <v>599</v>
      </c>
      <c r="Y371" t="s">
        <v>599</v>
      </c>
      <c r="Z371" t="s">
        <v>1182</v>
      </c>
      <c r="AA371" t="s">
        <v>2479</v>
      </c>
      <c r="AB371">
        <v>1994</v>
      </c>
      <c r="AC371">
        <v>1994</v>
      </c>
      <c r="AD371" t="s">
        <v>2480</v>
      </c>
      <c r="AE371" t="s">
        <v>1185</v>
      </c>
      <c r="AF371" t="s">
        <v>599</v>
      </c>
      <c r="AG371" t="s">
        <v>599</v>
      </c>
      <c r="AH371" t="s">
        <v>2481</v>
      </c>
      <c r="AI371" t="s">
        <v>599</v>
      </c>
      <c r="AJ371" t="s">
        <v>599</v>
      </c>
      <c r="AK371" t="s">
        <v>2482</v>
      </c>
      <c r="AL371" t="s">
        <v>1188</v>
      </c>
      <c r="AM371" t="s">
        <v>2483</v>
      </c>
      <c r="AN371" t="s">
        <v>1190</v>
      </c>
      <c r="AO371" t="s">
        <v>599</v>
      </c>
      <c r="AP371" t="s">
        <v>599</v>
      </c>
      <c r="AQ371" t="s">
        <v>599</v>
      </c>
      <c r="AR371" t="s">
        <v>599</v>
      </c>
      <c r="AS371" t="s">
        <v>599</v>
      </c>
      <c r="AT371" t="s">
        <v>599</v>
      </c>
      <c r="AU371" t="s">
        <v>599</v>
      </c>
    </row>
    <row r="372" spans="1:47" s="13" customFormat="1" ht="30" x14ac:dyDescent="0.25">
      <c r="A372" s="9">
        <v>10756</v>
      </c>
      <c r="B372" s="10">
        <v>258477</v>
      </c>
      <c r="C372" s="10">
        <v>1</v>
      </c>
      <c r="D372" s="9">
        <v>10</v>
      </c>
      <c r="E372" s="11" t="s">
        <v>308</v>
      </c>
      <c r="F372" s="11" t="str">
        <f t="shared" si="15"/>
        <v>https://purl.pt/44313</v>
      </c>
      <c r="G372" s="12" t="s">
        <v>309</v>
      </c>
      <c r="H372" s="9">
        <v>10</v>
      </c>
      <c r="I372" s="34"/>
      <c r="J372" s="55" t="str">
        <f t="shared" si="16"/>
        <v>https://permalinkbnd.bnportugal.gov.pt/viewer/277147/?offset=#page=10&amp;viewer=picture&amp;o=info&amp;n=0&amp;q=</v>
      </c>
      <c r="K372" s="45"/>
      <c r="L372" s="45"/>
      <c r="M372" s="45"/>
      <c r="N372" t="s">
        <v>308</v>
      </c>
      <c r="O372">
        <v>277147</v>
      </c>
      <c r="P372" t="str">
        <f t="shared" si="17"/>
        <v>https://permalinkbnd.bnportugal.gov.pt/viewer/277147/?offset=#page=10&amp;viewer=picture&amp;o=info&amp;n=0&amp;q=</v>
      </c>
      <c r="Q372">
        <v>258477</v>
      </c>
      <c r="R372" t="s">
        <v>308</v>
      </c>
      <c r="S372" t="s">
        <v>2484</v>
      </c>
      <c r="T372" t="s">
        <v>1178</v>
      </c>
      <c r="U372" t="s">
        <v>1192</v>
      </c>
      <c r="V372" t="s">
        <v>599</v>
      </c>
      <c r="W372" t="s">
        <v>1551</v>
      </c>
      <c r="X372" t="s">
        <v>599</v>
      </c>
      <c r="Y372" t="s">
        <v>599</v>
      </c>
      <c r="Z372" t="s">
        <v>2485</v>
      </c>
      <c r="AA372" t="s">
        <v>2464</v>
      </c>
      <c r="AB372">
        <v>1881</v>
      </c>
      <c r="AC372">
        <v>1881</v>
      </c>
      <c r="AD372" t="s">
        <v>2486</v>
      </c>
      <c r="AE372" t="s">
        <v>1185</v>
      </c>
      <c r="AF372" t="s">
        <v>599</v>
      </c>
      <c r="AG372" t="s">
        <v>599</v>
      </c>
      <c r="AH372" t="s">
        <v>2487</v>
      </c>
      <c r="AI372" t="s">
        <v>599</v>
      </c>
      <c r="AJ372" t="s">
        <v>2488</v>
      </c>
      <c r="AK372" t="s">
        <v>2489</v>
      </c>
      <c r="AL372" t="s">
        <v>1188</v>
      </c>
      <c r="AM372" t="s">
        <v>2490</v>
      </c>
      <c r="AN372" t="s">
        <v>1190</v>
      </c>
      <c r="AO372" t="s">
        <v>599</v>
      </c>
      <c r="AP372" t="s">
        <v>599</v>
      </c>
      <c r="AQ372" t="s">
        <v>2491</v>
      </c>
      <c r="AR372" t="s">
        <v>599</v>
      </c>
      <c r="AS372" t="s">
        <v>599</v>
      </c>
      <c r="AT372" t="s">
        <v>599</v>
      </c>
      <c r="AU372" t="s">
        <v>599</v>
      </c>
    </row>
    <row r="373" spans="1:47" s="13" customFormat="1" ht="30" x14ac:dyDescent="0.25">
      <c r="A373" s="9">
        <v>10759</v>
      </c>
      <c r="B373" s="10">
        <v>258485</v>
      </c>
      <c r="C373" s="10">
        <v>1</v>
      </c>
      <c r="D373" s="9">
        <v>11</v>
      </c>
      <c r="E373" s="11" t="s">
        <v>310</v>
      </c>
      <c r="F373" s="11" t="str">
        <f t="shared" si="15"/>
        <v>https://purl.pt/44277</v>
      </c>
      <c r="G373" s="12" t="s">
        <v>311</v>
      </c>
      <c r="H373" s="9" t="s">
        <v>312</v>
      </c>
      <c r="I373" s="34"/>
      <c r="J373" s="55" t="str">
        <f t="shared" si="16"/>
        <v>https://permalinkbnd.bnportugal.gov.pt/viewer/276783/?offset=#page=11&amp;viewer=picture&amp;o=info&amp;n=0&amp;q=</v>
      </c>
      <c r="K373" s="45"/>
      <c r="L373" s="45"/>
      <c r="M373" s="45"/>
      <c r="N373" t="s">
        <v>310</v>
      </c>
      <c r="O373">
        <v>276783</v>
      </c>
      <c r="P373" t="str">
        <f t="shared" si="17"/>
        <v>https://permalinkbnd.bnportugal.gov.pt/viewer/276783/?offset=#page=11&amp;viewer=picture&amp;o=info&amp;n=0&amp;q=</v>
      </c>
      <c r="Q373">
        <v>258485</v>
      </c>
      <c r="R373" t="s">
        <v>310</v>
      </c>
      <c r="S373" t="s">
        <v>2492</v>
      </c>
      <c r="T373" t="s">
        <v>1178</v>
      </c>
      <c r="U373" t="s">
        <v>1192</v>
      </c>
      <c r="V373" t="s">
        <v>599</v>
      </c>
      <c r="W373" t="s">
        <v>1551</v>
      </c>
      <c r="X373" t="s">
        <v>599</v>
      </c>
      <c r="Y373" t="s">
        <v>599</v>
      </c>
      <c r="Z373" t="s">
        <v>2493</v>
      </c>
      <c r="AA373" t="s">
        <v>2494</v>
      </c>
      <c r="AB373">
        <v>1882</v>
      </c>
      <c r="AC373">
        <v>1882</v>
      </c>
      <c r="AD373" t="s">
        <v>2495</v>
      </c>
      <c r="AE373" t="s">
        <v>1185</v>
      </c>
      <c r="AF373" t="s">
        <v>599</v>
      </c>
      <c r="AG373" t="s">
        <v>599</v>
      </c>
      <c r="AH373" t="s">
        <v>2496</v>
      </c>
      <c r="AI373" t="s">
        <v>599</v>
      </c>
      <c r="AJ373" t="s">
        <v>2497</v>
      </c>
      <c r="AK373" t="s">
        <v>2498</v>
      </c>
      <c r="AL373" t="s">
        <v>1188</v>
      </c>
      <c r="AM373" t="s">
        <v>2499</v>
      </c>
      <c r="AN373" t="s">
        <v>1190</v>
      </c>
      <c r="AO373" t="s">
        <v>599</v>
      </c>
      <c r="AP373" t="s">
        <v>599</v>
      </c>
      <c r="AQ373" t="s">
        <v>599</v>
      </c>
      <c r="AR373" t="s">
        <v>599</v>
      </c>
      <c r="AS373" t="s">
        <v>599</v>
      </c>
      <c r="AT373" t="s">
        <v>599</v>
      </c>
      <c r="AU373" t="s">
        <v>599</v>
      </c>
    </row>
    <row r="374" spans="1:47" s="13" customFormat="1" ht="30" x14ac:dyDescent="0.25">
      <c r="A374" s="9">
        <v>10760</v>
      </c>
      <c r="B374" s="10">
        <v>258485</v>
      </c>
      <c r="C374" s="10">
        <v>1</v>
      </c>
      <c r="D374" s="9">
        <v>180</v>
      </c>
      <c r="E374" s="11" t="s">
        <v>310</v>
      </c>
      <c r="F374" s="11" t="str">
        <f t="shared" si="15"/>
        <v>https://purl.pt/44277</v>
      </c>
      <c r="G374" s="12" t="s">
        <v>311</v>
      </c>
      <c r="H374" s="9" t="s">
        <v>312</v>
      </c>
      <c r="I374" s="34"/>
      <c r="J374" s="55" t="str">
        <f t="shared" si="16"/>
        <v>https://permalinkbnd.bnportugal.gov.pt/viewer/276783/?offset=#page=180&amp;viewer=picture&amp;o=info&amp;n=0&amp;q=</v>
      </c>
      <c r="K374" s="45"/>
      <c r="L374" s="45"/>
      <c r="M374" s="45"/>
      <c r="N374" t="s">
        <v>310</v>
      </c>
      <c r="O374">
        <v>276783</v>
      </c>
      <c r="P374" t="str">
        <f t="shared" si="17"/>
        <v>https://permalinkbnd.bnportugal.gov.pt/viewer/276783/?offset=#page=180&amp;viewer=picture&amp;o=info&amp;n=0&amp;q=</v>
      </c>
      <c r="Q374">
        <v>258485</v>
      </c>
      <c r="R374" t="s">
        <v>310</v>
      </c>
      <c r="S374" t="s">
        <v>2492</v>
      </c>
      <c r="T374" t="s">
        <v>1178</v>
      </c>
      <c r="U374" t="s">
        <v>1192</v>
      </c>
      <c r="V374" t="s">
        <v>599</v>
      </c>
      <c r="W374" t="s">
        <v>1551</v>
      </c>
      <c r="X374" t="s">
        <v>599</v>
      </c>
      <c r="Y374" t="s">
        <v>599</v>
      </c>
      <c r="Z374" t="s">
        <v>2493</v>
      </c>
      <c r="AA374" t="s">
        <v>2494</v>
      </c>
      <c r="AB374">
        <v>1882</v>
      </c>
      <c r="AC374">
        <v>1882</v>
      </c>
      <c r="AD374" t="s">
        <v>2495</v>
      </c>
      <c r="AE374" t="s">
        <v>1185</v>
      </c>
      <c r="AF374" t="s">
        <v>599</v>
      </c>
      <c r="AG374" t="s">
        <v>599</v>
      </c>
      <c r="AH374" t="s">
        <v>2496</v>
      </c>
      <c r="AI374" t="s">
        <v>599</v>
      </c>
      <c r="AJ374" t="s">
        <v>2497</v>
      </c>
      <c r="AK374" t="s">
        <v>2498</v>
      </c>
      <c r="AL374" t="s">
        <v>1188</v>
      </c>
      <c r="AM374" t="s">
        <v>2499</v>
      </c>
      <c r="AN374" t="s">
        <v>1190</v>
      </c>
      <c r="AO374" t="s">
        <v>599</v>
      </c>
      <c r="AP374" t="s">
        <v>599</v>
      </c>
      <c r="AQ374" t="s">
        <v>599</v>
      </c>
      <c r="AR374" t="s">
        <v>599</v>
      </c>
      <c r="AS374" t="s">
        <v>599</v>
      </c>
      <c r="AT374" t="s">
        <v>599</v>
      </c>
      <c r="AU374" t="s">
        <v>599</v>
      </c>
    </row>
    <row r="375" spans="1:47" s="13" customFormat="1" ht="30" x14ac:dyDescent="0.25">
      <c r="A375" s="9">
        <v>10762</v>
      </c>
      <c r="B375" s="10">
        <v>258492</v>
      </c>
      <c r="C375" s="10">
        <v>1</v>
      </c>
      <c r="D375" s="9">
        <v>5</v>
      </c>
      <c r="E375" s="11" t="s">
        <v>313</v>
      </c>
      <c r="F375" s="11" t="str">
        <f t="shared" si="15"/>
        <v>https://purl.pt/44285</v>
      </c>
      <c r="G375" s="12" t="s">
        <v>314</v>
      </c>
      <c r="H375" s="9" t="s">
        <v>315</v>
      </c>
      <c r="I375" s="34"/>
      <c r="J375" s="55" t="str">
        <f t="shared" si="16"/>
        <v>https://permalinkbnd.bnportugal.gov.pt/viewer/276790/?offset=#page=5&amp;viewer=picture&amp;o=info&amp;n=0&amp;q=</v>
      </c>
      <c r="K375" s="45"/>
      <c r="L375" s="45"/>
      <c r="M375" s="45"/>
      <c r="N375" t="s">
        <v>313</v>
      </c>
      <c r="O375">
        <v>276790</v>
      </c>
      <c r="P375" t="str">
        <f t="shared" si="17"/>
        <v>https://permalinkbnd.bnportugal.gov.pt/viewer/276790/?offset=#page=5&amp;viewer=picture&amp;o=info&amp;n=0&amp;q=</v>
      </c>
      <c r="Q375">
        <v>258492</v>
      </c>
      <c r="R375" t="s">
        <v>313</v>
      </c>
      <c r="S375" t="s">
        <v>2500</v>
      </c>
      <c r="T375" t="s">
        <v>1178</v>
      </c>
      <c r="U375" t="s">
        <v>1192</v>
      </c>
      <c r="V375" t="s">
        <v>599</v>
      </c>
      <c r="W375" t="s">
        <v>2501</v>
      </c>
      <c r="X375" t="s">
        <v>2502</v>
      </c>
      <c r="Y375" t="s">
        <v>599</v>
      </c>
      <c r="Z375" t="s">
        <v>2503</v>
      </c>
      <c r="AA375" t="s">
        <v>2504</v>
      </c>
      <c r="AB375">
        <v>1882</v>
      </c>
      <c r="AC375">
        <v>1882</v>
      </c>
      <c r="AD375" t="s">
        <v>2505</v>
      </c>
      <c r="AE375" t="s">
        <v>1185</v>
      </c>
      <c r="AF375" t="s">
        <v>599</v>
      </c>
      <c r="AG375" t="s">
        <v>599</v>
      </c>
      <c r="AH375" t="s">
        <v>2506</v>
      </c>
      <c r="AI375" t="s">
        <v>599</v>
      </c>
      <c r="AJ375" t="s">
        <v>2507</v>
      </c>
      <c r="AK375" t="s">
        <v>2508</v>
      </c>
      <c r="AL375" t="s">
        <v>1188</v>
      </c>
      <c r="AM375" t="s">
        <v>2509</v>
      </c>
      <c r="AN375" t="s">
        <v>1190</v>
      </c>
      <c r="AO375" t="s">
        <v>599</v>
      </c>
      <c r="AP375" t="s">
        <v>599</v>
      </c>
      <c r="AQ375" t="s">
        <v>2510</v>
      </c>
      <c r="AR375" t="s">
        <v>599</v>
      </c>
      <c r="AS375" t="s">
        <v>599</v>
      </c>
      <c r="AT375" t="s">
        <v>599</v>
      </c>
      <c r="AU375" t="s">
        <v>599</v>
      </c>
    </row>
    <row r="376" spans="1:47" s="13" customFormat="1" ht="30" x14ac:dyDescent="0.25">
      <c r="A376" s="9">
        <v>10763</v>
      </c>
      <c r="B376" s="10">
        <v>258492</v>
      </c>
      <c r="C376" s="10">
        <v>1</v>
      </c>
      <c r="D376" s="9">
        <v>6</v>
      </c>
      <c r="E376" s="11" t="s">
        <v>313</v>
      </c>
      <c r="F376" s="11" t="str">
        <f t="shared" si="15"/>
        <v>https://purl.pt/44285</v>
      </c>
      <c r="G376" s="12" t="s">
        <v>314</v>
      </c>
      <c r="H376" s="9" t="s">
        <v>315</v>
      </c>
      <c r="I376" s="34"/>
      <c r="J376" s="55" t="str">
        <f t="shared" si="16"/>
        <v>https://permalinkbnd.bnportugal.gov.pt/viewer/276790/?offset=#page=6&amp;viewer=picture&amp;o=info&amp;n=0&amp;q=</v>
      </c>
      <c r="K376" s="45"/>
      <c r="L376" s="45"/>
      <c r="M376" s="45"/>
      <c r="N376" t="s">
        <v>313</v>
      </c>
      <c r="O376">
        <v>276790</v>
      </c>
      <c r="P376" t="str">
        <f t="shared" si="17"/>
        <v>https://permalinkbnd.bnportugal.gov.pt/viewer/276790/?offset=#page=6&amp;viewer=picture&amp;o=info&amp;n=0&amp;q=</v>
      </c>
      <c r="Q376">
        <v>258492</v>
      </c>
      <c r="R376" t="s">
        <v>313</v>
      </c>
      <c r="S376" t="s">
        <v>2500</v>
      </c>
      <c r="T376" t="s">
        <v>1178</v>
      </c>
      <c r="U376" t="s">
        <v>1192</v>
      </c>
      <c r="V376" t="s">
        <v>599</v>
      </c>
      <c r="W376" t="s">
        <v>2501</v>
      </c>
      <c r="X376" t="s">
        <v>2502</v>
      </c>
      <c r="Y376" t="s">
        <v>599</v>
      </c>
      <c r="Z376" t="s">
        <v>2503</v>
      </c>
      <c r="AA376" t="s">
        <v>2504</v>
      </c>
      <c r="AB376">
        <v>1882</v>
      </c>
      <c r="AC376">
        <v>1882</v>
      </c>
      <c r="AD376" t="s">
        <v>2505</v>
      </c>
      <c r="AE376" t="s">
        <v>1185</v>
      </c>
      <c r="AF376" t="s">
        <v>599</v>
      </c>
      <c r="AG376" t="s">
        <v>599</v>
      </c>
      <c r="AH376" t="s">
        <v>2506</v>
      </c>
      <c r="AI376" t="s">
        <v>599</v>
      </c>
      <c r="AJ376" t="s">
        <v>2507</v>
      </c>
      <c r="AK376" t="s">
        <v>2508</v>
      </c>
      <c r="AL376" t="s">
        <v>1188</v>
      </c>
      <c r="AM376" t="s">
        <v>2509</v>
      </c>
      <c r="AN376" t="s">
        <v>1190</v>
      </c>
      <c r="AO376" t="s">
        <v>599</v>
      </c>
      <c r="AP376" t="s">
        <v>599</v>
      </c>
      <c r="AQ376" t="s">
        <v>2510</v>
      </c>
      <c r="AR376" t="s">
        <v>599</v>
      </c>
      <c r="AS376" t="s">
        <v>599</v>
      </c>
      <c r="AT376" t="s">
        <v>599</v>
      </c>
      <c r="AU376" t="s">
        <v>599</v>
      </c>
    </row>
    <row r="377" spans="1:47" s="13" customFormat="1" ht="30" x14ac:dyDescent="0.25">
      <c r="A377" s="9">
        <v>10767</v>
      </c>
      <c r="B377" s="10">
        <v>252303</v>
      </c>
      <c r="C377" s="10">
        <v>1</v>
      </c>
      <c r="D377" s="9">
        <v>4</v>
      </c>
      <c r="E377" s="11" t="s">
        <v>316</v>
      </c>
      <c r="F377" s="11" t="str">
        <f t="shared" si="15"/>
        <v>https://purl.pt/44282</v>
      </c>
      <c r="G377" s="12" t="s">
        <v>317</v>
      </c>
      <c r="H377" s="9" t="s">
        <v>318</v>
      </c>
      <c r="I377" s="34"/>
      <c r="J377" s="55" t="str">
        <f t="shared" si="16"/>
        <v>https://permalinkbnd.bnportugal.gov.pt/viewer/276785/?offset=#page=4&amp;viewer=picture&amp;o=info&amp;n=0&amp;q=</v>
      </c>
      <c r="K377" s="45"/>
      <c r="L377" s="45"/>
      <c r="M377" s="45"/>
      <c r="N377" t="s">
        <v>316</v>
      </c>
      <c r="O377">
        <v>276785</v>
      </c>
      <c r="P377" t="str">
        <f t="shared" si="17"/>
        <v>https://permalinkbnd.bnportugal.gov.pt/viewer/276785/?offset=#page=4&amp;viewer=picture&amp;o=info&amp;n=0&amp;q=</v>
      </c>
      <c r="Q377">
        <v>252303</v>
      </c>
      <c r="R377" t="s">
        <v>316</v>
      </c>
      <c r="S377" t="s">
        <v>2511</v>
      </c>
      <c r="T377" t="s">
        <v>1178</v>
      </c>
      <c r="U377" t="s">
        <v>1192</v>
      </c>
      <c r="V377" t="s">
        <v>599</v>
      </c>
      <c r="W377" t="s">
        <v>1551</v>
      </c>
      <c r="X377" t="s">
        <v>599</v>
      </c>
      <c r="Y377" t="s">
        <v>599</v>
      </c>
      <c r="Z377" t="s">
        <v>2512</v>
      </c>
      <c r="AA377" t="s">
        <v>2513</v>
      </c>
      <c r="AB377">
        <v>1881</v>
      </c>
      <c r="AC377">
        <v>1881</v>
      </c>
      <c r="AD377" t="s">
        <v>2514</v>
      </c>
      <c r="AE377" t="s">
        <v>1185</v>
      </c>
      <c r="AF377" t="s">
        <v>599</v>
      </c>
      <c r="AG377" t="s">
        <v>599</v>
      </c>
      <c r="AH377" t="s">
        <v>2515</v>
      </c>
      <c r="AI377" t="s">
        <v>599</v>
      </c>
      <c r="AJ377" t="s">
        <v>2516</v>
      </c>
      <c r="AK377" t="s">
        <v>2517</v>
      </c>
      <c r="AL377" t="s">
        <v>1188</v>
      </c>
      <c r="AM377" t="s">
        <v>2518</v>
      </c>
      <c r="AN377" t="s">
        <v>1190</v>
      </c>
      <c r="AO377" t="s">
        <v>599</v>
      </c>
      <c r="AP377" t="s">
        <v>2519</v>
      </c>
      <c r="AQ377" t="s">
        <v>599</v>
      </c>
      <c r="AR377" t="s">
        <v>599</v>
      </c>
      <c r="AS377" t="s">
        <v>599</v>
      </c>
      <c r="AT377" t="s">
        <v>599</v>
      </c>
      <c r="AU377" t="s">
        <v>599</v>
      </c>
    </row>
    <row r="378" spans="1:47" s="13" customFormat="1" ht="30" x14ac:dyDescent="0.25">
      <c r="A378" s="9">
        <v>10768</v>
      </c>
      <c r="B378" s="10">
        <v>252303</v>
      </c>
      <c r="C378" s="10">
        <v>1</v>
      </c>
      <c r="D378" s="9">
        <v>162</v>
      </c>
      <c r="E378" s="11" t="s">
        <v>316</v>
      </c>
      <c r="F378" s="11" t="str">
        <f t="shared" si="15"/>
        <v>https://purl.pt/44282</v>
      </c>
      <c r="G378" s="12" t="s">
        <v>317</v>
      </c>
      <c r="H378" s="9" t="s">
        <v>318</v>
      </c>
      <c r="I378" s="34"/>
      <c r="J378" s="55" t="str">
        <f t="shared" si="16"/>
        <v>https://permalinkbnd.bnportugal.gov.pt/viewer/276785/?offset=#page=162&amp;viewer=picture&amp;o=info&amp;n=0&amp;q=</v>
      </c>
      <c r="K378" s="45"/>
      <c r="L378" s="45"/>
      <c r="M378" s="45"/>
      <c r="N378" t="s">
        <v>316</v>
      </c>
      <c r="O378">
        <v>276785</v>
      </c>
      <c r="P378" t="str">
        <f t="shared" si="17"/>
        <v>https://permalinkbnd.bnportugal.gov.pt/viewer/276785/?offset=#page=162&amp;viewer=picture&amp;o=info&amp;n=0&amp;q=</v>
      </c>
      <c r="Q378">
        <v>252303</v>
      </c>
      <c r="R378" t="s">
        <v>316</v>
      </c>
      <c r="S378" t="s">
        <v>2511</v>
      </c>
      <c r="T378" t="s">
        <v>1178</v>
      </c>
      <c r="U378" t="s">
        <v>1192</v>
      </c>
      <c r="V378" t="s">
        <v>599</v>
      </c>
      <c r="W378" t="s">
        <v>1551</v>
      </c>
      <c r="X378" t="s">
        <v>599</v>
      </c>
      <c r="Y378" t="s">
        <v>599</v>
      </c>
      <c r="Z378" t="s">
        <v>2512</v>
      </c>
      <c r="AA378" t="s">
        <v>2513</v>
      </c>
      <c r="AB378">
        <v>1881</v>
      </c>
      <c r="AC378">
        <v>1881</v>
      </c>
      <c r="AD378" t="s">
        <v>2514</v>
      </c>
      <c r="AE378" t="s">
        <v>1185</v>
      </c>
      <c r="AF378" t="s">
        <v>599</v>
      </c>
      <c r="AG378" t="s">
        <v>599</v>
      </c>
      <c r="AH378" t="s">
        <v>2515</v>
      </c>
      <c r="AI378" t="s">
        <v>599</v>
      </c>
      <c r="AJ378" t="s">
        <v>2516</v>
      </c>
      <c r="AK378" t="s">
        <v>2517</v>
      </c>
      <c r="AL378" t="s">
        <v>1188</v>
      </c>
      <c r="AM378" t="s">
        <v>2518</v>
      </c>
      <c r="AN378" t="s">
        <v>1190</v>
      </c>
      <c r="AO378" t="s">
        <v>599</v>
      </c>
      <c r="AP378" t="s">
        <v>2519</v>
      </c>
      <c r="AQ378" t="s">
        <v>599</v>
      </c>
      <c r="AR378" t="s">
        <v>599</v>
      </c>
      <c r="AS378" t="s">
        <v>599</v>
      </c>
      <c r="AT378" t="s">
        <v>599</v>
      </c>
      <c r="AU378" t="s">
        <v>599</v>
      </c>
    </row>
    <row r="379" spans="1:47" s="13" customFormat="1" ht="30" x14ac:dyDescent="0.25">
      <c r="A379" s="9">
        <v>10774</v>
      </c>
      <c r="B379" s="10">
        <v>258529</v>
      </c>
      <c r="C379" s="10">
        <v>1</v>
      </c>
      <c r="D379" s="9">
        <v>6</v>
      </c>
      <c r="E379" s="11" t="s">
        <v>319</v>
      </c>
      <c r="F379" s="11" t="str">
        <f t="shared" si="15"/>
        <v>https://purl.pt/44284</v>
      </c>
      <c r="G379" s="12" t="s">
        <v>320</v>
      </c>
      <c r="H379" s="9">
        <v>6</v>
      </c>
      <c r="I379" s="34"/>
      <c r="J379" s="55" t="str">
        <f t="shared" si="16"/>
        <v>https://permalinkbnd.bnportugal.gov.pt/viewer/276792/?offset=#page=6&amp;viewer=picture&amp;o=info&amp;n=0&amp;q=</v>
      </c>
      <c r="K379" s="45"/>
      <c r="L379" s="45"/>
      <c r="M379" s="45"/>
      <c r="N379" t="s">
        <v>319</v>
      </c>
      <c r="O379">
        <v>276792</v>
      </c>
      <c r="P379" t="str">
        <f t="shared" si="17"/>
        <v>https://permalinkbnd.bnportugal.gov.pt/viewer/276792/?offset=#page=6&amp;viewer=picture&amp;o=info&amp;n=0&amp;q=</v>
      </c>
      <c r="Q379">
        <v>258529</v>
      </c>
      <c r="R379" t="s">
        <v>319</v>
      </c>
      <c r="S379" t="s">
        <v>2520</v>
      </c>
      <c r="T379" t="s">
        <v>1178</v>
      </c>
      <c r="U379" t="s">
        <v>1192</v>
      </c>
      <c r="V379" t="s">
        <v>599</v>
      </c>
      <c r="W379" t="s">
        <v>1551</v>
      </c>
      <c r="X379" t="s">
        <v>599</v>
      </c>
      <c r="Y379" t="s">
        <v>599</v>
      </c>
      <c r="Z379" t="s">
        <v>2521</v>
      </c>
      <c r="AA379" t="s">
        <v>2456</v>
      </c>
      <c r="AB379">
        <v>1882</v>
      </c>
      <c r="AC379">
        <v>1882</v>
      </c>
      <c r="AD379" t="s">
        <v>2522</v>
      </c>
      <c r="AE379" t="s">
        <v>1185</v>
      </c>
      <c r="AF379" t="s">
        <v>599</v>
      </c>
      <c r="AG379" t="s">
        <v>599</v>
      </c>
      <c r="AH379" t="s">
        <v>2523</v>
      </c>
      <c r="AI379" t="s">
        <v>599</v>
      </c>
      <c r="AJ379" t="s">
        <v>599</v>
      </c>
      <c r="AK379" t="s">
        <v>2524</v>
      </c>
      <c r="AL379" t="s">
        <v>1188</v>
      </c>
      <c r="AM379" t="s">
        <v>2525</v>
      </c>
      <c r="AN379" t="s">
        <v>1190</v>
      </c>
      <c r="AO379" t="s">
        <v>599</v>
      </c>
      <c r="AP379" t="s">
        <v>599</v>
      </c>
      <c r="AQ379" t="s">
        <v>2526</v>
      </c>
      <c r="AR379" t="s">
        <v>599</v>
      </c>
      <c r="AS379" t="s">
        <v>599</v>
      </c>
      <c r="AT379" t="s">
        <v>599</v>
      </c>
      <c r="AU379" t="s">
        <v>599</v>
      </c>
    </row>
    <row r="380" spans="1:47" s="13" customFormat="1" ht="30" x14ac:dyDescent="0.25">
      <c r="A380" s="9">
        <v>10782</v>
      </c>
      <c r="B380" s="10">
        <v>397744</v>
      </c>
      <c r="C380" s="10">
        <v>1</v>
      </c>
      <c r="D380" s="9">
        <v>10</v>
      </c>
      <c r="E380" s="11" t="s">
        <v>321</v>
      </c>
      <c r="F380" s="11" t="str">
        <f t="shared" si="15"/>
        <v>https://purl.pt/45110</v>
      </c>
      <c r="G380" s="12" t="s">
        <v>322</v>
      </c>
      <c r="H380" s="9">
        <v>10</v>
      </c>
      <c r="I380" s="34"/>
      <c r="J380" s="55" t="str">
        <f t="shared" si="16"/>
        <v>https://permalinkbnd.bnportugal.gov.pt/viewer/279509/?offset=#page=10&amp;viewer=picture&amp;o=info&amp;n=0&amp;q=</v>
      </c>
      <c r="K380" s="45"/>
      <c r="L380" s="45"/>
      <c r="M380" s="45"/>
      <c r="N380" t="s">
        <v>321</v>
      </c>
      <c r="O380">
        <v>279509</v>
      </c>
      <c r="P380" t="str">
        <f t="shared" si="17"/>
        <v>https://permalinkbnd.bnportugal.gov.pt/viewer/279509/?offset=#page=10&amp;viewer=picture&amp;o=info&amp;n=0&amp;q=</v>
      </c>
      <c r="Q380">
        <v>397744</v>
      </c>
      <c r="R380" t="s">
        <v>321</v>
      </c>
      <c r="S380" t="s">
        <v>2527</v>
      </c>
      <c r="T380" t="s">
        <v>1178</v>
      </c>
      <c r="U380" t="s">
        <v>1192</v>
      </c>
      <c r="V380" t="s">
        <v>599</v>
      </c>
      <c r="W380" t="s">
        <v>2528</v>
      </c>
      <c r="X380" t="s">
        <v>2529</v>
      </c>
      <c r="Y380" t="s">
        <v>599</v>
      </c>
      <c r="Z380" t="s">
        <v>1182</v>
      </c>
      <c r="AA380" t="s">
        <v>2530</v>
      </c>
      <c r="AB380">
        <v>1883</v>
      </c>
      <c r="AC380">
        <v>1883</v>
      </c>
      <c r="AD380" t="s">
        <v>1470</v>
      </c>
      <c r="AE380" t="s">
        <v>1185</v>
      </c>
      <c r="AF380" t="s">
        <v>599</v>
      </c>
      <c r="AG380" t="s">
        <v>599</v>
      </c>
      <c r="AH380" t="s">
        <v>2531</v>
      </c>
      <c r="AI380" t="s">
        <v>599</v>
      </c>
      <c r="AJ380" t="s">
        <v>599</v>
      </c>
      <c r="AK380" t="s">
        <v>2532</v>
      </c>
      <c r="AL380" t="s">
        <v>1188</v>
      </c>
      <c r="AM380" t="s">
        <v>2533</v>
      </c>
      <c r="AN380" t="s">
        <v>1190</v>
      </c>
      <c r="AO380" t="s">
        <v>599</v>
      </c>
      <c r="AP380" t="s">
        <v>599</v>
      </c>
      <c r="AQ380" t="s">
        <v>599</v>
      </c>
      <c r="AR380" t="s">
        <v>599</v>
      </c>
      <c r="AS380" t="s">
        <v>2534</v>
      </c>
      <c r="AT380" t="s">
        <v>599</v>
      </c>
      <c r="AU380" t="s">
        <v>599</v>
      </c>
    </row>
    <row r="381" spans="1:47" s="13" customFormat="1" ht="30" x14ac:dyDescent="0.25">
      <c r="A381" s="9">
        <v>10783</v>
      </c>
      <c r="B381" s="10">
        <v>382847</v>
      </c>
      <c r="C381" s="10">
        <v>1</v>
      </c>
      <c r="D381" s="9">
        <v>10</v>
      </c>
      <c r="E381" s="11" t="s">
        <v>323</v>
      </c>
      <c r="F381" s="11" t="str">
        <f t="shared" si="15"/>
        <v>https://purl.pt/45100</v>
      </c>
      <c r="G381" s="12" t="s">
        <v>139</v>
      </c>
      <c r="H381" s="9">
        <v>10</v>
      </c>
      <c r="I381" s="34"/>
      <c r="J381" s="55" t="str">
        <f t="shared" si="16"/>
        <v>https://permalinkbnd.bnportugal.gov.pt/viewer/279502/?offset=#page=10&amp;viewer=picture&amp;o=info&amp;n=0&amp;q=</v>
      </c>
      <c r="K381" s="45"/>
      <c r="L381" s="45"/>
      <c r="M381" s="45"/>
      <c r="N381" t="s">
        <v>323</v>
      </c>
      <c r="O381">
        <v>279502</v>
      </c>
      <c r="P381" t="str">
        <f t="shared" si="17"/>
        <v>https://permalinkbnd.bnportugal.gov.pt/viewer/279502/?offset=#page=10&amp;viewer=picture&amp;o=info&amp;n=0&amp;q=</v>
      </c>
      <c r="Q381">
        <v>382847</v>
      </c>
      <c r="R381" t="s">
        <v>323</v>
      </c>
      <c r="S381" t="s">
        <v>2535</v>
      </c>
      <c r="T381" t="s">
        <v>1178</v>
      </c>
      <c r="U381" t="s">
        <v>1192</v>
      </c>
      <c r="V381" t="s">
        <v>599</v>
      </c>
      <c r="W381" t="s">
        <v>2536</v>
      </c>
      <c r="X381" t="s">
        <v>2537</v>
      </c>
      <c r="Y381" t="s">
        <v>599</v>
      </c>
      <c r="Z381" t="s">
        <v>1182</v>
      </c>
      <c r="AA381" t="s">
        <v>2538</v>
      </c>
      <c r="AB381">
        <v>1880</v>
      </c>
      <c r="AC381">
        <v>1880</v>
      </c>
      <c r="AD381" t="s">
        <v>2539</v>
      </c>
      <c r="AE381" t="s">
        <v>599</v>
      </c>
      <c r="AF381" t="s">
        <v>599</v>
      </c>
      <c r="AG381" t="s">
        <v>599</v>
      </c>
      <c r="AH381" t="s">
        <v>599</v>
      </c>
      <c r="AI381" t="s">
        <v>599</v>
      </c>
      <c r="AJ381" t="s">
        <v>599</v>
      </c>
      <c r="AK381" t="s">
        <v>2540</v>
      </c>
      <c r="AL381" t="s">
        <v>1188</v>
      </c>
      <c r="AM381" t="s">
        <v>2541</v>
      </c>
      <c r="AN381" t="s">
        <v>1190</v>
      </c>
      <c r="AO381" t="s">
        <v>599</v>
      </c>
      <c r="AP381" t="s">
        <v>599</v>
      </c>
      <c r="AQ381" t="s">
        <v>599</v>
      </c>
      <c r="AR381" t="s">
        <v>599</v>
      </c>
      <c r="AS381" t="s">
        <v>599</v>
      </c>
      <c r="AT381" t="s">
        <v>599</v>
      </c>
      <c r="AU381" t="s">
        <v>599</v>
      </c>
    </row>
    <row r="382" spans="1:47" s="13" customFormat="1" ht="30" x14ac:dyDescent="0.25">
      <c r="A382" s="9">
        <v>10786</v>
      </c>
      <c r="B382" s="10">
        <v>1072941</v>
      </c>
      <c r="C382" s="10">
        <v>1</v>
      </c>
      <c r="D382" s="9">
        <v>11</v>
      </c>
      <c r="E382" s="11" t="s">
        <v>324</v>
      </c>
      <c r="F382" s="11" t="str">
        <f t="shared" si="15"/>
        <v>https://purl.pt/45115</v>
      </c>
      <c r="G382" s="12" t="s">
        <v>325</v>
      </c>
      <c r="H382" s="9" t="s">
        <v>325</v>
      </c>
      <c r="I382" s="34"/>
      <c r="J382" s="55" t="str">
        <f t="shared" si="16"/>
        <v>https://permalinkbnd.bnportugal.gov.pt/viewer/279513/?offset=#page=11&amp;viewer=picture&amp;o=info&amp;n=0&amp;q=</v>
      </c>
      <c r="K382" s="45"/>
      <c r="L382" s="45"/>
      <c r="M382" s="45"/>
      <c r="N382" t="s">
        <v>324</v>
      </c>
      <c r="O382">
        <v>279513</v>
      </c>
      <c r="P382" t="str">
        <f t="shared" si="17"/>
        <v>https://permalinkbnd.bnportugal.gov.pt/viewer/279513/?offset=#page=11&amp;viewer=picture&amp;o=info&amp;n=0&amp;q=</v>
      </c>
      <c r="Q382">
        <v>1072941</v>
      </c>
      <c r="R382" t="s">
        <v>324</v>
      </c>
      <c r="S382" t="s">
        <v>2542</v>
      </c>
      <c r="T382" t="s">
        <v>1178</v>
      </c>
      <c r="U382" t="s">
        <v>2543</v>
      </c>
      <c r="V382" t="s">
        <v>599</v>
      </c>
      <c r="W382" t="s">
        <v>2544</v>
      </c>
      <c r="X382" t="s">
        <v>2545</v>
      </c>
      <c r="Y382" t="s">
        <v>599</v>
      </c>
      <c r="Z382" t="s">
        <v>1182</v>
      </c>
      <c r="AA382" t="s">
        <v>2546</v>
      </c>
      <c r="AB382">
        <v>1793</v>
      </c>
      <c r="AC382">
        <v>1793</v>
      </c>
      <c r="AD382" t="s">
        <v>2547</v>
      </c>
      <c r="AE382" t="s">
        <v>2548</v>
      </c>
      <c r="AF382" t="s">
        <v>599</v>
      </c>
      <c r="AG382" t="s">
        <v>599</v>
      </c>
      <c r="AH382" t="s">
        <v>2549</v>
      </c>
      <c r="AI382" t="s">
        <v>599</v>
      </c>
      <c r="AJ382" t="s">
        <v>599</v>
      </c>
      <c r="AK382" t="s">
        <v>2550</v>
      </c>
      <c r="AL382" t="s">
        <v>1188</v>
      </c>
      <c r="AM382" t="s">
        <v>2551</v>
      </c>
      <c r="AN382" t="s">
        <v>1190</v>
      </c>
      <c r="AO382" t="s">
        <v>599</v>
      </c>
      <c r="AP382" t="s">
        <v>599</v>
      </c>
      <c r="AQ382" t="s">
        <v>599</v>
      </c>
      <c r="AR382" t="s">
        <v>599</v>
      </c>
      <c r="AS382" t="s">
        <v>599</v>
      </c>
      <c r="AT382" t="s">
        <v>599</v>
      </c>
      <c r="AU382" t="s">
        <v>599</v>
      </c>
    </row>
    <row r="383" spans="1:47" s="13" customFormat="1" ht="30" x14ac:dyDescent="0.25">
      <c r="A383" s="9">
        <v>10787</v>
      </c>
      <c r="B383" s="10">
        <v>1072941</v>
      </c>
      <c r="C383" s="10">
        <v>1</v>
      </c>
      <c r="D383" s="9">
        <v>21</v>
      </c>
      <c r="E383" s="11" t="s">
        <v>324</v>
      </c>
      <c r="F383" s="11" t="str">
        <f t="shared" si="15"/>
        <v>https://purl.pt/45115</v>
      </c>
      <c r="G383" s="12" t="s">
        <v>325</v>
      </c>
      <c r="H383" s="9" t="s">
        <v>325</v>
      </c>
      <c r="I383" s="34"/>
      <c r="J383" s="55" t="str">
        <f t="shared" si="16"/>
        <v>https://permalinkbnd.bnportugal.gov.pt/viewer/279513/?offset=#page=21&amp;viewer=picture&amp;o=info&amp;n=0&amp;q=</v>
      </c>
      <c r="K383" s="45"/>
      <c r="L383" s="45"/>
      <c r="M383" s="45"/>
      <c r="N383" t="s">
        <v>324</v>
      </c>
      <c r="O383">
        <v>279513</v>
      </c>
      <c r="P383" t="str">
        <f t="shared" si="17"/>
        <v>https://permalinkbnd.bnportugal.gov.pt/viewer/279513/?offset=#page=21&amp;viewer=picture&amp;o=info&amp;n=0&amp;q=</v>
      </c>
      <c r="Q383">
        <v>1072941</v>
      </c>
      <c r="R383" t="s">
        <v>324</v>
      </c>
      <c r="S383" t="s">
        <v>2542</v>
      </c>
      <c r="T383" t="s">
        <v>1178</v>
      </c>
      <c r="U383" t="s">
        <v>2543</v>
      </c>
      <c r="V383" t="s">
        <v>599</v>
      </c>
      <c r="W383" t="s">
        <v>2544</v>
      </c>
      <c r="X383" t="s">
        <v>2545</v>
      </c>
      <c r="Y383" t="s">
        <v>599</v>
      </c>
      <c r="Z383" t="s">
        <v>1182</v>
      </c>
      <c r="AA383" t="s">
        <v>2546</v>
      </c>
      <c r="AB383">
        <v>1793</v>
      </c>
      <c r="AC383">
        <v>1793</v>
      </c>
      <c r="AD383" t="s">
        <v>2547</v>
      </c>
      <c r="AE383" t="s">
        <v>2548</v>
      </c>
      <c r="AF383" t="s">
        <v>599</v>
      </c>
      <c r="AG383" t="s">
        <v>599</v>
      </c>
      <c r="AH383" t="s">
        <v>2549</v>
      </c>
      <c r="AI383" t="s">
        <v>599</v>
      </c>
      <c r="AJ383" t="s">
        <v>599</v>
      </c>
      <c r="AK383" t="s">
        <v>2550</v>
      </c>
      <c r="AL383" t="s">
        <v>1188</v>
      </c>
      <c r="AM383" t="s">
        <v>2551</v>
      </c>
      <c r="AN383" t="s">
        <v>1190</v>
      </c>
      <c r="AO383" t="s">
        <v>599</v>
      </c>
      <c r="AP383" t="s">
        <v>599</v>
      </c>
      <c r="AQ383" t="s">
        <v>599</v>
      </c>
      <c r="AR383" t="s">
        <v>599</v>
      </c>
      <c r="AS383" t="s">
        <v>599</v>
      </c>
      <c r="AT383" t="s">
        <v>599</v>
      </c>
      <c r="AU383" t="s">
        <v>599</v>
      </c>
    </row>
    <row r="384" spans="1:47" s="13" customFormat="1" ht="30" x14ac:dyDescent="0.25">
      <c r="A384" s="9">
        <v>10789</v>
      </c>
      <c r="B384" s="10">
        <v>1073970</v>
      </c>
      <c r="C384" s="10">
        <v>1</v>
      </c>
      <c r="D384" s="9">
        <v>7</v>
      </c>
      <c r="E384" s="11" t="s">
        <v>326</v>
      </c>
      <c r="F384" s="11" t="str">
        <f t="shared" si="15"/>
        <v>https://purl.pt/45107</v>
      </c>
      <c r="G384" s="12">
        <v>7</v>
      </c>
      <c r="H384" s="9">
        <v>7</v>
      </c>
      <c r="I384" s="34"/>
      <c r="J384" s="55" t="str">
        <f t="shared" si="16"/>
        <v>https://permalinkbnd.bnportugal.gov.pt/viewer/279512/?offset=#page=7&amp;viewer=picture&amp;o=info&amp;n=0&amp;q=</v>
      </c>
      <c r="K384" s="45"/>
      <c r="L384" s="45"/>
      <c r="M384" s="45"/>
      <c r="N384" t="s">
        <v>326</v>
      </c>
      <c r="O384">
        <v>279512</v>
      </c>
      <c r="P384" t="str">
        <f t="shared" si="17"/>
        <v>https://permalinkbnd.bnportugal.gov.pt/viewer/279512/?offset=#page=7&amp;viewer=picture&amp;o=info&amp;n=0&amp;q=</v>
      </c>
      <c r="Q384">
        <v>1073970</v>
      </c>
      <c r="R384" t="s">
        <v>326</v>
      </c>
      <c r="S384" t="s">
        <v>2552</v>
      </c>
      <c r="T384" t="s">
        <v>1178</v>
      </c>
      <c r="U384" t="s">
        <v>1179</v>
      </c>
      <c r="V384" t="s">
        <v>599</v>
      </c>
      <c r="W384" t="s">
        <v>2553</v>
      </c>
      <c r="X384" t="s">
        <v>2554</v>
      </c>
      <c r="Y384" t="s">
        <v>599</v>
      </c>
      <c r="Z384" t="s">
        <v>1182</v>
      </c>
      <c r="AA384" t="s">
        <v>2555</v>
      </c>
      <c r="AB384">
        <v>1851</v>
      </c>
      <c r="AC384">
        <v>1851</v>
      </c>
      <c r="AD384" t="s">
        <v>2556</v>
      </c>
      <c r="AE384" t="s">
        <v>2557</v>
      </c>
      <c r="AF384" t="s">
        <v>599</v>
      </c>
      <c r="AG384" t="s">
        <v>599</v>
      </c>
      <c r="AH384" t="s">
        <v>599</v>
      </c>
      <c r="AI384" t="s">
        <v>599</v>
      </c>
      <c r="AJ384" t="s">
        <v>599</v>
      </c>
      <c r="AK384" t="s">
        <v>2558</v>
      </c>
      <c r="AL384" t="s">
        <v>1188</v>
      </c>
      <c r="AM384" t="s">
        <v>2559</v>
      </c>
      <c r="AN384" t="s">
        <v>1190</v>
      </c>
      <c r="AO384" t="s">
        <v>599</v>
      </c>
      <c r="AP384" t="s">
        <v>599</v>
      </c>
      <c r="AQ384" t="s">
        <v>599</v>
      </c>
      <c r="AR384" t="s">
        <v>599</v>
      </c>
      <c r="AS384" t="s">
        <v>599</v>
      </c>
      <c r="AT384" t="s">
        <v>599</v>
      </c>
      <c r="AU384" t="s">
        <v>599</v>
      </c>
    </row>
    <row r="385" spans="1:47" s="13" customFormat="1" ht="30" x14ac:dyDescent="0.25">
      <c r="A385" s="9">
        <v>10792</v>
      </c>
      <c r="B385" s="10">
        <v>258643</v>
      </c>
      <c r="C385" s="10">
        <v>1</v>
      </c>
      <c r="D385" s="9">
        <v>10</v>
      </c>
      <c r="E385" s="11" t="s">
        <v>327</v>
      </c>
      <c r="F385" s="11" t="str">
        <f t="shared" si="15"/>
        <v>https://purl.pt/44283</v>
      </c>
      <c r="G385" s="12" t="s">
        <v>328</v>
      </c>
      <c r="H385" s="9">
        <v>10</v>
      </c>
      <c r="I385" s="34"/>
      <c r="J385" s="55" t="str">
        <f t="shared" si="16"/>
        <v>https://permalinkbnd.bnportugal.gov.pt/viewer/276787/?offset=#page=10&amp;viewer=picture&amp;o=info&amp;n=0&amp;q=</v>
      </c>
      <c r="K385" s="45"/>
      <c r="L385" s="45"/>
      <c r="M385" s="45"/>
      <c r="N385" t="s">
        <v>327</v>
      </c>
      <c r="O385">
        <v>276787</v>
      </c>
      <c r="P385" t="str">
        <f t="shared" si="17"/>
        <v>https://permalinkbnd.bnportugal.gov.pt/viewer/276787/?offset=#page=10&amp;viewer=picture&amp;o=info&amp;n=0&amp;q=</v>
      </c>
      <c r="Q385">
        <v>258643</v>
      </c>
      <c r="R385" t="s">
        <v>327</v>
      </c>
      <c r="S385" t="s">
        <v>2560</v>
      </c>
      <c r="T385" t="s">
        <v>1178</v>
      </c>
      <c r="U385" t="s">
        <v>1192</v>
      </c>
      <c r="V385" t="s">
        <v>599</v>
      </c>
      <c r="W385" t="s">
        <v>1551</v>
      </c>
      <c r="X385" t="s">
        <v>1778</v>
      </c>
      <c r="Y385" t="s">
        <v>599</v>
      </c>
      <c r="Z385" t="s">
        <v>1182</v>
      </c>
      <c r="AA385" t="s">
        <v>2561</v>
      </c>
      <c r="AB385">
        <v>1899</v>
      </c>
      <c r="AC385">
        <v>1899</v>
      </c>
      <c r="AD385" t="s">
        <v>2562</v>
      </c>
      <c r="AE385" t="s">
        <v>1185</v>
      </c>
      <c r="AF385" t="s">
        <v>599</v>
      </c>
      <c r="AG385" t="s">
        <v>599</v>
      </c>
      <c r="AH385" t="s">
        <v>2563</v>
      </c>
      <c r="AI385" t="s">
        <v>599</v>
      </c>
      <c r="AJ385" t="s">
        <v>599</v>
      </c>
      <c r="AK385" t="s">
        <v>2564</v>
      </c>
      <c r="AL385" t="s">
        <v>1188</v>
      </c>
      <c r="AM385" t="s">
        <v>2565</v>
      </c>
      <c r="AN385" t="s">
        <v>1190</v>
      </c>
      <c r="AO385" t="s">
        <v>599</v>
      </c>
      <c r="AP385" t="s">
        <v>599</v>
      </c>
      <c r="AQ385" t="s">
        <v>599</v>
      </c>
      <c r="AR385" t="s">
        <v>599</v>
      </c>
      <c r="AS385" t="s">
        <v>599</v>
      </c>
      <c r="AT385" t="s">
        <v>599</v>
      </c>
      <c r="AU385" t="s">
        <v>599</v>
      </c>
    </row>
    <row r="386" spans="1:47" s="13" customFormat="1" ht="30" x14ac:dyDescent="0.25">
      <c r="A386" s="9">
        <v>10804</v>
      </c>
      <c r="B386" s="10">
        <v>1725327</v>
      </c>
      <c r="C386" s="10">
        <v>1</v>
      </c>
      <c r="D386" s="9">
        <v>1</v>
      </c>
      <c r="E386" s="11" t="s">
        <v>329</v>
      </c>
      <c r="F386" s="11" t="str">
        <f t="shared" si="15"/>
        <v>https://purl.pt/43985</v>
      </c>
      <c r="G386" s="12" t="s">
        <v>330</v>
      </c>
      <c r="H386" s="9">
        <v>1</v>
      </c>
      <c r="I386" s="34"/>
      <c r="J386" s="55" t="str">
        <f t="shared" si="16"/>
        <v>https://permalinkbnd.bnportugal.gov.pt/viewer/275409/?offset=#page=1&amp;viewer=picture&amp;o=info&amp;n=0&amp;q=</v>
      </c>
      <c r="K386" s="45"/>
      <c r="L386" s="45"/>
      <c r="M386" s="45"/>
      <c r="N386" t="s">
        <v>329</v>
      </c>
      <c r="O386">
        <v>275409</v>
      </c>
      <c r="P386" t="str">
        <f t="shared" si="17"/>
        <v>https://permalinkbnd.bnportugal.gov.pt/viewer/275409/?offset=#page=1&amp;viewer=picture&amp;o=info&amp;n=0&amp;q=</v>
      </c>
      <c r="Q386">
        <v>1725327</v>
      </c>
      <c r="R386" t="s">
        <v>329</v>
      </c>
      <c r="S386" t="s">
        <v>2566</v>
      </c>
      <c r="T386" t="s">
        <v>1178</v>
      </c>
      <c r="U386" t="s">
        <v>1179</v>
      </c>
      <c r="V386" t="s">
        <v>599</v>
      </c>
      <c r="W386" t="s">
        <v>2567</v>
      </c>
      <c r="X386" t="s">
        <v>2568</v>
      </c>
      <c r="Y386" t="s">
        <v>599</v>
      </c>
      <c r="Z386" t="s">
        <v>1182</v>
      </c>
      <c r="AA386" t="s">
        <v>2569</v>
      </c>
      <c r="AB386">
        <v>1842</v>
      </c>
      <c r="AC386">
        <v>1842</v>
      </c>
      <c r="AD386" t="s">
        <v>2234</v>
      </c>
      <c r="AE386" t="s">
        <v>2570</v>
      </c>
      <c r="AF386" t="s">
        <v>599</v>
      </c>
      <c r="AG386" t="s">
        <v>599</v>
      </c>
      <c r="AH386" t="s">
        <v>599</v>
      </c>
      <c r="AI386" t="s">
        <v>599</v>
      </c>
      <c r="AJ386" t="s">
        <v>599</v>
      </c>
      <c r="AK386" t="s">
        <v>2571</v>
      </c>
      <c r="AL386" t="s">
        <v>1188</v>
      </c>
      <c r="AM386" t="s">
        <v>2572</v>
      </c>
      <c r="AN386" t="s">
        <v>1190</v>
      </c>
      <c r="AO386" t="s">
        <v>599</v>
      </c>
      <c r="AP386" t="s">
        <v>599</v>
      </c>
      <c r="AQ386" t="s">
        <v>599</v>
      </c>
      <c r="AR386" t="s">
        <v>599</v>
      </c>
      <c r="AS386" t="s">
        <v>599</v>
      </c>
      <c r="AT386" t="s">
        <v>599</v>
      </c>
      <c r="AU386" t="s">
        <v>599</v>
      </c>
    </row>
    <row r="387" spans="1:47" s="13" customFormat="1" ht="60" x14ac:dyDescent="0.25">
      <c r="A387" s="9">
        <v>10810</v>
      </c>
      <c r="B387" s="10">
        <v>388329</v>
      </c>
      <c r="C387" s="10">
        <v>1</v>
      </c>
      <c r="D387" s="9">
        <v>14</v>
      </c>
      <c r="E387" s="11" t="s">
        <v>331</v>
      </c>
      <c r="F387" s="11" t="str">
        <f t="shared" ref="F387:F450" si="18">HYPERLINK(E387)</f>
        <v>https://purl.pt/44029</v>
      </c>
      <c r="G387" s="12" t="s">
        <v>332</v>
      </c>
      <c r="H387" s="9" t="s">
        <v>333</v>
      </c>
      <c r="I387" s="34"/>
      <c r="J387" s="55" t="str">
        <f t="shared" ref="J387:J450" si="19">HYPERLINK(P387)</f>
        <v>https://permalinkbnd.bnportugal.gov.pt/viewer/273746/?offset=#page=14&amp;viewer=picture&amp;o=info&amp;n=0&amp;q=</v>
      </c>
      <c r="K387" s="45"/>
      <c r="L387" s="45"/>
      <c r="M387" s="45"/>
      <c r="N387" t="s">
        <v>331</v>
      </c>
      <c r="O387">
        <v>273746</v>
      </c>
      <c r="P387" t="str">
        <f t="shared" ref="P387:P450" si="20">CONCATENATE("https://permalinkbnd.bnportugal.gov.pt/viewer/",O387,"/?offset=#page=",D387,"&amp;viewer=picture&amp;o=info&amp;n=0&amp;q=")</f>
        <v>https://permalinkbnd.bnportugal.gov.pt/viewer/273746/?offset=#page=14&amp;viewer=picture&amp;o=info&amp;n=0&amp;q=</v>
      </c>
      <c r="Q387">
        <v>388329</v>
      </c>
      <c r="R387" t="s">
        <v>331</v>
      </c>
      <c r="S387" t="s">
        <v>2573</v>
      </c>
      <c r="T387" t="s">
        <v>1178</v>
      </c>
      <c r="U387" t="s">
        <v>1192</v>
      </c>
      <c r="V387" t="s">
        <v>599</v>
      </c>
      <c r="W387" t="s">
        <v>2574</v>
      </c>
      <c r="X387" t="s">
        <v>599</v>
      </c>
      <c r="Y387" t="s">
        <v>599</v>
      </c>
      <c r="Z387" t="s">
        <v>1182</v>
      </c>
      <c r="AA387" t="s">
        <v>1221</v>
      </c>
      <c r="AB387">
        <v>1898</v>
      </c>
      <c r="AC387">
        <v>1898</v>
      </c>
      <c r="AD387" t="s">
        <v>2575</v>
      </c>
      <c r="AE387" t="s">
        <v>2576</v>
      </c>
      <c r="AF387" t="s">
        <v>599</v>
      </c>
      <c r="AG387" t="s">
        <v>599</v>
      </c>
      <c r="AH387" t="s">
        <v>1432</v>
      </c>
      <c r="AI387" t="s">
        <v>599</v>
      </c>
      <c r="AJ387" t="s">
        <v>2577</v>
      </c>
      <c r="AK387" t="s">
        <v>2578</v>
      </c>
      <c r="AL387" t="s">
        <v>1188</v>
      </c>
      <c r="AM387" t="s">
        <v>2579</v>
      </c>
      <c r="AN387" t="s">
        <v>1190</v>
      </c>
      <c r="AO387" t="s">
        <v>599</v>
      </c>
      <c r="AP387" t="s">
        <v>599</v>
      </c>
      <c r="AQ387" t="s">
        <v>599</v>
      </c>
      <c r="AR387" t="s">
        <v>599</v>
      </c>
      <c r="AS387" t="s">
        <v>599</v>
      </c>
      <c r="AT387" t="s">
        <v>599</v>
      </c>
      <c r="AU387" t="s">
        <v>599</v>
      </c>
    </row>
    <row r="388" spans="1:47" s="13" customFormat="1" ht="60" x14ac:dyDescent="0.25">
      <c r="A388" s="9">
        <v>10811</v>
      </c>
      <c r="B388" s="10">
        <v>388329</v>
      </c>
      <c r="C388" s="10">
        <v>1</v>
      </c>
      <c r="D388" s="9">
        <v>74</v>
      </c>
      <c r="E388" s="11" t="s">
        <v>331</v>
      </c>
      <c r="F388" s="11" t="str">
        <f t="shared" si="18"/>
        <v>https://purl.pt/44029</v>
      </c>
      <c r="G388" s="12" t="s">
        <v>332</v>
      </c>
      <c r="H388" s="9" t="s">
        <v>333</v>
      </c>
      <c r="I388" s="34"/>
      <c r="J388" s="55" t="str">
        <f t="shared" si="19"/>
        <v>https://permalinkbnd.bnportugal.gov.pt/viewer/273746/?offset=#page=74&amp;viewer=picture&amp;o=info&amp;n=0&amp;q=</v>
      </c>
      <c r="K388" s="45"/>
      <c r="L388" s="45"/>
      <c r="M388" s="45"/>
      <c r="N388" t="s">
        <v>331</v>
      </c>
      <c r="O388">
        <v>273746</v>
      </c>
      <c r="P388" t="str">
        <f t="shared" si="20"/>
        <v>https://permalinkbnd.bnportugal.gov.pt/viewer/273746/?offset=#page=74&amp;viewer=picture&amp;o=info&amp;n=0&amp;q=</v>
      </c>
      <c r="Q388">
        <v>388329</v>
      </c>
      <c r="R388" t="s">
        <v>331</v>
      </c>
      <c r="S388" t="s">
        <v>2573</v>
      </c>
      <c r="T388" t="s">
        <v>1178</v>
      </c>
      <c r="U388" t="s">
        <v>1192</v>
      </c>
      <c r="V388" t="s">
        <v>599</v>
      </c>
      <c r="W388" t="s">
        <v>2574</v>
      </c>
      <c r="X388" t="s">
        <v>599</v>
      </c>
      <c r="Y388" t="s">
        <v>599</v>
      </c>
      <c r="Z388" t="s">
        <v>1182</v>
      </c>
      <c r="AA388" t="s">
        <v>1221</v>
      </c>
      <c r="AB388">
        <v>1898</v>
      </c>
      <c r="AC388">
        <v>1898</v>
      </c>
      <c r="AD388" t="s">
        <v>2575</v>
      </c>
      <c r="AE388" t="s">
        <v>2576</v>
      </c>
      <c r="AF388" t="s">
        <v>599</v>
      </c>
      <c r="AG388" t="s">
        <v>599</v>
      </c>
      <c r="AH388" t="s">
        <v>1432</v>
      </c>
      <c r="AI388" t="s">
        <v>599</v>
      </c>
      <c r="AJ388" t="s">
        <v>2577</v>
      </c>
      <c r="AK388" t="s">
        <v>2578</v>
      </c>
      <c r="AL388" t="s">
        <v>1188</v>
      </c>
      <c r="AM388" t="s">
        <v>2579</v>
      </c>
      <c r="AN388" t="s">
        <v>1190</v>
      </c>
      <c r="AO388" t="s">
        <v>599</v>
      </c>
      <c r="AP388" t="s">
        <v>599</v>
      </c>
      <c r="AQ388" t="s">
        <v>599</v>
      </c>
      <c r="AR388" t="s">
        <v>599</v>
      </c>
      <c r="AS388" t="s">
        <v>599</v>
      </c>
      <c r="AT388" t="s">
        <v>599</v>
      </c>
      <c r="AU388" t="s">
        <v>599</v>
      </c>
    </row>
    <row r="389" spans="1:47" s="13" customFormat="1" ht="60" x14ac:dyDescent="0.25">
      <c r="A389" s="9">
        <v>10812</v>
      </c>
      <c r="B389" s="10">
        <v>388329</v>
      </c>
      <c r="C389" s="10">
        <v>1</v>
      </c>
      <c r="D389" s="9">
        <v>89</v>
      </c>
      <c r="E389" s="11" t="s">
        <v>331</v>
      </c>
      <c r="F389" s="11" t="str">
        <f t="shared" si="18"/>
        <v>https://purl.pt/44029</v>
      </c>
      <c r="G389" s="12" t="s">
        <v>332</v>
      </c>
      <c r="H389" s="9" t="s">
        <v>333</v>
      </c>
      <c r="I389" s="34"/>
      <c r="J389" s="55" t="str">
        <f t="shared" si="19"/>
        <v>https://permalinkbnd.bnportugal.gov.pt/viewer/273746/?offset=#page=89&amp;viewer=picture&amp;o=info&amp;n=0&amp;q=</v>
      </c>
      <c r="K389" s="45"/>
      <c r="L389" s="45"/>
      <c r="M389" s="45"/>
      <c r="N389" t="s">
        <v>331</v>
      </c>
      <c r="O389">
        <v>273746</v>
      </c>
      <c r="P389" t="str">
        <f t="shared" si="20"/>
        <v>https://permalinkbnd.bnportugal.gov.pt/viewer/273746/?offset=#page=89&amp;viewer=picture&amp;o=info&amp;n=0&amp;q=</v>
      </c>
      <c r="Q389">
        <v>388329</v>
      </c>
      <c r="R389" t="s">
        <v>331</v>
      </c>
      <c r="S389" t="s">
        <v>2573</v>
      </c>
      <c r="T389" t="s">
        <v>1178</v>
      </c>
      <c r="U389" t="s">
        <v>1192</v>
      </c>
      <c r="V389" t="s">
        <v>599</v>
      </c>
      <c r="W389" t="s">
        <v>2574</v>
      </c>
      <c r="X389" t="s">
        <v>599</v>
      </c>
      <c r="Y389" t="s">
        <v>599</v>
      </c>
      <c r="Z389" t="s">
        <v>1182</v>
      </c>
      <c r="AA389" t="s">
        <v>1221</v>
      </c>
      <c r="AB389">
        <v>1898</v>
      </c>
      <c r="AC389">
        <v>1898</v>
      </c>
      <c r="AD389" t="s">
        <v>2575</v>
      </c>
      <c r="AE389" t="s">
        <v>2576</v>
      </c>
      <c r="AF389" t="s">
        <v>599</v>
      </c>
      <c r="AG389" t="s">
        <v>599</v>
      </c>
      <c r="AH389" t="s">
        <v>1432</v>
      </c>
      <c r="AI389" t="s">
        <v>599</v>
      </c>
      <c r="AJ389" t="s">
        <v>2577</v>
      </c>
      <c r="AK389" t="s">
        <v>2578</v>
      </c>
      <c r="AL389" t="s">
        <v>1188</v>
      </c>
      <c r="AM389" t="s">
        <v>2579</v>
      </c>
      <c r="AN389" t="s">
        <v>1190</v>
      </c>
      <c r="AO389" t="s">
        <v>599</v>
      </c>
      <c r="AP389" t="s">
        <v>599</v>
      </c>
      <c r="AQ389" t="s">
        <v>599</v>
      </c>
      <c r="AR389" t="s">
        <v>599</v>
      </c>
      <c r="AS389" t="s">
        <v>599</v>
      </c>
      <c r="AT389" t="s">
        <v>599</v>
      </c>
      <c r="AU389" t="s">
        <v>599</v>
      </c>
    </row>
    <row r="390" spans="1:47" s="13" customFormat="1" ht="60" x14ac:dyDescent="0.25">
      <c r="A390" s="9">
        <v>10813</v>
      </c>
      <c r="B390" s="10">
        <v>388329</v>
      </c>
      <c r="C390" s="10">
        <v>1</v>
      </c>
      <c r="D390" s="9">
        <v>103</v>
      </c>
      <c r="E390" s="11" t="s">
        <v>331</v>
      </c>
      <c r="F390" s="11" t="str">
        <f t="shared" si="18"/>
        <v>https://purl.pt/44029</v>
      </c>
      <c r="G390" s="12" t="s">
        <v>332</v>
      </c>
      <c r="H390" s="9" t="s">
        <v>333</v>
      </c>
      <c r="I390" s="34"/>
      <c r="J390" s="55" t="str">
        <f t="shared" si="19"/>
        <v>https://permalinkbnd.bnportugal.gov.pt/viewer/273746/?offset=#page=103&amp;viewer=picture&amp;o=info&amp;n=0&amp;q=</v>
      </c>
      <c r="K390" s="45"/>
      <c r="L390" s="45"/>
      <c r="M390" s="45"/>
      <c r="N390" t="s">
        <v>331</v>
      </c>
      <c r="O390">
        <v>273746</v>
      </c>
      <c r="P390" t="str">
        <f t="shared" si="20"/>
        <v>https://permalinkbnd.bnportugal.gov.pt/viewer/273746/?offset=#page=103&amp;viewer=picture&amp;o=info&amp;n=0&amp;q=</v>
      </c>
      <c r="Q390">
        <v>388329</v>
      </c>
      <c r="R390" t="s">
        <v>331</v>
      </c>
      <c r="S390" t="s">
        <v>2573</v>
      </c>
      <c r="T390" t="s">
        <v>1178</v>
      </c>
      <c r="U390" t="s">
        <v>1192</v>
      </c>
      <c r="V390" t="s">
        <v>599</v>
      </c>
      <c r="W390" t="s">
        <v>2574</v>
      </c>
      <c r="X390" t="s">
        <v>599</v>
      </c>
      <c r="Y390" t="s">
        <v>599</v>
      </c>
      <c r="Z390" t="s">
        <v>1182</v>
      </c>
      <c r="AA390" t="s">
        <v>1221</v>
      </c>
      <c r="AB390">
        <v>1898</v>
      </c>
      <c r="AC390">
        <v>1898</v>
      </c>
      <c r="AD390" t="s">
        <v>2575</v>
      </c>
      <c r="AE390" t="s">
        <v>2576</v>
      </c>
      <c r="AF390" t="s">
        <v>599</v>
      </c>
      <c r="AG390" t="s">
        <v>599</v>
      </c>
      <c r="AH390" t="s">
        <v>1432</v>
      </c>
      <c r="AI390" t="s">
        <v>599</v>
      </c>
      <c r="AJ390" t="s">
        <v>2577</v>
      </c>
      <c r="AK390" t="s">
        <v>2578</v>
      </c>
      <c r="AL390" t="s">
        <v>1188</v>
      </c>
      <c r="AM390" t="s">
        <v>2579</v>
      </c>
      <c r="AN390" t="s">
        <v>1190</v>
      </c>
      <c r="AO390" t="s">
        <v>599</v>
      </c>
      <c r="AP390" t="s">
        <v>599</v>
      </c>
      <c r="AQ390" t="s">
        <v>599</v>
      </c>
      <c r="AR390" t="s">
        <v>599</v>
      </c>
      <c r="AS390" t="s">
        <v>599</v>
      </c>
      <c r="AT390" t="s">
        <v>599</v>
      </c>
      <c r="AU390" t="s">
        <v>599</v>
      </c>
    </row>
    <row r="391" spans="1:47" s="13" customFormat="1" ht="30" x14ac:dyDescent="0.25">
      <c r="A391" s="9">
        <v>10817</v>
      </c>
      <c r="B391" s="10">
        <v>1951715</v>
      </c>
      <c r="C391" s="10">
        <v>1</v>
      </c>
      <c r="D391" s="9">
        <v>10</v>
      </c>
      <c r="E391" s="11" t="s">
        <v>334</v>
      </c>
      <c r="F391" s="11" t="str">
        <f t="shared" si="18"/>
        <v>https://purl.pt/43981</v>
      </c>
      <c r="G391" s="12" t="s">
        <v>335</v>
      </c>
      <c r="H391" s="9">
        <v>10</v>
      </c>
      <c r="I391" s="34"/>
      <c r="J391" s="55" t="str">
        <f t="shared" si="19"/>
        <v>https://permalinkbnd.bnportugal.gov.pt/viewer/275415/?offset=#page=10&amp;viewer=picture&amp;o=info&amp;n=0&amp;q=</v>
      </c>
      <c r="K391" s="45"/>
      <c r="L391" s="45"/>
      <c r="M391" s="45"/>
      <c r="N391" t="s">
        <v>334</v>
      </c>
      <c r="O391">
        <v>275415</v>
      </c>
      <c r="P391" t="str">
        <f t="shared" si="20"/>
        <v>https://permalinkbnd.bnportugal.gov.pt/viewer/275415/?offset=#page=10&amp;viewer=picture&amp;o=info&amp;n=0&amp;q=</v>
      </c>
      <c r="Q391">
        <v>1951715</v>
      </c>
      <c r="R391" t="s">
        <v>334</v>
      </c>
      <c r="S391" t="s">
        <v>2580</v>
      </c>
      <c r="T391" t="s">
        <v>1178</v>
      </c>
      <c r="U391" t="s">
        <v>1362</v>
      </c>
      <c r="V391" t="s">
        <v>599</v>
      </c>
      <c r="W391" t="s">
        <v>2581</v>
      </c>
      <c r="X391" t="s">
        <v>599</v>
      </c>
      <c r="Y391" t="s">
        <v>599</v>
      </c>
      <c r="Z391" t="s">
        <v>1182</v>
      </c>
      <c r="AA391" t="s">
        <v>2582</v>
      </c>
      <c r="AB391">
        <v>1829</v>
      </c>
      <c r="AC391">
        <v>1829</v>
      </c>
      <c r="AD391" t="s">
        <v>2583</v>
      </c>
      <c r="AE391" t="s">
        <v>2584</v>
      </c>
      <c r="AF391" t="s">
        <v>599</v>
      </c>
      <c r="AG391" t="s">
        <v>599</v>
      </c>
      <c r="AH391" t="s">
        <v>2585</v>
      </c>
      <c r="AI391" t="s">
        <v>599</v>
      </c>
      <c r="AJ391" t="s">
        <v>599</v>
      </c>
      <c r="AK391" t="s">
        <v>2586</v>
      </c>
      <c r="AL391" t="s">
        <v>1188</v>
      </c>
      <c r="AM391" t="s">
        <v>2587</v>
      </c>
      <c r="AN391" t="s">
        <v>1190</v>
      </c>
      <c r="AO391" t="s">
        <v>599</v>
      </c>
      <c r="AP391" t="s">
        <v>599</v>
      </c>
      <c r="AQ391" t="s">
        <v>599</v>
      </c>
      <c r="AR391" t="s">
        <v>599</v>
      </c>
      <c r="AS391" t="s">
        <v>599</v>
      </c>
      <c r="AT391" t="s">
        <v>599</v>
      </c>
      <c r="AU391" t="s">
        <v>599</v>
      </c>
    </row>
    <row r="392" spans="1:47" s="13" customFormat="1" ht="30" x14ac:dyDescent="0.25">
      <c r="A392" s="9">
        <v>10818</v>
      </c>
      <c r="B392" s="10">
        <v>252438</v>
      </c>
      <c r="C392" s="10">
        <v>1</v>
      </c>
      <c r="D392" s="9">
        <v>5</v>
      </c>
      <c r="E392" s="11" t="s">
        <v>336</v>
      </c>
      <c r="F392" s="11" t="str">
        <f t="shared" si="18"/>
        <v>https://purl.pt/44317</v>
      </c>
      <c r="G392" s="12">
        <v>5</v>
      </c>
      <c r="H392" s="9">
        <v>5</v>
      </c>
      <c r="I392" s="34"/>
      <c r="J392" s="55" t="str">
        <f t="shared" si="19"/>
        <v>https://permalinkbnd.bnportugal.gov.pt/viewer/277335/?offset=#page=5&amp;viewer=picture&amp;o=info&amp;n=0&amp;q=</v>
      </c>
      <c r="K392" s="45"/>
      <c r="L392" s="45"/>
      <c r="M392" s="45"/>
      <c r="N392" t="s">
        <v>336</v>
      </c>
      <c r="O392">
        <v>277335</v>
      </c>
      <c r="P392" t="str">
        <f t="shared" si="20"/>
        <v>https://permalinkbnd.bnportugal.gov.pt/viewer/277335/?offset=#page=5&amp;viewer=picture&amp;o=info&amp;n=0&amp;q=</v>
      </c>
      <c r="Q392">
        <v>252438</v>
      </c>
      <c r="R392" t="s">
        <v>336</v>
      </c>
      <c r="S392" t="s">
        <v>2588</v>
      </c>
      <c r="T392" t="s">
        <v>1178</v>
      </c>
      <c r="U392" t="s">
        <v>1192</v>
      </c>
      <c r="V392" t="s">
        <v>599</v>
      </c>
      <c r="W392" t="s">
        <v>2589</v>
      </c>
      <c r="X392" t="s">
        <v>2590</v>
      </c>
      <c r="Y392" t="s">
        <v>599</v>
      </c>
      <c r="Z392" t="s">
        <v>1182</v>
      </c>
      <c r="AA392" t="s">
        <v>2591</v>
      </c>
      <c r="AB392">
        <v>1880</v>
      </c>
      <c r="AC392">
        <v>1880</v>
      </c>
      <c r="AD392" t="s">
        <v>2592</v>
      </c>
      <c r="AE392" t="s">
        <v>599</v>
      </c>
      <c r="AF392" t="s">
        <v>599</v>
      </c>
      <c r="AG392" t="s">
        <v>599</v>
      </c>
      <c r="AH392" t="s">
        <v>599</v>
      </c>
      <c r="AI392" t="s">
        <v>599</v>
      </c>
      <c r="AJ392" t="s">
        <v>599</v>
      </c>
      <c r="AK392" t="s">
        <v>2593</v>
      </c>
      <c r="AL392" t="s">
        <v>1188</v>
      </c>
      <c r="AM392" t="s">
        <v>2594</v>
      </c>
      <c r="AN392" t="s">
        <v>1190</v>
      </c>
      <c r="AO392" t="s">
        <v>599</v>
      </c>
      <c r="AP392" t="s">
        <v>599</v>
      </c>
      <c r="AQ392" t="s">
        <v>599</v>
      </c>
      <c r="AR392" t="s">
        <v>599</v>
      </c>
      <c r="AS392" t="s">
        <v>599</v>
      </c>
      <c r="AT392" t="s">
        <v>599</v>
      </c>
      <c r="AU392" t="s">
        <v>599</v>
      </c>
    </row>
    <row r="393" spans="1:47" s="13" customFormat="1" ht="30" x14ac:dyDescent="0.25">
      <c r="A393" s="9">
        <v>10827</v>
      </c>
      <c r="B393" s="10">
        <v>259140</v>
      </c>
      <c r="C393" s="10">
        <v>1</v>
      </c>
      <c r="D393" s="9">
        <v>8</v>
      </c>
      <c r="E393" s="11" t="s">
        <v>337</v>
      </c>
      <c r="F393" s="11" t="str">
        <f t="shared" si="18"/>
        <v>https://purl.pt/44110</v>
      </c>
      <c r="G393" s="12" t="s">
        <v>338</v>
      </c>
      <c r="H393" s="9">
        <v>8</v>
      </c>
      <c r="I393" s="34"/>
      <c r="J393" s="55" t="str">
        <f t="shared" si="19"/>
        <v>https://permalinkbnd.bnportugal.gov.pt/viewer/273811/?offset=#page=8&amp;viewer=picture&amp;o=info&amp;n=0&amp;q=</v>
      </c>
      <c r="K393" s="45"/>
      <c r="L393" s="45"/>
      <c r="M393" s="45"/>
      <c r="N393" t="s">
        <v>337</v>
      </c>
      <c r="O393">
        <v>273811</v>
      </c>
      <c r="P393" t="str">
        <f t="shared" si="20"/>
        <v>https://permalinkbnd.bnportugal.gov.pt/viewer/273811/?offset=#page=8&amp;viewer=picture&amp;o=info&amp;n=0&amp;q=</v>
      </c>
      <c r="Q393">
        <v>259140</v>
      </c>
      <c r="R393" t="s">
        <v>337</v>
      </c>
      <c r="S393" t="s">
        <v>2595</v>
      </c>
      <c r="T393" t="s">
        <v>1178</v>
      </c>
      <c r="U393" t="s">
        <v>1362</v>
      </c>
      <c r="V393" t="s">
        <v>599</v>
      </c>
      <c r="W393" t="s">
        <v>2596</v>
      </c>
      <c r="X393" t="s">
        <v>599</v>
      </c>
      <c r="Y393" t="s">
        <v>599</v>
      </c>
      <c r="Z393" t="s">
        <v>1182</v>
      </c>
      <c r="AA393" t="s">
        <v>2597</v>
      </c>
      <c r="AB393">
        <v>1820</v>
      </c>
      <c r="AC393">
        <v>1820</v>
      </c>
      <c r="AD393" t="s">
        <v>2598</v>
      </c>
      <c r="AE393" t="s">
        <v>1185</v>
      </c>
      <c r="AF393" t="s">
        <v>599</v>
      </c>
      <c r="AG393" t="s">
        <v>599</v>
      </c>
      <c r="AH393" t="s">
        <v>2599</v>
      </c>
      <c r="AI393" t="s">
        <v>599</v>
      </c>
      <c r="AJ393" t="s">
        <v>599</v>
      </c>
      <c r="AK393" t="s">
        <v>2600</v>
      </c>
      <c r="AL393" t="s">
        <v>1188</v>
      </c>
      <c r="AM393" t="s">
        <v>2601</v>
      </c>
      <c r="AN393" t="s">
        <v>1190</v>
      </c>
      <c r="AO393" t="s">
        <v>599</v>
      </c>
      <c r="AP393" t="s">
        <v>599</v>
      </c>
      <c r="AQ393" t="s">
        <v>599</v>
      </c>
      <c r="AR393" t="s">
        <v>599</v>
      </c>
      <c r="AS393" t="s">
        <v>599</v>
      </c>
      <c r="AT393" t="s">
        <v>599</v>
      </c>
      <c r="AU393" t="s">
        <v>599</v>
      </c>
    </row>
    <row r="394" spans="1:47" s="13" customFormat="1" ht="30" x14ac:dyDescent="0.25">
      <c r="A394" s="9">
        <v>10830</v>
      </c>
      <c r="B394" s="10">
        <v>855528</v>
      </c>
      <c r="C394" s="10">
        <v>1</v>
      </c>
      <c r="D394" s="9">
        <v>49</v>
      </c>
      <c r="E394" s="11" t="s">
        <v>339</v>
      </c>
      <c r="F394" s="11" t="str">
        <f t="shared" si="18"/>
        <v>https://purl.pt/43963</v>
      </c>
      <c r="G394" s="12" t="s">
        <v>340</v>
      </c>
      <c r="H394" s="9" t="s">
        <v>341</v>
      </c>
      <c r="I394" s="34"/>
      <c r="J394" s="55" t="str">
        <f t="shared" si="19"/>
        <v>https://permalinkbnd.bnportugal.gov.pt/viewer/273796/?offset=#page=49&amp;viewer=picture&amp;o=info&amp;n=0&amp;q=</v>
      </c>
      <c r="K394" s="45"/>
      <c r="L394" s="45"/>
      <c r="M394" s="45"/>
      <c r="N394" t="s">
        <v>339</v>
      </c>
      <c r="O394">
        <v>273796</v>
      </c>
      <c r="P394" t="str">
        <f t="shared" si="20"/>
        <v>https://permalinkbnd.bnportugal.gov.pt/viewer/273796/?offset=#page=49&amp;viewer=picture&amp;o=info&amp;n=0&amp;q=</v>
      </c>
      <c r="Q394">
        <v>855528</v>
      </c>
      <c r="R394" t="s">
        <v>339</v>
      </c>
      <c r="S394" t="s">
        <v>2602</v>
      </c>
      <c r="T394" t="s">
        <v>1178</v>
      </c>
      <c r="U394" t="s">
        <v>2603</v>
      </c>
      <c r="V394" t="s">
        <v>599</v>
      </c>
      <c r="W394" t="s">
        <v>2604</v>
      </c>
      <c r="X394" t="s">
        <v>2605</v>
      </c>
      <c r="Y394" t="s">
        <v>599</v>
      </c>
      <c r="Z394" t="s">
        <v>1182</v>
      </c>
      <c r="AA394" t="s">
        <v>2241</v>
      </c>
      <c r="AB394">
        <v>1898</v>
      </c>
      <c r="AC394">
        <v>1898</v>
      </c>
      <c r="AD394" t="s">
        <v>2606</v>
      </c>
      <c r="AE394" t="s">
        <v>1185</v>
      </c>
      <c r="AF394" t="s">
        <v>599</v>
      </c>
      <c r="AG394" t="s">
        <v>599</v>
      </c>
      <c r="AH394" t="s">
        <v>2607</v>
      </c>
      <c r="AI394" t="s">
        <v>599</v>
      </c>
      <c r="AJ394" t="s">
        <v>599</v>
      </c>
      <c r="AK394" t="s">
        <v>2608</v>
      </c>
      <c r="AL394" t="s">
        <v>1188</v>
      </c>
      <c r="AM394" t="s">
        <v>2609</v>
      </c>
      <c r="AN394" t="s">
        <v>1190</v>
      </c>
      <c r="AO394" t="s">
        <v>599</v>
      </c>
      <c r="AP394" t="s">
        <v>599</v>
      </c>
      <c r="AQ394" t="s">
        <v>599</v>
      </c>
      <c r="AR394" t="s">
        <v>599</v>
      </c>
      <c r="AS394" t="s">
        <v>599</v>
      </c>
      <c r="AT394" t="s">
        <v>599</v>
      </c>
      <c r="AU394" t="s">
        <v>599</v>
      </c>
    </row>
    <row r="395" spans="1:47" s="13" customFormat="1" ht="30" x14ac:dyDescent="0.25">
      <c r="A395" s="9">
        <v>10831</v>
      </c>
      <c r="B395" s="10">
        <v>855528</v>
      </c>
      <c r="C395" s="10">
        <v>1</v>
      </c>
      <c r="D395" s="9">
        <v>51</v>
      </c>
      <c r="E395" s="11" t="s">
        <v>339</v>
      </c>
      <c r="F395" s="11" t="str">
        <f t="shared" si="18"/>
        <v>https://purl.pt/43963</v>
      </c>
      <c r="G395" s="12" t="s">
        <v>340</v>
      </c>
      <c r="H395" s="9" t="s">
        <v>341</v>
      </c>
      <c r="I395" s="34"/>
      <c r="J395" s="55" t="str">
        <f t="shared" si="19"/>
        <v>https://permalinkbnd.bnportugal.gov.pt/viewer/273796/?offset=#page=51&amp;viewer=picture&amp;o=info&amp;n=0&amp;q=</v>
      </c>
      <c r="K395" s="45"/>
      <c r="L395" s="45"/>
      <c r="M395" s="45"/>
      <c r="N395" t="s">
        <v>339</v>
      </c>
      <c r="O395">
        <v>273796</v>
      </c>
      <c r="P395" t="str">
        <f t="shared" si="20"/>
        <v>https://permalinkbnd.bnportugal.gov.pt/viewer/273796/?offset=#page=51&amp;viewer=picture&amp;o=info&amp;n=0&amp;q=</v>
      </c>
      <c r="Q395">
        <v>855528</v>
      </c>
      <c r="R395" t="s">
        <v>339</v>
      </c>
      <c r="S395" t="s">
        <v>2602</v>
      </c>
      <c r="T395" t="s">
        <v>1178</v>
      </c>
      <c r="U395" t="s">
        <v>2603</v>
      </c>
      <c r="V395" t="s">
        <v>599</v>
      </c>
      <c r="W395" t="s">
        <v>2604</v>
      </c>
      <c r="X395" t="s">
        <v>2605</v>
      </c>
      <c r="Y395" t="s">
        <v>599</v>
      </c>
      <c r="Z395" t="s">
        <v>1182</v>
      </c>
      <c r="AA395" t="s">
        <v>2241</v>
      </c>
      <c r="AB395">
        <v>1898</v>
      </c>
      <c r="AC395">
        <v>1898</v>
      </c>
      <c r="AD395" t="s">
        <v>2606</v>
      </c>
      <c r="AE395" t="s">
        <v>1185</v>
      </c>
      <c r="AF395" t="s">
        <v>599</v>
      </c>
      <c r="AG395" t="s">
        <v>599</v>
      </c>
      <c r="AH395" t="s">
        <v>2607</v>
      </c>
      <c r="AI395" t="s">
        <v>599</v>
      </c>
      <c r="AJ395" t="s">
        <v>599</v>
      </c>
      <c r="AK395" t="s">
        <v>2608</v>
      </c>
      <c r="AL395" t="s">
        <v>1188</v>
      </c>
      <c r="AM395" t="s">
        <v>2609</v>
      </c>
      <c r="AN395" t="s">
        <v>1190</v>
      </c>
      <c r="AO395" t="s">
        <v>599</v>
      </c>
      <c r="AP395" t="s">
        <v>599</v>
      </c>
      <c r="AQ395" t="s">
        <v>599</v>
      </c>
      <c r="AR395" t="s">
        <v>599</v>
      </c>
      <c r="AS395" t="s">
        <v>599</v>
      </c>
      <c r="AT395" t="s">
        <v>599</v>
      </c>
      <c r="AU395" t="s">
        <v>599</v>
      </c>
    </row>
    <row r="396" spans="1:47" s="13" customFormat="1" ht="30" x14ac:dyDescent="0.25">
      <c r="A396" s="9">
        <v>10842</v>
      </c>
      <c r="B396" s="10">
        <v>381381</v>
      </c>
      <c r="C396" s="10">
        <v>1</v>
      </c>
      <c r="D396" s="9">
        <v>10</v>
      </c>
      <c r="E396" s="11" t="s">
        <v>342</v>
      </c>
      <c r="F396" s="11" t="str">
        <f t="shared" si="18"/>
        <v>https://purl.pt/44010</v>
      </c>
      <c r="G396" s="12" t="s">
        <v>343</v>
      </c>
      <c r="H396" s="9">
        <v>10</v>
      </c>
      <c r="I396" s="34"/>
      <c r="J396" s="55" t="str">
        <f t="shared" si="19"/>
        <v>https://permalinkbnd.bnportugal.gov.pt/viewer/273101/?offset=#page=10&amp;viewer=picture&amp;o=info&amp;n=0&amp;q=</v>
      </c>
      <c r="K396" s="45"/>
      <c r="L396" s="45"/>
      <c r="M396" s="45"/>
      <c r="N396" t="s">
        <v>342</v>
      </c>
      <c r="O396">
        <v>273101</v>
      </c>
      <c r="P396" t="str">
        <f t="shared" si="20"/>
        <v>https://permalinkbnd.bnportugal.gov.pt/viewer/273101/?offset=#page=10&amp;viewer=picture&amp;o=info&amp;n=0&amp;q=</v>
      </c>
      <c r="Q396">
        <v>381381</v>
      </c>
      <c r="R396" t="s">
        <v>342</v>
      </c>
      <c r="S396" t="s">
        <v>2610</v>
      </c>
      <c r="T396" t="s">
        <v>1178</v>
      </c>
      <c r="U396" t="s">
        <v>1192</v>
      </c>
      <c r="V396" t="s">
        <v>599</v>
      </c>
      <c r="W396" t="s">
        <v>1551</v>
      </c>
      <c r="X396" t="s">
        <v>599</v>
      </c>
      <c r="Y396" t="s">
        <v>599</v>
      </c>
      <c r="Z396" t="s">
        <v>2611</v>
      </c>
      <c r="AA396" t="s">
        <v>2612</v>
      </c>
      <c r="AB396">
        <v>1880</v>
      </c>
      <c r="AC396">
        <v>1880</v>
      </c>
      <c r="AD396" t="s">
        <v>2613</v>
      </c>
      <c r="AE396" t="s">
        <v>1185</v>
      </c>
      <c r="AF396" t="s">
        <v>599</v>
      </c>
      <c r="AG396" t="s">
        <v>599</v>
      </c>
      <c r="AH396" t="s">
        <v>2614</v>
      </c>
      <c r="AI396" t="s">
        <v>599</v>
      </c>
      <c r="AJ396" t="s">
        <v>599</v>
      </c>
      <c r="AK396" t="s">
        <v>2615</v>
      </c>
      <c r="AL396" t="s">
        <v>1188</v>
      </c>
      <c r="AM396" t="s">
        <v>2616</v>
      </c>
      <c r="AN396" t="s">
        <v>1190</v>
      </c>
      <c r="AO396" t="s">
        <v>599</v>
      </c>
      <c r="AP396" t="s">
        <v>599</v>
      </c>
      <c r="AQ396" t="s">
        <v>599</v>
      </c>
      <c r="AR396" t="s">
        <v>599</v>
      </c>
      <c r="AS396" t="s">
        <v>599</v>
      </c>
      <c r="AT396" t="s">
        <v>599</v>
      </c>
      <c r="AU396" t="s">
        <v>599</v>
      </c>
    </row>
    <row r="397" spans="1:47" s="13" customFormat="1" ht="30" x14ac:dyDescent="0.25">
      <c r="A397" s="9">
        <v>10844</v>
      </c>
      <c r="B397" s="10">
        <v>259434</v>
      </c>
      <c r="C397" s="10">
        <v>1</v>
      </c>
      <c r="D397" s="9">
        <v>10</v>
      </c>
      <c r="E397" s="11" t="s">
        <v>344</v>
      </c>
      <c r="F397" s="11" t="str">
        <f t="shared" si="18"/>
        <v>https://purl.pt/44331</v>
      </c>
      <c r="G397" s="12" t="s">
        <v>345</v>
      </c>
      <c r="H397" s="9">
        <v>10</v>
      </c>
      <c r="I397" s="34"/>
      <c r="J397" s="55" t="str">
        <f t="shared" si="19"/>
        <v>https://permalinkbnd.bnportugal.gov.pt/viewer/277366/?offset=#page=10&amp;viewer=picture&amp;o=info&amp;n=0&amp;q=</v>
      </c>
      <c r="K397" s="45"/>
      <c r="L397" s="45"/>
      <c r="M397" s="45"/>
      <c r="N397" t="s">
        <v>344</v>
      </c>
      <c r="O397">
        <v>277366</v>
      </c>
      <c r="P397" t="str">
        <f t="shared" si="20"/>
        <v>https://permalinkbnd.bnportugal.gov.pt/viewer/277366/?offset=#page=10&amp;viewer=picture&amp;o=info&amp;n=0&amp;q=</v>
      </c>
      <c r="Q397">
        <v>259434</v>
      </c>
      <c r="R397" t="s">
        <v>344</v>
      </c>
      <c r="S397" t="s">
        <v>2617</v>
      </c>
      <c r="T397" t="s">
        <v>1178</v>
      </c>
      <c r="U397" t="s">
        <v>1179</v>
      </c>
      <c r="V397" t="s">
        <v>599</v>
      </c>
      <c r="W397" t="s">
        <v>2618</v>
      </c>
      <c r="X397" t="s">
        <v>599</v>
      </c>
      <c r="Y397" t="s">
        <v>599</v>
      </c>
      <c r="Z397" t="s">
        <v>2619</v>
      </c>
      <c r="AA397" t="s">
        <v>2620</v>
      </c>
      <c r="AB397">
        <v>1772</v>
      </c>
      <c r="AC397">
        <v>1772</v>
      </c>
      <c r="AD397" t="s">
        <v>2621</v>
      </c>
      <c r="AE397" t="s">
        <v>1185</v>
      </c>
      <c r="AF397" t="s">
        <v>599</v>
      </c>
      <c r="AG397" t="s">
        <v>599</v>
      </c>
      <c r="AH397" t="s">
        <v>2622</v>
      </c>
      <c r="AI397" t="s">
        <v>599</v>
      </c>
      <c r="AJ397" t="s">
        <v>599</v>
      </c>
      <c r="AK397" t="s">
        <v>2623</v>
      </c>
      <c r="AL397" t="s">
        <v>1188</v>
      </c>
      <c r="AM397" t="s">
        <v>2624</v>
      </c>
      <c r="AN397" t="s">
        <v>1190</v>
      </c>
      <c r="AO397" t="s">
        <v>2625</v>
      </c>
      <c r="AP397" t="s">
        <v>599</v>
      </c>
      <c r="AQ397" t="s">
        <v>599</v>
      </c>
      <c r="AR397" t="s">
        <v>599</v>
      </c>
      <c r="AS397" t="s">
        <v>599</v>
      </c>
      <c r="AT397" t="s">
        <v>599</v>
      </c>
      <c r="AU397" t="s">
        <v>599</v>
      </c>
    </row>
    <row r="398" spans="1:47" s="13" customFormat="1" ht="30" x14ac:dyDescent="0.25">
      <c r="A398" s="9">
        <v>10848</v>
      </c>
      <c r="B398" s="10">
        <v>913393</v>
      </c>
      <c r="C398" s="10">
        <v>1</v>
      </c>
      <c r="D398" s="9">
        <v>9</v>
      </c>
      <c r="E398" s="11" t="s">
        <v>346</v>
      </c>
      <c r="F398" s="11" t="str">
        <f t="shared" si="18"/>
        <v>https://purl.pt/44332</v>
      </c>
      <c r="G398" s="12" t="s">
        <v>347</v>
      </c>
      <c r="H398" s="9">
        <v>9</v>
      </c>
      <c r="I398" s="34"/>
      <c r="J398" s="55" t="str">
        <f t="shared" si="19"/>
        <v>https://permalinkbnd.bnportugal.gov.pt/viewer/277369/?offset=#page=9&amp;viewer=picture&amp;o=info&amp;n=0&amp;q=</v>
      </c>
      <c r="K398" s="45"/>
      <c r="L398" s="45"/>
      <c r="M398" s="45"/>
      <c r="N398" t="s">
        <v>346</v>
      </c>
      <c r="O398">
        <v>277369</v>
      </c>
      <c r="P398" t="str">
        <f t="shared" si="20"/>
        <v>https://permalinkbnd.bnportugal.gov.pt/viewer/277369/?offset=#page=9&amp;viewer=picture&amp;o=info&amp;n=0&amp;q=</v>
      </c>
      <c r="Q398">
        <v>913393</v>
      </c>
      <c r="R398" t="s">
        <v>346</v>
      </c>
      <c r="S398" t="s">
        <v>2626</v>
      </c>
      <c r="T398" t="s">
        <v>1312</v>
      </c>
      <c r="U398" t="s">
        <v>1192</v>
      </c>
      <c r="V398" t="s">
        <v>599</v>
      </c>
      <c r="W398" t="s">
        <v>2627</v>
      </c>
      <c r="X398" t="s">
        <v>599</v>
      </c>
      <c r="Y398" t="s">
        <v>599</v>
      </c>
      <c r="Z398" t="s">
        <v>2628</v>
      </c>
      <c r="AA398" t="s">
        <v>2629</v>
      </c>
      <c r="AB398">
        <v>1883</v>
      </c>
      <c r="AC398">
        <v>1883</v>
      </c>
      <c r="AD398" t="s">
        <v>1454</v>
      </c>
      <c r="AE398" t="s">
        <v>599</v>
      </c>
      <c r="AF398" t="s">
        <v>599</v>
      </c>
      <c r="AG398" t="s">
        <v>599</v>
      </c>
      <c r="AH398" t="s">
        <v>599</v>
      </c>
      <c r="AI398" t="s">
        <v>599</v>
      </c>
      <c r="AJ398" t="s">
        <v>599</v>
      </c>
      <c r="AK398" t="s">
        <v>2630</v>
      </c>
      <c r="AL398" t="s">
        <v>1188</v>
      </c>
      <c r="AM398" t="s">
        <v>2631</v>
      </c>
      <c r="AN398" t="s">
        <v>1190</v>
      </c>
      <c r="AO398" t="s">
        <v>599</v>
      </c>
      <c r="AP398" t="s">
        <v>599</v>
      </c>
      <c r="AQ398" t="s">
        <v>599</v>
      </c>
      <c r="AR398" t="s">
        <v>599</v>
      </c>
      <c r="AS398" t="s">
        <v>599</v>
      </c>
      <c r="AT398" t="s">
        <v>599</v>
      </c>
      <c r="AU398" t="s">
        <v>599</v>
      </c>
    </row>
    <row r="399" spans="1:47" s="13" customFormat="1" ht="30" x14ac:dyDescent="0.25">
      <c r="A399" s="9">
        <v>10850</v>
      </c>
      <c r="B399" s="10">
        <v>857274</v>
      </c>
      <c r="C399" s="10">
        <v>1</v>
      </c>
      <c r="D399" s="9">
        <v>15</v>
      </c>
      <c r="E399" s="11" t="s">
        <v>348</v>
      </c>
      <c r="F399" s="11" t="str">
        <f t="shared" si="18"/>
        <v>https://purl.pt/44333</v>
      </c>
      <c r="G399" s="12" t="s">
        <v>349</v>
      </c>
      <c r="H399" s="9">
        <v>15</v>
      </c>
      <c r="I399" s="34"/>
      <c r="J399" s="55" t="str">
        <f t="shared" si="19"/>
        <v>https://permalinkbnd.bnportugal.gov.pt/viewer/277364/?offset=#page=15&amp;viewer=picture&amp;o=info&amp;n=0&amp;q=</v>
      </c>
      <c r="K399" s="45"/>
      <c r="L399" s="45"/>
      <c r="M399" s="45"/>
      <c r="N399" t="s">
        <v>348</v>
      </c>
      <c r="O399">
        <v>277364</v>
      </c>
      <c r="P399" t="str">
        <f t="shared" si="20"/>
        <v>https://permalinkbnd.bnportugal.gov.pt/viewer/277364/?offset=#page=15&amp;viewer=picture&amp;o=info&amp;n=0&amp;q=</v>
      </c>
      <c r="Q399">
        <v>857274</v>
      </c>
      <c r="R399" t="s">
        <v>348</v>
      </c>
      <c r="S399" t="s">
        <v>2632</v>
      </c>
      <c r="T399" t="s">
        <v>1178</v>
      </c>
      <c r="U399" t="s">
        <v>1192</v>
      </c>
      <c r="V399" t="s">
        <v>599</v>
      </c>
      <c r="W399" t="s">
        <v>1551</v>
      </c>
      <c r="X399" t="s">
        <v>599</v>
      </c>
      <c r="Y399" t="s">
        <v>599</v>
      </c>
      <c r="Z399" t="s">
        <v>2633</v>
      </c>
      <c r="AA399" t="s">
        <v>1371</v>
      </c>
      <c r="AB399">
        <v>1887</v>
      </c>
      <c r="AC399">
        <v>1887</v>
      </c>
      <c r="AD399" t="s">
        <v>2634</v>
      </c>
      <c r="AE399" t="s">
        <v>1185</v>
      </c>
      <c r="AF399" t="s">
        <v>599</v>
      </c>
      <c r="AG399" t="s">
        <v>599</v>
      </c>
      <c r="AH399" t="s">
        <v>2515</v>
      </c>
      <c r="AI399" t="s">
        <v>599</v>
      </c>
      <c r="AJ399" t="s">
        <v>599</v>
      </c>
      <c r="AK399" t="s">
        <v>2635</v>
      </c>
      <c r="AL399" t="s">
        <v>1188</v>
      </c>
      <c r="AM399" t="s">
        <v>2636</v>
      </c>
      <c r="AN399" t="s">
        <v>1190</v>
      </c>
      <c r="AO399" t="s">
        <v>599</v>
      </c>
      <c r="AP399" t="s">
        <v>599</v>
      </c>
      <c r="AQ399" t="s">
        <v>599</v>
      </c>
      <c r="AR399" t="s">
        <v>599</v>
      </c>
      <c r="AS399" t="s">
        <v>599</v>
      </c>
      <c r="AT399" t="s">
        <v>599</v>
      </c>
      <c r="AU399" t="s">
        <v>599</v>
      </c>
    </row>
    <row r="400" spans="1:47" s="13" customFormat="1" ht="30" x14ac:dyDescent="0.25">
      <c r="A400" s="9">
        <v>10871</v>
      </c>
      <c r="B400" s="10">
        <v>259614</v>
      </c>
      <c r="C400" s="10">
        <v>1</v>
      </c>
      <c r="D400" s="9">
        <v>8</v>
      </c>
      <c r="E400" s="11" t="s">
        <v>350</v>
      </c>
      <c r="F400" s="11" t="str">
        <f t="shared" si="18"/>
        <v>https://purl.pt/44365</v>
      </c>
      <c r="G400" s="12" t="s">
        <v>351</v>
      </c>
      <c r="H400" s="9" t="s">
        <v>351</v>
      </c>
      <c r="I400" s="34"/>
      <c r="J400" s="55" t="str">
        <f t="shared" si="19"/>
        <v>https://permalinkbnd.bnportugal.gov.pt/viewer/277455/?offset=#page=8&amp;viewer=picture&amp;o=info&amp;n=0&amp;q=</v>
      </c>
      <c r="K400" s="45"/>
      <c r="L400" s="45"/>
      <c r="M400" s="45"/>
      <c r="N400" t="s">
        <v>350</v>
      </c>
      <c r="O400">
        <v>277455</v>
      </c>
      <c r="P400" t="str">
        <f t="shared" si="20"/>
        <v>https://permalinkbnd.bnportugal.gov.pt/viewer/277455/?offset=#page=8&amp;viewer=picture&amp;o=info&amp;n=0&amp;q=</v>
      </c>
      <c r="Q400">
        <v>259614</v>
      </c>
      <c r="R400" t="s">
        <v>350</v>
      </c>
      <c r="S400" t="s">
        <v>2637</v>
      </c>
      <c r="T400" t="s">
        <v>1178</v>
      </c>
      <c r="U400" t="s">
        <v>1403</v>
      </c>
      <c r="V400" t="s">
        <v>599</v>
      </c>
      <c r="W400" t="s">
        <v>2638</v>
      </c>
      <c r="X400" t="s">
        <v>2639</v>
      </c>
      <c r="Y400" t="s">
        <v>599</v>
      </c>
      <c r="Z400" t="s">
        <v>1182</v>
      </c>
      <c r="AA400" t="s">
        <v>2640</v>
      </c>
      <c r="AB400">
        <v>1854</v>
      </c>
      <c r="AC400">
        <v>1854</v>
      </c>
      <c r="AD400" t="s">
        <v>2641</v>
      </c>
      <c r="AE400" t="s">
        <v>1185</v>
      </c>
      <c r="AF400" t="s">
        <v>599</v>
      </c>
      <c r="AG400" t="s">
        <v>599</v>
      </c>
      <c r="AH400" t="s">
        <v>2642</v>
      </c>
      <c r="AI400" t="s">
        <v>599</v>
      </c>
      <c r="AJ400" t="s">
        <v>599</v>
      </c>
      <c r="AK400" t="s">
        <v>2643</v>
      </c>
      <c r="AL400" t="s">
        <v>1188</v>
      </c>
      <c r="AM400" t="s">
        <v>2644</v>
      </c>
      <c r="AN400" t="s">
        <v>1190</v>
      </c>
      <c r="AO400" t="s">
        <v>2645</v>
      </c>
      <c r="AP400" t="s">
        <v>599</v>
      </c>
      <c r="AQ400" t="s">
        <v>2646</v>
      </c>
      <c r="AR400" t="s">
        <v>599</v>
      </c>
      <c r="AS400" t="s">
        <v>599</v>
      </c>
      <c r="AT400" t="s">
        <v>599</v>
      </c>
      <c r="AU400" t="s">
        <v>599</v>
      </c>
    </row>
    <row r="401" spans="1:47" s="13" customFormat="1" ht="30" x14ac:dyDescent="0.25">
      <c r="A401" s="9">
        <v>10872</v>
      </c>
      <c r="B401" s="10">
        <v>259614</v>
      </c>
      <c r="C401" s="10">
        <v>1</v>
      </c>
      <c r="D401" s="9">
        <v>77</v>
      </c>
      <c r="E401" s="11" t="s">
        <v>350</v>
      </c>
      <c r="F401" s="11" t="str">
        <f t="shared" si="18"/>
        <v>https://purl.pt/44365</v>
      </c>
      <c r="G401" s="12" t="s">
        <v>351</v>
      </c>
      <c r="H401" s="9" t="s">
        <v>351</v>
      </c>
      <c r="I401" s="34"/>
      <c r="J401" s="55" t="str">
        <f t="shared" si="19"/>
        <v>https://permalinkbnd.bnportugal.gov.pt/viewer/277455/?offset=#page=77&amp;viewer=picture&amp;o=info&amp;n=0&amp;q=</v>
      </c>
      <c r="K401" s="45"/>
      <c r="L401" s="45"/>
      <c r="M401" s="45"/>
      <c r="N401" t="s">
        <v>350</v>
      </c>
      <c r="O401">
        <v>277455</v>
      </c>
      <c r="P401" t="str">
        <f t="shared" si="20"/>
        <v>https://permalinkbnd.bnportugal.gov.pt/viewer/277455/?offset=#page=77&amp;viewer=picture&amp;o=info&amp;n=0&amp;q=</v>
      </c>
      <c r="Q401">
        <v>259614</v>
      </c>
      <c r="R401" t="s">
        <v>350</v>
      </c>
      <c r="S401" t="s">
        <v>2637</v>
      </c>
      <c r="T401" t="s">
        <v>1178</v>
      </c>
      <c r="U401" t="s">
        <v>1403</v>
      </c>
      <c r="V401" t="s">
        <v>599</v>
      </c>
      <c r="W401" t="s">
        <v>2638</v>
      </c>
      <c r="X401" t="s">
        <v>2639</v>
      </c>
      <c r="Y401" t="s">
        <v>599</v>
      </c>
      <c r="Z401" t="s">
        <v>1182</v>
      </c>
      <c r="AA401" t="s">
        <v>2640</v>
      </c>
      <c r="AB401">
        <v>1854</v>
      </c>
      <c r="AC401">
        <v>1854</v>
      </c>
      <c r="AD401" t="s">
        <v>2641</v>
      </c>
      <c r="AE401" t="s">
        <v>1185</v>
      </c>
      <c r="AF401" t="s">
        <v>599</v>
      </c>
      <c r="AG401" t="s">
        <v>599</v>
      </c>
      <c r="AH401" t="s">
        <v>2642</v>
      </c>
      <c r="AI401" t="s">
        <v>599</v>
      </c>
      <c r="AJ401" t="s">
        <v>599</v>
      </c>
      <c r="AK401" t="s">
        <v>2643</v>
      </c>
      <c r="AL401" t="s">
        <v>1188</v>
      </c>
      <c r="AM401" t="s">
        <v>2644</v>
      </c>
      <c r="AN401" t="s">
        <v>1190</v>
      </c>
      <c r="AO401" t="s">
        <v>2645</v>
      </c>
      <c r="AP401" t="s">
        <v>599</v>
      </c>
      <c r="AQ401" t="s">
        <v>2646</v>
      </c>
      <c r="AR401" t="s">
        <v>599</v>
      </c>
      <c r="AS401" t="s">
        <v>599</v>
      </c>
      <c r="AT401" t="s">
        <v>599</v>
      </c>
      <c r="AU401" t="s">
        <v>599</v>
      </c>
    </row>
    <row r="402" spans="1:47" s="13" customFormat="1" ht="30" x14ac:dyDescent="0.25">
      <c r="A402" s="9">
        <v>10874</v>
      </c>
      <c r="B402" s="10">
        <v>381386</v>
      </c>
      <c r="C402" s="10">
        <v>1</v>
      </c>
      <c r="D402" s="9">
        <v>23</v>
      </c>
      <c r="E402" s="11" t="s">
        <v>352</v>
      </c>
      <c r="F402" s="11" t="str">
        <f t="shared" si="18"/>
        <v>https://purl.pt/44012</v>
      </c>
      <c r="G402" s="12" t="s">
        <v>353</v>
      </c>
      <c r="H402" s="9" t="s">
        <v>354</v>
      </c>
      <c r="I402" s="34"/>
      <c r="J402" s="55" t="str">
        <f t="shared" si="19"/>
        <v>https://permalinkbnd.bnportugal.gov.pt/viewer/273117/?offset=#page=23&amp;viewer=picture&amp;o=info&amp;n=0&amp;q=</v>
      </c>
      <c r="K402" s="45"/>
      <c r="L402" s="45"/>
      <c r="M402" s="45"/>
      <c r="N402" t="s">
        <v>352</v>
      </c>
      <c r="O402">
        <v>273117</v>
      </c>
      <c r="P402" t="str">
        <f t="shared" si="20"/>
        <v>https://permalinkbnd.bnportugal.gov.pt/viewer/273117/?offset=#page=23&amp;viewer=picture&amp;o=info&amp;n=0&amp;q=</v>
      </c>
      <c r="Q402">
        <v>381386</v>
      </c>
      <c r="R402" t="s">
        <v>352</v>
      </c>
      <c r="S402" t="s">
        <v>2647</v>
      </c>
      <c r="T402" t="s">
        <v>1178</v>
      </c>
      <c r="U402" t="s">
        <v>1192</v>
      </c>
      <c r="V402" t="s">
        <v>599</v>
      </c>
      <c r="W402" t="s">
        <v>1293</v>
      </c>
      <c r="X402" t="s">
        <v>2648</v>
      </c>
      <c r="Y402" t="s">
        <v>599</v>
      </c>
      <c r="Z402" t="s">
        <v>1182</v>
      </c>
      <c r="AA402" t="s">
        <v>2649</v>
      </c>
      <c r="AB402">
        <v>1883</v>
      </c>
      <c r="AC402">
        <v>1883</v>
      </c>
      <c r="AD402" t="s">
        <v>2650</v>
      </c>
      <c r="AE402" t="s">
        <v>1185</v>
      </c>
      <c r="AF402" t="s">
        <v>599</v>
      </c>
      <c r="AG402" t="s">
        <v>599</v>
      </c>
      <c r="AH402" t="s">
        <v>2651</v>
      </c>
      <c r="AI402" t="s">
        <v>599</v>
      </c>
      <c r="AJ402" t="s">
        <v>599</v>
      </c>
      <c r="AK402" t="s">
        <v>2652</v>
      </c>
      <c r="AL402" t="s">
        <v>1188</v>
      </c>
      <c r="AM402" t="s">
        <v>2653</v>
      </c>
      <c r="AN402" t="s">
        <v>1190</v>
      </c>
      <c r="AO402" t="s">
        <v>599</v>
      </c>
      <c r="AP402" t="s">
        <v>599</v>
      </c>
      <c r="AQ402" t="s">
        <v>599</v>
      </c>
      <c r="AR402" t="s">
        <v>599</v>
      </c>
      <c r="AS402" t="s">
        <v>1193</v>
      </c>
      <c r="AT402" t="s">
        <v>599</v>
      </c>
      <c r="AU402" t="s">
        <v>599</v>
      </c>
    </row>
    <row r="403" spans="1:47" s="13" customFormat="1" ht="30" x14ac:dyDescent="0.25">
      <c r="A403" s="9">
        <v>10875</v>
      </c>
      <c r="B403" s="10">
        <v>381386</v>
      </c>
      <c r="C403" s="10">
        <v>1</v>
      </c>
      <c r="D403" s="9">
        <v>79</v>
      </c>
      <c r="E403" s="11" t="s">
        <v>352</v>
      </c>
      <c r="F403" s="11" t="str">
        <f t="shared" si="18"/>
        <v>https://purl.pt/44012</v>
      </c>
      <c r="G403" s="12" t="s">
        <v>353</v>
      </c>
      <c r="H403" s="9" t="s">
        <v>354</v>
      </c>
      <c r="I403" s="34"/>
      <c r="J403" s="55" t="str">
        <f t="shared" si="19"/>
        <v>https://permalinkbnd.bnportugal.gov.pt/viewer/273117/?offset=#page=79&amp;viewer=picture&amp;o=info&amp;n=0&amp;q=</v>
      </c>
      <c r="K403" s="45"/>
      <c r="L403" s="45"/>
      <c r="M403" s="45"/>
      <c r="N403" t="s">
        <v>352</v>
      </c>
      <c r="O403">
        <v>273117</v>
      </c>
      <c r="P403" t="str">
        <f t="shared" si="20"/>
        <v>https://permalinkbnd.bnportugal.gov.pt/viewer/273117/?offset=#page=79&amp;viewer=picture&amp;o=info&amp;n=0&amp;q=</v>
      </c>
      <c r="Q403">
        <v>381386</v>
      </c>
      <c r="R403" t="s">
        <v>352</v>
      </c>
      <c r="S403" t="s">
        <v>2647</v>
      </c>
      <c r="T403" t="s">
        <v>1178</v>
      </c>
      <c r="U403" t="s">
        <v>1192</v>
      </c>
      <c r="V403" t="s">
        <v>599</v>
      </c>
      <c r="W403" t="s">
        <v>1293</v>
      </c>
      <c r="X403" t="s">
        <v>2648</v>
      </c>
      <c r="Y403" t="s">
        <v>599</v>
      </c>
      <c r="Z403" t="s">
        <v>1182</v>
      </c>
      <c r="AA403" t="s">
        <v>2649</v>
      </c>
      <c r="AB403">
        <v>1883</v>
      </c>
      <c r="AC403">
        <v>1883</v>
      </c>
      <c r="AD403" t="s">
        <v>2650</v>
      </c>
      <c r="AE403" t="s">
        <v>1185</v>
      </c>
      <c r="AF403" t="s">
        <v>599</v>
      </c>
      <c r="AG403" t="s">
        <v>599</v>
      </c>
      <c r="AH403" t="s">
        <v>2651</v>
      </c>
      <c r="AI403" t="s">
        <v>599</v>
      </c>
      <c r="AJ403" t="s">
        <v>599</v>
      </c>
      <c r="AK403" t="s">
        <v>2652</v>
      </c>
      <c r="AL403" t="s">
        <v>1188</v>
      </c>
      <c r="AM403" t="s">
        <v>2653</v>
      </c>
      <c r="AN403" t="s">
        <v>1190</v>
      </c>
      <c r="AO403" t="s">
        <v>599</v>
      </c>
      <c r="AP403" t="s">
        <v>599</v>
      </c>
      <c r="AQ403" t="s">
        <v>599</v>
      </c>
      <c r="AR403" t="s">
        <v>599</v>
      </c>
      <c r="AS403" t="s">
        <v>1193</v>
      </c>
      <c r="AT403" t="s">
        <v>599</v>
      </c>
      <c r="AU403" t="s">
        <v>599</v>
      </c>
    </row>
    <row r="404" spans="1:47" s="13" customFormat="1" ht="30" x14ac:dyDescent="0.25">
      <c r="A404" s="9">
        <v>10876</v>
      </c>
      <c r="B404" s="10">
        <v>381386</v>
      </c>
      <c r="C404" s="10">
        <v>1</v>
      </c>
      <c r="D404" s="9">
        <v>139</v>
      </c>
      <c r="E404" s="11" t="s">
        <v>352</v>
      </c>
      <c r="F404" s="11" t="str">
        <f t="shared" si="18"/>
        <v>https://purl.pt/44012</v>
      </c>
      <c r="G404" s="12" t="s">
        <v>353</v>
      </c>
      <c r="H404" s="9" t="s">
        <v>354</v>
      </c>
      <c r="I404" s="34"/>
      <c r="J404" s="55" t="str">
        <f t="shared" si="19"/>
        <v>https://permalinkbnd.bnportugal.gov.pt/viewer/273117/?offset=#page=139&amp;viewer=picture&amp;o=info&amp;n=0&amp;q=</v>
      </c>
      <c r="K404" s="45"/>
      <c r="L404" s="45"/>
      <c r="M404" s="45"/>
      <c r="N404" t="s">
        <v>352</v>
      </c>
      <c r="O404">
        <v>273117</v>
      </c>
      <c r="P404" t="str">
        <f t="shared" si="20"/>
        <v>https://permalinkbnd.bnportugal.gov.pt/viewer/273117/?offset=#page=139&amp;viewer=picture&amp;o=info&amp;n=0&amp;q=</v>
      </c>
      <c r="Q404">
        <v>381386</v>
      </c>
      <c r="R404" t="s">
        <v>352</v>
      </c>
      <c r="S404" t="s">
        <v>2647</v>
      </c>
      <c r="T404" t="s">
        <v>1178</v>
      </c>
      <c r="U404" t="s">
        <v>1192</v>
      </c>
      <c r="V404" t="s">
        <v>599</v>
      </c>
      <c r="W404" t="s">
        <v>1293</v>
      </c>
      <c r="X404" t="s">
        <v>2648</v>
      </c>
      <c r="Y404" t="s">
        <v>599</v>
      </c>
      <c r="Z404" t="s">
        <v>1182</v>
      </c>
      <c r="AA404" t="s">
        <v>2649</v>
      </c>
      <c r="AB404">
        <v>1883</v>
      </c>
      <c r="AC404">
        <v>1883</v>
      </c>
      <c r="AD404" t="s">
        <v>2650</v>
      </c>
      <c r="AE404" t="s">
        <v>1185</v>
      </c>
      <c r="AF404" t="s">
        <v>599</v>
      </c>
      <c r="AG404" t="s">
        <v>599</v>
      </c>
      <c r="AH404" t="s">
        <v>2651</v>
      </c>
      <c r="AI404" t="s">
        <v>599</v>
      </c>
      <c r="AJ404" t="s">
        <v>599</v>
      </c>
      <c r="AK404" t="s">
        <v>2652</v>
      </c>
      <c r="AL404" t="s">
        <v>1188</v>
      </c>
      <c r="AM404" t="s">
        <v>2653</v>
      </c>
      <c r="AN404" t="s">
        <v>1190</v>
      </c>
      <c r="AO404" t="s">
        <v>599</v>
      </c>
      <c r="AP404" t="s">
        <v>599</v>
      </c>
      <c r="AQ404" t="s">
        <v>599</v>
      </c>
      <c r="AR404" t="s">
        <v>599</v>
      </c>
      <c r="AS404" t="s">
        <v>1193</v>
      </c>
      <c r="AT404" t="s">
        <v>599</v>
      </c>
      <c r="AU404" t="s">
        <v>599</v>
      </c>
    </row>
    <row r="405" spans="1:47" s="13" customFormat="1" ht="30" x14ac:dyDescent="0.25">
      <c r="A405" s="9">
        <v>10877</v>
      </c>
      <c r="B405" s="10">
        <v>381386</v>
      </c>
      <c r="C405" s="10">
        <v>1</v>
      </c>
      <c r="D405" s="9">
        <v>141</v>
      </c>
      <c r="E405" s="11" t="s">
        <v>352</v>
      </c>
      <c r="F405" s="11" t="str">
        <f t="shared" si="18"/>
        <v>https://purl.pt/44012</v>
      </c>
      <c r="G405" s="12" t="s">
        <v>353</v>
      </c>
      <c r="H405" s="9" t="s">
        <v>354</v>
      </c>
      <c r="I405" s="34"/>
      <c r="J405" s="55" t="str">
        <f t="shared" si="19"/>
        <v>https://permalinkbnd.bnportugal.gov.pt/viewer/273117/?offset=#page=141&amp;viewer=picture&amp;o=info&amp;n=0&amp;q=</v>
      </c>
      <c r="K405" s="45"/>
      <c r="L405" s="45"/>
      <c r="M405" s="45"/>
      <c r="N405" t="s">
        <v>352</v>
      </c>
      <c r="O405">
        <v>273117</v>
      </c>
      <c r="P405" t="str">
        <f t="shared" si="20"/>
        <v>https://permalinkbnd.bnportugal.gov.pt/viewer/273117/?offset=#page=141&amp;viewer=picture&amp;o=info&amp;n=0&amp;q=</v>
      </c>
      <c r="Q405">
        <v>381386</v>
      </c>
      <c r="R405" t="s">
        <v>352</v>
      </c>
      <c r="S405" t="s">
        <v>2647</v>
      </c>
      <c r="T405" t="s">
        <v>1178</v>
      </c>
      <c r="U405" t="s">
        <v>1192</v>
      </c>
      <c r="V405" t="s">
        <v>599</v>
      </c>
      <c r="W405" t="s">
        <v>1293</v>
      </c>
      <c r="X405" t="s">
        <v>2648</v>
      </c>
      <c r="Y405" t="s">
        <v>599</v>
      </c>
      <c r="Z405" t="s">
        <v>1182</v>
      </c>
      <c r="AA405" t="s">
        <v>2649</v>
      </c>
      <c r="AB405">
        <v>1883</v>
      </c>
      <c r="AC405">
        <v>1883</v>
      </c>
      <c r="AD405" t="s">
        <v>2650</v>
      </c>
      <c r="AE405" t="s">
        <v>1185</v>
      </c>
      <c r="AF405" t="s">
        <v>599</v>
      </c>
      <c r="AG405" t="s">
        <v>599</v>
      </c>
      <c r="AH405" t="s">
        <v>2651</v>
      </c>
      <c r="AI405" t="s">
        <v>599</v>
      </c>
      <c r="AJ405" t="s">
        <v>599</v>
      </c>
      <c r="AK405" t="s">
        <v>2652</v>
      </c>
      <c r="AL405" t="s">
        <v>1188</v>
      </c>
      <c r="AM405" t="s">
        <v>2653</v>
      </c>
      <c r="AN405" t="s">
        <v>1190</v>
      </c>
      <c r="AO405" t="s">
        <v>599</v>
      </c>
      <c r="AP405" t="s">
        <v>599</v>
      </c>
      <c r="AQ405" t="s">
        <v>599</v>
      </c>
      <c r="AR405" t="s">
        <v>599</v>
      </c>
      <c r="AS405" t="s">
        <v>1193</v>
      </c>
      <c r="AT405" t="s">
        <v>599</v>
      </c>
      <c r="AU405" t="s">
        <v>599</v>
      </c>
    </row>
    <row r="406" spans="1:47" s="13" customFormat="1" ht="30" x14ac:dyDescent="0.25">
      <c r="A406" s="9">
        <v>10878</v>
      </c>
      <c r="B406" s="10">
        <v>381386</v>
      </c>
      <c r="C406" s="10">
        <v>1</v>
      </c>
      <c r="D406" s="9">
        <v>213</v>
      </c>
      <c r="E406" s="11" t="s">
        <v>352</v>
      </c>
      <c r="F406" s="11" t="str">
        <f t="shared" si="18"/>
        <v>https://purl.pt/44012</v>
      </c>
      <c r="G406" s="12" t="s">
        <v>353</v>
      </c>
      <c r="H406" s="9" t="s">
        <v>354</v>
      </c>
      <c r="I406" s="34"/>
      <c r="J406" s="55" t="str">
        <f t="shared" si="19"/>
        <v>https://permalinkbnd.bnportugal.gov.pt/viewer/273117/?offset=#page=213&amp;viewer=picture&amp;o=info&amp;n=0&amp;q=</v>
      </c>
      <c r="K406" s="45"/>
      <c r="L406" s="45"/>
      <c r="M406" s="45"/>
      <c r="N406" t="s">
        <v>352</v>
      </c>
      <c r="O406">
        <v>273117</v>
      </c>
      <c r="P406" t="str">
        <f t="shared" si="20"/>
        <v>https://permalinkbnd.bnportugal.gov.pt/viewer/273117/?offset=#page=213&amp;viewer=picture&amp;o=info&amp;n=0&amp;q=</v>
      </c>
      <c r="Q406">
        <v>381386</v>
      </c>
      <c r="R406" t="s">
        <v>352</v>
      </c>
      <c r="S406" t="s">
        <v>2647</v>
      </c>
      <c r="T406" t="s">
        <v>1178</v>
      </c>
      <c r="U406" t="s">
        <v>1192</v>
      </c>
      <c r="V406" t="s">
        <v>599</v>
      </c>
      <c r="W406" t="s">
        <v>1293</v>
      </c>
      <c r="X406" t="s">
        <v>2648</v>
      </c>
      <c r="Y406" t="s">
        <v>599</v>
      </c>
      <c r="Z406" t="s">
        <v>1182</v>
      </c>
      <c r="AA406" t="s">
        <v>2649</v>
      </c>
      <c r="AB406">
        <v>1883</v>
      </c>
      <c r="AC406">
        <v>1883</v>
      </c>
      <c r="AD406" t="s">
        <v>2650</v>
      </c>
      <c r="AE406" t="s">
        <v>1185</v>
      </c>
      <c r="AF406" t="s">
        <v>599</v>
      </c>
      <c r="AG406" t="s">
        <v>599</v>
      </c>
      <c r="AH406" t="s">
        <v>2651</v>
      </c>
      <c r="AI406" t="s">
        <v>599</v>
      </c>
      <c r="AJ406" t="s">
        <v>599</v>
      </c>
      <c r="AK406" t="s">
        <v>2652</v>
      </c>
      <c r="AL406" t="s">
        <v>1188</v>
      </c>
      <c r="AM406" t="s">
        <v>2653</v>
      </c>
      <c r="AN406" t="s">
        <v>1190</v>
      </c>
      <c r="AO406" t="s">
        <v>599</v>
      </c>
      <c r="AP406" t="s">
        <v>599</v>
      </c>
      <c r="AQ406" t="s">
        <v>599</v>
      </c>
      <c r="AR406" t="s">
        <v>599</v>
      </c>
      <c r="AS406" t="s">
        <v>1193</v>
      </c>
      <c r="AT406" t="s">
        <v>599</v>
      </c>
      <c r="AU406" t="s">
        <v>599</v>
      </c>
    </row>
    <row r="407" spans="1:47" s="13" customFormat="1" ht="30" x14ac:dyDescent="0.25">
      <c r="A407" s="9">
        <v>10879</v>
      </c>
      <c r="B407" s="10">
        <v>381386</v>
      </c>
      <c r="C407" s="10">
        <v>1</v>
      </c>
      <c r="D407" s="9">
        <v>215</v>
      </c>
      <c r="E407" s="11" t="s">
        <v>352</v>
      </c>
      <c r="F407" s="11" t="str">
        <f t="shared" si="18"/>
        <v>https://purl.pt/44012</v>
      </c>
      <c r="G407" s="12" t="s">
        <v>353</v>
      </c>
      <c r="H407" s="9" t="s">
        <v>354</v>
      </c>
      <c r="I407" s="34"/>
      <c r="J407" s="55" t="str">
        <f t="shared" si="19"/>
        <v>https://permalinkbnd.bnportugal.gov.pt/viewer/273117/?offset=#page=215&amp;viewer=picture&amp;o=info&amp;n=0&amp;q=</v>
      </c>
      <c r="K407" s="45"/>
      <c r="L407" s="45"/>
      <c r="M407" s="45"/>
      <c r="N407" t="s">
        <v>352</v>
      </c>
      <c r="O407">
        <v>273117</v>
      </c>
      <c r="P407" t="str">
        <f t="shared" si="20"/>
        <v>https://permalinkbnd.bnportugal.gov.pt/viewer/273117/?offset=#page=215&amp;viewer=picture&amp;o=info&amp;n=0&amp;q=</v>
      </c>
      <c r="Q407">
        <v>381386</v>
      </c>
      <c r="R407" t="s">
        <v>352</v>
      </c>
      <c r="S407" t="s">
        <v>2647</v>
      </c>
      <c r="T407" t="s">
        <v>1178</v>
      </c>
      <c r="U407" t="s">
        <v>1192</v>
      </c>
      <c r="V407" t="s">
        <v>599</v>
      </c>
      <c r="W407" t="s">
        <v>1293</v>
      </c>
      <c r="X407" t="s">
        <v>2648</v>
      </c>
      <c r="Y407" t="s">
        <v>599</v>
      </c>
      <c r="Z407" t="s">
        <v>1182</v>
      </c>
      <c r="AA407" t="s">
        <v>2649</v>
      </c>
      <c r="AB407">
        <v>1883</v>
      </c>
      <c r="AC407">
        <v>1883</v>
      </c>
      <c r="AD407" t="s">
        <v>2650</v>
      </c>
      <c r="AE407" t="s">
        <v>1185</v>
      </c>
      <c r="AF407" t="s">
        <v>599</v>
      </c>
      <c r="AG407" t="s">
        <v>599</v>
      </c>
      <c r="AH407" t="s">
        <v>2651</v>
      </c>
      <c r="AI407" t="s">
        <v>599</v>
      </c>
      <c r="AJ407" t="s">
        <v>599</v>
      </c>
      <c r="AK407" t="s">
        <v>2652</v>
      </c>
      <c r="AL407" t="s">
        <v>1188</v>
      </c>
      <c r="AM407" t="s">
        <v>2653</v>
      </c>
      <c r="AN407" t="s">
        <v>1190</v>
      </c>
      <c r="AO407" t="s">
        <v>599</v>
      </c>
      <c r="AP407" t="s">
        <v>599</v>
      </c>
      <c r="AQ407" t="s">
        <v>599</v>
      </c>
      <c r="AR407" t="s">
        <v>599</v>
      </c>
      <c r="AS407" t="s">
        <v>1193</v>
      </c>
      <c r="AT407" t="s">
        <v>599</v>
      </c>
      <c r="AU407" t="s">
        <v>599</v>
      </c>
    </row>
    <row r="408" spans="1:47" s="13" customFormat="1" ht="30" x14ac:dyDescent="0.25">
      <c r="A408" s="9">
        <v>10880</v>
      </c>
      <c r="B408" s="10">
        <v>381386</v>
      </c>
      <c r="C408" s="10">
        <v>1</v>
      </c>
      <c r="D408" s="9">
        <v>269</v>
      </c>
      <c r="E408" s="11" t="s">
        <v>352</v>
      </c>
      <c r="F408" s="11" t="str">
        <f t="shared" si="18"/>
        <v>https://purl.pt/44012</v>
      </c>
      <c r="G408" s="12" t="s">
        <v>353</v>
      </c>
      <c r="H408" s="9" t="s">
        <v>354</v>
      </c>
      <c r="I408" s="34"/>
      <c r="J408" s="55" t="str">
        <f t="shared" si="19"/>
        <v>https://permalinkbnd.bnportugal.gov.pt/viewer/273117/?offset=#page=269&amp;viewer=picture&amp;o=info&amp;n=0&amp;q=</v>
      </c>
      <c r="K408" s="45"/>
      <c r="L408" s="45"/>
      <c r="M408" s="45"/>
      <c r="N408" t="s">
        <v>352</v>
      </c>
      <c r="O408">
        <v>273117</v>
      </c>
      <c r="P408" t="str">
        <f t="shared" si="20"/>
        <v>https://permalinkbnd.bnportugal.gov.pt/viewer/273117/?offset=#page=269&amp;viewer=picture&amp;o=info&amp;n=0&amp;q=</v>
      </c>
      <c r="Q408">
        <v>381386</v>
      </c>
      <c r="R408" t="s">
        <v>352</v>
      </c>
      <c r="S408" t="s">
        <v>2647</v>
      </c>
      <c r="T408" t="s">
        <v>1178</v>
      </c>
      <c r="U408" t="s">
        <v>1192</v>
      </c>
      <c r="V408" t="s">
        <v>599</v>
      </c>
      <c r="W408" t="s">
        <v>1293</v>
      </c>
      <c r="X408" t="s">
        <v>2648</v>
      </c>
      <c r="Y408" t="s">
        <v>599</v>
      </c>
      <c r="Z408" t="s">
        <v>1182</v>
      </c>
      <c r="AA408" t="s">
        <v>2649</v>
      </c>
      <c r="AB408">
        <v>1883</v>
      </c>
      <c r="AC408">
        <v>1883</v>
      </c>
      <c r="AD408" t="s">
        <v>2650</v>
      </c>
      <c r="AE408" t="s">
        <v>1185</v>
      </c>
      <c r="AF408" t="s">
        <v>599</v>
      </c>
      <c r="AG408" t="s">
        <v>599</v>
      </c>
      <c r="AH408" t="s">
        <v>2651</v>
      </c>
      <c r="AI408" t="s">
        <v>599</v>
      </c>
      <c r="AJ408" t="s">
        <v>599</v>
      </c>
      <c r="AK408" t="s">
        <v>2652</v>
      </c>
      <c r="AL408" t="s">
        <v>1188</v>
      </c>
      <c r="AM408" t="s">
        <v>2653</v>
      </c>
      <c r="AN408" t="s">
        <v>1190</v>
      </c>
      <c r="AO408" t="s">
        <v>599</v>
      </c>
      <c r="AP408" t="s">
        <v>599</v>
      </c>
      <c r="AQ408" t="s">
        <v>599</v>
      </c>
      <c r="AR408" t="s">
        <v>599</v>
      </c>
      <c r="AS408" t="s">
        <v>1193</v>
      </c>
      <c r="AT408" t="s">
        <v>599</v>
      </c>
      <c r="AU408" t="s">
        <v>599</v>
      </c>
    </row>
    <row r="409" spans="1:47" s="13" customFormat="1" ht="30" x14ac:dyDescent="0.25">
      <c r="A409" s="9">
        <v>10881</v>
      </c>
      <c r="B409" s="10">
        <v>381386</v>
      </c>
      <c r="C409" s="10">
        <v>1</v>
      </c>
      <c r="D409" s="9">
        <v>271</v>
      </c>
      <c r="E409" s="11" t="s">
        <v>352</v>
      </c>
      <c r="F409" s="11" t="str">
        <f t="shared" si="18"/>
        <v>https://purl.pt/44012</v>
      </c>
      <c r="G409" s="12" t="s">
        <v>353</v>
      </c>
      <c r="H409" s="9" t="s">
        <v>354</v>
      </c>
      <c r="I409" s="34"/>
      <c r="J409" s="55" t="str">
        <f t="shared" si="19"/>
        <v>https://permalinkbnd.bnportugal.gov.pt/viewer/273117/?offset=#page=271&amp;viewer=picture&amp;o=info&amp;n=0&amp;q=</v>
      </c>
      <c r="K409" s="45"/>
      <c r="L409" s="45"/>
      <c r="M409" s="45"/>
      <c r="N409" t="s">
        <v>352</v>
      </c>
      <c r="O409">
        <v>273117</v>
      </c>
      <c r="P409" t="str">
        <f t="shared" si="20"/>
        <v>https://permalinkbnd.bnportugal.gov.pt/viewer/273117/?offset=#page=271&amp;viewer=picture&amp;o=info&amp;n=0&amp;q=</v>
      </c>
      <c r="Q409">
        <v>381386</v>
      </c>
      <c r="R409" t="s">
        <v>352</v>
      </c>
      <c r="S409" t="s">
        <v>2647</v>
      </c>
      <c r="T409" t="s">
        <v>1178</v>
      </c>
      <c r="U409" t="s">
        <v>1192</v>
      </c>
      <c r="V409" t="s">
        <v>599</v>
      </c>
      <c r="W409" t="s">
        <v>1293</v>
      </c>
      <c r="X409" t="s">
        <v>2648</v>
      </c>
      <c r="Y409" t="s">
        <v>599</v>
      </c>
      <c r="Z409" t="s">
        <v>1182</v>
      </c>
      <c r="AA409" t="s">
        <v>2649</v>
      </c>
      <c r="AB409">
        <v>1883</v>
      </c>
      <c r="AC409">
        <v>1883</v>
      </c>
      <c r="AD409" t="s">
        <v>2650</v>
      </c>
      <c r="AE409" t="s">
        <v>1185</v>
      </c>
      <c r="AF409" t="s">
        <v>599</v>
      </c>
      <c r="AG409" t="s">
        <v>599</v>
      </c>
      <c r="AH409" t="s">
        <v>2651</v>
      </c>
      <c r="AI409" t="s">
        <v>599</v>
      </c>
      <c r="AJ409" t="s">
        <v>599</v>
      </c>
      <c r="AK409" t="s">
        <v>2652</v>
      </c>
      <c r="AL409" t="s">
        <v>1188</v>
      </c>
      <c r="AM409" t="s">
        <v>2653</v>
      </c>
      <c r="AN409" t="s">
        <v>1190</v>
      </c>
      <c r="AO409" t="s">
        <v>599</v>
      </c>
      <c r="AP409" t="s">
        <v>599</v>
      </c>
      <c r="AQ409" t="s">
        <v>599</v>
      </c>
      <c r="AR409" t="s">
        <v>599</v>
      </c>
      <c r="AS409" t="s">
        <v>1193</v>
      </c>
      <c r="AT409" t="s">
        <v>599</v>
      </c>
      <c r="AU409" t="s">
        <v>599</v>
      </c>
    </row>
    <row r="410" spans="1:47" s="13" customFormat="1" ht="30" x14ac:dyDescent="0.25">
      <c r="A410" s="9">
        <v>10882</v>
      </c>
      <c r="B410" s="10">
        <v>804973</v>
      </c>
      <c r="C410" s="10">
        <v>1</v>
      </c>
      <c r="D410" s="9">
        <v>10</v>
      </c>
      <c r="E410" s="11" t="s">
        <v>355</v>
      </c>
      <c r="F410" s="11" t="str">
        <f t="shared" si="18"/>
        <v>https://purl.pt/44138</v>
      </c>
      <c r="G410" s="12" t="s">
        <v>356</v>
      </c>
      <c r="H410" s="9">
        <v>10</v>
      </c>
      <c r="I410" s="34"/>
      <c r="J410" s="55" t="str">
        <f t="shared" si="19"/>
        <v>https://permalinkbnd.bnportugal.gov.pt/viewer/273120/?offset=#page=10&amp;viewer=picture&amp;o=info&amp;n=0&amp;q=</v>
      </c>
      <c r="K410" s="45"/>
      <c r="L410" s="45"/>
      <c r="M410" s="45"/>
      <c r="N410" t="s">
        <v>355</v>
      </c>
      <c r="O410">
        <v>273120</v>
      </c>
      <c r="P410" t="str">
        <f t="shared" si="20"/>
        <v>https://permalinkbnd.bnportugal.gov.pt/viewer/273120/?offset=#page=10&amp;viewer=picture&amp;o=info&amp;n=0&amp;q=</v>
      </c>
      <c r="Q410">
        <v>804973</v>
      </c>
      <c r="R410" t="s">
        <v>355</v>
      </c>
      <c r="S410" t="s">
        <v>2654</v>
      </c>
      <c r="T410" t="s">
        <v>1178</v>
      </c>
      <c r="U410" t="s">
        <v>1192</v>
      </c>
      <c r="V410" t="s">
        <v>599</v>
      </c>
      <c r="W410" t="s">
        <v>2655</v>
      </c>
      <c r="X410" t="s">
        <v>599</v>
      </c>
      <c r="Y410" t="s">
        <v>599</v>
      </c>
      <c r="Z410" t="s">
        <v>2656</v>
      </c>
      <c r="AA410" t="s">
        <v>2657</v>
      </c>
      <c r="AB410">
        <v>1880</v>
      </c>
      <c r="AC410">
        <v>1880</v>
      </c>
      <c r="AD410" t="s">
        <v>2658</v>
      </c>
      <c r="AE410" t="s">
        <v>1185</v>
      </c>
      <c r="AF410" t="s">
        <v>599</v>
      </c>
      <c r="AG410" t="s">
        <v>599</v>
      </c>
      <c r="AH410" t="s">
        <v>2659</v>
      </c>
      <c r="AI410" t="s">
        <v>599</v>
      </c>
      <c r="AJ410" t="s">
        <v>1198</v>
      </c>
      <c r="AK410" t="s">
        <v>2660</v>
      </c>
      <c r="AL410" t="s">
        <v>1188</v>
      </c>
      <c r="AM410" t="s">
        <v>2661</v>
      </c>
      <c r="AN410" t="s">
        <v>1190</v>
      </c>
      <c r="AO410" t="s">
        <v>599</v>
      </c>
      <c r="AP410" t="s">
        <v>599</v>
      </c>
      <c r="AQ410" t="s">
        <v>2662</v>
      </c>
      <c r="AR410" t="s">
        <v>599</v>
      </c>
      <c r="AS410" t="s">
        <v>599</v>
      </c>
      <c r="AT410" t="s">
        <v>599</v>
      </c>
      <c r="AU410" t="s">
        <v>599</v>
      </c>
    </row>
    <row r="411" spans="1:47" s="13" customFormat="1" ht="30" x14ac:dyDescent="0.25">
      <c r="A411" s="9">
        <v>10887</v>
      </c>
      <c r="B411" s="10">
        <v>252299</v>
      </c>
      <c r="C411" s="10">
        <v>1</v>
      </c>
      <c r="D411" s="9">
        <v>7</v>
      </c>
      <c r="E411" s="11" t="s">
        <v>357</v>
      </c>
      <c r="F411" s="11" t="str">
        <f t="shared" si="18"/>
        <v>https://purl.pt/44350</v>
      </c>
      <c r="G411" s="12" t="s">
        <v>358</v>
      </c>
      <c r="H411" s="9">
        <v>7</v>
      </c>
      <c r="I411" s="34"/>
      <c r="J411" s="55" t="str">
        <f t="shared" si="19"/>
        <v>https://permalinkbnd.bnportugal.gov.pt/viewer/277449/?offset=#page=7&amp;viewer=picture&amp;o=info&amp;n=0&amp;q=</v>
      </c>
      <c r="K411" s="45"/>
      <c r="L411" s="45"/>
      <c r="M411" s="45"/>
      <c r="N411" t="s">
        <v>357</v>
      </c>
      <c r="O411">
        <v>277449</v>
      </c>
      <c r="P411" t="str">
        <f t="shared" si="20"/>
        <v>https://permalinkbnd.bnportugal.gov.pt/viewer/277449/?offset=#page=7&amp;viewer=picture&amp;o=info&amp;n=0&amp;q=</v>
      </c>
      <c r="Q411">
        <v>252299</v>
      </c>
      <c r="R411" t="s">
        <v>357</v>
      </c>
      <c r="S411" t="s">
        <v>2663</v>
      </c>
      <c r="T411" t="s">
        <v>1178</v>
      </c>
      <c r="U411" t="s">
        <v>1403</v>
      </c>
      <c r="V411" t="s">
        <v>599</v>
      </c>
      <c r="W411" t="s">
        <v>2638</v>
      </c>
      <c r="X411" t="s">
        <v>599</v>
      </c>
      <c r="Y411" t="s">
        <v>599</v>
      </c>
      <c r="Z411" t="s">
        <v>1182</v>
      </c>
      <c r="AA411" t="s">
        <v>2664</v>
      </c>
      <c r="AB411">
        <v>1883</v>
      </c>
      <c r="AC411">
        <v>1883</v>
      </c>
      <c r="AD411" t="s">
        <v>2665</v>
      </c>
      <c r="AE411" t="s">
        <v>1185</v>
      </c>
      <c r="AF411" t="s">
        <v>599</v>
      </c>
      <c r="AG411" t="s">
        <v>599</v>
      </c>
      <c r="AH411" t="s">
        <v>599</v>
      </c>
      <c r="AI411" t="s">
        <v>599</v>
      </c>
      <c r="AJ411" t="s">
        <v>599</v>
      </c>
      <c r="AK411" t="s">
        <v>2666</v>
      </c>
      <c r="AL411" t="s">
        <v>1188</v>
      </c>
      <c r="AM411" t="s">
        <v>2667</v>
      </c>
      <c r="AN411" t="s">
        <v>1190</v>
      </c>
      <c r="AO411" t="s">
        <v>2668</v>
      </c>
      <c r="AP411" t="s">
        <v>599</v>
      </c>
      <c r="AQ411" t="s">
        <v>599</v>
      </c>
      <c r="AR411" t="s">
        <v>599</v>
      </c>
      <c r="AS411" t="s">
        <v>599</v>
      </c>
      <c r="AT411" t="s">
        <v>599</v>
      </c>
      <c r="AU411" t="s">
        <v>599</v>
      </c>
    </row>
    <row r="412" spans="1:47" s="13" customFormat="1" ht="30" x14ac:dyDescent="0.25">
      <c r="A412" s="9">
        <v>10888</v>
      </c>
      <c r="B412" s="10">
        <v>860111</v>
      </c>
      <c r="C412" s="10">
        <v>1</v>
      </c>
      <c r="D412" s="9">
        <v>45</v>
      </c>
      <c r="E412" s="11" t="s">
        <v>359</v>
      </c>
      <c r="F412" s="11" t="str">
        <f t="shared" si="18"/>
        <v>https://purl.pt/44354</v>
      </c>
      <c r="G412" s="12" t="s">
        <v>360</v>
      </c>
      <c r="H412" s="9" t="s">
        <v>361</v>
      </c>
      <c r="I412" s="34"/>
      <c r="J412" s="55" t="str">
        <f t="shared" si="19"/>
        <v>https://permalinkbnd.bnportugal.gov.pt/viewer/277452/?offset=#page=45&amp;viewer=picture&amp;o=info&amp;n=0&amp;q=</v>
      </c>
      <c r="K412" s="45"/>
      <c r="L412" s="45"/>
      <c r="M412" s="45"/>
      <c r="N412" t="s">
        <v>359</v>
      </c>
      <c r="O412">
        <v>277452</v>
      </c>
      <c r="P412" t="str">
        <f t="shared" si="20"/>
        <v>https://permalinkbnd.bnportugal.gov.pt/viewer/277452/?offset=#page=45&amp;viewer=picture&amp;o=info&amp;n=0&amp;q=</v>
      </c>
      <c r="Q412">
        <v>860111</v>
      </c>
      <c r="R412" t="s">
        <v>359</v>
      </c>
      <c r="S412" t="s">
        <v>2669</v>
      </c>
      <c r="T412" t="s">
        <v>1178</v>
      </c>
      <c r="U412" t="s">
        <v>2603</v>
      </c>
      <c r="V412" t="s">
        <v>599</v>
      </c>
      <c r="W412" t="s">
        <v>2670</v>
      </c>
      <c r="X412" t="s">
        <v>2671</v>
      </c>
      <c r="Y412" t="s">
        <v>599</v>
      </c>
      <c r="Z412" t="s">
        <v>1182</v>
      </c>
      <c r="AA412" t="s">
        <v>2672</v>
      </c>
      <c r="AB412">
        <v>1898</v>
      </c>
      <c r="AC412">
        <v>1898</v>
      </c>
      <c r="AD412" t="s">
        <v>2673</v>
      </c>
      <c r="AE412" t="s">
        <v>599</v>
      </c>
      <c r="AF412" t="s">
        <v>599</v>
      </c>
      <c r="AG412" t="s">
        <v>599</v>
      </c>
      <c r="AH412" t="s">
        <v>2674</v>
      </c>
      <c r="AI412" t="s">
        <v>599</v>
      </c>
      <c r="AJ412" t="s">
        <v>599</v>
      </c>
      <c r="AK412" t="s">
        <v>2675</v>
      </c>
      <c r="AL412" t="s">
        <v>1188</v>
      </c>
      <c r="AM412" t="s">
        <v>2676</v>
      </c>
      <c r="AN412" t="s">
        <v>1190</v>
      </c>
      <c r="AO412" t="s">
        <v>2677</v>
      </c>
      <c r="AP412" t="s">
        <v>599</v>
      </c>
      <c r="AQ412" t="s">
        <v>599</v>
      </c>
      <c r="AR412" t="s">
        <v>599</v>
      </c>
      <c r="AS412" t="s">
        <v>599</v>
      </c>
      <c r="AT412" t="s">
        <v>599</v>
      </c>
      <c r="AU412" t="s">
        <v>599</v>
      </c>
    </row>
    <row r="413" spans="1:47" s="13" customFormat="1" ht="30" x14ac:dyDescent="0.25">
      <c r="A413" s="9">
        <v>10889</v>
      </c>
      <c r="B413" s="10">
        <v>860111</v>
      </c>
      <c r="C413" s="10">
        <v>1</v>
      </c>
      <c r="D413" s="9">
        <v>47</v>
      </c>
      <c r="E413" s="11" t="s">
        <v>359</v>
      </c>
      <c r="F413" s="11" t="str">
        <f t="shared" si="18"/>
        <v>https://purl.pt/44354</v>
      </c>
      <c r="G413" s="12" t="s">
        <v>360</v>
      </c>
      <c r="H413" s="9" t="s">
        <v>361</v>
      </c>
      <c r="I413" s="34"/>
      <c r="J413" s="55" t="str">
        <f t="shared" si="19"/>
        <v>https://permalinkbnd.bnportugal.gov.pt/viewer/277452/?offset=#page=47&amp;viewer=picture&amp;o=info&amp;n=0&amp;q=</v>
      </c>
      <c r="K413" s="45"/>
      <c r="L413" s="45"/>
      <c r="M413" s="45"/>
      <c r="N413" t="s">
        <v>359</v>
      </c>
      <c r="O413">
        <v>277452</v>
      </c>
      <c r="P413" t="str">
        <f t="shared" si="20"/>
        <v>https://permalinkbnd.bnportugal.gov.pt/viewer/277452/?offset=#page=47&amp;viewer=picture&amp;o=info&amp;n=0&amp;q=</v>
      </c>
      <c r="Q413">
        <v>860111</v>
      </c>
      <c r="R413" t="s">
        <v>359</v>
      </c>
      <c r="S413" t="s">
        <v>2669</v>
      </c>
      <c r="T413" t="s">
        <v>1178</v>
      </c>
      <c r="U413" t="s">
        <v>2603</v>
      </c>
      <c r="V413" t="s">
        <v>599</v>
      </c>
      <c r="W413" t="s">
        <v>2670</v>
      </c>
      <c r="X413" t="s">
        <v>2671</v>
      </c>
      <c r="Y413" t="s">
        <v>599</v>
      </c>
      <c r="Z413" t="s">
        <v>1182</v>
      </c>
      <c r="AA413" t="s">
        <v>2672</v>
      </c>
      <c r="AB413">
        <v>1898</v>
      </c>
      <c r="AC413">
        <v>1898</v>
      </c>
      <c r="AD413" t="s">
        <v>2673</v>
      </c>
      <c r="AE413" t="s">
        <v>599</v>
      </c>
      <c r="AF413" t="s">
        <v>599</v>
      </c>
      <c r="AG413" t="s">
        <v>599</v>
      </c>
      <c r="AH413" t="s">
        <v>2674</v>
      </c>
      <c r="AI413" t="s">
        <v>599</v>
      </c>
      <c r="AJ413" t="s">
        <v>599</v>
      </c>
      <c r="AK413" t="s">
        <v>2675</v>
      </c>
      <c r="AL413" t="s">
        <v>1188</v>
      </c>
      <c r="AM413" t="s">
        <v>2676</v>
      </c>
      <c r="AN413" t="s">
        <v>1190</v>
      </c>
      <c r="AO413" t="s">
        <v>2677</v>
      </c>
      <c r="AP413" t="s">
        <v>599</v>
      </c>
      <c r="AQ413" t="s">
        <v>599</v>
      </c>
      <c r="AR413" t="s">
        <v>599</v>
      </c>
      <c r="AS413" t="s">
        <v>599</v>
      </c>
      <c r="AT413" t="s">
        <v>599</v>
      </c>
      <c r="AU413" t="s">
        <v>599</v>
      </c>
    </row>
    <row r="414" spans="1:47" s="13" customFormat="1" ht="30" x14ac:dyDescent="0.25">
      <c r="A414" s="9">
        <v>10890</v>
      </c>
      <c r="B414" s="10">
        <v>860111</v>
      </c>
      <c r="C414" s="10">
        <v>1</v>
      </c>
      <c r="D414" s="9">
        <v>77</v>
      </c>
      <c r="E414" s="11" t="s">
        <v>359</v>
      </c>
      <c r="F414" s="11" t="str">
        <f t="shared" si="18"/>
        <v>https://purl.pt/44354</v>
      </c>
      <c r="G414" s="12" t="s">
        <v>360</v>
      </c>
      <c r="H414" s="9" t="s">
        <v>361</v>
      </c>
      <c r="I414" s="34"/>
      <c r="J414" s="55" t="str">
        <f t="shared" si="19"/>
        <v>https://permalinkbnd.bnportugal.gov.pt/viewer/277452/?offset=#page=77&amp;viewer=picture&amp;o=info&amp;n=0&amp;q=</v>
      </c>
      <c r="K414" s="45"/>
      <c r="L414" s="45"/>
      <c r="M414" s="45"/>
      <c r="N414" t="s">
        <v>359</v>
      </c>
      <c r="O414">
        <v>277452</v>
      </c>
      <c r="P414" t="str">
        <f t="shared" si="20"/>
        <v>https://permalinkbnd.bnportugal.gov.pt/viewer/277452/?offset=#page=77&amp;viewer=picture&amp;o=info&amp;n=0&amp;q=</v>
      </c>
      <c r="Q414">
        <v>860111</v>
      </c>
      <c r="R414" t="s">
        <v>359</v>
      </c>
      <c r="S414" t="s">
        <v>2669</v>
      </c>
      <c r="T414" t="s">
        <v>1178</v>
      </c>
      <c r="U414" t="s">
        <v>2603</v>
      </c>
      <c r="V414" t="s">
        <v>599</v>
      </c>
      <c r="W414" t="s">
        <v>2670</v>
      </c>
      <c r="X414" t="s">
        <v>2671</v>
      </c>
      <c r="Y414" t="s">
        <v>599</v>
      </c>
      <c r="Z414" t="s">
        <v>1182</v>
      </c>
      <c r="AA414" t="s">
        <v>2672</v>
      </c>
      <c r="AB414">
        <v>1898</v>
      </c>
      <c r="AC414">
        <v>1898</v>
      </c>
      <c r="AD414" t="s">
        <v>2673</v>
      </c>
      <c r="AE414" t="s">
        <v>599</v>
      </c>
      <c r="AF414" t="s">
        <v>599</v>
      </c>
      <c r="AG414" t="s">
        <v>599</v>
      </c>
      <c r="AH414" t="s">
        <v>2674</v>
      </c>
      <c r="AI414" t="s">
        <v>599</v>
      </c>
      <c r="AJ414" t="s">
        <v>599</v>
      </c>
      <c r="AK414" t="s">
        <v>2675</v>
      </c>
      <c r="AL414" t="s">
        <v>1188</v>
      </c>
      <c r="AM414" t="s">
        <v>2676</v>
      </c>
      <c r="AN414" t="s">
        <v>1190</v>
      </c>
      <c r="AO414" t="s">
        <v>2677</v>
      </c>
      <c r="AP414" t="s">
        <v>599</v>
      </c>
      <c r="AQ414" t="s">
        <v>599</v>
      </c>
      <c r="AR414" t="s">
        <v>599</v>
      </c>
      <c r="AS414" t="s">
        <v>599</v>
      </c>
      <c r="AT414" t="s">
        <v>599</v>
      </c>
      <c r="AU414" t="s">
        <v>599</v>
      </c>
    </row>
    <row r="415" spans="1:47" s="13" customFormat="1" ht="30" x14ac:dyDescent="0.25">
      <c r="A415" s="9">
        <v>10891</v>
      </c>
      <c r="B415" s="10">
        <v>860111</v>
      </c>
      <c r="C415" s="10">
        <v>1</v>
      </c>
      <c r="D415" s="9">
        <v>105</v>
      </c>
      <c r="E415" s="11" t="s">
        <v>359</v>
      </c>
      <c r="F415" s="11" t="str">
        <f t="shared" si="18"/>
        <v>https://purl.pt/44354</v>
      </c>
      <c r="G415" s="12" t="s">
        <v>360</v>
      </c>
      <c r="H415" s="9" t="s">
        <v>361</v>
      </c>
      <c r="I415" s="34"/>
      <c r="J415" s="55" t="str">
        <f t="shared" si="19"/>
        <v>https://permalinkbnd.bnportugal.gov.pt/viewer/277452/?offset=#page=105&amp;viewer=picture&amp;o=info&amp;n=0&amp;q=</v>
      </c>
      <c r="K415" s="45"/>
      <c r="L415" s="45"/>
      <c r="M415" s="45"/>
      <c r="N415" t="s">
        <v>359</v>
      </c>
      <c r="O415">
        <v>277452</v>
      </c>
      <c r="P415" t="str">
        <f t="shared" si="20"/>
        <v>https://permalinkbnd.bnportugal.gov.pt/viewer/277452/?offset=#page=105&amp;viewer=picture&amp;o=info&amp;n=0&amp;q=</v>
      </c>
      <c r="Q415">
        <v>860111</v>
      </c>
      <c r="R415" t="s">
        <v>359</v>
      </c>
      <c r="S415" t="s">
        <v>2669</v>
      </c>
      <c r="T415" t="s">
        <v>1178</v>
      </c>
      <c r="U415" t="s">
        <v>2603</v>
      </c>
      <c r="V415" t="s">
        <v>599</v>
      </c>
      <c r="W415" t="s">
        <v>2670</v>
      </c>
      <c r="X415" t="s">
        <v>2671</v>
      </c>
      <c r="Y415" t="s">
        <v>599</v>
      </c>
      <c r="Z415" t="s">
        <v>1182</v>
      </c>
      <c r="AA415" t="s">
        <v>2672</v>
      </c>
      <c r="AB415">
        <v>1898</v>
      </c>
      <c r="AC415">
        <v>1898</v>
      </c>
      <c r="AD415" t="s">
        <v>2673</v>
      </c>
      <c r="AE415" t="s">
        <v>599</v>
      </c>
      <c r="AF415" t="s">
        <v>599</v>
      </c>
      <c r="AG415" t="s">
        <v>599</v>
      </c>
      <c r="AH415" t="s">
        <v>2674</v>
      </c>
      <c r="AI415" t="s">
        <v>599</v>
      </c>
      <c r="AJ415" t="s">
        <v>599</v>
      </c>
      <c r="AK415" t="s">
        <v>2675</v>
      </c>
      <c r="AL415" t="s">
        <v>1188</v>
      </c>
      <c r="AM415" t="s">
        <v>2676</v>
      </c>
      <c r="AN415" t="s">
        <v>1190</v>
      </c>
      <c r="AO415" t="s">
        <v>2677</v>
      </c>
      <c r="AP415" t="s">
        <v>599</v>
      </c>
      <c r="AQ415" t="s">
        <v>599</v>
      </c>
      <c r="AR415" t="s">
        <v>599</v>
      </c>
      <c r="AS415" t="s">
        <v>599</v>
      </c>
      <c r="AT415" t="s">
        <v>599</v>
      </c>
      <c r="AU415" t="s">
        <v>599</v>
      </c>
    </row>
    <row r="416" spans="1:47" s="13" customFormat="1" ht="30" x14ac:dyDescent="0.25">
      <c r="A416" s="9">
        <v>10892</v>
      </c>
      <c r="B416" s="10">
        <v>860111</v>
      </c>
      <c r="C416" s="10">
        <v>1</v>
      </c>
      <c r="D416" s="9">
        <v>131</v>
      </c>
      <c r="E416" s="11" t="s">
        <v>359</v>
      </c>
      <c r="F416" s="11" t="str">
        <f t="shared" si="18"/>
        <v>https://purl.pt/44354</v>
      </c>
      <c r="G416" s="12" t="s">
        <v>360</v>
      </c>
      <c r="H416" s="9" t="s">
        <v>361</v>
      </c>
      <c r="I416" s="34"/>
      <c r="J416" s="55" t="str">
        <f t="shared" si="19"/>
        <v>https://permalinkbnd.bnportugal.gov.pt/viewer/277452/?offset=#page=131&amp;viewer=picture&amp;o=info&amp;n=0&amp;q=</v>
      </c>
      <c r="K416" s="45"/>
      <c r="L416" s="45"/>
      <c r="M416" s="45"/>
      <c r="N416" t="s">
        <v>359</v>
      </c>
      <c r="O416">
        <v>277452</v>
      </c>
      <c r="P416" t="str">
        <f t="shared" si="20"/>
        <v>https://permalinkbnd.bnportugal.gov.pt/viewer/277452/?offset=#page=131&amp;viewer=picture&amp;o=info&amp;n=0&amp;q=</v>
      </c>
      <c r="Q416">
        <v>860111</v>
      </c>
      <c r="R416" t="s">
        <v>359</v>
      </c>
      <c r="S416" t="s">
        <v>2669</v>
      </c>
      <c r="T416" t="s">
        <v>1178</v>
      </c>
      <c r="U416" t="s">
        <v>2603</v>
      </c>
      <c r="V416" t="s">
        <v>599</v>
      </c>
      <c r="W416" t="s">
        <v>2670</v>
      </c>
      <c r="X416" t="s">
        <v>2671</v>
      </c>
      <c r="Y416" t="s">
        <v>599</v>
      </c>
      <c r="Z416" t="s">
        <v>1182</v>
      </c>
      <c r="AA416" t="s">
        <v>2672</v>
      </c>
      <c r="AB416">
        <v>1898</v>
      </c>
      <c r="AC416">
        <v>1898</v>
      </c>
      <c r="AD416" t="s">
        <v>2673</v>
      </c>
      <c r="AE416" t="s">
        <v>599</v>
      </c>
      <c r="AF416" t="s">
        <v>599</v>
      </c>
      <c r="AG416" t="s">
        <v>599</v>
      </c>
      <c r="AH416" t="s">
        <v>2674</v>
      </c>
      <c r="AI416" t="s">
        <v>599</v>
      </c>
      <c r="AJ416" t="s">
        <v>599</v>
      </c>
      <c r="AK416" t="s">
        <v>2675</v>
      </c>
      <c r="AL416" t="s">
        <v>1188</v>
      </c>
      <c r="AM416" t="s">
        <v>2676</v>
      </c>
      <c r="AN416" t="s">
        <v>1190</v>
      </c>
      <c r="AO416" t="s">
        <v>2677</v>
      </c>
      <c r="AP416" t="s">
        <v>599</v>
      </c>
      <c r="AQ416" t="s">
        <v>599</v>
      </c>
      <c r="AR416" t="s">
        <v>599</v>
      </c>
      <c r="AS416" t="s">
        <v>599</v>
      </c>
      <c r="AT416" t="s">
        <v>599</v>
      </c>
      <c r="AU416" t="s">
        <v>599</v>
      </c>
    </row>
    <row r="417" spans="1:47" s="13" customFormat="1" ht="30" x14ac:dyDescent="0.25">
      <c r="A417" s="9">
        <v>10893</v>
      </c>
      <c r="B417" s="10">
        <v>860111</v>
      </c>
      <c r="C417" s="10">
        <v>1</v>
      </c>
      <c r="D417" s="9">
        <v>227</v>
      </c>
      <c r="E417" s="11" t="s">
        <v>359</v>
      </c>
      <c r="F417" s="11" t="str">
        <f t="shared" si="18"/>
        <v>https://purl.pt/44354</v>
      </c>
      <c r="G417" s="12" t="s">
        <v>360</v>
      </c>
      <c r="H417" s="9" t="s">
        <v>361</v>
      </c>
      <c r="I417" s="34"/>
      <c r="J417" s="55" t="str">
        <f t="shared" si="19"/>
        <v>https://permalinkbnd.bnportugal.gov.pt/viewer/277452/?offset=#page=227&amp;viewer=picture&amp;o=info&amp;n=0&amp;q=</v>
      </c>
      <c r="K417" s="45"/>
      <c r="L417" s="45"/>
      <c r="M417" s="45"/>
      <c r="N417" t="s">
        <v>359</v>
      </c>
      <c r="O417">
        <v>277452</v>
      </c>
      <c r="P417" t="str">
        <f t="shared" si="20"/>
        <v>https://permalinkbnd.bnportugal.gov.pt/viewer/277452/?offset=#page=227&amp;viewer=picture&amp;o=info&amp;n=0&amp;q=</v>
      </c>
      <c r="Q417">
        <v>860111</v>
      </c>
      <c r="R417" t="s">
        <v>359</v>
      </c>
      <c r="S417" t="s">
        <v>2669</v>
      </c>
      <c r="T417" t="s">
        <v>1178</v>
      </c>
      <c r="U417" t="s">
        <v>2603</v>
      </c>
      <c r="V417" t="s">
        <v>599</v>
      </c>
      <c r="W417" t="s">
        <v>2670</v>
      </c>
      <c r="X417" t="s">
        <v>2671</v>
      </c>
      <c r="Y417" t="s">
        <v>599</v>
      </c>
      <c r="Z417" t="s">
        <v>1182</v>
      </c>
      <c r="AA417" t="s">
        <v>2672</v>
      </c>
      <c r="AB417">
        <v>1898</v>
      </c>
      <c r="AC417">
        <v>1898</v>
      </c>
      <c r="AD417" t="s">
        <v>2673</v>
      </c>
      <c r="AE417" t="s">
        <v>599</v>
      </c>
      <c r="AF417" t="s">
        <v>599</v>
      </c>
      <c r="AG417" t="s">
        <v>599</v>
      </c>
      <c r="AH417" t="s">
        <v>2674</v>
      </c>
      <c r="AI417" t="s">
        <v>599</v>
      </c>
      <c r="AJ417" t="s">
        <v>599</v>
      </c>
      <c r="AK417" t="s">
        <v>2675</v>
      </c>
      <c r="AL417" t="s">
        <v>1188</v>
      </c>
      <c r="AM417" t="s">
        <v>2676</v>
      </c>
      <c r="AN417" t="s">
        <v>1190</v>
      </c>
      <c r="AO417" t="s">
        <v>2677</v>
      </c>
      <c r="AP417" t="s">
        <v>599</v>
      </c>
      <c r="AQ417" t="s">
        <v>599</v>
      </c>
      <c r="AR417" t="s">
        <v>599</v>
      </c>
      <c r="AS417" t="s">
        <v>599</v>
      </c>
      <c r="AT417" t="s">
        <v>599</v>
      </c>
      <c r="AU417" t="s">
        <v>599</v>
      </c>
    </row>
    <row r="418" spans="1:47" s="13" customFormat="1" ht="30" x14ac:dyDescent="0.25">
      <c r="A418" s="9">
        <v>10894</v>
      </c>
      <c r="B418" s="10">
        <v>860111</v>
      </c>
      <c r="C418" s="10">
        <v>1</v>
      </c>
      <c r="D418" s="9">
        <v>473</v>
      </c>
      <c r="E418" s="11" t="s">
        <v>359</v>
      </c>
      <c r="F418" s="11" t="str">
        <f t="shared" si="18"/>
        <v>https://purl.pt/44354</v>
      </c>
      <c r="G418" s="12" t="s">
        <v>360</v>
      </c>
      <c r="H418" s="9" t="s">
        <v>361</v>
      </c>
      <c r="I418" s="34"/>
      <c r="J418" s="55" t="str">
        <f t="shared" si="19"/>
        <v>https://permalinkbnd.bnportugal.gov.pt/viewer/277452/?offset=#page=473&amp;viewer=picture&amp;o=info&amp;n=0&amp;q=</v>
      </c>
      <c r="K418" s="45"/>
      <c r="L418" s="45"/>
      <c r="M418" s="45"/>
      <c r="N418" t="s">
        <v>359</v>
      </c>
      <c r="O418">
        <v>277452</v>
      </c>
      <c r="P418" t="str">
        <f t="shared" si="20"/>
        <v>https://permalinkbnd.bnportugal.gov.pt/viewer/277452/?offset=#page=473&amp;viewer=picture&amp;o=info&amp;n=0&amp;q=</v>
      </c>
      <c r="Q418">
        <v>860111</v>
      </c>
      <c r="R418" t="s">
        <v>359</v>
      </c>
      <c r="S418" t="s">
        <v>2669</v>
      </c>
      <c r="T418" t="s">
        <v>1178</v>
      </c>
      <c r="U418" t="s">
        <v>2603</v>
      </c>
      <c r="V418" t="s">
        <v>599</v>
      </c>
      <c r="W418" t="s">
        <v>2670</v>
      </c>
      <c r="X418" t="s">
        <v>2671</v>
      </c>
      <c r="Y418" t="s">
        <v>599</v>
      </c>
      <c r="Z418" t="s">
        <v>1182</v>
      </c>
      <c r="AA418" t="s">
        <v>2672</v>
      </c>
      <c r="AB418">
        <v>1898</v>
      </c>
      <c r="AC418">
        <v>1898</v>
      </c>
      <c r="AD418" t="s">
        <v>2673</v>
      </c>
      <c r="AE418" t="s">
        <v>599</v>
      </c>
      <c r="AF418" t="s">
        <v>599</v>
      </c>
      <c r="AG418" t="s">
        <v>599</v>
      </c>
      <c r="AH418" t="s">
        <v>2674</v>
      </c>
      <c r="AI418" t="s">
        <v>599</v>
      </c>
      <c r="AJ418" t="s">
        <v>599</v>
      </c>
      <c r="AK418" t="s">
        <v>2675</v>
      </c>
      <c r="AL418" t="s">
        <v>1188</v>
      </c>
      <c r="AM418" t="s">
        <v>2676</v>
      </c>
      <c r="AN418" t="s">
        <v>1190</v>
      </c>
      <c r="AO418" t="s">
        <v>2677</v>
      </c>
      <c r="AP418" t="s">
        <v>599</v>
      </c>
      <c r="AQ418" t="s">
        <v>599</v>
      </c>
      <c r="AR418" t="s">
        <v>599</v>
      </c>
      <c r="AS418" t="s">
        <v>599</v>
      </c>
      <c r="AT418" t="s">
        <v>599</v>
      </c>
      <c r="AU418" t="s">
        <v>599</v>
      </c>
    </row>
    <row r="419" spans="1:47" s="13" customFormat="1" ht="30" x14ac:dyDescent="0.25">
      <c r="A419" s="9">
        <v>10895</v>
      </c>
      <c r="B419" s="10">
        <v>860111</v>
      </c>
      <c r="C419" s="10">
        <v>1</v>
      </c>
      <c r="D419" s="9">
        <v>493</v>
      </c>
      <c r="E419" s="11" t="s">
        <v>359</v>
      </c>
      <c r="F419" s="11" t="str">
        <f t="shared" si="18"/>
        <v>https://purl.pt/44354</v>
      </c>
      <c r="G419" s="12" t="s">
        <v>360</v>
      </c>
      <c r="H419" s="9" t="s">
        <v>361</v>
      </c>
      <c r="I419" s="34"/>
      <c r="J419" s="55" t="str">
        <f t="shared" si="19"/>
        <v>https://permalinkbnd.bnportugal.gov.pt/viewer/277452/?offset=#page=493&amp;viewer=picture&amp;o=info&amp;n=0&amp;q=</v>
      </c>
      <c r="K419" s="45"/>
      <c r="L419" s="45"/>
      <c r="M419" s="45"/>
      <c r="N419" t="s">
        <v>359</v>
      </c>
      <c r="O419">
        <v>277452</v>
      </c>
      <c r="P419" t="str">
        <f t="shared" si="20"/>
        <v>https://permalinkbnd.bnportugal.gov.pt/viewer/277452/?offset=#page=493&amp;viewer=picture&amp;o=info&amp;n=0&amp;q=</v>
      </c>
      <c r="Q419">
        <v>860111</v>
      </c>
      <c r="R419" t="s">
        <v>359</v>
      </c>
      <c r="S419" t="s">
        <v>2669</v>
      </c>
      <c r="T419" t="s">
        <v>1178</v>
      </c>
      <c r="U419" t="s">
        <v>2603</v>
      </c>
      <c r="V419" t="s">
        <v>599</v>
      </c>
      <c r="W419" t="s">
        <v>2670</v>
      </c>
      <c r="X419" t="s">
        <v>2671</v>
      </c>
      <c r="Y419" t="s">
        <v>599</v>
      </c>
      <c r="Z419" t="s">
        <v>1182</v>
      </c>
      <c r="AA419" t="s">
        <v>2672</v>
      </c>
      <c r="AB419">
        <v>1898</v>
      </c>
      <c r="AC419">
        <v>1898</v>
      </c>
      <c r="AD419" t="s">
        <v>2673</v>
      </c>
      <c r="AE419" t="s">
        <v>599</v>
      </c>
      <c r="AF419" t="s">
        <v>599</v>
      </c>
      <c r="AG419" t="s">
        <v>599</v>
      </c>
      <c r="AH419" t="s">
        <v>2674</v>
      </c>
      <c r="AI419" t="s">
        <v>599</v>
      </c>
      <c r="AJ419" t="s">
        <v>599</v>
      </c>
      <c r="AK419" t="s">
        <v>2675</v>
      </c>
      <c r="AL419" t="s">
        <v>1188</v>
      </c>
      <c r="AM419" t="s">
        <v>2676</v>
      </c>
      <c r="AN419" t="s">
        <v>1190</v>
      </c>
      <c r="AO419" t="s">
        <v>2677</v>
      </c>
      <c r="AP419" t="s">
        <v>599</v>
      </c>
      <c r="AQ419" t="s">
        <v>599</v>
      </c>
      <c r="AR419" t="s">
        <v>599</v>
      </c>
      <c r="AS419" t="s">
        <v>599</v>
      </c>
      <c r="AT419" t="s">
        <v>599</v>
      </c>
      <c r="AU419" t="s">
        <v>599</v>
      </c>
    </row>
    <row r="420" spans="1:47" s="13" customFormat="1" ht="30" x14ac:dyDescent="0.25">
      <c r="A420" s="9">
        <v>10901</v>
      </c>
      <c r="B420" s="10">
        <v>259979</v>
      </c>
      <c r="C420" s="10">
        <v>1</v>
      </c>
      <c r="D420" s="9">
        <v>10</v>
      </c>
      <c r="E420" s="11" t="s">
        <v>362</v>
      </c>
      <c r="F420" s="11" t="str">
        <f t="shared" si="18"/>
        <v>https://purl.pt/44379</v>
      </c>
      <c r="G420" s="12">
        <v>10</v>
      </c>
      <c r="H420" s="9">
        <v>10</v>
      </c>
      <c r="I420" s="34"/>
      <c r="J420" s="55" t="str">
        <f t="shared" si="19"/>
        <v>https://permalinkbnd.bnportugal.gov.pt/viewer/277482/?offset=#page=10&amp;viewer=picture&amp;o=info&amp;n=0&amp;q=</v>
      </c>
      <c r="K420" s="45"/>
      <c r="L420" s="45"/>
      <c r="M420" s="45"/>
      <c r="N420" t="s">
        <v>362</v>
      </c>
      <c r="O420">
        <v>277482</v>
      </c>
      <c r="P420" t="str">
        <f t="shared" si="20"/>
        <v>https://permalinkbnd.bnportugal.gov.pt/viewer/277482/?offset=#page=10&amp;viewer=picture&amp;o=info&amp;n=0&amp;q=</v>
      </c>
      <c r="Q420">
        <v>259979</v>
      </c>
      <c r="R420" t="s">
        <v>362</v>
      </c>
      <c r="S420" t="s">
        <v>2678</v>
      </c>
      <c r="T420" t="s">
        <v>1178</v>
      </c>
      <c r="U420" t="s">
        <v>1502</v>
      </c>
      <c r="V420" t="s">
        <v>599</v>
      </c>
      <c r="W420" t="s">
        <v>2679</v>
      </c>
      <c r="X420" t="s">
        <v>599</v>
      </c>
      <c r="Y420" t="s">
        <v>599</v>
      </c>
      <c r="Z420" t="s">
        <v>1182</v>
      </c>
      <c r="AA420" t="s">
        <v>2680</v>
      </c>
      <c r="AB420">
        <v>1810</v>
      </c>
      <c r="AC420">
        <v>1810</v>
      </c>
      <c r="AD420" t="s">
        <v>2681</v>
      </c>
      <c r="AE420" t="s">
        <v>1185</v>
      </c>
      <c r="AF420" t="s">
        <v>599</v>
      </c>
      <c r="AG420" t="s">
        <v>599</v>
      </c>
      <c r="AH420" t="s">
        <v>2682</v>
      </c>
      <c r="AI420" t="s">
        <v>599</v>
      </c>
      <c r="AJ420" t="s">
        <v>599</v>
      </c>
      <c r="AK420" t="s">
        <v>2683</v>
      </c>
      <c r="AL420" t="s">
        <v>1188</v>
      </c>
      <c r="AM420" t="s">
        <v>2684</v>
      </c>
      <c r="AN420" t="s">
        <v>1190</v>
      </c>
      <c r="AO420" t="s">
        <v>2685</v>
      </c>
      <c r="AP420" t="s">
        <v>599</v>
      </c>
      <c r="AQ420" t="s">
        <v>599</v>
      </c>
      <c r="AR420" t="s">
        <v>599</v>
      </c>
      <c r="AS420" t="s">
        <v>599</v>
      </c>
      <c r="AT420" t="s">
        <v>599</v>
      </c>
      <c r="AU420" t="s">
        <v>599</v>
      </c>
    </row>
    <row r="421" spans="1:47" s="13" customFormat="1" ht="30" x14ac:dyDescent="0.25">
      <c r="A421" s="9">
        <v>10909</v>
      </c>
      <c r="B421" s="10">
        <v>865247</v>
      </c>
      <c r="C421" s="10">
        <v>1</v>
      </c>
      <c r="D421" s="9">
        <v>12</v>
      </c>
      <c r="E421" s="11" t="s">
        <v>363</v>
      </c>
      <c r="F421" s="11" t="str">
        <f t="shared" si="18"/>
        <v>https://purl.pt/44369</v>
      </c>
      <c r="G421" s="12">
        <v>12</v>
      </c>
      <c r="H421" s="9">
        <v>12</v>
      </c>
      <c r="I421" s="34"/>
      <c r="J421" s="55" t="str">
        <f t="shared" si="19"/>
        <v>https://permalinkbnd.bnportugal.gov.pt/viewer/277488/?offset=#page=12&amp;viewer=picture&amp;o=info&amp;n=0&amp;q=</v>
      </c>
      <c r="K421" s="45"/>
      <c r="L421" s="45"/>
      <c r="M421" s="45"/>
      <c r="N421" t="s">
        <v>363</v>
      </c>
      <c r="O421">
        <v>277488</v>
      </c>
      <c r="P421" t="str">
        <f t="shared" si="20"/>
        <v>https://permalinkbnd.bnportugal.gov.pt/viewer/277488/?offset=#page=12&amp;viewer=picture&amp;o=info&amp;n=0&amp;q=</v>
      </c>
      <c r="Q421">
        <v>865247</v>
      </c>
      <c r="R421" t="s">
        <v>363</v>
      </c>
      <c r="S421" t="s">
        <v>2686</v>
      </c>
      <c r="T421" t="s">
        <v>1178</v>
      </c>
      <c r="U421" t="s">
        <v>1179</v>
      </c>
      <c r="V421" t="s">
        <v>599</v>
      </c>
      <c r="W421" t="s">
        <v>2687</v>
      </c>
      <c r="X421" t="s">
        <v>2688</v>
      </c>
      <c r="Y421" t="s">
        <v>599</v>
      </c>
      <c r="Z421" t="s">
        <v>1182</v>
      </c>
      <c r="AA421" t="s">
        <v>2689</v>
      </c>
      <c r="AB421">
        <v>1899</v>
      </c>
      <c r="AC421">
        <v>1899</v>
      </c>
      <c r="AD421" t="s">
        <v>2690</v>
      </c>
      <c r="AE421" t="s">
        <v>2691</v>
      </c>
      <c r="AF421" t="s">
        <v>599</v>
      </c>
      <c r="AG421" t="s">
        <v>599</v>
      </c>
      <c r="AH421" t="s">
        <v>599</v>
      </c>
      <c r="AI421" t="s">
        <v>599</v>
      </c>
      <c r="AJ421" t="s">
        <v>599</v>
      </c>
      <c r="AK421" t="s">
        <v>2692</v>
      </c>
      <c r="AL421" t="s">
        <v>1188</v>
      </c>
      <c r="AM421" t="s">
        <v>2693</v>
      </c>
      <c r="AN421" t="s">
        <v>1190</v>
      </c>
      <c r="AO421" t="s">
        <v>599</v>
      </c>
      <c r="AP421" t="s">
        <v>599</v>
      </c>
      <c r="AQ421" t="s">
        <v>599</v>
      </c>
      <c r="AR421" t="s">
        <v>599</v>
      </c>
      <c r="AS421" t="s">
        <v>599</v>
      </c>
      <c r="AT421" t="s">
        <v>599</v>
      </c>
      <c r="AU421" t="s">
        <v>599</v>
      </c>
    </row>
    <row r="422" spans="1:47" s="13" customFormat="1" ht="30" x14ac:dyDescent="0.25">
      <c r="A422" s="9">
        <v>10919</v>
      </c>
      <c r="B422" s="10">
        <v>397837</v>
      </c>
      <c r="C422" s="10">
        <v>1</v>
      </c>
      <c r="D422" s="9">
        <v>9</v>
      </c>
      <c r="E422" s="11" t="s">
        <v>364</v>
      </c>
      <c r="F422" s="11" t="str">
        <f t="shared" si="18"/>
        <v>https://purl.pt/44013</v>
      </c>
      <c r="G422" s="12" t="s">
        <v>365</v>
      </c>
      <c r="H422" s="9"/>
      <c r="I422" s="34"/>
      <c r="J422" s="55" t="str">
        <f t="shared" si="19"/>
        <v>https://permalinkbnd.bnportugal.gov.pt/viewer/272638/?offset=#page=9&amp;viewer=picture&amp;o=info&amp;n=0&amp;q=</v>
      </c>
      <c r="K422" s="45"/>
      <c r="L422" s="45"/>
      <c r="M422" s="45"/>
      <c r="N422" t="s">
        <v>364</v>
      </c>
      <c r="O422">
        <v>272638</v>
      </c>
      <c r="P422" t="str">
        <f t="shared" si="20"/>
        <v>https://permalinkbnd.bnportugal.gov.pt/viewer/272638/?offset=#page=9&amp;viewer=picture&amp;o=info&amp;n=0&amp;q=</v>
      </c>
      <c r="Q422">
        <v>397837</v>
      </c>
      <c r="R422" t="s">
        <v>364</v>
      </c>
      <c r="S422" t="s">
        <v>2694</v>
      </c>
      <c r="T422" t="s">
        <v>1178</v>
      </c>
      <c r="U422" t="s">
        <v>1192</v>
      </c>
      <c r="V422" t="s">
        <v>599</v>
      </c>
      <c r="W422" t="s">
        <v>1551</v>
      </c>
      <c r="X422" t="s">
        <v>2695</v>
      </c>
      <c r="Y422" t="s">
        <v>599</v>
      </c>
      <c r="Z422" t="s">
        <v>1182</v>
      </c>
      <c r="AA422" t="s">
        <v>2696</v>
      </c>
      <c r="AB422">
        <v>1923</v>
      </c>
      <c r="AC422">
        <v>1923</v>
      </c>
      <c r="AD422" t="s">
        <v>2697</v>
      </c>
      <c r="AE422" t="s">
        <v>1185</v>
      </c>
      <c r="AF422" t="s">
        <v>599</v>
      </c>
      <c r="AG422" t="s">
        <v>599</v>
      </c>
      <c r="AH422" t="s">
        <v>2698</v>
      </c>
      <c r="AI422" t="s">
        <v>599</v>
      </c>
      <c r="AJ422" t="s">
        <v>599</v>
      </c>
      <c r="AK422" t="s">
        <v>2699</v>
      </c>
      <c r="AL422" t="s">
        <v>1188</v>
      </c>
      <c r="AM422" t="s">
        <v>2700</v>
      </c>
      <c r="AN422" t="s">
        <v>1190</v>
      </c>
      <c r="AO422" t="s">
        <v>599</v>
      </c>
      <c r="AP422" t="s">
        <v>599</v>
      </c>
      <c r="AQ422" t="s">
        <v>599</v>
      </c>
      <c r="AR422" t="s">
        <v>599</v>
      </c>
      <c r="AS422" t="s">
        <v>599</v>
      </c>
      <c r="AT422" t="s">
        <v>599</v>
      </c>
      <c r="AU422" t="s">
        <v>599</v>
      </c>
    </row>
    <row r="423" spans="1:47" s="13" customFormat="1" ht="30" x14ac:dyDescent="0.25">
      <c r="A423" s="9"/>
      <c r="B423" s="10">
        <v>397837</v>
      </c>
      <c r="C423" s="10">
        <v>1</v>
      </c>
      <c r="D423" s="9">
        <v>27</v>
      </c>
      <c r="E423" s="11" t="s">
        <v>364</v>
      </c>
      <c r="F423" s="11" t="str">
        <f t="shared" si="18"/>
        <v>https://purl.pt/44013</v>
      </c>
      <c r="G423" s="12" t="s">
        <v>365</v>
      </c>
      <c r="H423" s="9"/>
      <c r="I423" s="34"/>
      <c r="J423" s="55" t="str">
        <f t="shared" si="19"/>
        <v>https://permalinkbnd.bnportugal.gov.pt/viewer/272638/?offset=#page=27&amp;viewer=picture&amp;o=info&amp;n=0&amp;q=</v>
      </c>
      <c r="K423" s="45"/>
      <c r="L423" s="45"/>
      <c r="M423" s="45"/>
      <c r="N423" t="s">
        <v>364</v>
      </c>
      <c r="O423">
        <v>272638</v>
      </c>
      <c r="P423" t="str">
        <f t="shared" si="20"/>
        <v>https://permalinkbnd.bnportugal.gov.pt/viewer/272638/?offset=#page=27&amp;viewer=picture&amp;o=info&amp;n=0&amp;q=</v>
      </c>
      <c r="Q423">
        <v>397837</v>
      </c>
      <c r="R423" t="s">
        <v>364</v>
      </c>
      <c r="S423" t="s">
        <v>2694</v>
      </c>
      <c r="T423" t="s">
        <v>1178</v>
      </c>
      <c r="U423" t="s">
        <v>1192</v>
      </c>
      <c r="V423" t="s">
        <v>599</v>
      </c>
      <c r="W423" t="s">
        <v>1551</v>
      </c>
      <c r="X423" t="s">
        <v>2695</v>
      </c>
      <c r="Y423" t="s">
        <v>599</v>
      </c>
      <c r="Z423" t="s">
        <v>1182</v>
      </c>
      <c r="AA423" t="s">
        <v>2696</v>
      </c>
      <c r="AB423">
        <v>1923</v>
      </c>
      <c r="AC423">
        <v>1923</v>
      </c>
      <c r="AD423" t="s">
        <v>2697</v>
      </c>
      <c r="AE423" t="s">
        <v>1185</v>
      </c>
      <c r="AF423" t="s">
        <v>599</v>
      </c>
      <c r="AG423" t="s">
        <v>599</v>
      </c>
      <c r="AH423" t="s">
        <v>2698</v>
      </c>
      <c r="AI423" t="s">
        <v>599</v>
      </c>
      <c r="AJ423" t="s">
        <v>599</v>
      </c>
      <c r="AK423" t="s">
        <v>2699</v>
      </c>
      <c r="AL423" t="s">
        <v>1188</v>
      </c>
      <c r="AM423" t="s">
        <v>2700</v>
      </c>
      <c r="AN423" t="s">
        <v>1190</v>
      </c>
      <c r="AO423" t="s">
        <v>599</v>
      </c>
      <c r="AP423" t="s">
        <v>599</v>
      </c>
      <c r="AQ423" t="s">
        <v>599</v>
      </c>
      <c r="AR423" t="s">
        <v>599</v>
      </c>
      <c r="AS423" t="s">
        <v>599</v>
      </c>
      <c r="AT423" t="s">
        <v>599</v>
      </c>
      <c r="AU423" t="s">
        <v>599</v>
      </c>
    </row>
    <row r="424" spans="1:47" s="13" customFormat="1" ht="30" x14ac:dyDescent="0.25">
      <c r="A424" s="9"/>
      <c r="B424" s="10">
        <v>397837</v>
      </c>
      <c r="C424" s="10">
        <v>1</v>
      </c>
      <c r="D424" s="9">
        <v>404</v>
      </c>
      <c r="E424" s="11" t="s">
        <v>364</v>
      </c>
      <c r="F424" s="11" t="str">
        <f t="shared" si="18"/>
        <v>https://purl.pt/44013</v>
      </c>
      <c r="G424" s="12" t="s">
        <v>365</v>
      </c>
      <c r="H424" s="9"/>
      <c r="I424" s="34"/>
      <c r="J424" s="55" t="str">
        <f t="shared" si="19"/>
        <v>https://permalinkbnd.bnportugal.gov.pt/viewer/272638/?offset=#page=404&amp;viewer=picture&amp;o=info&amp;n=0&amp;q=</v>
      </c>
      <c r="K424" s="45"/>
      <c r="L424" s="45"/>
      <c r="M424" s="45"/>
      <c r="N424" t="s">
        <v>364</v>
      </c>
      <c r="O424">
        <v>272638</v>
      </c>
      <c r="P424" t="str">
        <f t="shared" si="20"/>
        <v>https://permalinkbnd.bnportugal.gov.pt/viewer/272638/?offset=#page=404&amp;viewer=picture&amp;o=info&amp;n=0&amp;q=</v>
      </c>
      <c r="Q424">
        <v>397837</v>
      </c>
      <c r="R424" t="s">
        <v>364</v>
      </c>
      <c r="S424" t="s">
        <v>2694</v>
      </c>
      <c r="T424" t="s">
        <v>1178</v>
      </c>
      <c r="U424" t="s">
        <v>1192</v>
      </c>
      <c r="V424" t="s">
        <v>599</v>
      </c>
      <c r="W424" t="s">
        <v>1551</v>
      </c>
      <c r="X424" t="s">
        <v>2695</v>
      </c>
      <c r="Y424" t="s">
        <v>599</v>
      </c>
      <c r="Z424" t="s">
        <v>1182</v>
      </c>
      <c r="AA424" t="s">
        <v>2696</v>
      </c>
      <c r="AB424">
        <v>1923</v>
      </c>
      <c r="AC424">
        <v>1923</v>
      </c>
      <c r="AD424" t="s">
        <v>2697</v>
      </c>
      <c r="AE424" t="s">
        <v>1185</v>
      </c>
      <c r="AF424" t="s">
        <v>599</v>
      </c>
      <c r="AG424" t="s">
        <v>599</v>
      </c>
      <c r="AH424" t="s">
        <v>2698</v>
      </c>
      <c r="AI424" t="s">
        <v>599</v>
      </c>
      <c r="AJ424" t="s">
        <v>599</v>
      </c>
      <c r="AK424" t="s">
        <v>2699</v>
      </c>
      <c r="AL424" t="s">
        <v>1188</v>
      </c>
      <c r="AM424" t="s">
        <v>2700</v>
      </c>
      <c r="AN424" t="s">
        <v>1190</v>
      </c>
      <c r="AO424" t="s">
        <v>599</v>
      </c>
      <c r="AP424" t="s">
        <v>599</v>
      </c>
      <c r="AQ424" t="s">
        <v>599</v>
      </c>
      <c r="AR424" t="s">
        <v>599</v>
      </c>
      <c r="AS424" t="s">
        <v>599</v>
      </c>
      <c r="AT424" t="s">
        <v>599</v>
      </c>
      <c r="AU424" t="s">
        <v>599</v>
      </c>
    </row>
    <row r="425" spans="1:47" s="13" customFormat="1" ht="30" x14ac:dyDescent="0.25">
      <c r="A425" s="9">
        <v>10923</v>
      </c>
      <c r="B425" s="10">
        <v>277515</v>
      </c>
      <c r="C425" s="10">
        <v>1</v>
      </c>
      <c r="D425" s="9">
        <v>1</v>
      </c>
      <c r="E425" s="11" t="s">
        <v>366</v>
      </c>
      <c r="F425" s="11" t="str">
        <f t="shared" si="18"/>
        <v>https://purl.pt/44217</v>
      </c>
      <c r="G425" s="12" t="s">
        <v>269</v>
      </c>
      <c r="H425" s="9"/>
      <c r="I425" s="34"/>
      <c r="J425" s="55" t="str">
        <f t="shared" si="19"/>
        <v>https://permalinkbnd.bnportugal.gov.pt/viewer/273872/?offset=#page=1&amp;viewer=picture&amp;o=info&amp;n=0&amp;q=</v>
      </c>
      <c r="K425" s="45"/>
      <c r="L425" s="45"/>
      <c r="M425" s="45"/>
      <c r="N425" t="s">
        <v>366</v>
      </c>
      <c r="O425">
        <v>273872</v>
      </c>
      <c r="P425" t="str">
        <f t="shared" si="20"/>
        <v>https://permalinkbnd.bnportugal.gov.pt/viewer/273872/?offset=#page=1&amp;viewer=picture&amp;o=info&amp;n=0&amp;q=</v>
      </c>
      <c r="Q425">
        <v>277515</v>
      </c>
      <c r="R425" t="s">
        <v>366</v>
      </c>
      <c r="S425" t="s">
        <v>2701</v>
      </c>
      <c r="T425" t="s">
        <v>1178</v>
      </c>
      <c r="U425" t="s">
        <v>1192</v>
      </c>
      <c r="V425" t="s">
        <v>599</v>
      </c>
      <c r="W425" t="s">
        <v>2702</v>
      </c>
      <c r="X425" t="s">
        <v>599</v>
      </c>
      <c r="Y425" t="s">
        <v>599</v>
      </c>
      <c r="Z425" t="s">
        <v>2703</v>
      </c>
      <c r="AA425" t="s">
        <v>2704</v>
      </c>
      <c r="AB425">
        <v>1875</v>
      </c>
      <c r="AC425">
        <v>1875</v>
      </c>
      <c r="AD425" t="s">
        <v>2705</v>
      </c>
      <c r="AE425" t="s">
        <v>1185</v>
      </c>
      <c r="AF425" t="s">
        <v>599</v>
      </c>
      <c r="AG425" t="s">
        <v>599</v>
      </c>
      <c r="AH425" t="s">
        <v>2706</v>
      </c>
      <c r="AI425" t="s">
        <v>599</v>
      </c>
      <c r="AJ425" t="s">
        <v>599</v>
      </c>
      <c r="AK425" t="s">
        <v>2707</v>
      </c>
      <c r="AL425" t="s">
        <v>1188</v>
      </c>
      <c r="AM425" t="s">
        <v>2708</v>
      </c>
      <c r="AN425" t="s">
        <v>1190</v>
      </c>
      <c r="AO425" t="s">
        <v>2709</v>
      </c>
      <c r="AP425" t="s">
        <v>599</v>
      </c>
      <c r="AQ425" t="s">
        <v>599</v>
      </c>
      <c r="AR425" t="s">
        <v>599</v>
      </c>
      <c r="AS425" t="s">
        <v>599</v>
      </c>
      <c r="AT425" t="s">
        <v>599</v>
      </c>
      <c r="AU425" t="s">
        <v>599</v>
      </c>
    </row>
    <row r="426" spans="1:47" s="13" customFormat="1" ht="30" x14ac:dyDescent="0.25">
      <c r="A426" s="9">
        <v>10926</v>
      </c>
      <c r="B426" s="10">
        <v>865420</v>
      </c>
      <c r="C426" s="10">
        <v>1</v>
      </c>
      <c r="D426" s="9">
        <v>8</v>
      </c>
      <c r="E426" s="11" t="s">
        <v>367</v>
      </c>
      <c r="F426" s="11" t="str">
        <f t="shared" si="18"/>
        <v>https://purl.pt/44401</v>
      </c>
      <c r="G426" s="12" t="s">
        <v>368</v>
      </c>
      <c r="H426" s="9">
        <v>8</v>
      </c>
      <c r="I426" s="34"/>
      <c r="J426" s="55" t="str">
        <f t="shared" si="19"/>
        <v>https://permalinkbnd.bnportugal.gov.pt/viewer/277739/?offset=#page=8&amp;viewer=picture&amp;o=info&amp;n=0&amp;q=</v>
      </c>
      <c r="K426" s="45"/>
      <c r="L426" s="45"/>
      <c r="M426" s="45"/>
      <c r="N426" t="s">
        <v>367</v>
      </c>
      <c r="O426">
        <v>277739</v>
      </c>
      <c r="P426" t="str">
        <f t="shared" si="20"/>
        <v>https://permalinkbnd.bnportugal.gov.pt/viewer/277739/?offset=#page=8&amp;viewer=picture&amp;o=info&amp;n=0&amp;q=</v>
      </c>
      <c r="Q426">
        <v>865420</v>
      </c>
      <c r="R426" t="s">
        <v>367</v>
      </c>
      <c r="S426" t="s">
        <v>2710</v>
      </c>
      <c r="T426" t="s">
        <v>1178</v>
      </c>
      <c r="U426" t="s">
        <v>1192</v>
      </c>
      <c r="V426" t="s">
        <v>599</v>
      </c>
      <c r="W426" t="s">
        <v>1551</v>
      </c>
      <c r="X426" t="s">
        <v>1778</v>
      </c>
      <c r="Y426" t="s">
        <v>599</v>
      </c>
      <c r="Z426" t="s">
        <v>1182</v>
      </c>
      <c r="AA426" t="s">
        <v>1836</v>
      </c>
      <c r="AB426">
        <v>1846</v>
      </c>
      <c r="AC426">
        <v>1846</v>
      </c>
      <c r="AD426" t="s">
        <v>599</v>
      </c>
      <c r="AE426" t="s">
        <v>1185</v>
      </c>
      <c r="AF426" t="s">
        <v>599</v>
      </c>
      <c r="AG426" t="s">
        <v>599</v>
      </c>
      <c r="AH426" t="s">
        <v>2711</v>
      </c>
      <c r="AI426" t="s">
        <v>599</v>
      </c>
      <c r="AJ426" t="s">
        <v>599</v>
      </c>
      <c r="AK426" t="s">
        <v>2712</v>
      </c>
      <c r="AL426" t="s">
        <v>1188</v>
      </c>
      <c r="AM426" t="s">
        <v>2713</v>
      </c>
      <c r="AN426" t="s">
        <v>1190</v>
      </c>
      <c r="AO426" t="s">
        <v>599</v>
      </c>
      <c r="AP426" t="s">
        <v>599</v>
      </c>
      <c r="AQ426" t="s">
        <v>599</v>
      </c>
      <c r="AR426" t="s">
        <v>599</v>
      </c>
      <c r="AS426" t="s">
        <v>599</v>
      </c>
      <c r="AT426" t="s">
        <v>599</v>
      </c>
      <c r="AU426" t="s">
        <v>599</v>
      </c>
    </row>
    <row r="427" spans="1:47" s="13" customFormat="1" ht="30" x14ac:dyDescent="0.25">
      <c r="A427" s="9">
        <v>10930</v>
      </c>
      <c r="B427" s="10">
        <v>321756</v>
      </c>
      <c r="C427" s="10">
        <v>1</v>
      </c>
      <c r="D427" s="9">
        <v>12</v>
      </c>
      <c r="E427" s="11" t="s">
        <v>369</v>
      </c>
      <c r="F427" s="11" t="str">
        <f t="shared" si="18"/>
        <v>https://purl.pt/44033</v>
      </c>
      <c r="G427" s="12">
        <v>12</v>
      </c>
      <c r="H427" s="9">
        <v>12</v>
      </c>
      <c r="I427" s="34"/>
      <c r="J427" s="55" t="str">
        <f t="shared" si="19"/>
        <v>https://permalinkbnd.bnportugal.gov.pt/viewer/273879/?offset=#page=12&amp;viewer=picture&amp;o=info&amp;n=0&amp;q=</v>
      </c>
      <c r="K427" s="45"/>
      <c r="L427" s="45"/>
      <c r="M427" s="45"/>
      <c r="N427" t="s">
        <v>369</v>
      </c>
      <c r="O427">
        <v>273879</v>
      </c>
      <c r="P427" t="str">
        <f t="shared" si="20"/>
        <v>https://permalinkbnd.bnportugal.gov.pt/viewer/273879/?offset=#page=12&amp;viewer=picture&amp;o=info&amp;n=0&amp;q=</v>
      </c>
      <c r="Q427">
        <v>321756</v>
      </c>
      <c r="R427" t="s">
        <v>369</v>
      </c>
      <c r="S427" t="s">
        <v>2714</v>
      </c>
      <c r="T427" t="s">
        <v>1178</v>
      </c>
      <c r="U427" t="s">
        <v>1192</v>
      </c>
      <c r="V427" t="s">
        <v>599</v>
      </c>
      <c r="W427" t="s">
        <v>2715</v>
      </c>
      <c r="X427" t="s">
        <v>2716</v>
      </c>
      <c r="Y427" t="s">
        <v>599</v>
      </c>
      <c r="Z427" t="s">
        <v>1182</v>
      </c>
      <c r="AA427" t="s">
        <v>2717</v>
      </c>
      <c r="AB427">
        <v>1892</v>
      </c>
      <c r="AC427">
        <v>1892</v>
      </c>
      <c r="AD427" t="s">
        <v>2718</v>
      </c>
      <c r="AE427" t="s">
        <v>599</v>
      </c>
      <c r="AF427" t="s">
        <v>599</v>
      </c>
      <c r="AG427" t="s">
        <v>599</v>
      </c>
      <c r="AH427" t="s">
        <v>2719</v>
      </c>
      <c r="AI427" t="s">
        <v>599</v>
      </c>
      <c r="AJ427" t="s">
        <v>599</v>
      </c>
      <c r="AK427" t="s">
        <v>2720</v>
      </c>
      <c r="AL427" t="s">
        <v>1188</v>
      </c>
      <c r="AM427" t="s">
        <v>2721</v>
      </c>
      <c r="AN427" t="s">
        <v>1190</v>
      </c>
      <c r="AO427" t="s">
        <v>599</v>
      </c>
      <c r="AP427" t="s">
        <v>599</v>
      </c>
      <c r="AQ427" t="s">
        <v>599</v>
      </c>
      <c r="AR427" t="s">
        <v>599</v>
      </c>
      <c r="AS427" t="s">
        <v>599</v>
      </c>
      <c r="AT427" t="s">
        <v>599</v>
      </c>
      <c r="AU427" t="s">
        <v>599</v>
      </c>
    </row>
    <row r="428" spans="1:47" s="13" customFormat="1" ht="30" x14ac:dyDescent="0.25">
      <c r="A428" s="9">
        <v>10934</v>
      </c>
      <c r="B428" s="10">
        <v>321919</v>
      </c>
      <c r="C428" s="10">
        <v>1</v>
      </c>
      <c r="D428" s="9">
        <v>31</v>
      </c>
      <c r="E428" s="11" t="s">
        <v>370</v>
      </c>
      <c r="F428" s="11" t="str">
        <f t="shared" si="18"/>
        <v>https://purl.pt/44111</v>
      </c>
      <c r="G428" s="12" t="s">
        <v>371</v>
      </c>
      <c r="H428" s="9"/>
      <c r="I428" s="34"/>
      <c r="J428" s="55" t="str">
        <f t="shared" si="19"/>
        <v>https://permalinkbnd.bnportugal.gov.pt/viewer/273869/?offset=#page=31&amp;viewer=picture&amp;o=info&amp;n=0&amp;q=</v>
      </c>
      <c r="K428" s="45"/>
      <c r="L428" s="45"/>
      <c r="M428" s="45"/>
      <c r="N428" t="s">
        <v>370</v>
      </c>
      <c r="O428">
        <v>273869</v>
      </c>
      <c r="P428" t="str">
        <f t="shared" si="20"/>
        <v>https://permalinkbnd.bnportugal.gov.pt/viewer/273869/?offset=#page=31&amp;viewer=picture&amp;o=info&amp;n=0&amp;q=</v>
      </c>
      <c r="Q428">
        <v>321919</v>
      </c>
      <c r="R428" t="s">
        <v>370</v>
      </c>
      <c r="S428" t="s">
        <v>2722</v>
      </c>
      <c r="T428" t="s">
        <v>1178</v>
      </c>
      <c r="U428" t="s">
        <v>1209</v>
      </c>
      <c r="V428" t="s">
        <v>599</v>
      </c>
      <c r="W428" t="s">
        <v>2723</v>
      </c>
      <c r="X428" t="s">
        <v>599</v>
      </c>
      <c r="Y428" t="s">
        <v>599</v>
      </c>
      <c r="Z428" t="s">
        <v>1182</v>
      </c>
      <c r="AA428" t="s">
        <v>2724</v>
      </c>
      <c r="AB428">
        <v>1895</v>
      </c>
      <c r="AC428">
        <v>1895</v>
      </c>
      <c r="AD428" t="s">
        <v>2725</v>
      </c>
      <c r="AE428" t="s">
        <v>2726</v>
      </c>
      <c r="AF428" t="s">
        <v>599</v>
      </c>
      <c r="AG428" t="s">
        <v>599</v>
      </c>
      <c r="AH428" t="s">
        <v>2727</v>
      </c>
      <c r="AI428" t="s">
        <v>599</v>
      </c>
      <c r="AJ428" t="s">
        <v>599</v>
      </c>
      <c r="AK428" t="s">
        <v>2728</v>
      </c>
      <c r="AL428" t="s">
        <v>1188</v>
      </c>
      <c r="AM428" t="s">
        <v>2729</v>
      </c>
      <c r="AN428" t="s">
        <v>1190</v>
      </c>
      <c r="AO428" t="s">
        <v>2730</v>
      </c>
      <c r="AP428" t="s">
        <v>599</v>
      </c>
      <c r="AQ428" t="s">
        <v>2731</v>
      </c>
      <c r="AR428" t="s">
        <v>599</v>
      </c>
      <c r="AS428" t="s">
        <v>599</v>
      </c>
      <c r="AT428" t="s">
        <v>599</v>
      </c>
      <c r="AU428" t="s">
        <v>599</v>
      </c>
    </row>
    <row r="429" spans="1:47" s="13" customFormat="1" ht="30" x14ac:dyDescent="0.25">
      <c r="A429" s="9"/>
      <c r="B429" s="10">
        <v>321919</v>
      </c>
      <c r="C429" s="10">
        <v>1</v>
      </c>
      <c r="D429" s="9">
        <v>35</v>
      </c>
      <c r="E429" s="11" t="s">
        <v>370</v>
      </c>
      <c r="F429" s="11" t="str">
        <f t="shared" si="18"/>
        <v>https://purl.pt/44111</v>
      </c>
      <c r="G429" s="12" t="s">
        <v>371</v>
      </c>
      <c r="H429" s="9"/>
      <c r="I429" s="34"/>
      <c r="J429" s="55" t="str">
        <f t="shared" si="19"/>
        <v>https://permalinkbnd.bnportugal.gov.pt/viewer/273869/?offset=#page=35&amp;viewer=picture&amp;o=info&amp;n=0&amp;q=</v>
      </c>
      <c r="K429" s="45"/>
      <c r="L429" s="45"/>
      <c r="M429" s="45"/>
      <c r="N429" t="s">
        <v>370</v>
      </c>
      <c r="O429">
        <v>273869</v>
      </c>
      <c r="P429" t="str">
        <f t="shared" si="20"/>
        <v>https://permalinkbnd.bnportugal.gov.pt/viewer/273869/?offset=#page=35&amp;viewer=picture&amp;o=info&amp;n=0&amp;q=</v>
      </c>
      <c r="Q429">
        <v>321919</v>
      </c>
      <c r="R429" t="s">
        <v>370</v>
      </c>
      <c r="S429" t="s">
        <v>2722</v>
      </c>
      <c r="T429" t="s">
        <v>1178</v>
      </c>
      <c r="U429" t="s">
        <v>1209</v>
      </c>
      <c r="V429" t="s">
        <v>599</v>
      </c>
      <c r="W429" t="s">
        <v>2723</v>
      </c>
      <c r="X429" t="s">
        <v>599</v>
      </c>
      <c r="Y429" t="s">
        <v>599</v>
      </c>
      <c r="Z429" t="s">
        <v>1182</v>
      </c>
      <c r="AA429" t="s">
        <v>2724</v>
      </c>
      <c r="AB429">
        <v>1895</v>
      </c>
      <c r="AC429">
        <v>1895</v>
      </c>
      <c r="AD429" t="s">
        <v>2725</v>
      </c>
      <c r="AE429" t="s">
        <v>2726</v>
      </c>
      <c r="AF429" t="s">
        <v>599</v>
      </c>
      <c r="AG429" t="s">
        <v>599</v>
      </c>
      <c r="AH429" t="s">
        <v>2727</v>
      </c>
      <c r="AI429" t="s">
        <v>599</v>
      </c>
      <c r="AJ429" t="s">
        <v>599</v>
      </c>
      <c r="AK429" t="s">
        <v>2728</v>
      </c>
      <c r="AL429" t="s">
        <v>1188</v>
      </c>
      <c r="AM429" t="s">
        <v>2729</v>
      </c>
      <c r="AN429" t="s">
        <v>1190</v>
      </c>
      <c r="AO429" t="s">
        <v>2730</v>
      </c>
      <c r="AP429" t="s">
        <v>599</v>
      </c>
      <c r="AQ429" t="s">
        <v>2731</v>
      </c>
      <c r="AR429" t="s">
        <v>599</v>
      </c>
      <c r="AS429" t="s">
        <v>599</v>
      </c>
      <c r="AT429" t="s">
        <v>599</v>
      </c>
      <c r="AU429" t="s">
        <v>599</v>
      </c>
    </row>
    <row r="430" spans="1:47" s="13" customFormat="1" ht="30" x14ac:dyDescent="0.25">
      <c r="A430" s="9"/>
      <c r="B430" s="10">
        <v>321919</v>
      </c>
      <c r="C430" s="10">
        <v>1</v>
      </c>
      <c r="D430" s="9">
        <v>39</v>
      </c>
      <c r="E430" s="11" t="s">
        <v>370</v>
      </c>
      <c r="F430" s="11" t="str">
        <f t="shared" si="18"/>
        <v>https://purl.pt/44111</v>
      </c>
      <c r="G430" s="12" t="s">
        <v>371</v>
      </c>
      <c r="H430" s="9"/>
      <c r="I430" s="34"/>
      <c r="J430" s="55" t="str">
        <f t="shared" si="19"/>
        <v>https://permalinkbnd.bnportugal.gov.pt/viewer/273869/?offset=#page=39&amp;viewer=picture&amp;o=info&amp;n=0&amp;q=</v>
      </c>
      <c r="K430" s="45"/>
      <c r="L430" s="45"/>
      <c r="M430" s="45"/>
      <c r="N430" t="s">
        <v>370</v>
      </c>
      <c r="O430">
        <v>273869</v>
      </c>
      <c r="P430" t="str">
        <f t="shared" si="20"/>
        <v>https://permalinkbnd.bnportugal.gov.pt/viewer/273869/?offset=#page=39&amp;viewer=picture&amp;o=info&amp;n=0&amp;q=</v>
      </c>
      <c r="Q430">
        <v>321919</v>
      </c>
      <c r="R430" t="s">
        <v>370</v>
      </c>
      <c r="S430" t="s">
        <v>2722</v>
      </c>
      <c r="T430" t="s">
        <v>1178</v>
      </c>
      <c r="U430" t="s">
        <v>1209</v>
      </c>
      <c r="V430" t="s">
        <v>599</v>
      </c>
      <c r="W430" t="s">
        <v>2723</v>
      </c>
      <c r="X430" t="s">
        <v>599</v>
      </c>
      <c r="Y430" t="s">
        <v>599</v>
      </c>
      <c r="Z430" t="s">
        <v>1182</v>
      </c>
      <c r="AA430" t="s">
        <v>2724</v>
      </c>
      <c r="AB430">
        <v>1895</v>
      </c>
      <c r="AC430">
        <v>1895</v>
      </c>
      <c r="AD430" t="s">
        <v>2725</v>
      </c>
      <c r="AE430" t="s">
        <v>2726</v>
      </c>
      <c r="AF430" t="s">
        <v>599</v>
      </c>
      <c r="AG430" t="s">
        <v>599</v>
      </c>
      <c r="AH430" t="s">
        <v>2727</v>
      </c>
      <c r="AI430" t="s">
        <v>599</v>
      </c>
      <c r="AJ430" t="s">
        <v>599</v>
      </c>
      <c r="AK430" t="s">
        <v>2728</v>
      </c>
      <c r="AL430" t="s">
        <v>1188</v>
      </c>
      <c r="AM430" t="s">
        <v>2729</v>
      </c>
      <c r="AN430" t="s">
        <v>1190</v>
      </c>
      <c r="AO430" t="s">
        <v>2730</v>
      </c>
      <c r="AP430" t="s">
        <v>599</v>
      </c>
      <c r="AQ430" t="s">
        <v>2731</v>
      </c>
      <c r="AR430" t="s">
        <v>599</v>
      </c>
      <c r="AS430" t="s">
        <v>599</v>
      </c>
      <c r="AT430" t="s">
        <v>599</v>
      </c>
      <c r="AU430" t="s">
        <v>599</v>
      </c>
    </row>
    <row r="431" spans="1:47" s="13" customFormat="1" ht="30" x14ac:dyDescent="0.25">
      <c r="A431" s="9"/>
      <c r="B431" s="10">
        <v>321919</v>
      </c>
      <c r="C431" s="10">
        <v>1</v>
      </c>
      <c r="D431" s="9">
        <v>40</v>
      </c>
      <c r="E431" s="11" t="s">
        <v>370</v>
      </c>
      <c r="F431" s="11" t="str">
        <f t="shared" si="18"/>
        <v>https://purl.pt/44111</v>
      </c>
      <c r="G431" s="12" t="s">
        <v>371</v>
      </c>
      <c r="H431" s="9"/>
      <c r="I431" s="34"/>
      <c r="J431" s="55" t="str">
        <f t="shared" si="19"/>
        <v>https://permalinkbnd.bnportugal.gov.pt/viewer/273869/?offset=#page=40&amp;viewer=picture&amp;o=info&amp;n=0&amp;q=</v>
      </c>
      <c r="K431" s="45"/>
      <c r="L431" s="45"/>
      <c r="M431" s="45"/>
      <c r="N431" t="s">
        <v>370</v>
      </c>
      <c r="O431">
        <v>273869</v>
      </c>
      <c r="P431" t="str">
        <f t="shared" si="20"/>
        <v>https://permalinkbnd.bnportugal.gov.pt/viewer/273869/?offset=#page=40&amp;viewer=picture&amp;o=info&amp;n=0&amp;q=</v>
      </c>
      <c r="Q431">
        <v>321919</v>
      </c>
      <c r="R431" t="s">
        <v>370</v>
      </c>
      <c r="S431" t="s">
        <v>2722</v>
      </c>
      <c r="T431" t="s">
        <v>1178</v>
      </c>
      <c r="U431" t="s">
        <v>1209</v>
      </c>
      <c r="V431" t="s">
        <v>599</v>
      </c>
      <c r="W431" t="s">
        <v>2723</v>
      </c>
      <c r="X431" t="s">
        <v>599</v>
      </c>
      <c r="Y431" t="s">
        <v>599</v>
      </c>
      <c r="Z431" t="s">
        <v>1182</v>
      </c>
      <c r="AA431" t="s">
        <v>2724</v>
      </c>
      <c r="AB431">
        <v>1895</v>
      </c>
      <c r="AC431">
        <v>1895</v>
      </c>
      <c r="AD431" t="s">
        <v>2725</v>
      </c>
      <c r="AE431" t="s">
        <v>2726</v>
      </c>
      <c r="AF431" t="s">
        <v>599</v>
      </c>
      <c r="AG431" t="s">
        <v>599</v>
      </c>
      <c r="AH431" t="s">
        <v>2727</v>
      </c>
      <c r="AI431" t="s">
        <v>599</v>
      </c>
      <c r="AJ431" t="s">
        <v>599</v>
      </c>
      <c r="AK431" t="s">
        <v>2728</v>
      </c>
      <c r="AL431" t="s">
        <v>1188</v>
      </c>
      <c r="AM431" t="s">
        <v>2729</v>
      </c>
      <c r="AN431" t="s">
        <v>1190</v>
      </c>
      <c r="AO431" t="s">
        <v>2730</v>
      </c>
      <c r="AP431" t="s">
        <v>599</v>
      </c>
      <c r="AQ431" t="s">
        <v>2731</v>
      </c>
      <c r="AR431" t="s">
        <v>599</v>
      </c>
      <c r="AS431" t="s">
        <v>599</v>
      </c>
      <c r="AT431" t="s">
        <v>599</v>
      </c>
      <c r="AU431" t="s">
        <v>599</v>
      </c>
    </row>
    <row r="432" spans="1:47" s="13" customFormat="1" ht="30" x14ac:dyDescent="0.25">
      <c r="A432" s="9"/>
      <c r="B432" s="10">
        <v>321919</v>
      </c>
      <c r="C432" s="10">
        <v>1</v>
      </c>
      <c r="D432" s="9">
        <v>41</v>
      </c>
      <c r="E432" s="11" t="s">
        <v>370</v>
      </c>
      <c r="F432" s="11" t="str">
        <f t="shared" si="18"/>
        <v>https://purl.pt/44111</v>
      </c>
      <c r="G432" s="12" t="s">
        <v>371</v>
      </c>
      <c r="H432" s="9"/>
      <c r="I432" s="34"/>
      <c r="J432" s="55" t="str">
        <f t="shared" si="19"/>
        <v>https://permalinkbnd.bnportugal.gov.pt/viewer/273869/?offset=#page=41&amp;viewer=picture&amp;o=info&amp;n=0&amp;q=</v>
      </c>
      <c r="K432" s="45"/>
      <c r="L432" s="45"/>
      <c r="M432" s="45"/>
      <c r="N432" t="s">
        <v>370</v>
      </c>
      <c r="O432">
        <v>273869</v>
      </c>
      <c r="P432" t="str">
        <f t="shared" si="20"/>
        <v>https://permalinkbnd.bnportugal.gov.pt/viewer/273869/?offset=#page=41&amp;viewer=picture&amp;o=info&amp;n=0&amp;q=</v>
      </c>
      <c r="Q432">
        <v>321919</v>
      </c>
      <c r="R432" t="s">
        <v>370</v>
      </c>
      <c r="S432" t="s">
        <v>2722</v>
      </c>
      <c r="T432" t="s">
        <v>1178</v>
      </c>
      <c r="U432" t="s">
        <v>1209</v>
      </c>
      <c r="V432" t="s">
        <v>599</v>
      </c>
      <c r="W432" t="s">
        <v>2723</v>
      </c>
      <c r="X432" t="s">
        <v>599</v>
      </c>
      <c r="Y432" t="s">
        <v>599</v>
      </c>
      <c r="Z432" t="s">
        <v>1182</v>
      </c>
      <c r="AA432" t="s">
        <v>2724</v>
      </c>
      <c r="AB432">
        <v>1895</v>
      </c>
      <c r="AC432">
        <v>1895</v>
      </c>
      <c r="AD432" t="s">
        <v>2725</v>
      </c>
      <c r="AE432" t="s">
        <v>2726</v>
      </c>
      <c r="AF432" t="s">
        <v>599</v>
      </c>
      <c r="AG432" t="s">
        <v>599</v>
      </c>
      <c r="AH432" t="s">
        <v>2727</v>
      </c>
      <c r="AI432" t="s">
        <v>599</v>
      </c>
      <c r="AJ432" t="s">
        <v>599</v>
      </c>
      <c r="AK432" t="s">
        <v>2728</v>
      </c>
      <c r="AL432" t="s">
        <v>1188</v>
      </c>
      <c r="AM432" t="s">
        <v>2729</v>
      </c>
      <c r="AN432" t="s">
        <v>1190</v>
      </c>
      <c r="AO432" t="s">
        <v>2730</v>
      </c>
      <c r="AP432" t="s">
        <v>599</v>
      </c>
      <c r="AQ432" t="s">
        <v>2731</v>
      </c>
      <c r="AR432" t="s">
        <v>599</v>
      </c>
      <c r="AS432" t="s">
        <v>599</v>
      </c>
      <c r="AT432" t="s">
        <v>599</v>
      </c>
      <c r="AU432" t="s">
        <v>599</v>
      </c>
    </row>
    <row r="433" spans="1:47" s="13" customFormat="1" ht="30" x14ac:dyDescent="0.25">
      <c r="A433" s="9"/>
      <c r="B433" s="10">
        <v>321919</v>
      </c>
      <c r="C433" s="10">
        <v>1</v>
      </c>
      <c r="D433" s="9">
        <v>52</v>
      </c>
      <c r="E433" s="11" t="s">
        <v>370</v>
      </c>
      <c r="F433" s="11" t="str">
        <f t="shared" si="18"/>
        <v>https://purl.pt/44111</v>
      </c>
      <c r="G433" s="12" t="s">
        <v>371</v>
      </c>
      <c r="H433" s="9"/>
      <c r="I433" s="34"/>
      <c r="J433" s="55" t="str">
        <f t="shared" si="19"/>
        <v>https://permalinkbnd.bnportugal.gov.pt/viewer/273869/?offset=#page=52&amp;viewer=picture&amp;o=info&amp;n=0&amp;q=</v>
      </c>
      <c r="K433" s="45"/>
      <c r="L433" s="45"/>
      <c r="M433" s="45"/>
      <c r="N433" t="s">
        <v>370</v>
      </c>
      <c r="O433">
        <v>273869</v>
      </c>
      <c r="P433" t="str">
        <f t="shared" si="20"/>
        <v>https://permalinkbnd.bnportugal.gov.pt/viewer/273869/?offset=#page=52&amp;viewer=picture&amp;o=info&amp;n=0&amp;q=</v>
      </c>
      <c r="Q433">
        <v>321919</v>
      </c>
      <c r="R433" t="s">
        <v>370</v>
      </c>
      <c r="S433" t="s">
        <v>2722</v>
      </c>
      <c r="T433" t="s">
        <v>1178</v>
      </c>
      <c r="U433" t="s">
        <v>1209</v>
      </c>
      <c r="V433" t="s">
        <v>599</v>
      </c>
      <c r="W433" t="s">
        <v>2723</v>
      </c>
      <c r="X433" t="s">
        <v>599</v>
      </c>
      <c r="Y433" t="s">
        <v>599</v>
      </c>
      <c r="Z433" t="s">
        <v>1182</v>
      </c>
      <c r="AA433" t="s">
        <v>2724</v>
      </c>
      <c r="AB433">
        <v>1895</v>
      </c>
      <c r="AC433">
        <v>1895</v>
      </c>
      <c r="AD433" t="s">
        <v>2725</v>
      </c>
      <c r="AE433" t="s">
        <v>2726</v>
      </c>
      <c r="AF433" t="s">
        <v>599</v>
      </c>
      <c r="AG433" t="s">
        <v>599</v>
      </c>
      <c r="AH433" t="s">
        <v>2727</v>
      </c>
      <c r="AI433" t="s">
        <v>599</v>
      </c>
      <c r="AJ433" t="s">
        <v>599</v>
      </c>
      <c r="AK433" t="s">
        <v>2728</v>
      </c>
      <c r="AL433" t="s">
        <v>1188</v>
      </c>
      <c r="AM433" t="s">
        <v>2729</v>
      </c>
      <c r="AN433" t="s">
        <v>1190</v>
      </c>
      <c r="AO433" t="s">
        <v>2730</v>
      </c>
      <c r="AP433" t="s">
        <v>599</v>
      </c>
      <c r="AQ433" t="s">
        <v>2731</v>
      </c>
      <c r="AR433" t="s">
        <v>599</v>
      </c>
      <c r="AS433" t="s">
        <v>599</v>
      </c>
      <c r="AT433" t="s">
        <v>599</v>
      </c>
      <c r="AU433" t="s">
        <v>599</v>
      </c>
    </row>
    <row r="434" spans="1:47" s="13" customFormat="1" ht="30" x14ac:dyDescent="0.25">
      <c r="A434" s="9"/>
      <c r="B434" s="10">
        <v>321919</v>
      </c>
      <c r="C434" s="10">
        <v>1</v>
      </c>
      <c r="D434" s="9">
        <v>58</v>
      </c>
      <c r="E434" s="11" t="s">
        <v>370</v>
      </c>
      <c r="F434" s="11" t="str">
        <f t="shared" si="18"/>
        <v>https://purl.pt/44111</v>
      </c>
      <c r="G434" s="12" t="s">
        <v>371</v>
      </c>
      <c r="H434" s="9"/>
      <c r="I434" s="34"/>
      <c r="J434" s="55" t="str">
        <f t="shared" si="19"/>
        <v>https://permalinkbnd.bnportugal.gov.pt/viewer/273869/?offset=#page=58&amp;viewer=picture&amp;o=info&amp;n=0&amp;q=</v>
      </c>
      <c r="K434" s="45"/>
      <c r="L434" s="45"/>
      <c r="M434" s="45"/>
      <c r="N434" t="s">
        <v>370</v>
      </c>
      <c r="O434">
        <v>273869</v>
      </c>
      <c r="P434" t="str">
        <f t="shared" si="20"/>
        <v>https://permalinkbnd.bnportugal.gov.pt/viewer/273869/?offset=#page=58&amp;viewer=picture&amp;o=info&amp;n=0&amp;q=</v>
      </c>
      <c r="Q434">
        <v>321919</v>
      </c>
      <c r="R434" t="s">
        <v>370</v>
      </c>
      <c r="S434" t="s">
        <v>2722</v>
      </c>
      <c r="T434" t="s">
        <v>1178</v>
      </c>
      <c r="U434" t="s">
        <v>1209</v>
      </c>
      <c r="V434" t="s">
        <v>599</v>
      </c>
      <c r="W434" t="s">
        <v>2723</v>
      </c>
      <c r="X434" t="s">
        <v>599</v>
      </c>
      <c r="Y434" t="s">
        <v>599</v>
      </c>
      <c r="Z434" t="s">
        <v>1182</v>
      </c>
      <c r="AA434" t="s">
        <v>2724</v>
      </c>
      <c r="AB434">
        <v>1895</v>
      </c>
      <c r="AC434">
        <v>1895</v>
      </c>
      <c r="AD434" t="s">
        <v>2725</v>
      </c>
      <c r="AE434" t="s">
        <v>2726</v>
      </c>
      <c r="AF434" t="s">
        <v>599</v>
      </c>
      <c r="AG434" t="s">
        <v>599</v>
      </c>
      <c r="AH434" t="s">
        <v>2727</v>
      </c>
      <c r="AI434" t="s">
        <v>599</v>
      </c>
      <c r="AJ434" t="s">
        <v>599</v>
      </c>
      <c r="AK434" t="s">
        <v>2728</v>
      </c>
      <c r="AL434" t="s">
        <v>1188</v>
      </c>
      <c r="AM434" t="s">
        <v>2729</v>
      </c>
      <c r="AN434" t="s">
        <v>1190</v>
      </c>
      <c r="AO434" t="s">
        <v>2730</v>
      </c>
      <c r="AP434" t="s">
        <v>599</v>
      </c>
      <c r="AQ434" t="s">
        <v>2731</v>
      </c>
      <c r="AR434" t="s">
        <v>599</v>
      </c>
      <c r="AS434" t="s">
        <v>599</v>
      </c>
      <c r="AT434" t="s">
        <v>599</v>
      </c>
      <c r="AU434" t="s">
        <v>599</v>
      </c>
    </row>
    <row r="435" spans="1:47" s="13" customFormat="1" ht="30" x14ac:dyDescent="0.25">
      <c r="A435" s="9"/>
      <c r="B435" s="10">
        <v>321919</v>
      </c>
      <c r="C435" s="10">
        <v>1</v>
      </c>
      <c r="D435" s="9">
        <v>92</v>
      </c>
      <c r="E435" s="11" t="s">
        <v>370</v>
      </c>
      <c r="F435" s="11" t="str">
        <f t="shared" si="18"/>
        <v>https://purl.pt/44111</v>
      </c>
      <c r="G435" s="12" t="s">
        <v>371</v>
      </c>
      <c r="H435" s="9"/>
      <c r="I435" s="34"/>
      <c r="J435" s="55" t="str">
        <f t="shared" si="19"/>
        <v>https://permalinkbnd.bnportugal.gov.pt/viewer/273869/?offset=#page=92&amp;viewer=picture&amp;o=info&amp;n=0&amp;q=</v>
      </c>
      <c r="K435" s="45"/>
      <c r="L435" s="45"/>
      <c r="M435" s="45"/>
      <c r="N435" t="s">
        <v>370</v>
      </c>
      <c r="O435">
        <v>273869</v>
      </c>
      <c r="P435" t="str">
        <f t="shared" si="20"/>
        <v>https://permalinkbnd.bnportugal.gov.pt/viewer/273869/?offset=#page=92&amp;viewer=picture&amp;o=info&amp;n=0&amp;q=</v>
      </c>
      <c r="Q435">
        <v>321919</v>
      </c>
      <c r="R435" t="s">
        <v>370</v>
      </c>
      <c r="S435" t="s">
        <v>2722</v>
      </c>
      <c r="T435" t="s">
        <v>1178</v>
      </c>
      <c r="U435" t="s">
        <v>1209</v>
      </c>
      <c r="V435" t="s">
        <v>599</v>
      </c>
      <c r="W435" t="s">
        <v>2723</v>
      </c>
      <c r="X435" t="s">
        <v>599</v>
      </c>
      <c r="Y435" t="s">
        <v>599</v>
      </c>
      <c r="Z435" t="s">
        <v>1182</v>
      </c>
      <c r="AA435" t="s">
        <v>2724</v>
      </c>
      <c r="AB435">
        <v>1895</v>
      </c>
      <c r="AC435">
        <v>1895</v>
      </c>
      <c r="AD435" t="s">
        <v>2725</v>
      </c>
      <c r="AE435" t="s">
        <v>2726</v>
      </c>
      <c r="AF435" t="s">
        <v>599</v>
      </c>
      <c r="AG435" t="s">
        <v>599</v>
      </c>
      <c r="AH435" t="s">
        <v>2727</v>
      </c>
      <c r="AI435" t="s">
        <v>599</v>
      </c>
      <c r="AJ435" t="s">
        <v>599</v>
      </c>
      <c r="AK435" t="s">
        <v>2728</v>
      </c>
      <c r="AL435" t="s">
        <v>1188</v>
      </c>
      <c r="AM435" t="s">
        <v>2729</v>
      </c>
      <c r="AN435" t="s">
        <v>1190</v>
      </c>
      <c r="AO435" t="s">
        <v>2730</v>
      </c>
      <c r="AP435" t="s">
        <v>599</v>
      </c>
      <c r="AQ435" t="s">
        <v>2731</v>
      </c>
      <c r="AR435" t="s">
        <v>599</v>
      </c>
      <c r="AS435" t="s">
        <v>599</v>
      </c>
      <c r="AT435" t="s">
        <v>599</v>
      </c>
      <c r="AU435" t="s">
        <v>599</v>
      </c>
    </row>
    <row r="436" spans="1:47" s="13" customFormat="1" ht="30" x14ac:dyDescent="0.25">
      <c r="A436" s="9"/>
      <c r="B436" s="10">
        <v>321919</v>
      </c>
      <c r="C436" s="10">
        <v>1</v>
      </c>
      <c r="D436" s="9">
        <v>115</v>
      </c>
      <c r="E436" s="11" t="s">
        <v>370</v>
      </c>
      <c r="F436" s="11" t="str">
        <f t="shared" si="18"/>
        <v>https://purl.pt/44111</v>
      </c>
      <c r="G436" s="12" t="s">
        <v>371</v>
      </c>
      <c r="H436" s="9"/>
      <c r="I436" s="34"/>
      <c r="J436" s="55" t="str">
        <f t="shared" si="19"/>
        <v>https://permalinkbnd.bnportugal.gov.pt/viewer/273869/?offset=#page=115&amp;viewer=picture&amp;o=info&amp;n=0&amp;q=</v>
      </c>
      <c r="K436" s="45"/>
      <c r="L436" s="45"/>
      <c r="M436" s="45"/>
      <c r="N436" t="s">
        <v>370</v>
      </c>
      <c r="O436">
        <v>273869</v>
      </c>
      <c r="P436" t="str">
        <f t="shared" si="20"/>
        <v>https://permalinkbnd.bnportugal.gov.pt/viewer/273869/?offset=#page=115&amp;viewer=picture&amp;o=info&amp;n=0&amp;q=</v>
      </c>
      <c r="Q436">
        <v>321919</v>
      </c>
      <c r="R436" t="s">
        <v>370</v>
      </c>
      <c r="S436" t="s">
        <v>2722</v>
      </c>
      <c r="T436" t="s">
        <v>1178</v>
      </c>
      <c r="U436" t="s">
        <v>1209</v>
      </c>
      <c r="V436" t="s">
        <v>599</v>
      </c>
      <c r="W436" t="s">
        <v>2723</v>
      </c>
      <c r="X436" t="s">
        <v>599</v>
      </c>
      <c r="Y436" t="s">
        <v>599</v>
      </c>
      <c r="Z436" t="s">
        <v>1182</v>
      </c>
      <c r="AA436" t="s">
        <v>2724</v>
      </c>
      <c r="AB436">
        <v>1895</v>
      </c>
      <c r="AC436">
        <v>1895</v>
      </c>
      <c r="AD436" t="s">
        <v>2725</v>
      </c>
      <c r="AE436" t="s">
        <v>2726</v>
      </c>
      <c r="AF436" t="s">
        <v>599</v>
      </c>
      <c r="AG436" t="s">
        <v>599</v>
      </c>
      <c r="AH436" t="s">
        <v>2727</v>
      </c>
      <c r="AI436" t="s">
        <v>599</v>
      </c>
      <c r="AJ436" t="s">
        <v>599</v>
      </c>
      <c r="AK436" t="s">
        <v>2728</v>
      </c>
      <c r="AL436" t="s">
        <v>1188</v>
      </c>
      <c r="AM436" t="s">
        <v>2729</v>
      </c>
      <c r="AN436" t="s">
        <v>1190</v>
      </c>
      <c r="AO436" t="s">
        <v>2730</v>
      </c>
      <c r="AP436" t="s">
        <v>599</v>
      </c>
      <c r="AQ436" t="s">
        <v>2731</v>
      </c>
      <c r="AR436" t="s">
        <v>599</v>
      </c>
      <c r="AS436" t="s">
        <v>599</v>
      </c>
      <c r="AT436" t="s">
        <v>599</v>
      </c>
      <c r="AU436" t="s">
        <v>599</v>
      </c>
    </row>
    <row r="437" spans="1:47" s="13" customFormat="1" ht="30" x14ac:dyDescent="0.25">
      <c r="A437" s="9"/>
      <c r="B437" s="10">
        <v>321919</v>
      </c>
      <c r="C437" s="10">
        <v>1</v>
      </c>
      <c r="D437" s="9">
        <v>139</v>
      </c>
      <c r="E437" s="11" t="s">
        <v>370</v>
      </c>
      <c r="F437" s="11" t="str">
        <f t="shared" si="18"/>
        <v>https://purl.pt/44111</v>
      </c>
      <c r="G437" s="12" t="s">
        <v>371</v>
      </c>
      <c r="H437" s="9"/>
      <c r="I437" s="34"/>
      <c r="J437" s="55" t="str">
        <f t="shared" si="19"/>
        <v>https://permalinkbnd.bnportugal.gov.pt/viewer/273869/?offset=#page=139&amp;viewer=picture&amp;o=info&amp;n=0&amp;q=</v>
      </c>
      <c r="K437" s="45"/>
      <c r="L437" s="45"/>
      <c r="M437" s="45"/>
      <c r="N437" t="s">
        <v>370</v>
      </c>
      <c r="O437">
        <v>273869</v>
      </c>
      <c r="P437" t="str">
        <f t="shared" si="20"/>
        <v>https://permalinkbnd.bnportugal.gov.pt/viewer/273869/?offset=#page=139&amp;viewer=picture&amp;o=info&amp;n=0&amp;q=</v>
      </c>
      <c r="Q437">
        <v>321919</v>
      </c>
      <c r="R437" t="s">
        <v>370</v>
      </c>
      <c r="S437" t="s">
        <v>2722</v>
      </c>
      <c r="T437" t="s">
        <v>1178</v>
      </c>
      <c r="U437" t="s">
        <v>1209</v>
      </c>
      <c r="V437" t="s">
        <v>599</v>
      </c>
      <c r="W437" t="s">
        <v>2723</v>
      </c>
      <c r="X437" t="s">
        <v>599</v>
      </c>
      <c r="Y437" t="s">
        <v>599</v>
      </c>
      <c r="Z437" t="s">
        <v>1182</v>
      </c>
      <c r="AA437" t="s">
        <v>2724</v>
      </c>
      <c r="AB437">
        <v>1895</v>
      </c>
      <c r="AC437">
        <v>1895</v>
      </c>
      <c r="AD437" t="s">
        <v>2725</v>
      </c>
      <c r="AE437" t="s">
        <v>2726</v>
      </c>
      <c r="AF437" t="s">
        <v>599</v>
      </c>
      <c r="AG437" t="s">
        <v>599</v>
      </c>
      <c r="AH437" t="s">
        <v>2727</v>
      </c>
      <c r="AI437" t="s">
        <v>599</v>
      </c>
      <c r="AJ437" t="s">
        <v>599</v>
      </c>
      <c r="AK437" t="s">
        <v>2728</v>
      </c>
      <c r="AL437" t="s">
        <v>1188</v>
      </c>
      <c r="AM437" t="s">
        <v>2729</v>
      </c>
      <c r="AN437" t="s">
        <v>1190</v>
      </c>
      <c r="AO437" t="s">
        <v>2730</v>
      </c>
      <c r="AP437" t="s">
        <v>599</v>
      </c>
      <c r="AQ437" t="s">
        <v>2731</v>
      </c>
      <c r="AR437" t="s">
        <v>599</v>
      </c>
      <c r="AS437" t="s">
        <v>599</v>
      </c>
      <c r="AT437" t="s">
        <v>599</v>
      </c>
      <c r="AU437" t="s">
        <v>599</v>
      </c>
    </row>
    <row r="438" spans="1:47" s="13" customFormat="1" ht="30" x14ac:dyDescent="0.25">
      <c r="A438" s="9"/>
      <c r="B438" s="10">
        <v>321919</v>
      </c>
      <c r="C438" s="10">
        <v>1</v>
      </c>
      <c r="D438" s="9">
        <v>155</v>
      </c>
      <c r="E438" s="11" t="s">
        <v>370</v>
      </c>
      <c r="F438" s="11" t="str">
        <f t="shared" si="18"/>
        <v>https://purl.pt/44111</v>
      </c>
      <c r="G438" s="12" t="s">
        <v>371</v>
      </c>
      <c r="H438" s="9"/>
      <c r="I438" s="34"/>
      <c r="J438" s="55" t="str">
        <f t="shared" si="19"/>
        <v>https://permalinkbnd.bnportugal.gov.pt/viewer/273869/?offset=#page=155&amp;viewer=picture&amp;o=info&amp;n=0&amp;q=</v>
      </c>
      <c r="K438" s="45"/>
      <c r="L438" s="45"/>
      <c r="M438" s="45"/>
      <c r="N438" t="s">
        <v>370</v>
      </c>
      <c r="O438">
        <v>273869</v>
      </c>
      <c r="P438" t="str">
        <f t="shared" si="20"/>
        <v>https://permalinkbnd.bnportugal.gov.pt/viewer/273869/?offset=#page=155&amp;viewer=picture&amp;o=info&amp;n=0&amp;q=</v>
      </c>
      <c r="Q438">
        <v>321919</v>
      </c>
      <c r="R438" t="s">
        <v>370</v>
      </c>
      <c r="S438" t="s">
        <v>2722</v>
      </c>
      <c r="T438" t="s">
        <v>1178</v>
      </c>
      <c r="U438" t="s">
        <v>1209</v>
      </c>
      <c r="V438" t="s">
        <v>599</v>
      </c>
      <c r="W438" t="s">
        <v>2723</v>
      </c>
      <c r="X438" t="s">
        <v>599</v>
      </c>
      <c r="Y438" t="s">
        <v>599</v>
      </c>
      <c r="Z438" t="s">
        <v>1182</v>
      </c>
      <c r="AA438" t="s">
        <v>2724</v>
      </c>
      <c r="AB438">
        <v>1895</v>
      </c>
      <c r="AC438">
        <v>1895</v>
      </c>
      <c r="AD438" t="s">
        <v>2725</v>
      </c>
      <c r="AE438" t="s">
        <v>2726</v>
      </c>
      <c r="AF438" t="s">
        <v>599</v>
      </c>
      <c r="AG438" t="s">
        <v>599</v>
      </c>
      <c r="AH438" t="s">
        <v>2727</v>
      </c>
      <c r="AI438" t="s">
        <v>599</v>
      </c>
      <c r="AJ438" t="s">
        <v>599</v>
      </c>
      <c r="AK438" t="s">
        <v>2728</v>
      </c>
      <c r="AL438" t="s">
        <v>1188</v>
      </c>
      <c r="AM438" t="s">
        <v>2729</v>
      </c>
      <c r="AN438" t="s">
        <v>1190</v>
      </c>
      <c r="AO438" t="s">
        <v>2730</v>
      </c>
      <c r="AP438" t="s">
        <v>599</v>
      </c>
      <c r="AQ438" t="s">
        <v>2731</v>
      </c>
      <c r="AR438" t="s">
        <v>599</v>
      </c>
      <c r="AS438" t="s">
        <v>599</v>
      </c>
      <c r="AT438" t="s">
        <v>599</v>
      </c>
      <c r="AU438" t="s">
        <v>599</v>
      </c>
    </row>
    <row r="439" spans="1:47" s="13" customFormat="1" ht="30" x14ac:dyDescent="0.25">
      <c r="A439" s="9">
        <v>10937</v>
      </c>
      <c r="B439" s="10">
        <v>322212</v>
      </c>
      <c r="C439" s="10">
        <v>1</v>
      </c>
      <c r="D439" s="9">
        <v>7</v>
      </c>
      <c r="E439" s="11" t="s">
        <v>372</v>
      </c>
      <c r="F439" s="11" t="str">
        <f t="shared" si="18"/>
        <v>https://purl.pt/44395</v>
      </c>
      <c r="G439" s="12" t="s">
        <v>373</v>
      </c>
      <c r="H439" s="9">
        <v>7</v>
      </c>
      <c r="I439" s="34"/>
      <c r="J439" s="55" t="str">
        <f t="shared" si="19"/>
        <v>https://permalinkbnd.bnportugal.gov.pt/viewer/277738/?offset=#page=7&amp;viewer=picture&amp;o=info&amp;n=0&amp;q=</v>
      </c>
      <c r="K439" s="45"/>
      <c r="L439" s="45"/>
      <c r="M439" s="45"/>
      <c r="N439" t="s">
        <v>372</v>
      </c>
      <c r="O439">
        <v>277738</v>
      </c>
      <c r="P439" t="str">
        <f t="shared" si="20"/>
        <v>https://permalinkbnd.bnportugal.gov.pt/viewer/277738/?offset=#page=7&amp;viewer=picture&amp;o=info&amp;n=0&amp;q=</v>
      </c>
      <c r="Q439">
        <v>322212</v>
      </c>
      <c r="R439" t="s">
        <v>372</v>
      </c>
      <c r="S439" t="s">
        <v>2732</v>
      </c>
      <c r="T439" t="s">
        <v>1178</v>
      </c>
      <c r="U439" t="s">
        <v>1502</v>
      </c>
      <c r="V439" t="s">
        <v>599</v>
      </c>
      <c r="W439" t="s">
        <v>2733</v>
      </c>
      <c r="X439" t="s">
        <v>599</v>
      </c>
      <c r="Y439" t="s">
        <v>599</v>
      </c>
      <c r="Z439" t="s">
        <v>1182</v>
      </c>
      <c r="AA439" t="s">
        <v>2734</v>
      </c>
      <c r="AB439">
        <v>1896</v>
      </c>
      <c r="AC439">
        <v>1896</v>
      </c>
      <c r="AD439" t="s">
        <v>2735</v>
      </c>
      <c r="AE439" t="s">
        <v>599</v>
      </c>
      <c r="AF439" t="s">
        <v>599</v>
      </c>
      <c r="AG439" t="s">
        <v>599</v>
      </c>
      <c r="AH439" t="s">
        <v>2736</v>
      </c>
      <c r="AI439" t="s">
        <v>599</v>
      </c>
      <c r="AJ439" t="s">
        <v>599</v>
      </c>
      <c r="AK439" t="s">
        <v>2737</v>
      </c>
      <c r="AL439" t="s">
        <v>1188</v>
      </c>
      <c r="AM439" t="s">
        <v>2738</v>
      </c>
      <c r="AN439" t="s">
        <v>1190</v>
      </c>
      <c r="AO439" t="s">
        <v>599</v>
      </c>
      <c r="AP439" t="s">
        <v>599</v>
      </c>
      <c r="AQ439" t="s">
        <v>599</v>
      </c>
      <c r="AR439" t="s">
        <v>599</v>
      </c>
      <c r="AS439" t="s">
        <v>599</v>
      </c>
      <c r="AT439" t="s">
        <v>599</v>
      </c>
      <c r="AU439" t="s">
        <v>599</v>
      </c>
    </row>
    <row r="440" spans="1:47" s="13" customFormat="1" ht="30" x14ac:dyDescent="0.25">
      <c r="A440" s="9">
        <v>10938</v>
      </c>
      <c r="B440" s="10">
        <v>322214</v>
      </c>
      <c r="C440" s="10">
        <v>1</v>
      </c>
      <c r="D440" s="9">
        <v>10</v>
      </c>
      <c r="E440" s="11" t="s">
        <v>374</v>
      </c>
      <c r="F440" s="11" t="str">
        <f t="shared" si="18"/>
        <v>https://purl.pt/44114</v>
      </c>
      <c r="G440" s="12" t="s">
        <v>375</v>
      </c>
      <c r="H440" s="9" t="s">
        <v>376</v>
      </c>
      <c r="I440" s="34"/>
      <c r="J440" s="55" t="str">
        <f t="shared" si="19"/>
        <v>https://permalinkbnd.bnportugal.gov.pt/viewer/273912/?offset=#page=10&amp;viewer=picture&amp;o=info&amp;n=0&amp;q=</v>
      </c>
      <c r="K440" s="45"/>
      <c r="L440" s="45"/>
      <c r="M440" s="45"/>
      <c r="N440" t="s">
        <v>374</v>
      </c>
      <c r="O440">
        <v>273912</v>
      </c>
      <c r="P440" t="str">
        <f t="shared" si="20"/>
        <v>https://permalinkbnd.bnportugal.gov.pt/viewer/273912/?offset=#page=10&amp;viewer=picture&amp;o=info&amp;n=0&amp;q=</v>
      </c>
      <c r="Q440">
        <v>322214</v>
      </c>
      <c r="R440" t="s">
        <v>374</v>
      </c>
      <c r="S440" t="s">
        <v>2739</v>
      </c>
      <c r="T440" t="s">
        <v>1178</v>
      </c>
      <c r="U440" t="s">
        <v>1403</v>
      </c>
      <c r="V440" t="s">
        <v>599</v>
      </c>
      <c r="W440" t="s">
        <v>2740</v>
      </c>
      <c r="X440" t="s">
        <v>599</v>
      </c>
      <c r="Y440" t="s">
        <v>599</v>
      </c>
      <c r="Z440" t="s">
        <v>1182</v>
      </c>
      <c r="AA440" t="s">
        <v>2741</v>
      </c>
      <c r="AB440">
        <v>1780</v>
      </c>
      <c r="AC440">
        <v>1780</v>
      </c>
      <c r="AD440" t="s">
        <v>2742</v>
      </c>
      <c r="AE440" t="s">
        <v>599</v>
      </c>
      <c r="AF440" t="s">
        <v>599</v>
      </c>
      <c r="AG440" t="s">
        <v>599</v>
      </c>
      <c r="AH440" t="s">
        <v>2743</v>
      </c>
      <c r="AI440" t="s">
        <v>599</v>
      </c>
      <c r="AJ440" t="s">
        <v>599</v>
      </c>
      <c r="AK440" t="s">
        <v>2744</v>
      </c>
      <c r="AL440" t="s">
        <v>1188</v>
      </c>
      <c r="AM440" t="s">
        <v>2745</v>
      </c>
      <c r="AN440" t="s">
        <v>1190</v>
      </c>
      <c r="AO440" t="s">
        <v>2746</v>
      </c>
      <c r="AP440" t="s">
        <v>599</v>
      </c>
      <c r="AQ440" t="s">
        <v>599</v>
      </c>
      <c r="AR440" t="s">
        <v>599</v>
      </c>
      <c r="AS440" t="s">
        <v>599</v>
      </c>
      <c r="AT440" t="s">
        <v>599</v>
      </c>
      <c r="AU440" t="s">
        <v>599</v>
      </c>
    </row>
    <row r="441" spans="1:47" s="13" customFormat="1" ht="30" x14ac:dyDescent="0.25">
      <c r="A441" s="9">
        <v>10939</v>
      </c>
      <c r="B441" s="10">
        <v>322214</v>
      </c>
      <c r="C441" s="10">
        <v>1</v>
      </c>
      <c r="D441" s="9">
        <v>271</v>
      </c>
      <c r="E441" s="11" t="s">
        <v>374</v>
      </c>
      <c r="F441" s="11" t="str">
        <f t="shared" si="18"/>
        <v>https://purl.pt/44114</v>
      </c>
      <c r="G441" s="12" t="s">
        <v>375</v>
      </c>
      <c r="H441" s="9" t="s">
        <v>376</v>
      </c>
      <c r="I441" s="34"/>
      <c r="J441" s="55" t="str">
        <f t="shared" si="19"/>
        <v>https://permalinkbnd.bnportugal.gov.pt/viewer/273912/?offset=#page=271&amp;viewer=picture&amp;o=info&amp;n=0&amp;q=</v>
      </c>
      <c r="K441" s="45"/>
      <c r="L441" s="45"/>
      <c r="M441" s="45"/>
      <c r="N441" t="s">
        <v>374</v>
      </c>
      <c r="O441">
        <v>273912</v>
      </c>
      <c r="P441" t="str">
        <f t="shared" si="20"/>
        <v>https://permalinkbnd.bnportugal.gov.pt/viewer/273912/?offset=#page=271&amp;viewer=picture&amp;o=info&amp;n=0&amp;q=</v>
      </c>
      <c r="Q441">
        <v>322214</v>
      </c>
      <c r="R441" t="s">
        <v>374</v>
      </c>
      <c r="S441" t="s">
        <v>2739</v>
      </c>
      <c r="T441" t="s">
        <v>1178</v>
      </c>
      <c r="U441" t="s">
        <v>1403</v>
      </c>
      <c r="V441" t="s">
        <v>599</v>
      </c>
      <c r="W441" t="s">
        <v>2740</v>
      </c>
      <c r="X441" t="s">
        <v>599</v>
      </c>
      <c r="Y441" t="s">
        <v>599</v>
      </c>
      <c r="Z441" t="s">
        <v>1182</v>
      </c>
      <c r="AA441" t="s">
        <v>2741</v>
      </c>
      <c r="AB441">
        <v>1780</v>
      </c>
      <c r="AC441">
        <v>1780</v>
      </c>
      <c r="AD441" t="s">
        <v>2742</v>
      </c>
      <c r="AE441" t="s">
        <v>599</v>
      </c>
      <c r="AF441" t="s">
        <v>599</v>
      </c>
      <c r="AG441" t="s">
        <v>599</v>
      </c>
      <c r="AH441" t="s">
        <v>2743</v>
      </c>
      <c r="AI441" t="s">
        <v>599</v>
      </c>
      <c r="AJ441" t="s">
        <v>599</v>
      </c>
      <c r="AK441" t="s">
        <v>2744</v>
      </c>
      <c r="AL441" t="s">
        <v>1188</v>
      </c>
      <c r="AM441" t="s">
        <v>2745</v>
      </c>
      <c r="AN441" t="s">
        <v>1190</v>
      </c>
      <c r="AO441" t="s">
        <v>2746</v>
      </c>
      <c r="AP441" t="s">
        <v>599</v>
      </c>
      <c r="AQ441" t="s">
        <v>599</v>
      </c>
      <c r="AR441" t="s">
        <v>599</v>
      </c>
      <c r="AS441" t="s">
        <v>599</v>
      </c>
      <c r="AT441" t="s">
        <v>599</v>
      </c>
      <c r="AU441" t="s">
        <v>599</v>
      </c>
    </row>
    <row r="442" spans="1:47" s="13" customFormat="1" ht="45" x14ac:dyDescent="0.25">
      <c r="A442" s="9">
        <v>10946</v>
      </c>
      <c r="B442" s="10">
        <v>866522</v>
      </c>
      <c r="C442" s="10">
        <v>1</v>
      </c>
      <c r="D442" s="9">
        <v>12</v>
      </c>
      <c r="E442" s="11" t="s">
        <v>377</v>
      </c>
      <c r="F442" s="11" t="str">
        <f t="shared" si="18"/>
        <v>https://purl.pt/43958</v>
      </c>
      <c r="G442" s="12" t="s">
        <v>378</v>
      </c>
      <c r="H442" s="9" t="s">
        <v>379</v>
      </c>
      <c r="I442" s="34"/>
      <c r="J442" s="55" t="str">
        <f t="shared" si="19"/>
        <v>https://permalinkbnd.bnportugal.gov.pt/viewer/272639/?offset=#page=12&amp;viewer=picture&amp;o=info&amp;n=0&amp;q=</v>
      </c>
      <c r="K442" s="45"/>
      <c r="L442" s="45"/>
      <c r="M442" s="45"/>
      <c r="N442" t="s">
        <v>377</v>
      </c>
      <c r="O442">
        <v>272639</v>
      </c>
      <c r="P442" t="str">
        <f t="shared" si="20"/>
        <v>https://permalinkbnd.bnportugal.gov.pt/viewer/272639/?offset=#page=12&amp;viewer=picture&amp;o=info&amp;n=0&amp;q=</v>
      </c>
      <c r="Q442">
        <v>866522</v>
      </c>
      <c r="R442" t="s">
        <v>377</v>
      </c>
      <c r="S442" t="s">
        <v>2747</v>
      </c>
      <c r="T442" t="s">
        <v>1178</v>
      </c>
      <c r="U442" t="s">
        <v>1192</v>
      </c>
      <c r="V442" t="s">
        <v>599</v>
      </c>
      <c r="W442" t="s">
        <v>2748</v>
      </c>
      <c r="X442" t="s">
        <v>599</v>
      </c>
      <c r="Y442" t="s">
        <v>599</v>
      </c>
      <c r="Z442" t="s">
        <v>1182</v>
      </c>
      <c r="AA442" t="s">
        <v>2696</v>
      </c>
      <c r="AB442">
        <v>1932</v>
      </c>
      <c r="AC442">
        <v>1932</v>
      </c>
      <c r="AD442" t="s">
        <v>2749</v>
      </c>
      <c r="AE442" t="s">
        <v>1185</v>
      </c>
      <c r="AF442" t="s">
        <v>599</v>
      </c>
      <c r="AG442" t="s">
        <v>599</v>
      </c>
      <c r="AH442" t="s">
        <v>2750</v>
      </c>
      <c r="AI442" t="s">
        <v>599</v>
      </c>
      <c r="AJ442" t="s">
        <v>599</v>
      </c>
      <c r="AK442" t="s">
        <v>2751</v>
      </c>
      <c r="AL442" t="s">
        <v>1188</v>
      </c>
      <c r="AM442" t="s">
        <v>2752</v>
      </c>
      <c r="AN442" t="s">
        <v>1190</v>
      </c>
      <c r="AO442" t="s">
        <v>599</v>
      </c>
      <c r="AP442" t="s">
        <v>599</v>
      </c>
      <c r="AQ442" t="s">
        <v>599</v>
      </c>
      <c r="AR442" t="s">
        <v>599</v>
      </c>
      <c r="AS442" t="s">
        <v>599</v>
      </c>
      <c r="AT442" t="s">
        <v>599</v>
      </c>
      <c r="AU442" t="s">
        <v>599</v>
      </c>
    </row>
    <row r="443" spans="1:47" s="13" customFormat="1" ht="45" x14ac:dyDescent="0.25">
      <c r="A443" s="9">
        <v>10947</v>
      </c>
      <c r="B443" s="10">
        <v>866522</v>
      </c>
      <c r="C443" s="10">
        <v>1</v>
      </c>
      <c r="D443" s="9">
        <v>173</v>
      </c>
      <c r="E443" s="11" t="s">
        <v>377</v>
      </c>
      <c r="F443" s="11" t="str">
        <f t="shared" si="18"/>
        <v>https://purl.pt/43958</v>
      </c>
      <c r="G443" s="12" t="s">
        <v>378</v>
      </c>
      <c r="H443" s="9" t="s">
        <v>379</v>
      </c>
      <c r="I443" s="34"/>
      <c r="J443" s="55" t="str">
        <f t="shared" si="19"/>
        <v>https://permalinkbnd.bnportugal.gov.pt/viewer/272639/?offset=#page=173&amp;viewer=picture&amp;o=info&amp;n=0&amp;q=</v>
      </c>
      <c r="K443" s="45"/>
      <c r="L443" s="45"/>
      <c r="M443" s="45"/>
      <c r="N443" t="s">
        <v>377</v>
      </c>
      <c r="O443">
        <v>272639</v>
      </c>
      <c r="P443" t="str">
        <f t="shared" si="20"/>
        <v>https://permalinkbnd.bnportugal.gov.pt/viewer/272639/?offset=#page=173&amp;viewer=picture&amp;o=info&amp;n=0&amp;q=</v>
      </c>
      <c r="Q443">
        <v>866522</v>
      </c>
      <c r="R443" t="s">
        <v>377</v>
      </c>
      <c r="S443" t="s">
        <v>2747</v>
      </c>
      <c r="T443" t="s">
        <v>1178</v>
      </c>
      <c r="U443" t="s">
        <v>1192</v>
      </c>
      <c r="V443" t="s">
        <v>599</v>
      </c>
      <c r="W443" t="s">
        <v>2748</v>
      </c>
      <c r="X443" t="s">
        <v>599</v>
      </c>
      <c r="Y443" t="s">
        <v>599</v>
      </c>
      <c r="Z443" t="s">
        <v>1182</v>
      </c>
      <c r="AA443" t="s">
        <v>2696</v>
      </c>
      <c r="AB443">
        <v>1932</v>
      </c>
      <c r="AC443">
        <v>1932</v>
      </c>
      <c r="AD443" t="s">
        <v>2749</v>
      </c>
      <c r="AE443" t="s">
        <v>1185</v>
      </c>
      <c r="AF443" t="s">
        <v>599</v>
      </c>
      <c r="AG443" t="s">
        <v>599</v>
      </c>
      <c r="AH443" t="s">
        <v>2750</v>
      </c>
      <c r="AI443" t="s">
        <v>599</v>
      </c>
      <c r="AJ443" t="s">
        <v>599</v>
      </c>
      <c r="AK443" t="s">
        <v>2751</v>
      </c>
      <c r="AL443" t="s">
        <v>1188</v>
      </c>
      <c r="AM443" t="s">
        <v>2752</v>
      </c>
      <c r="AN443" t="s">
        <v>1190</v>
      </c>
      <c r="AO443" t="s">
        <v>599</v>
      </c>
      <c r="AP443" t="s">
        <v>599</v>
      </c>
      <c r="AQ443" t="s">
        <v>599</v>
      </c>
      <c r="AR443" t="s">
        <v>599</v>
      </c>
      <c r="AS443" t="s">
        <v>599</v>
      </c>
      <c r="AT443" t="s">
        <v>599</v>
      </c>
      <c r="AU443" t="s">
        <v>599</v>
      </c>
    </row>
    <row r="444" spans="1:47" s="13" customFormat="1" ht="45" x14ac:dyDescent="0.25">
      <c r="A444" s="9">
        <v>10948</v>
      </c>
      <c r="B444" s="10">
        <v>866522</v>
      </c>
      <c r="C444" s="10">
        <v>1</v>
      </c>
      <c r="D444" s="9">
        <v>363</v>
      </c>
      <c r="E444" s="11" t="s">
        <v>377</v>
      </c>
      <c r="F444" s="11" t="str">
        <f t="shared" si="18"/>
        <v>https://purl.pt/43958</v>
      </c>
      <c r="G444" s="12" t="s">
        <v>378</v>
      </c>
      <c r="H444" s="9" t="s">
        <v>379</v>
      </c>
      <c r="I444" s="34"/>
      <c r="J444" s="55" t="str">
        <f t="shared" si="19"/>
        <v>https://permalinkbnd.bnportugal.gov.pt/viewer/272639/?offset=#page=363&amp;viewer=picture&amp;o=info&amp;n=0&amp;q=</v>
      </c>
      <c r="K444" s="45"/>
      <c r="L444" s="45"/>
      <c r="M444" s="45"/>
      <c r="N444" t="s">
        <v>377</v>
      </c>
      <c r="O444">
        <v>272639</v>
      </c>
      <c r="P444" t="str">
        <f t="shared" si="20"/>
        <v>https://permalinkbnd.bnportugal.gov.pt/viewer/272639/?offset=#page=363&amp;viewer=picture&amp;o=info&amp;n=0&amp;q=</v>
      </c>
      <c r="Q444">
        <v>866522</v>
      </c>
      <c r="R444" t="s">
        <v>377</v>
      </c>
      <c r="S444" t="s">
        <v>2747</v>
      </c>
      <c r="T444" t="s">
        <v>1178</v>
      </c>
      <c r="U444" t="s">
        <v>1192</v>
      </c>
      <c r="V444" t="s">
        <v>599</v>
      </c>
      <c r="W444" t="s">
        <v>2748</v>
      </c>
      <c r="X444" t="s">
        <v>599</v>
      </c>
      <c r="Y444" t="s">
        <v>599</v>
      </c>
      <c r="Z444" t="s">
        <v>1182</v>
      </c>
      <c r="AA444" t="s">
        <v>2696</v>
      </c>
      <c r="AB444">
        <v>1932</v>
      </c>
      <c r="AC444">
        <v>1932</v>
      </c>
      <c r="AD444" t="s">
        <v>2749</v>
      </c>
      <c r="AE444" t="s">
        <v>1185</v>
      </c>
      <c r="AF444" t="s">
        <v>599</v>
      </c>
      <c r="AG444" t="s">
        <v>599</v>
      </c>
      <c r="AH444" t="s">
        <v>2750</v>
      </c>
      <c r="AI444" t="s">
        <v>599</v>
      </c>
      <c r="AJ444" t="s">
        <v>599</v>
      </c>
      <c r="AK444" t="s">
        <v>2751</v>
      </c>
      <c r="AL444" t="s">
        <v>1188</v>
      </c>
      <c r="AM444" t="s">
        <v>2752</v>
      </c>
      <c r="AN444" t="s">
        <v>1190</v>
      </c>
      <c r="AO444" t="s">
        <v>599</v>
      </c>
      <c r="AP444" t="s">
        <v>599</v>
      </c>
      <c r="AQ444" t="s">
        <v>599</v>
      </c>
      <c r="AR444" t="s">
        <v>599</v>
      </c>
      <c r="AS444" t="s">
        <v>599</v>
      </c>
      <c r="AT444" t="s">
        <v>599</v>
      </c>
      <c r="AU444" t="s">
        <v>599</v>
      </c>
    </row>
    <row r="445" spans="1:47" s="13" customFormat="1" ht="45" x14ac:dyDescent="0.25">
      <c r="A445" s="9">
        <v>10949</v>
      </c>
      <c r="B445" s="10">
        <v>866522</v>
      </c>
      <c r="C445" s="10">
        <v>1</v>
      </c>
      <c r="D445" s="9">
        <v>391</v>
      </c>
      <c r="E445" s="11" t="s">
        <v>377</v>
      </c>
      <c r="F445" s="11" t="str">
        <f t="shared" si="18"/>
        <v>https://purl.pt/43958</v>
      </c>
      <c r="G445" s="12" t="s">
        <v>378</v>
      </c>
      <c r="H445" s="9" t="s">
        <v>379</v>
      </c>
      <c r="I445" s="34"/>
      <c r="J445" s="55" t="str">
        <f t="shared" si="19"/>
        <v>https://permalinkbnd.bnportugal.gov.pt/viewer/272639/?offset=#page=391&amp;viewer=picture&amp;o=info&amp;n=0&amp;q=</v>
      </c>
      <c r="K445" s="45"/>
      <c r="L445" s="45"/>
      <c r="M445" s="45"/>
      <c r="N445" t="s">
        <v>377</v>
      </c>
      <c r="O445">
        <v>272639</v>
      </c>
      <c r="P445" t="str">
        <f t="shared" si="20"/>
        <v>https://permalinkbnd.bnportugal.gov.pt/viewer/272639/?offset=#page=391&amp;viewer=picture&amp;o=info&amp;n=0&amp;q=</v>
      </c>
      <c r="Q445">
        <v>866522</v>
      </c>
      <c r="R445" t="s">
        <v>377</v>
      </c>
      <c r="S445" t="s">
        <v>2747</v>
      </c>
      <c r="T445" t="s">
        <v>1178</v>
      </c>
      <c r="U445" t="s">
        <v>1192</v>
      </c>
      <c r="V445" t="s">
        <v>599</v>
      </c>
      <c r="W445" t="s">
        <v>2748</v>
      </c>
      <c r="X445" t="s">
        <v>599</v>
      </c>
      <c r="Y445" t="s">
        <v>599</v>
      </c>
      <c r="Z445" t="s">
        <v>1182</v>
      </c>
      <c r="AA445" t="s">
        <v>2696</v>
      </c>
      <c r="AB445">
        <v>1932</v>
      </c>
      <c r="AC445">
        <v>1932</v>
      </c>
      <c r="AD445" t="s">
        <v>2749</v>
      </c>
      <c r="AE445" t="s">
        <v>1185</v>
      </c>
      <c r="AF445" t="s">
        <v>599</v>
      </c>
      <c r="AG445" t="s">
        <v>599</v>
      </c>
      <c r="AH445" t="s">
        <v>2750</v>
      </c>
      <c r="AI445" t="s">
        <v>599</v>
      </c>
      <c r="AJ445" t="s">
        <v>599</v>
      </c>
      <c r="AK445" t="s">
        <v>2751</v>
      </c>
      <c r="AL445" t="s">
        <v>1188</v>
      </c>
      <c r="AM445" t="s">
        <v>2752</v>
      </c>
      <c r="AN445" t="s">
        <v>1190</v>
      </c>
      <c r="AO445" t="s">
        <v>599</v>
      </c>
      <c r="AP445" t="s">
        <v>599</v>
      </c>
      <c r="AQ445" t="s">
        <v>599</v>
      </c>
      <c r="AR445" t="s">
        <v>599</v>
      </c>
      <c r="AS445" t="s">
        <v>599</v>
      </c>
      <c r="AT445" t="s">
        <v>599</v>
      </c>
      <c r="AU445" t="s">
        <v>599</v>
      </c>
    </row>
    <row r="446" spans="1:47" s="13" customFormat="1" ht="30" x14ac:dyDescent="0.25">
      <c r="A446" s="9">
        <v>10965</v>
      </c>
      <c r="B446" s="10">
        <v>328432</v>
      </c>
      <c r="C446" s="10">
        <v>1</v>
      </c>
      <c r="D446" s="9">
        <v>1</v>
      </c>
      <c r="E446" s="11" t="s">
        <v>380</v>
      </c>
      <c r="F446" s="11" t="str">
        <f t="shared" si="18"/>
        <v>https://purl.pt/44449</v>
      </c>
      <c r="G446" s="12">
        <v>1</v>
      </c>
      <c r="H446" s="9">
        <v>1</v>
      </c>
      <c r="I446" s="34"/>
      <c r="J446" s="55" t="str">
        <f t="shared" si="19"/>
        <v>https://permalinkbnd.bnportugal.gov.pt/viewer/277836/?offset=#page=1&amp;viewer=picture&amp;o=info&amp;n=0&amp;q=</v>
      </c>
      <c r="K446" s="45"/>
      <c r="L446" s="45"/>
      <c r="M446" s="45"/>
      <c r="N446" t="s">
        <v>380</v>
      </c>
      <c r="O446">
        <v>277836</v>
      </c>
      <c r="P446" t="str">
        <f t="shared" si="20"/>
        <v>https://permalinkbnd.bnportugal.gov.pt/viewer/277836/?offset=#page=1&amp;viewer=picture&amp;o=info&amp;n=0&amp;q=</v>
      </c>
      <c r="Q446">
        <v>328432</v>
      </c>
      <c r="R446" t="s">
        <v>380</v>
      </c>
      <c r="S446" t="s">
        <v>2753</v>
      </c>
      <c r="T446" t="s">
        <v>1178</v>
      </c>
      <c r="U446" t="s">
        <v>1192</v>
      </c>
      <c r="V446" t="s">
        <v>599</v>
      </c>
      <c r="W446" t="s">
        <v>2754</v>
      </c>
      <c r="X446" t="s">
        <v>2755</v>
      </c>
      <c r="Y446" t="s">
        <v>599</v>
      </c>
      <c r="Z446" t="s">
        <v>1182</v>
      </c>
      <c r="AA446" t="s">
        <v>2756</v>
      </c>
      <c r="AB446">
        <v>1880</v>
      </c>
      <c r="AC446">
        <v>1880</v>
      </c>
      <c r="AD446" t="s">
        <v>1463</v>
      </c>
      <c r="AE446" t="s">
        <v>599</v>
      </c>
      <c r="AF446" t="s">
        <v>599</v>
      </c>
      <c r="AG446" t="s">
        <v>599</v>
      </c>
      <c r="AH446" t="s">
        <v>2757</v>
      </c>
      <c r="AI446" t="s">
        <v>599</v>
      </c>
      <c r="AJ446" t="s">
        <v>599</v>
      </c>
      <c r="AK446" t="s">
        <v>2758</v>
      </c>
      <c r="AL446" t="s">
        <v>1188</v>
      </c>
      <c r="AM446" t="s">
        <v>2759</v>
      </c>
      <c r="AN446" t="s">
        <v>1190</v>
      </c>
      <c r="AO446" t="s">
        <v>2760</v>
      </c>
      <c r="AP446" t="s">
        <v>599</v>
      </c>
      <c r="AQ446" t="s">
        <v>599</v>
      </c>
      <c r="AR446" t="s">
        <v>599</v>
      </c>
      <c r="AS446" t="s">
        <v>599</v>
      </c>
      <c r="AT446" t="s">
        <v>599</v>
      </c>
      <c r="AU446" t="s">
        <v>599</v>
      </c>
    </row>
    <row r="447" spans="1:47" s="13" customFormat="1" ht="30" x14ac:dyDescent="0.25">
      <c r="A447" s="9">
        <v>10970</v>
      </c>
      <c r="B447" s="10">
        <v>328922</v>
      </c>
      <c r="C447" s="10">
        <v>1</v>
      </c>
      <c r="D447" s="9">
        <v>10</v>
      </c>
      <c r="E447" s="11" t="s">
        <v>381</v>
      </c>
      <c r="F447" s="11" t="str">
        <f t="shared" si="18"/>
        <v>https://purl.pt/44451</v>
      </c>
      <c r="G447" s="12">
        <v>10</v>
      </c>
      <c r="H447" s="9">
        <v>10</v>
      </c>
      <c r="I447" s="34"/>
      <c r="J447" s="55" t="str">
        <f t="shared" si="19"/>
        <v>https://permalinkbnd.bnportugal.gov.pt/viewer/277820/?offset=#page=10&amp;viewer=picture&amp;o=info&amp;n=0&amp;q=</v>
      </c>
      <c r="K447" s="45"/>
      <c r="L447" s="45"/>
      <c r="M447" s="45"/>
      <c r="N447" t="s">
        <v>381</v>
      </c>
      <c r="O447">
        <v>277820</v>
      </c>
      <c r="P447" t="str">
        <f t="shared" si="20"/>
        <v>https://permalinkbnd.bnportugal.gov.pt/viewer/277820/?offset=#page=10&amp;viewer=picture&amp;o=info&amp;n=0&amp;q=</v>
      </c>
      <c r="Q447">
        <v>328922</v>
      </c>
      <c r="R447" t="s">
        <v>381</v>
      </c>
      <c r="S447" t="s">
        <v>2761</v>
      </c>
      <c r="T447" t="s">
        <v>1178</v>
      </c>
      <c r="U447" t="s">
        <v>1192</v>
      </c>
      <c r="V447" t="s">
        <v>599</v>
      </c>
      <c r="W447" t="s">
        <v>2762</v>
      </c>
      <c r="X447" t="s">
        <v>2763</v>
      </c>
      <c r="Y447" t="s">
        <v>599</v>
      </c>
      <c r="Z447" t="s">
        <v>1182</v>
      </c>
      <c r="AA447" t="s">
        <v>2764</v>
      </c>
      <c r="AB447">
        <v>1889</v>
      </c>
      <c r="AC447">
        <v>1889</v>
      </c>
      <c r="AD447" t="s">
        <v>2765</v>
      </c>
      <c r="AE447" t="s">
        <v>2766</v>
      </c>
      <c r="AF447" t="s">
        <v>599</v>
      </c>
      <c r="AG447" t="s">
        <v>599</v>
      </c>
      <c r="AH447" t="s">
        <v>599</v>
      </c>
      <c r="AI447" t="s">
        <v>599</v>
      </c>
      <c r="AJ447" t="s">
        <v>599</v>
      </c>
      <c r="AK447" t="s">
        <v>2767</v>
      </c>
      <c r="AL447" t="s">
        <v>1188</v>
      </c>
      <c r="AM447" t="s">
        <v>2768</v>
      </c>
      <c r="AN447" t="s">
        <v>1190</v>
      </c>
      <c r="AO447" t="s">
        <v>599</v>
      </c>
      <c r="AP447" t="s">
        <v>599</v>
      </c>
      <c r="AQ447" t="s">
        <v>599</v>
      </c>
      <c r="AR447" t="s">
        <v>599</v>
      </c>
      <c r="AS447" t="s">
        <v>599</v>
      </c>
      <c r="AT447" t="s">
        <v>599</v>
      </c>
      <c r="AU447" t="s">
        <v>599</v>
      </c>
    </row>
    <row r="448" spans="1:47" s="13" customFormat="1" ht="30" x14ac:dyDescent="0.25">
      <c r="A448" s="9">
        <v>10980</v>
      </c>
      <c r="B448" s="10">
        <v>329068</v>
      </c>
      <c r="C448" s="10">
        <v>1</v>
      </c>
      <c r="D448" s="9">
        <v>8</v>
      </c>
      <c r="E448" s="11" t="s">
        <v>382</v>
      </c>
      <c r="F448" s="11" t="str">
        <f t="shared" si="18"/>
        <v>https://purl.pt/44459</v>
      </c>
      <c r="G448" s="12" t="s">
        <v>383</v>
      </c>
      <c r="H448" s="9" t="s">
        <v>384</v>
      </c>
      <c r="I448" s="34"/>
      <c r="J448" s="55" t="str">
        <f t="shared" si="19"/>
        <v>https://permalinkbnd.bnportugal.gov.pt/viewer/277966/?offset=#page=8&amp;viewer=picture&amp;o=info&amp;n=0&amp;q=</v>
      </c>
      <c r="K448" s="45"/>
      <c r="L448" s="45"/>
      <c r="M448" s="45"/>
      <c r="N448" t="s">
        <v>382</v>
      </c>
      <c r="O448">
        <v>277966</v>
      </c>
      <c r="P448" t="str">
        <f t="shared" si="20"/>
        <v>https://permalinkbnd.bnportugal.gov.pt/viewer/277966/?offset=#page=8&amp;viewer=picture&amp;o=info&amp;n=0&amp;q=</v>
      </c>
      <c r="Q448">
        <v>329068</v>
      </c>
      <c r="R448" t="s">
        <v>382</v>
      </c>
      <c r="S448" t="s">
        <v>2769</v>
      </c>
      <c r="T448" t="s">
        <v>1178</v>
      </c>
      <c r="U448" t="s">
        <v>1192</v>
      </c>
      <c r="V448" t="s">
        <v>599</v>
      </c>
      <c r="W448" t="s">
        <v>2770</v>
      </c>
      <c r="X448" t="s">
        <v>599</v>
      </c>
      <c r="Y448" t="s">
        <v>599</v>
      </c>
      <c r="Z448" t="s">
        <v>2771</v>
      </c>
      <c r="AA448" t="s">
        <v>2704</v>
      </c>
      <c r="AB448">
        <v>1870</v>
      </c>
      <c r="AC448">
        <v>1870</v>
      </c>
      <c r="AD448" t="s">
        <v>2772</v>
      </c>
      <c r="AE448" t="s">
        <v>599</v>
      </c>
      <c r="AF448" t="s">
        <v>599</v>
      </c>
      <c r="AG448" t="s">
        <v>599</v>
      </c>
      <c r="AH448" t="s">
        <v>2773</v>
      </c>
      <c r="AI448" t="s">
        <v>599</v>
      </c>
      <c r="AJ448" t="s">
        <v>599</v>
      </c>
      <c r="AK448" t="s">
        <v>2774</v>
      </c>
      <c r="AL448" t="s">
        <v>1188</v>
      </c>
      <c r="AM448" t="s">
        <v>2775</v>
      </c>
      <c r="AN448" t="s">
        <v>1190</v>
      </c>
      <c r="AO448" t="s">
        <v>2776</v>
      </c>
      <c r="AP448" t="s">
        <v>599</v>
      </c>
      <c r="AQ448" t="s">
        <v>599</v>
      </c>
      <c r="AR448" t="s">
        <v>599</v>
      </c>
      <c r="AS448" t="s">
        <v>599</v>
      </c>
      <c r="AT448" t="s">
        <v>599</v>
      </c>
      <c r="AU448" t="s">
        <v>599</v>
      </c>
    </row>
    <row r="449" spans="1:47" s="13" customFormat="1" ht="30" x14ac:dyDescent="0.25">
      <c r="A449" s="9">
        <v>10981</v>
      </c>
      <c r="B449" s="10">
        <v>329068</v>
      </c>
      <c r="C449" s="10">
        <v>1</v>
      </c>
      <c r="D449" s="9">
        <v>118</v>
      </c>
      <c r="E449" s="11" t="s">
        <v>382</v>
      </c>
      <c r="F449" s="11" t="str">
        <f t="shared" si="18"/>
        <v>https://purl.pt/44459</v>
      </c>
      <c r="G449" s="12" t="s">
        <v>383</v>
      </c>
      <c r="H449" s="9" t="s">
        <v>384</v>
      </c>
      <c r="I449" s="34"/>
      <c r="J449" s="55" t="str">
        <f t="shared" si="19"/>
        <v>https://permalinkbnd.bnportugal.gov.pt/viewer/277966/?offset=#page=118&amp;viewer=picture&amp;o=info&amp;n=0&amp;q=</v>
      </c>
      <c r="K449" s="45"/>
      <c r="L449" s="45"/>
      <c r="M449" s="45"/>
      <c r="N449" t="s">
        <v>382</v>
      </c>
      <c r="O449">
        <v>277966</v>
      </c>
      <c r="P449" t="str">
        <f t="shared" si="20"/>
        <v>https://permalinkbnd.bnportugal.gov.pt/viewer/277966/?offset=#page=118&amp;viewer=picture&amp;o=info&amp;n=0&amp;q=</v>
      </c>
      <c r="Q449">
        <v>329068</v>
      </c>
      <c r="R449" t="s">
        <v>382</v>
      </c>
      <c r="S449" t="s">
        <v>2769</v>
      </c>
      <c r="T449" t="s">
        <v>1178</v>
      </c>
      <c r="U449" t="s">
        <v>1192</v>
      </c>
      <c r="V449" t="s">
        <v>599</v>
      </c>
      <c r="W449" t="s">
        <v>2770</v>
      </c>
      <c r="X449" t="s">
        <v>599</v>
      </c>
      <c r="Y449" t="s">
        <v>599</v>
      </c>
      <c r="Z449" t="s">
        <v>2771</v>
      </c>
      <c r="AA449" t="s">
        <v>2704</v>
      </c>
      <c r="AB449">
        <v>1870</v>
      </c>
      <c r="AC449">
        <v>1870</v>
      </c>
      <c r="AD449" t="s">
        <v>2772</v>
      </c>
      <c r="AE449" t="s">
        <v>599</v>
      </c>
      <c r="AF449" t="s">
        <v>599</v>
      </c>
      <c r="AG449" t="s">
        <v>599</v>
      </c>
      <c r="AH449" t="s">
        <v>2773</v>
      </c>
      <c r="AI449" t="s">
        <v>599</v>
      </c>
      <c r="AJ449" t="s">
        <v>599</v>
      </c>
      <c r="AK449" t="s">
        <v>2774</v>
      </c>
      <c r="AL449" t="s">
        <v>1188</v>
      </c>
      <c r="AM449" t="s">
        <v>2775</v>
      </c>
      <c r="AN449" t="s">
        <v>1190</v>
      </c>
      <c r="AO449" t="s">
        <v>2776</v>
      </c>
      <c r="AP449" t="s">
        <v>599</v>
      </c>
      <c r="AQ449" t="s">
        <v>599</v>
      </c>
      <c r="AR449" t="s">
        <v>599</v>
      </c>
      <c r="AS449" t="s">
        <v>599</v>
      </c>
      <c r="AT449" t="s">
        <v>599</v>
      </c>
      <c r="AU449" t="s">
        <v>599</v>
      </c>
    </row>
    <row r="450" spans="1:47" s="13" customFormat="1" ht="30" x14ac:dyDescent="0.25">
      <c r="A450" s="9">
        <v>11017</v>
      </c>
      <c r="B450" s="10">
        <v>330080</v>
      </c>
      <c r="C450" s="10">
        <v>1</v>
      </c>
      <c r="D450" s="9">
        <v>24</v>
      </c>
      <c r="E450" s="11" t="s">
        <v>385</v>
      </c>
      <c r="F450" s="11" t="str">
        <f t="shared" si="18"/>
        <v>https://purl.pt/44490</v>
      </c>
      <c r="G450" s="12" t="s">
        <v>386</v>
      </c>
      <c r="H450" s="9">
        <v>24</v>
      </c>
      <c r="I450" s="34"/>
      <c r="J450" s="55" t="str">
        <f t="shared" si="19"/>
        <v>https://permalinkbnd.bnportugal.gov.pt/viewer/278039/?offset=#page=24&amp;viewer=picture&amp;o=info&amp;n=0&amp;q=</v>
      </c>
      <c r="K450" s="45"/>
      <c r="L450" s="45"/>
      <c r="M450" s="45"/>
      <c r="N450" t="s">
        <v>385</v>
      </c>
      <c r="O450">
        <v>278039</v>
      </c>
      <c r="P450" t="str">
        <f t="shared" si="20"/>
        <v>https://permalinkbnd.bnportugal.gov.pt/viewer/278039/?offset=#page=24&amp;viewer=picture&amp;o=info&amp;n=0&amp;q=</v>
      </c>
      <c r="Q450">
        <v>330080</v>
      </c>
      <c r="R450" t="s">
        <v>385</v>
      </c>
      <c r="S450" t="s">
        <v>2777</v>
      </c>
      <c r="T450" t="s">
        <v>1178</v>
      </c>
      <c r="U450" t="s">
        <v>1192</v>
      </c>
      <c r="V450" t="s">
        <v>599</v>
      </c>
      <c r="W450" t="s">
        <v>2778</v>
      </c>
      <c r="X450" t="s">
        <v>599</v>
      </c>
      <c r="Y450" t="s">
        <v>599</v>
      </c>
      <c r="Z450" t="s">
        <v>1182</v>
      </c>
      <c r="AA450" t="s">
        <v>2779</v>
      </c>
      <c r="AB450">
        <v>1880</v>
      </c>
      <c r="AC450">
        <v>1880</v>
      </c>
      <c r="AD450" t="s">
        <v>2780</v>
      </c>
      <c r="AE450" t="s">
        <v>2781</v>
      </c>
      <c r="AF450" t="s">
        <v>599</v>
      </c>
      <c r="AG450" t="s">
        <v>599</v>
      </c>
      <c r="AH450" t="s">
        <v>599</v>
      </c>
      <c r="AI450" t="s">
        <v>599</v>
      </c>
      <c r="AJ450" t="s">
        <v>599</v>
      </c>
      <c r="AK450" t="s">
        <v>2782</v>
      </c>
      <c r="AL450" t="s">
        <v>1188</v>
      </c>
      <c r="AM450" t="s">
        <v>2783</v>
      </c>
      <c r="AN450" t="s">
        <v>1190</v>
      </c>
      <c r="AO450" t="s">
        <v>2784</v>
      </c>
      <c r="AP450" t="s">
        <v>599</v>
      </c>
      <c r="AQ450" t="s">
        <v>599</v>
      </c>
      <c r="AR450" t="s">
        <v>599</v>
      </c>
      <c r="AS450" t="s">
        <v>599</v>
      </c>
      <c r="AT450" t="s">
        <v>599</v>
      </c>
      <c r="AU450" t="s">
        <v>599</v>
      </c>
    </row>
    <row r="451" spans="1:47" s="13" customFormat="1" ht="30" x14ac:dyDescent="0.25">
      <c r="A451" s="9">
        <v>11023</v>
      </c>
      <c r="B451" s="10">
        <v>330133</v>
      </c>
      <c r="C451" s="10">
        <v>1</v>
      </c>
      <c r="D451" s="9">
        <v>8</v>
      </c>
      <c r="E451" s="11" t="s">
        <v>387</v>
      </c>
      <c r="F451" s="11" t="str">
        <f t="shared" ref="F451:F511" si="21">HYPERLINK(E451)</f>
        <v>https://purl.pt/44489</v>
      </c>
      <c r="G451" s="12" t="s">
        <v>388</v>
      </c>
      <c r="H451" s="9" t="s">
        <v>389</v>
      </c>
      <c r="I451" s="34"/>
      <c r="J451" s="55" t="str">
        <f t="shared" ref="J451:J514" si="22">HYPERLINK(P451)</f>
        <v>https://permalinkbnd.bnportugal.gov.pt/viewer/278038/?offset=#page=8&amp;viewer=picture&amp;o=info&amp;n=0&amp;q=</v>
      </c>
      <c r="K451" s="45"/>
      <c r="L451" s="45"/>
      <c r="M451" s="45"/>
      <c r="N451" t="s">
        <v>387</v>
      </c>
      <c r="O451">
        <v>278038</v>
      </c>
      <c r="P451" t="str">
        <f t="shared" ref="P451:P514" si="23">CONCATENATE("https://permalinkbnd.bnportugal.gov.pt/viewer/",O451,"/?offset=#page=",D451,"&amp;viewer=picture&amp;o=info&amp;n=0&amp;q=")</f>
        <v>https://permalinkbnd.bnportugal.gov.pt/viewer/278038/?offset=#page=8&amp;viewer=picture&amp;o=info&amp;n=0&amp;q=</v>
      </c>
      <c r="Q451">
        <v>330133</v>
      </c>
      <c r="R451" t="s">
        <v>387</v>
      </c>
      <c r="S451" t="s">
        <v>2785</v>
      </c>
      <c r="T451" t="s">
        <v>1178</v>
      </c>
      <c r="U451" t="s">
        <v>1192</v>
      </c>
      <c r="V451" t="s">
        <v>599</v>
      </c>
      <c r="W451" t="s">
        <v>1105</v>
      </c>
      <c r="X451" t="s">
        <v>2786</v>
      </c>
      <c r="Y451" t="s">
        <v>599</v>
      </c>
      <c r="Z451" t="s">
        <v>1182</v>
      </c>
      <c r="AA451" t="s">
        <v>2787</v>
      </c>
      <c r="AB451">
        <v>1849</v>
      </c>
      <c r="AC451">
        <v>1849</v>
      </c>
      <c r="AD451" t="s">
        <v>2788</v>
      </c>
      <c r="AE451" t="s">
        <v>2789</v>
      </c>
      <c r="AF451" t="s">
        <v>599</v>
      </c>
      <c r="AG451" t="s">
        <v>599</v>
      </c>
      <c r="AH451" t="s">
        <v>599</v>
      </c>
      <c r="AI451" t="s">
        <v>599</v>
      </c>
      <c r="AJ451" t="s">
        <v>599</v>
      </c>
      <c r="AK451" t="s">
        <v>2790</v>
      </c>
      <c r="AL451" t="s">
        <v>1188</v>
      </c>
      <c r="AM451" t="s">
        <v>2791</v>
      </c>
      <c r="AN451" t="s">
        <v>1190</v>
      </c>
      <c r="AO451" t="s">
        <v>2792</v>
      </c>
      <c r="AP451" t="s">
        <v>599</v>
      </c>
      <c r="AQ451" t="s">
        <v>599</v>
      </c>
      <c r="AR451" t="s">
        <v>599</v>
      </c>
      <c r="AS451" t="s">
        <v>599</v>
      </c>
      <c r="AT451" t="s">
        <v>599</v>
      </c>
      <c r="AU451" t="s">
        <v>599</v>
      </c>
    </row>
    <row r="452" spans="1:47" s="13" customFormat="1" ht="30" x14ac:dyDescent="0.25">
      <c r="A452" s="9">
        <v>11024</v>
      </c>
      <c r="B452" s="10">
        <v>330133</v>
      </c>
      <c r="C452" s="10">
        <v>1</v>
      </c>
      <c r="D452" s="9">
        <v>303</v>
      </c>
      <c r="E452" s="11" t="s">
        <v>387</v>
      </c>
      <c r="F452" s="11" t="str">
        <f t="shared" si="21"/>
        <v>https://purl.pt/44489</v>
      </c>
      <c r="G452" s="12" t="s">
        <v>388</v>
      </c>
      <c r="H452" s="9" t="s">
        <v>389</v>
      </c>
      <c r="I452" s="34"/>
      <c r="J452" s="55" t="str">
        <f t="shared" si="22"/>
        <v>https://permalinkbnd.bnportugal.gov.pt/viewer/278038/?offset=#page=303&amp;viewer=picture&amp;o=info&amp;n=0&amp;q=</v>
      </c>
      <c r="K452" s="45"/>
      <c r="L452" s="45"/>
      <c r="M452" s="45"/>
      <c r="N452" t="s">
        <v>387</v>
      </c>
      <c r="O452">
        <v>278038</v>
      </c>
      <c r="P452" t="str">
        <f t="shared" si="23"/>
        <v>https://permalinkbnd.bnportugal.gov.pt/viewer/278038/?offset=#page=303&amp;viewer=picture&amp;o=info&amp;n=0&amp;q=</v>
      </c>
      <c r="Q452">
        <v>330133</v>
      </c>
      <c r="R452" t="s">
        <v>387</v>
      </c>
      <c r="S452" t="s">
        <v>2785</v>
      </c>
      <c r="T452" t="s">
        <v>1178</v>
      </c>
      <c r="U452" t="s">
        <v>1192</v>
      </c>
      <c r="V452" t="s">
        <v>599</v>
      </c>
      <c r="W452" t="s">
        <v>1105</v>
      </c>
      <c r="X452" t="s">
        <v>2786</v>
      </c>
      <c r="Y452" t="s">
        <v>599</v>
      </c>
      <c r="Z452" t="s">
        <v>1182</v>
      </c>
      <c r="AA452" t="s">
        <v>2787</v>
      </c>
      <c r="AB452">
        <v>1849</v>
      </c>
      <c r="AC452">
        <v>1849</v>
      </c>
      <c r="AD452" t="s">
        <v>2788</v>
      </c>
      <c r="AE452" t="s">
        <v>2789</v>
      </c>
      <c r="AF452" t="s">
        <v>599</v>
      </c>
      <c r="AG452" t="s">
        <v>599</v>
      </c>
      <c r="AH452" t="s">
        <v>599</v>
      </c>
      <c r="AI452" t="s">
        <v>599</v>
      </c>
      <c r="AJ452" t="s">
        <v>599</v>
      </c>
      <c r="AK452" t="s">
        <v>2790</v>
      </c>
      <c r="AL452" t="s">
        <v>1188</v>
      </c>
      <c r="AM452" t="s">
        <v>2791</v>
      </c>
      <c r="AN452" t="s">
        <v>1190</v>
      </c>
      <c r="AO452" t="s">
        <v>2792</v>
      </c>
      <c r="AP452" t="s">
        <v>599</v>
      </c>
      <c r="AQ452" t="s">
        <v>599</v>
      </c>
      <c r="AR452" t="s">
        <v>599</v>
      </c>
      <c r="AS452" t="s">
        <v>599</v>
      </c>
      <c r="AT452" t="s">
        <v>599</v>
      </c>
      <c r="AU452" t="s">
        <v>599</v>
      </c>
    </row>
    <row r="453" spans="1:47" s="13" customFormat="1" ht="30" x14ac:dyDescent="0.25">
      <c r="A453" s="9">
        <v>11026</v>
      </c>
      <c r="B453" s="10">
        <v>473486</v>
      </c>
      <c r="C453" s="10">
        <v>1</v>
      </c>
      <c r="D453" s="9">
        <v>68</v>
      </c>
      <c r="E453" s="11" t="s">
        <v>390</v>
      </c>
      <c r="F453" s="11" t="str">
        <f t="shared" si="21"/>
        <v>https://purl.pt/44488</v>
      </c>
      <c r="G453" s="12" t="s">
        <v>391</v>
      </c>
      <c r="H453" s="9"/>
      <c r="I453" s="34"/>
      <c r="J453" s="55" t="str">
        <f t="shared" si="22"/>
        <v>https://permalinkbnd.bnportugal.gov.pt/viewer/278031/?offset=#page=68&amp;viewer=picture&amp;o=info&amp;n=0&amp;q=</v>
      </c>
      <c r="K453" s="45"/>
      <c r="L453" s="45"/>
      <c r="M453" s="45"/>
      <c r="N453" t="s">
        <v>390</v>
      </c>
      <c r="O453">
        <v>278031</v>
      </c>
      <c r="P453" t="str">
        <f t="shared" si="23"/>
        <v>https://permalinkbnd.bnportugal.gov.pt/viewer/278031/?offset=#page=68&amp;viewer=picture&amp;o=info&amp;n=0&amp;q=</v>
      </c>
      <c r="Q453">
        <v>473486</v>
      </c>
      <c r="R453" t="s">
        <v>390</v>
      </c>
      <c r="S453" t="s">
        <v>2793</v>
      </c>
      <c r="T453" t="s">
        <v>1517</v>
      </c>
      <c r="U453" t="s">
        <v>1192</v>
      </c>
      <c r="V453" t="s">
        <v>599</v>
      </c>
      <c r="W453" t="s">
        <v>2794</v>
      </c>
      <c r="X453" t="s">
        <v>599</v>
      </c>
      <c r="Y453" t="s">
        <v>599</v>
      </c>
      <c r="Z453" t="s">
        <v>1182</v>
      </c>
      <c r="AA453" t="s">
        <v>599</v>
      </c>
      <c r="AB453">
        <v>1847</v>
      </c>
      <c r="AC453">
        <v>1847</v>
      </c>
      <c r="AD453" t="s">
        <v>2795</v>
      </c>
      <c r="AE453" t="s">
        <v>2796</v>
      </c>
      <c r="AF453" t="s">
        <v>599</v>
      </c>
      <c r="AG453" t="s">
        <v>599</v>
      </c>
      <c r="AH453" t="s">
        <v>2306</v>
      </c>
      <c r="AI453" t="s">
        <v>599</v>
      </c>
      <c r="AJ453" t="s">
        <v>599</v>
      </c>
      <c r="AK453" t="s">
        <v>2797</v>
      </c>
      <c r="AL453" t="s">
        <v>1188</v>
      </c>
      <c r="AM453" t="s">
        <v>2798</v>
      </c>
      <c r="AN453" t="s">
        <v>1190</v>
      </c>
      <c r="AO453" t="s">
        <v>2799</v>
      </c>
      <c r="AP453" t="s">
        <v>599</v>
      </c>
      <c r="AQ453" t="s">
        <v>599</v>
      </c>
      <c r="AR453" t="s">
        <v>599</v>
      </c>
      <c r="AS453" t="s">
        <v>599</v>
      </c>
      <c r="AT453" t="s">
        <v>599</v>
      </c>
      <c r="AU453" t="s">
        <v>599</v>
      </c>
    </row>
    <row r="454" spans="1:47" s="13" customFormat="1" ht="30" x14ac:dyDescent="0.25">
      <c r="A454" s="9">
        <v>11027</v>
      </c>
      <c r="B454" s="10">
        <v>473496</v>
      </c>
      <c r="C454" s="10">
        <v>1</v>
      </c>
      <c r="D454" s="9">
        <v>1</v>
      </c>
      <c r="E454" s="11" t="s">
        <v>392</v>
      </c>
      <c r="F454" s="11" t="str">
        <f t="shared" si="21"/>
        <v>https://purl.pt/44475</v>
      </c>
      <c r="G454" s="12" t="s">
        <v>393</v>
      </c>
      <c r="H454" s="9">
        <v>1</v>
      </c>
      <c r="I454" s="34"/>
      <c r="J454" s="55" t="str">
        <f t="shared" si="22"/>
        <v>https://permalinkbnd.bnportugal.gov.pt/viewer/278032/?offset=#page=1&amp;viewer=picture&amp;o=info&amp;n=0&amp;q=</v>
      </c>
      <c r="K454" s="45"/>
      <c r="L454" s="45"/>
      <c r="M454" s="45"/>
      <c r="N454" t="s">
        <v>392</v>
      </c>
      <c r="O454">
        <v>278032</v>
      </c>
      <c r="P454" t="str">
        <f t="shared" si="23"/>
        <v>https://permalinkbnd.bnportugal.gov.pt/viewer/278032/?offset=#page=1&amp;viewer=picture&amp;o=info&amp;n=0&amp;q=</v>
      </c>
      <c r="Q454">
        <v>473496</v>
      </c>
      <c r="R454" t="s">
        <v>392</v>
      </c>
      <c r="S454" t="s">
        <v>2800</v>
      </c>
      <c r="T454" t="s">
        <v>1178</v>
      </c>
      <c r="U454" t="s">
        <v>1192</v>
      </c>
      <c r="V454" t="s">
        <v>599</v>
      </c>
      <c r="W454" t="s">
        <v>2801</v>
      </c>
      <c r="X454" t="s">
        <v>599</v>
      </c>
      <c r="Y454" t="s">
        <v>599</v>
      </c>
      <c r="Z454" t="s">
        <v>1182</v>
      </c>
      <c r="AA454" t="s">
        <v>2802</v>
      </c>
      <c r="AB454">
        <v>1845</v>
      </c>
      <c r="AC454">
        <v>1845</v>
      </c>
      <c r="AD454" t="s">
        <v>2803</v>
      </c>
      <c r="AE454" t="s">
        <v>2804</v>
      </c>
      <c r="AF454" t="s">
        <v>599</v>
      </c>
      <c r="AG454" t="s">
        <v>599</v>
      </c>
      <c r="AH454" t="s">
        <v>599</v>
      </c>
      <c r="AI454" t="s">
        <v>599</v>
      </c>
      <c r="AJ454" t="s">
        <v>599</v>
      </c>
      <c r="AK454" t="s">
        <v>2805</v>
      </c>
      <c r="AL454" t="s">
        <v>1188</v>
      </c>
      <c r="AM454" t="s">
        <v>2806</v>
      </c>
      <c r="AN454" t="s">
        <v>1190</v>
      </c>
      <c r="AO454" t="s">
        <v>1524</v>
      </c>
      <c r="AP454" t="s">
        <v>599</v>
      </c>
      <c r="AQ454" t="s">
        <v>599</v>
      </c>
      <c r="AR454" t="s">
        <v>599</v>
      </c>
      <c r="AS454" t="s">
        <v>599</v>
      </c>
      <c r="AT454" t="s">
        <v>599</v>
      </c>
      <c r="AU454" t="s">
        <v>599</v>
      </c>
    </row>
    <row r="455" spans="1:47" s="13" customFormat="1" ht="45" x14ac:dyDescent="0.25">
      <c r="A455" s="9">
        <v>11046</v>
      </c>
      <c r="B455" s="10">
        <v>330264</v>
      </c>
      <c r="C455" s="10">
        <v>1</v>
      </c>
      <c r="D455" s="9">
        <v>136</v>
      </c>
      <c r="E455" s="11" t="s">
        <v>394</v>
      </c>
      <c r="F455" s="11" t="str">
        <f t="shared" si="21"/>
        <v>https://purl.pt/44521</v>
      </c>
      <c r="G455" s="12" t="s">
        <v>395</v>
      </c>
      <c r="H455" s="9" t="s">
        <v>396</v>
      </c>
      <c r="I455" s="34"/>
      <c r="J455" s="55" t="str">
        <f t="shared" si="22"/>
        <v>https://permalinkbnd.bnportugal.gov.pt/viewer/278097/?offset=#page=136&amp;viewer=picture&amp;o=info&amp;n=0&amp;q=</v>
      </c>
      <c r="K455" s="45"/>
      <c r="L455" s="45"/>
      <c r="M455" s="45"/>
      <c r="N455" t="s">
        <v>394</v>
      </c>
      <c r="O455">
        <v>278097</v>
      </c>
      <c r="P455" t="str">
        <f t="shared" si="23"/>
        <v>https://permalinkbnd.bnportugal.gov.pt/viewer/278097/?offset=#page=136&amp;viewer=picture&amp;o=info&amp;n=0&amp;q=</v>
      </c>
      <c r="Q455">
        <v>330264</v>
      </c>
      <c r="R455" t="s">
        <v>394</v>
      </c>
      <c r="S455" t="s">
        <v>2807</v>
      </c>
      <c r="T455" t="s">
        <v>1178</v>
      </c>
      <c r="U455" t="s">
        <v>1192</v>
      </c>
      <c r="V455" t="s">
        <v>599</v>
      </c>
      <c r="W455" t="s">
        <v>2808</v>
      </c>
      <c r="X455" t="s">
        <v>599</v>
      </c>
      <c r="Y455" t="s">
        <v>599</v>
      </c>
      <c r="Z455" t="s">
        <v>1182</v>
      </c>
      <c r="AA455" t="s">
        <v>2809</v>
      </c>
      <c r="AB455">
        <v>1893</v>
      </c>
      <c r="AC455">
        <v>1893</v>
      </c>
      <c r="AD455" t="s">
        <v>2810</v>
      </c>
      <c r="AE455" t="s">
        <v>2811</v>
      </c>
      <c r="AF455" t="s">
        <v>599</v>
      </c>
      <c r="AG455" t="s">
        <v>599</v>
      </c>
      <c r="AH455" t="s">
        <v>599</v>
      </c>
      <c r="AI455" t="s">
        <v>599</v>
      </c>
      <c r="AJ455" t="s">
        <v>599</v>
      </c>
      <c r="AK455" t="s">
        <v>2812</v>
      </c>
      <c r="AL455" t="s">
        <v>1188</v>
      </c>
      <c r="AM455" t="s">
        <v>2813</v>
      </c>
      <c r="AN455" t="s">
        <v>1190</v>
      </c>
      <c r="AO455" t="s">
        <v>599</v>
      </c>
      <c r="AP455" t="s">
        <v>599</v>
      </c>
      <c r="AQ455" t="s">
        <v>599</v>
      </c>
      <c r="AR455" t="s">
        <v>599</v>
      </c>
      <c r="AS455" t="s">
        <v>599</v>
      </c>
      <c r="AT455" t="s">
        <v>599</v>
      </c>
      <c r="AU455" t="s">
        <v>599</v>
      </c>
    </row>
    <row r="456" spans="1:47" s="13" customFormat="1" ht="45" x14ac:dyDescent="0.25">
      <c r="A456" s="9">
        <v>11047</v>
      </c>
      <c r="B456" s="10">
        <v>330264</v>
      </c>
      <c r="C456" s="10">
        <v>1</v>
      </c>
      <c r="D456" s="9">
        <v>138</v>
      </c>
      <c r="E456" s="11" t="s">
        <v>394</v>
      </c>
      <c r="F456" s="11" t="str">
        <f t="shared" si="21"/>
        <v>https://purl.pt/44521</v>
      </c>
      <c r="G456" s="12" t="s">
        <v>395</v>
      </c>
      <c r="H456" s="9" t="s">
        <v>396</v>
      </c>
      <c r="I456" s="34"/>
      <c r="J456" s="55" t="str">
        <f t="shared" si="22"/>
        <v>https://permalinkbnd.bnportugal.gov.pt/viewer/278097/?offset=#page=138&amp;viewer=picture&amp;o=info&amp;n=0&amp;q=</v>
      </c>
      <c r="K456" s="45"/>
      <c r="L456" s="45"/>
      <c r="M456" s="45"/>
      <c r="N456" t="s">
        <v>394</v>
      </c>
      <c r="O456">
        <v>278097</v>
      </c>
      <c r="P456" t="str">
        <f t="shared" si="23"/>
        <v>https://permalinkbnd.bnportugal.gov.pt/viewer/278097/?offset=#page=138&amp;viewer=picture&amp;o=info&amp;n=0&amp;q=</v>
      </c>
      <c r="Q456">
        <v>330264</v>
      </c>
      <c r="R456" t="s">
        <v>394</v>
      </c>
      <c r="S456" t="s">
        <v>2807</v>
      </c>
      <c r="T456" t="s">
        <v>1178</v>
      </c>
      <c r="U456" t="s">
        <v>1192</v>
      </c>
      <c r="V456" t="s">
        <v>599</v>
      </c>
      <c r="W456" t="s">
        <v>2808</v>
      </c>
      <c r="X456" t="s">
        <v>599</v>
      </c>
      <c r="Y456" t="s">
        <v>599</v>
      </c>
      <c r="Z456" t="s">
        <v>1182</v>
      </c>
      <c r="AA456" t="s">
        <v>2809</v>
      </c>
      <c r="AB456">
        <v>1893</v>
      </c>
      <c r="AC456">
        <v>1893</v>
      </c>
      <c r="AD456" t="s">
        <v>2810</v>
      </c>
      <c r="AE456" t="s">
        <v>2811</v>
      </c>
      <c r="AF456" t="s">
        <v>599</v>
      </c>
      <c r="AG456" t="s">
        <v>599</v>
      </c>
      <c r="AH456" t="s">
        <v>599</v>
      </c>
      <c r="AI456" t="s">
        <v>599</v>
      </c>
      <c r="AJ456" t="s">
        <v>599</v>
      </c>
      <c r="AK456" t="s">
        <v>2812</v>
      </c>
      <c r="AL456" t="s">
        <v>1188</v>
      </c>
      <c r="AM456" t="s">
        <v>2813</v>
      </c>
      <c r="AN456" t="s">
        <v>1190</v>
      </c>
      <c r="AO456" t="s">
        <v>599</v>
      </c>
      <c r="AP456" t="s">
        <v>599</v>
      </c>
      <c r="AQ456" t="s">
        <v>599</v>
      </c>
      <c r="AR456" t="s">
        <v>599</v>
      </c>
      <c r="AS456" t="s">
        <v>599</v>
      </c>
      <c r="AT456" t="s">
        <v>599</v>
      </c>
      <c r="AU456" t="s">
        <v>599</v>
      </c>
    </row>
    <row r="457" spans="1:47" s="13" customFormat="1" ht="45" x14ac:dyDescent="0.25">
      <c r="A457" s="9">
        <v>11048</v>
      </c>
      <c r="B457" s="10">
        <v>330264</v>
      </c>
      <c r="C457" s="10">
        <v>1</v>
      </c>
      <c r="D457" s="9">
        <v>140</v>
      </c>
      <c r="E457" s="11" t="s">
        <v>394</v>
      </c>
      <c r="F457" s="11" t="str">
        <f t="shared" si="21"/>
        <v>https://purl.pt/44521</v>
      </c>
      <c r="G457" s="12" t="s">
        <v>395</v>
      </c>
      <c r="H457" s="9" t="s">
        <v>396</v>
      </c>
      <c r="I457" s="34"/>
      <c r="J457" s="55" t="str">
        <f t="shared" si="22"/>
        <v>https://permalinkbnd.bnportugal.gov.pt/viewer/278097/?offset=#page=140&amp;viewer=picture&amp;o=info&amp;n=0&amp;q=</v>
      </c>
      <c r="K457" s="45"/>
      <c r="L457" s="45"/>
      <c r="M457" s="45"/>
      <c r="N457" t="s">
        <v>394</v>
      </c>
      <c r="O457">
        <v>278097</v>
      </c>
      <c r="P457" t="str">
        <f t="shared" si="23"/>
        <v>https://permalinkbnd.bnportugal.gov.pt/viewer/278097/?offset=#page=140&amp;viewer=picture&amp;o=info&amp;n=0&amp;q=</v>
      </c>
      <c r="Q457">
        <v>330264</v>
      </c>
      <c r="R457" t="s">
        <v>394</v>
      </c>
      <c r="S457" t="s">
        <v>2807</v>
      </c>
      <c r="T457" t="s">
        <v>1178</v>
      </c>
      <c r="U457" t="s">
        <v>1192</v>
      </c>
      <c r="V457" t="s">
        <v>599</v>
      </c>
      <c r="W457" t="s">
        <v>2808</v>
      </c>
      <c r="X457" t="s">
        <v>599</v>
      </c>
      <c r="Y457" t="s">
        <v>599</v>
      </c>
      <c r="Z457" t="s">
        <v>1182</v>
      </c>
      <c r="AA457" t="s">
        <v>2809</v>
      </c>
      <c r="AB457">
        <v>1893</v>
      </c>
      <c r="AC457">
        <v>1893</v>
      </c>
      <c r="AD457" t="s">
        <v>2810</v>
      </c>
      <c r="AE457" t="s">
        <v>2811</v>
      </c>
      <c r="AF457" t="s">
        <v>599</v>
      </c>
      <c r="AG457" t="s">
        <v>599</v>
      </c>
      <c r="AH457" t="s">
        <v>599</v>
      </c>
      <c r="AI457" t="s">
        <v>599</v>
      </c>
      <c r="AJ457" t="s">
        <v>599</v>
      </c>
      <c r="AK457" t="s">
        <v>2812</v>
      </c>
      <c r="AL457" t="s">
        <v>1188</v>
      </c>
      <c r="AM457" t="s">
        <v>2813</v>
      </c>
      <c r="AN457" t="s">
        <v>1190</v>
      </c>
      <c r="AO457" t="s">
        <v>599</v>
      </c>
      <c r="AP457" t="s">
        <v>599</v>
      </c>
      <c r="AQ457" t="s">
        <v>599</v>
      </c>
      <c r="AR457" t="s">
        <v>599</v>
      </c>
      <c r="AS457" t="s">
        <v>599</v>
      </c>
      <c r="AT457" t="s">
        <v>599</v>
      </c>
      <c r="AU457" t="s">
        <v>599</v>
      </c>
    </row>
    <row r="458" spans="1:47" s="13" customFormat="1" ht="45" x14ac:dyDescent="0.25">
      <c r="A458" s="9">
        <v>11049</v>
      </c>
      <c r="B458" s="10">
        <v>330264</v>
      </c>
      <c r="C458" s="10">
        <v>1</v>
      </c>
      <c r="D458" s="9">
        <v>142</v>
      </c>
      <c r="E458" s="11" t="s">
        <v>394</v>
      </c>
      <c r="F458" s="11" t="str">
        <f t="shared" si="21"/>
        <v>https://purl.pt/44521</v>
      </c>
      <c r="G458" s="12" t="s">
        <v>395</v>
      </c>
      <c r="H458" s="9" t="s">
        <v>396</v>
      </c>
      <c r="I458" s="34"/>
      <c r="J458" s="55" t="str">
        <f t="shared" si="22"/>
        <v>https://permalinkbnd.bnportugal.gov.pt/viewer/278097/?offset=#page=142&amp;viewer=picture&amp;o=info&amp;n=0&amp;q=</v>
      </c>
      <c r="K458" s="45"/>
      <c r="L458" s="45"/>
      <c r="M458" s="45"/>
      <c r="N458" t="s">
        <v>394</v>
      </c>
      <c r="O458">
        <v>278097</v>
      </c>
      <c r="P458" t="str">
        <f t="shared" si="23"/>
        <v>https://permalinkbnd.bnportugal.gov.pt/viewer/278097/?offset=#page=142&amp;viewer=picture&amp;o=info&amp;n=0&amp;q=</v>
      </c>
      <c r="Q458">
        <v>330264</v>
      </c>
      <c r="R458" t="s">
        <v>394</v>
      </c>
      <c r="S458" t="s">
        <v>2807</v>
      </c>
      <c r="T458" t="s">
        <v>1178</v>
      </c>
      <c r="U458" t="s">
        <v>1192</v>
      </c>
      <c r="V458" t="s">
        <v>599</v>
      </c>
      <c r="W458" t="s">
        <v>2808</v>
      </c>
      <c r="X458" t="s">
        <v>599</v>
      </c>
      <c r="Y458" t="s">
        <v>599</v>
      </c>
      <c r="Z458" t="s">
        <v>1182</v>
      </c>
      <c r="AA458" t="s">
        <v>2809</v>
      </c>
      <c r="AB458">
        <v>1893</v>
      </c>
      <c r="AC458">
        <v>1893</v>
      </c>
      <c r="AD458" t="s">
        <v>2810</v>
      </c>
      <c r="AE458" t="s">
        <v>2811</v>
      </c>
      <c r="AF458" t="s">
        <v>599</v>
      </c>
      <c r="AG458" t="s">
        <v>599</v>
      </c>
      <c r="AH458" t="s">
        <v>599</v>
      </c>
      <c r="AI458" t="s">
        <v>599</v>
      </c>
      <c r="AJ458" t="s">
        <v>599</v>
      </c>
      <c r="AK458" t="s">
        <v>2812</v>
      </c>
      <c r="AL458" t="s">
        <v>1188</v>
      </c>
      <c r="AM458" t="s">
        <v>2813</v>
      </c>
      <c r="AN458" t="s">
        <v>1190</v>
      </c>
      <c r="AO458" t="s">
        <v>599</v>
      </c>
      <c r="AP458" t="s">
        <v>599</v>
      </c>
      <c r="AQ458" t="s">
        <v>599</v>
      </c>
      <c r="AR458" t="s">
        <v>599</v>
      </c>
      <c r="AS458" t="s">
        <v>599</v>
      </c>
      <c r="AT458" t="s">
        <v>599</v>
      </c>
      <c r="AU458" t="s">
        <v>599</v>
      </c>
    </row>
    <row r="459" spans="1:47" s="13" customFormat="1" ht="45" x14ac:dyDescent="0.25">
      <c r="A459" s="9">
        <v>11050</v>
      </c>
      <c r="B459" s="10">
        <v>330264</v>
      </c>
      <c r="C459" s="10">
        <v>1</v>
      </c>
      <c r="D459" s="9">
        <v>144</v>
      </c>
      <c r="E459" s="11" t="s">
        <v>394</v>
      </c>
      <c r="F459" s="11" t="str">
        <f t="shared" si="21"/>
        <v>https://purl.pt/44521</v>
      </c>
      <c r="G459" s="12" t="s">
        <v>395</v>
      </c>
      <c r="H459" s="9" t="s">
        <v>396</v>
      </c>
      <c r="I459" s="34"/>
      <c r="J459" s="55" t="str">
        <f t="shared" si="22"/>
        <v>https://permalinkbnd.bnportugal.gov.pt/viewer/278097/?offset=#page=144&amp;viewer=picture&amp;o=info&amp;n=0&amp;q=</v>
      </c>
      <c r="K459" s="45"/>
      <c r="L459" s="45"/>
      <c r="M459" s="45"/>
      <c r="N459" t="s">
        <v>394</v>
      </c>
      <c r="O459">
        <v>278097</v>
      </c>
      <c r="P459" t="str">
        <f t="shared" si="23"/>
        <v>https://permalinkbnd.bnportugal.gov.pt/viewer/278097/?offset=#page=144&amp;viewer=picture&amp;o=info&amp;n=0&amp;q=</v>
      </c>
      <c r="Q459">
        <v>330264</v>
      </c>
      <c r="R459" t="s">
        <v>394</v>
      </c>
      <c r="S459" t="s">
        <v>2807</v>
      </c>
      <c r="T459" t="s">
        <v>1178</v>
      </c>
      <c r="U459" t="s">
        <v>1192</v>
      </c>
      <c r="V459" t="s">
        <v>599</v>
      </c>
      <c r="W459" t="s">
        <v>2808</v>
      </c>
      <c r="X459" t="s">
        <v>599</v>
      </c>
      <c r="Y459" t="s">
        <v>599</v>
      </c>
      <c r="Z459" t="s">
        <v>1182</v>
      </c>
      <c r="AA459" t="s">
        <v>2809</v>
      </c>
      <c r="AB459">
        <v>1893</v>
      </c>
      <c r="AC459">
        <v>1893</v>
      </c>
      <c r="AD459" t="s">
        <v>2810</v>
      </c>
      <c r="AE459" t="s">
        <v>2811</v>
      </c>
      <c r="AF459" t="s">
        <v>599</v>
      </c>
      <c r="AG459" t="s">
        <v>599</v>
      </c>
      <c r="AH459" t="s">
        <v>599</v>
      </c>
      <c r="AI459" t="s">
        <v>599</v>
      </c>
      <c r="AJ459" t="s">
        <v>599</v>
      </c>
      <c r="AK459" t="s">
        <v>2812</v>
      </c>
      <c r="AL459" t="s">
        <v>1188</v>
      </c>
      <c r="AM459" t="s">
        <v>2813</v>
      </c>
      <c r="AN459" t="s">
        <v>1190</v>
      </c>
      <c r="AO459" t="s">
        <v>599</v>
      </c>
      <c r="AP459" t="s">
        <v>599</v>
      </c>
      <c r="AQ459" t="s">
        <v>599</v>
      </c>
      <c r="AR459" t="s">
        <v>599</v>
      </c>
      <c r="AS459" t="s">
        <v>599</v>
      </c>
      <c r="AT459" t="s">
        <v>599</v>
      </c>
      <c r="AU459" t="s">
        <v>599</v>
      </c>
    </row>
    <row r="460" spans="1:47" s="13" customFormat="1" ht="30" x14ac:dyDescent="0.25">
      <c r="A460" s="9">
        <v>11051</v>
      </c>
      <c r="B460" s="10">
        <v>455278</v>
      </c>
      <c r="C460" s="10">
        <v>1</v>
      </c>
      <c r="D460" s="9">
        <v>8</v>
      </c>
      <c r="E460" s="11" t="s">
        <v>397</v>
      </c>
      <c r="F460" s="11" t="str">
        <f t="shared" si="21"/>
        <v>https://purl.pt/44525</v>
      </c>
      <c r="G460" s="12" t="s">
        <v>398</v>
      </c>
      <c r="H460" s="9">
        <v>8</v>
      </c>
      <c r="I460" s="34"/>
      <c r="J460" s="55" t="str">
        <f t="shared" si="22"/>
        <v>https://permalinkbnd.bnportugal.gov.pt/viewer/278099/?offset=#page=8&amp;viewer=picture&amp;o=info&amp;n=0&amp;q=</v>
      </c>
      <c r="K460" s="45"/>
      <c r="L460" s="45"/>
      <c r="M460" s="45"/>
      <c r="N460" t="s">
        <v>397</v>
      </c>
      <c r="O460">
        <v>278099</v>
      </c>
      <c r="P460" t="str">
        <f t="shared" si="23"/>
        <v>https://permalinkbnd.bnportugal.gov.pt/viewer/278099/?offset=#page=8&amp;viewer=picture&amp;o=info&amp;n=0&amp;q=</v>
      </c>
      <c r="Q460">
        <v>455278</v>
      </c>
      <c r="R460" t="s">
        <v>397</v>
      </c>
      <c r="S460" t="s">
        <v>2814</v>
      </c>
      <c r="T460" t="s">
        <v>1178</v>
      </c>
      <c r="U460" t="s">
        <v>1362</v>
      </c>
      <c r="V460" t="s">
        <v>1192</v>
      </c>
      <c r="W460" t="s">
        <v>2815</v>
      </c>
      <c r="X460" t="s">
        <v>2816</v>
      </c>
      <c r="Y460" t="s">
        <v>599</v>
      </c>
      <c r="Z460" t="s">
        <v>1182</v>
      </c>
      <c r="AA460" t="s">
        <v>2817</v>
      </c>
      <c r="AB460">
        <v>1800</v>
      </c>
      <c r="AC460">
        <v>1800</v>
      </c>
      <c r="AD460" t="s">
        <v>2818</v>
      </c>
      <c r="AE460" t="s">
        <v>1185</v>
      </c>
      <c r="AF460" t="s">
        <v>599</v>
      </c>
      <c r="AG460" t="s">
        <v>599</v>
      </c>
      <c r="AH460" t="s">
        <v>599</v>
      </c>
      <c r="AI460" t="s">
        <v>599</v>
      </c>
      <c r="AJ460" t="s">
        <v>599</v>
      </c>
      <c r="AK460" t="s">
        <v>2819</v>
      </c>
      <c r="AL460" t="s">
        <v>1188</v>
      </c>
      <c r="AM460" t="s">
        <v>2820</v>
      </c>
      <c r="AN460" t="s">
        <v>1190</v>
      </c>
      <c r="AO460" t="s">
        <v>599</v>
      </c>
      <c r="AP460" t="s">
        <v>599</v>
      </c>
      <c r="AQ460" t="s">
        <v>599</v>
      </c>
      <c r="AR460" t="s">
        <v>599</v>
      </c>
      <c r="AS460" t="s">
        <v>599</v>
      </c>
      <c r="AT460" t="s">
        <v>599</v>
      </c>
      <c r="AU460" t="s">
        <v>599</v>
      </c>
    </row>
    <row r="461" spans="1:47" s="13" customFormat="1" ht="30" x14ac:dyDescent="0.25">
      <c r="A461" s="9">
        <v>11068</v>
      </c>
      <c r="B461" s="10">
        <v>367321</v>
      </c>
      <c r="C461" s="10">
        <v>1</v>
      </c>
      <c r="D461" s="9">
        <v>5</v>
      </c>
      <c r="E461" s="11" t="s">
        <v>399</v>
      </c>
      <c r="F461" s="11" t="str">
        <f t="shared" si="21"/>
        <v>https://purl.pt/44558</v>
      </c>
      <c r="G461" s="12" t="s">
        <v>400</v>
      </c>
      <c r="H461" s="9" t="s">
        <v>401</v>
      </c>
      <c r="I461" s="34"/>
      <c r="J461" s="55" t="str">
        <f t="shared" si="22"/>
        <v>https://permalinkbnd.bnportugal.gov.pt/viewer/1897/?offset=#page=5&amp;viewer=picture&amp;o=info&amp;n=0&amp;q=</v>
      </c>
      <c r="K461" s="45"/>
      <c r="L461" s="45"/>
      <c r="M461" s="45"/>
      <c r="N461" t="s">
        <v>399</v>
      </c>
      <c r="O461">
        <v>1897</v>
      </c>
      <c r="P461" t="str">
        <f t="shared" si="23"/>
        <v>https://permalinkbnd.bnportugal.gov.pt/viewer/1897/?offset=#page=5&amp;viewer=picture&amp;o=info&amp;n=0&amp;q=</v>
      </c>
      <c r="Q461">
        <v>367321</v>
      </c>
      <c r="R461" t="s">
        <v>399</v>
      </c>
      <c r="S461" t="s">
        <v>2821</v>
      </c>
      <c r="T461" t="s">
        <v>1226</v>
      </c>
      <c r="U461" t="s">
        <v>1192</v>
      </c>
      <c r="V461" t="s">
        <v>599</v>
      </c>
      <c r="W461" t="s">
        <v>2822</v>
      </c>
      <c r="X461" t="s">
        <v>599</v>
      </c>
      <c r="Y461" t="s">
        <v>599</v>
      </c>
      <c r="Z461" t="s">
        <v>1182</v>
      </c>
      <c r="AA461" t="s">
        <v>2823</v>
      </c>
      <c r="AB461">
        <v>1896</v>
      </c>
      <c r="AC461">
        <v>1896</v>
      </c>
      <c r="AD461" t="s">
        <v>2824</v>
      </c>
      <c r="AE461" t="s">
        <v>599</v>
      </c>
      <c r="AF461" t="s">
        <v>599</v>
      </c>
      <c r="AG461" t="s">
        <v>599</v>
      </c>
      <c r="AH461" t="s">
        <v>2825</v>
      </c>
      <c r="AI461" t="s">
        <v>599</v>
      </c>
      <c r="AJ461" t="s">
        <v>599</v>
      </c>
      <c r="AK461" t="s">
        <v>2826</v>
      </c>
      <c r="AL461" t="s">
        <v>1188</v>
      </c>
      <c r="AM461" t="s">
        <v>2827</v>
      </c>
      <c r="AN461" t="s">
        <v>1190</v>
      </c>
      <c r="AO461" t="s">
        <v>599</v>
      </c>
      <c r="AP461" t="s">
        <v>599</v>
      </c>
      <c r="AQ461" t="s">
        <v>599</v>
      </c>
      <c r="AR461" t="s">
        <v>599</v>
      </c>
      <c r="AS461" t="s">
        <v>599</v>
      </c>
      <c r="AT461" t="s">
        <v>599</v>
      </c>
      <c r="AU461" t="s">
        <v>599</v>
      </c>
    </row>
    <row r="462" spans="1:47" s="13" customFormat="1" ht="30" x14ac:dyDescent="0.25">
      <c r="A462" s="9">
        <v>11069</v>
      </c>
      <c r="B462" s="10">
        <v>367321</v>
      </c>
      <c r="C462" s="10">
        <v>1</v>
      </c>
      <c r="D462" s="9">
        <v>39</v>
      </c>
      <c r="E462" s="11" t="s">
        <v>399</v>
      </c>
      <c r="F462" s="11" t="str">
        <f t="shared" si="21"/>
        <v>https://purl.pt/44558</v>
      </c>
      <c r="G462" s="12" t="s">
        <v>400</v>
      </c>
      <c r="H462" s="9" t="s">
        <v>401</v>
      </c>
      <c r="I462" s="34"/>
      <c r="J462" s="55" t="str">
        <f t="shared" si="22"/>
        <v>https://permalinkbnd.bnportugal.gov.pt/viewer/1897/?offset=#page=39&amp;viewer=picture&amp;o=info&amp;n=0&amp;q=</v>
      </c>
      <c r="K462" s="45"/>
      <c r="L462" s="45"/>
      <c r="M462" s="45"/>
      <c r="N462" t="s">
        <v>399</v>
      </c>
      <c r="O462">
        <v>1897</v>
      </c>
      <c r="P462" t="str">
        <f t="shared" si="23"/>
        <v>https://permalinkbnd.bnportugal.gov.pt/viewer/1897/?offset=#page=39&amp;viewer=picture&amp;o=info&amp;n=0&amp;q=</v>
      </c>
      <c r="Q462">
        <v>367321</v>
      </c>
      <c r="R462" t="s">
        <v>399</v>
      </c>
      <c r="S462" t="s">
        <v>2821</v>
      </c>
      <c r="T462" t="s">
        <v>1226</v>
      </c>
      <c r="U462" t="s">
        <v>1192</v>
      </c>
      <c r="V462" t="s">
        <v>599</v>
      </c>
      <c r="W462" t="s">
        <v>2822</v>
      </c>
      <c r="X462" t="s">
        <v>599</v>
      </c>
      <c r="Y462" t="s">
        <v>599</v>
      </c>
      <c r="Z462" t="s">
        <v>1182</v>
      </c>
      <c r="AA462" t="s">
        <v>2823</v>
      </c>
      <c r="AB462">
        <v>1896</v>
      </c>
      <c r="AC462">
        <v>1896</v>
      </c>
      <c r="AD462" t="s">
        <v>2824</v>
      </c>
      <c r="AE462" t="s">
        <v>599</v>
      </c>
      <c r="AF462" t="s">
        <v>599</v>
      </c>
      <c r="AG462" t="s">
        <v>599</v>
      </c>
      <c r="AH462" t="s">
        <v>2825</v>
      </c>
      <c r="AI462" t="s">
        <v>599</v>
      </c>
      <c r="AJ462" t="s">
        <v>599</v>
      </c>
      <c r="AK462" t="s">
        <v>2826</v>
      </c>
      <c r="AL462" t="s">
        <v>1188</v>
      </c>
      <c r="AM462" t="s">
        <v>2827</v>
      </c>
      <c r="AN462" t="s">
        <v>1190</v>
      </c>
      <c r="AO462" t="s">
        <v>599</v>
      </c>
      <c r="AP462" t="s">
        <v>599</v>
      </c>
      <c r="AQ462" t="s">
        <v>599</v>
      </c>
      <c r="AR462" t="s">
        <v>599</v>
      </c>
      <c r="AS462" t="s">
        <v>599</v>
      </c>
      <c r="AT462" t="s">
        <v>599</v>
      </c>
      <c r="AU462" t="s">
        <v>599</v>
      </c>
    </row>
    <row r="463" spans="1:47" s="13" customFormat="1" ht="30" x14ac:dyDescent="0.25">
      <c r="A463" s="9">
        <v>11070</v>
      </c>
      <c r="B463" s="10">
        <v>367321</v>
      </c>
      <c r="C463" s="10">
        <v>1</v>
      </c>
      <c r="D463" s="9">
        <v>71</v>
      </c>
      <c r="E463" s="11" t="s">
        <v>399</v>
      </c>
      <c r="F463" s="11" t="str">
        <f t="shared" si="21"/>
        <v>https://purl.pt/44558</v>
      </c>
      <c r="G463" s="12" t="s">
        <v>400</v>
      </c>
      <c r="H463" s="9" t="s">
        <v>401</v>
      </c>
      <c r="I463" s="34"/>
      <c r="J463" s="55" t="str">
        <f t="shared" si="22"/>
        <v>https://permalinkbnd.bnportugal.gov.pt/viewer/1897/?offset=#page=71&amp;viewer=picture&amp;o=info&amp;n=0&amp;q=</v>
      </c>
      <c r="K463" s="45"/>
      <c r="L463" s="45"/>
      <c r="M463" s="45"/>
      <c r="N463" t="s">
        <v>399</v>
      </c>
      <c r="O463">
        <v>1897</v>
      </c>
      <c r="P463" t="str">
        <f t="shared" si="23"/>
        <v>https://permalinkbnd.bnportugal.gov.pt/viewer/1897/?offset=#page=71&amp;viewer=picture&amp;o=info&amp;n=0&amp;q=</v>
      </c>
      <c r="Q463">
        <v>367321</v>
      </c>
      <c r="R463" t="s">
        <v>399</v>
      </c>
      <c r="S463" t="s">
        <v>2821</v>
      </c>
      <c r="T463" t="s">
        <v>1226</v>
      </c>
      <c r="U463" t="s">
        <v>1192</v>
      </c>
      <c r="V463" t="s">
        <v>599</v>
      </c>
      <c r="W463" t="s">
        <v>2822</v>
      </c>
      <c r="X463" t="s">
        <v>599</v>
      </c>
      <c r="Y463" t="s">
        <v>599</v>
      </c>
      <c r="Z463" t="s">
        <v>1182</v>
      </c>
      <c r="AA463" t="s">
        <v>2823</v>
      </c>
      <c r="AB463">
        <v>1896</v>
      </c>
      <c r="AC463">
        <v>1896</v>
      </c>
      <c r="AD463" t="s">
        <v>2824</v>
      </c>
      <c r="AE463" t="s">
        <v>599</v>
      </c>
      <c r="AF463" t="s">
        <v>599</v>
      </c>
      <c r="AG463" t="s">
        <v>599</v>
      </c>
      <c r="AH463" t="s">
        <v>2825</v>
      </c>
      <c r="AI463" t="s">
        <v>599</v>
      </c>
      <c r="AJ463" t="s">
        <v>599</v>
      </c>
      <c r="AK463" t="s">
        <v>2826</v>
      </c>
      <c r="AL463" t="s">
        <v>1188</v>
      </c>
      <c r="AM463" t="s">
        <v>2827</v>
      </c>
      <c r="AN463" t="s">
        <v>1190</v>
      </c>
      <c r="AO463" t="s">
        <v>599</v>
      </c>
      <c r="AP463" t="s">
        <v>599</v>
      </c>
      <c r="AQ463" t="s">
        <v>599</v>
      </c>
      <c r="AR463" t="s">
        <v>599</v>
      </c>
      <c r="AS463" t="s">
        <v>599</v>
      </c>
      <c r="AT463" t="s">
        <v>599</v>
      </c>
      <c r="AU463" t="s">
        <v>599</v>
      </c>
    </row>
    <row r="464" spans="1:47" s="13" customFormat="1" ht="30" x14ac:dyDescent="0.25">
      <c r="A464" s="9">
        <v>11071</v>
      </c>
      <c r="B464" s="10">
        <v>367321</v>
      </c>
      <c r="C464" s="10">
        <v>1</v>
      </c>
      <c r="D464" s="9">
        <v>151</v>
      </c>
      <c r="E464" s="11" t="s">
        <v>399</v>
      </c>
      <c r="F464" s="11" t="str">
        <f t="shared" si="21"/>
        <v>https://purl.pt/44558</v>
      </c>
      <c r="G464" s="12" t="s">
        <v>400</v>
      </c>
      <c r="H464" s="9" t="s">
        <v>401</v>
      </c>
      <c r="I464" s="34"/>
      <c r="J464" s="55" t="str">
        <f t="shared" si="22"/>
        <v>https://permalinkbnd.bnportugal.gov.pt/viewer/1897/?offset=#page=151&amp;viewer=picture&amp;o=info&amp;n=0&amp;q=</v>
      </c>
      <c r="K464" s="45"/>
      <c r="L464" s="45"/>
      <c r="M464" s="45"/>
      <c r="N464" t="s">
        <v>399</v>
      </c>
      <c r="O464">
        <v>1897</v>
      </c>
      <c r="P464" t="str">
        <f t="shared" si="23"/>
        <v>https://permalinkbnd.bnportugal.gov.pt/viewer/1897/?offset=#page=151&amp;viewer=picture&amp;o=info&amp;n=0&amp;q=</v>
      </c>
      <c r="Q464">
        <v>367321</v>
      </c>
      <c r="R464" t="s">
        <v>399</v>
      </c>
      <c r="S464" t="s">
        <v>2821</v>
      </c>
      <c r="T464" t="s">
        <v>1226</v>
      </c>
      <c r="U464" t="s">
        <v>1192</v>
      </c>
      <c r="V464" t="s">
        <v>599</v>
      </c>
      <c r="W464" t="s">
        <v>2822</v>
      </c>
      <c r="X464" t="s">
        <v>599</v>
      </c>
      <c r="Y464" t="s">
        <v>599</v>
      </c>
      <c r="Z464" t="s">
        <v>1182</v>
      </c>
      <c r="AA464" t="s">
        <v>2823</v>
      </c>
      <c r="AB464">
        <v>1896</v>
      </c>
      <c r="AC464">
        <v>1896</v>
      </c>
      <c r="AD464" t="s">
        <v>2824</v>
      </c>
      <c r="AE464" t="s">
        <v>599</v>
      </c>
      <c r="AF464" t="s">
        <v>599</v>
      </c>
      <c r="AG464" t="s">
        <v>599</v>
      </c>
      <c r="AH464" t="s">
        <v>2825</v>
      </c>
      <c r="AI464" t="s">
        <v>599</v>
      </c>
      <c r="AJ464" t="s">
        <v>599</v>
      </c>
      <c r="AK464" t="s">
        <v>2826</v>
      </c>
      <c r="AL464" t="s">
        <v>1188</v>
      </c>
      <c r="AM464" t="s">
        <v>2827</v>
      </c>
      <c r="AN464" t="s">
        <v>1190</v>
      </c>
      <c r="AO464" t="s">
        <v>599</v>
      </c>
      <c r="AP464" t="s">
        <v>599</v>
      </c>
      <c r="AQ464" t="s">
        <v>599</v>
      </c>
      <c r="AR464" t="s">
        <v>599</v>
      </c>
      <c r="AS464" t="s">
        <v>599</v>
      </c>
      <c r="AT464" t="s">
        <v>599</v>
      </c>
      <c r="AU464" t="s">
        <v>599</v>
      </c>
    </row>
    <row r="465" spans="1:47" s="13" customFormat="1" ht="90" x14ac:dyDescent="0.25">
      <c r="A465" s="9">
        <v>11072</v>
      </c>
      <c r="B465" s="10">
        <v>367315</v>
      </c>
      <c r="C465" s="10">
        <v>1</v>
      </c>
      <c r="D465" s="9">
        <v>9</v>
      </c>
      <c r="E465" s="11" t="s">
        <v>402</v>
      </c>
      <c r="F465" s="11" t="str">
        <f t="shared" si="21"/>
        <v>https://purl.pt/44551</v>
      </c>
      <c r="G465" s="12" t="s">
        <v>403</v>
      </c>
      <c r="H465" s="9" t="s">
        <v>404</v>
      </c>
      <c r="I465" s="34"/>
      <c r="J465" s="55" t="str">
        <f t="shared" si="22"/>
        <v>https://permalinkbnd.bnportugal.gov.pt/viewer/278157/?offset=#page=9&amp;viewer=picture&amp;o=info&amp;n=0&amp;q=</v>
      </c>
      <c r="K465" s="45"/>
      <c r="L465" s="45"/>
      <c r="M465" s="45"/>
      <c r="N465" t="s">
        <v>402</v>
      </c>
      <c r="O465">
        <v>278157</v>
      </c>
      <c r="P465" t="str">
        <f t="shared" si="23"/>
        <v>https://permalinkbnd.bnportugal.gov.pt/viewer/278157/?offset=#page=9&amp;viewer=picture&amp;o=info&amp;n=0&amp;q=</v>
      </c>
      <c r="Q465">
        <v>367315</v>
      </c>
      <c r="R465" t="s">
        <v>402</v>
      </c>
      <c r="S465" t="s">
        <v>2828</v>
      </c>
      <c r="T465" t="s">
        <v>1178</v>
      </c>
      <c r="U465" t="s">
        <v>1192</v>
      </c>
      <c r="V465" t="s">
        <v>599</v>
      </c>
      <c r="W465" t="s">
        <v>2829</v>
      </c>
      <c r="X465" t="s">
        <v>2830</v>
      </c>
      <c r="Y465" t="s">
        <v>599</v>
      </c>
      <c r="Z465" t="s">
        <v>1182</v>
      </c>
      <c r="AA465" t="s">
        <v>2831</v>
      </c>
      <c r="AB465">
        <v>1897</v>
      </c>
      <c r="AC465">
        <v>1897</v>
      </c>
      <c r="AD465" t="s">
        <v>2832</v>
      </c>
      <c r="AE465" t="s">
        <v>2833</v>
      </c>
      <c r="AF465" t="s">
        <v>599</v>
      </c>
      <c r="AG465" t="s">
        <v>599</v>
      </c>
      <c r="AH465" t="s">
        <v>599</v>
      </c>
      <c r="AI465" t="s">
        <v>599</v>
      </c>
      <c r="AJ465" t="s">
        <v>599</v>
      </c>
      <c r="AK465" t="s">
        <v>2834</v>
      </c>
      <c r="AL465" t="s">
        <v>1188</v>
      </c>
      <c r="AM465" t="s">
        <v>2835</v>
      </c>
      <c r="AN465" t="s">
        <v>1190</v>
      </c>
      <c r="AO465" t="s">
        <v>599</v>
      </c>
      <c r="AP465" t="s">
        <v>599</v>
      </c>
      <c r="AQ465" t="s">
        <v>599</v>
      </c>
      <c r="AR465" t="s">
        <v>599</v>
      </c>
      <c r="AS465" t="s">
        <v>599</v>
      </c>
      <c r="AT465" t="s">
        <v>599</v>
      </c>
      <c r="AU465" t="s">
        <v>599</v>
      </c>
    </row>
    <row r="466" spans="1:47" s="13" customFormat="1" ht="90" x14ac:dyDescent="0.25">
      <c r="A466" s="9">
        <v>11073</v>
      </c>
      <c r="B466" s="10">
        <v>367315</v>
      </c>
      <c r="C466" s="10">
        <v>1</v>
      </c>
      <c r="D466" s="9">
        <v>11</v>
      </c>
      <c r="E466" s="11" t="s">
        <v>402</v>
      </c>
      <c r="F466" s="11" t="str">
        <f t="shared" si="21"/>
        <v>https://purl.pt/44551</v>
      </c>
      <c r="G466" s="12" t="s">
        <v>403</v>
      </c>
      <c r="H466" s="9" t="s">
        <v>404</v>
      </c>
      <c r="I466" s="34"/>
      <c r="J466" s="55" t="str">
        <f t="shared" si="22"/>
        <v>https://permalinkbnd.bnportugal.gov.pt/viewer/278157/?offset=#page=11&amp;viewer=picture&amp;o=info&amp;n=0&amp;q=</v>
      </c>
      <c r="K466" s="45"/>
      <c r="L466" s="45"/>
      <c r="M466" s="45"/>
      <c r="N466" t="s">
        <v>402</v>
      </c>
      <c r="O466">
        <v>278157</v>
      </c>
      <c r="P466" t="str">
        <f t="shared" si="23"/>
        <v>https://permalinkbnd.bnportugal.gov.pt/viewer/278157/?offset=#page=11&amp;viewer=picture&amp;o=info&amp;n=0&amp;q=</v>
      </c>
      <c r="Q466">
        <v>367315</v>
      </c>
      <c r="R466" t="s">
        <v>402</v>
      </c>
      <c r="S466" t="s">
        <v>2828</v>
      </c>
      <c r="T466" t="s">
        <v>1178</v>
      </c>
      <c r="U466" t="s">
        <v>1192</v>
      </c>
      <c r="V466" t="s">
        <v>599</v>
      </c>
      <c r="W466" t="s">
        <v>2829</v>
      </c>
      <c r="X466" t="s">
        <v>2830</v>
      </c>
      <c r="Y466" t="s">
        <v>599</v>
      </c>
      <c r="Z466" t="s">
        <v>1182</v>
      </c>
      <c r="AA466" t="s">
        <v>2831</v>
      </c>
      <c r="AB466">
        <v>1897</v>
      </c>
      <c r="AC466">
        <v>1897</v>
      </c>
      <c r="AD466" t="s">
        <v>2832</v>
      </c>
      <c r="AE466" t="s">
        <v>2833</v>
      </c>
      <c r="AF466" t="s">
        <v>599</v>
      </c>
      <c r="AG466" t="s">
        <v>599</v>
      </c>
      <c r="AH466" t="s">
        <v>599</v>
      </c>
      <c r="AI466" t="s">
        <v>599</v>
      </c>
      <c r="AJ466" t="s">
        <v>599</v>
      </c>
      <c r="AK466" t="s">
        <v>2834</v>
      </c>
      <c r="AL466" t="s">
        <v>1188</v>
      </c>
      <c r="AM466" t="s">
        <v>2835</v>
      </c>
      <c r="AN466" t="s">
        <v>1190</v>
      </c>
      <c r="AO466" t="s">
        <v>599</v>
      </c>
      <c r="AP466" t="s">
        <v>599</v>
      </c>
      <c r="AQ466" t="s">
        <v>599</v>
      </c>
      <c r="AR466" t="s">
        <v>599</v>
      </c>
      <c r="AS466" t="s">
        <v>599</v>
      </c>
      <c r="AT466" t="s">
        <v>599</v>
      </c>
      <c r="AU466" t="s">
        <v>599</v>
      </c>
    </row>
    <row r="467" spans="1:47" s="13" customFormat="1" ht="30" x14ac:dyDescent="0.25">
      <c r="A467" s="9">
        <v>11074</v>
      </c>
      <c r="B467" s="10">
        <v>367315</v>
      </c>
      <c r="C467" s="10">
        <v>1</v>
      </c>
      <c r="D467" s="9">
        <v>37</v>
      </c>
      <c r="E467" s="11" t="s">
        <v>402</v>
      </c>
      <c r="F467" s="11" t="str">
        <f t="shared" si="21"/>
        <v>https://purl.pt/44551</v>
      </c>
      <c r="G467" s="16"/>
      <c r="H467" s="9" t="s">
        <v>404</v>
      </c>
      <c r="I467" s="34"/>
      <c r="J467" s="55" t="str">
        <f t="shared" si="22"/>
        <v>https://permalinkbnd.bnportugal.gov.pt/viewer/278157/?offset=#page=37&amp;viewer=picture&amp;o=info&amp;n=0&amp;q=</v>
      </c>
      <c r="K467" s="45"/>
      <c r="L467" s="45"/>
      <c r="M467" s="45"/>
      <c r="N467" t="s">
        <v>402</v>
      </c>
      <c r="O467">
        <v>278157</v>
      </c>
      <c r="P467" t="str">
        <f t="shared" si="23"/>
        <v>https://permalinkbnd.bnportugal.gov.pt/viewer/278157/?offset=#page=37&amp;viewer=picture&amp;o=info&amp;n=0&amp;q=</v>
      </c>
      <c r="Q467">
        <v>367315</v>
      </c>
      <c r="R467" t="s">
        <v>402</v>
      </c>
      <c r="S467" t="s">
        <v>2828</v>
      </c>
      <c r="T467" t="s">
        <v>1178</v>
      </c>
      <c r="U467" t="s">
        <v>1192</v>
      </c>
      <c r="V467" t="s">
        <v>599</v>
      </c>
      <c r="W467" t="s">
        <v>2829</v>
      </c>
      <c r="X467" t="s">
        <v>2830</v>
      </c>
      <c r="Y467" t="s">
        <v>599</v>
      </c>
      <c r="Z467" t="s">
        <v>1182</v>
      </c>
      <c r="AA467" t="s">
        <v>2831</v>
      </c>
      <c r="AB467">
        <v>1897</v>
      </c>
      <c r="AC467">
        <v>1897</v>
      </c>
      <c r="AD467" t="s">
        <v>2832</v>
      </c>
      <c r="AE467" t="s">
        <v>2833</v>
      </c>
      <c r="AF467" t="s">
        <v>599</v>
      </c>
      <c r="AG467" t="s">
        <v>599</v>
      </c>
      <c r="AH467" t="s">
        <v>599</v>
      </c>
      <c r="AI467" t="s">
        <v>599</v>
      </c>
      <c r="AJ467" t="s">
        <v>599</v>
      </c>
      <c r="AK467" t="s">
        <v>2834</v>
      </c>
      <c r="AL467" t="s">
        <v>1188</v>
      </c>
      <c r="AM467" t="s">
        <v>2835</v>
      </c>
      <c r="AN467" t="s">
        <v>1190</v>
      </c>
      <c r="AO467" t="s">
        <v>599</v>
      </c>
      <c r="AP467" t="s">
        <v>599</v>
      </c>
      <c r="AQ467" t="s">
        <v>599</v>
      </c>
      <c r="AR467" t="s">
        <v>599</v>
      </c>
      <c r="AS467" t="s">
        <v>599</v>
      </c>
      <c r="AT467" t="s">
        <v>599</v>
      </c>
      <c r="AU467" t="s">
        <v>599</v>
      </c>
    </row>
    <row r="468" spans="1:47" s="13" customFormat="1" ht="30" x14ac:dyDescent="0.25">
      <c r="A468" s="9">
        <v>11076</v>
      </c>
      <c r="B468" s="10">
        <v>473530</v>
      </c>
      <c r="C468" s="10">
        <v>1</v>
      </c>
      <c r="D468" s="9">
        <v>13</v>
      </c>
      <c r="E468" s="11" t="s">
        <v>405</v>
      </c>
      <c r="F468" s="11" t="str">
        <f t="shared" si="21"/>
        <v>https://purl.pt/44562</v>
      </c>
      <c r="G468" s="12" t="s">
        <v>406</v>
      </c>
      <c r="H468" s="9"/>
      <c r="I468" s="34"/>
      <c r="J468" s="55" t="str">
        <f t="shared" si="22"/>
        <v>https://permalinkbnd.bnportugal.gov.pt/viewer/278166/?offset=#page=13&amp;viewer=picture&amp;o=info&amp;n=0&amp;q=</v>
      </c>
      <c r="K468" s="45"/>
      <c r="L468" s="45"/>
      <c r="M468" s="45"/>
      <c r="N468" t="s">
        <v>405</v>
      </c>
      <c r="O468">
        <v>278166</v>
      </c>
      <c r="P468" t="str">
        <f t="shared" si="23"/>
        <v>https://permalinkbnd.bnportugal.gov.pt/viewer/278166/?offset=#page=13&amp;viewer=picture&amp;o=info&amp;n=0&amp;q=</v>
      </c>
      <c r="Q468">
        <v>473530</v>
      </c>
      <c r="R468" t="s">
        <v>405</v>
      </c>
      <c r="S468" t="s">
        <v>2836</v>
      </c>
      <c r="T468" t="s">
        <v>1178</v>
      </c>
      <c r="U468" t="s">
        <v>1192</v>
      </c>
      <c r="V468" t="s">
        <v>599</v>
      </c>
      <c r="W468" t="s">
        <v>2837</v>
      </c>
      <c r="X468" t="s">
        <v>2838</v>
      </c>
      <c r="Y468" t="s">
        <v>599</v>
      </c>
      <c r="Z468" t="s">
        <v>1182</v>
      </c>
      <c r="AA468" t="s">
        <v>2839</v>
      </c>
      <c r="AB468">
        <v>1898</v>
      </c>
      <c r="AC468">
        <v>1898</v>
      </c>
      <c r="AD468" t="s">
        <v>2840</v>
      </c>
      <c r="AE468" t="s">
        <v>1918</v>
      </c>
      <c r="AF468" t="s">
        <v>599</v>
      </c>
      <c r="AG468" t="s">
        <v>599</v>
      </c>
      <c r="AH468" t="s">
        <v>599</v>
      </c>
      <c r="AI468" t="s">
        <v>599</v>
      </c>
      <c r="AJ468" t="s">
        <v>599</v>
      </c>
      <c r="AK468" t="s">
        <v>2841</v>
      </c>
      <c r="AL468" t="s">
        <v>1188</v>
      </c>
      <c r="AM468" t="s">
        <v>2842</v>
      </c>
      <c r="AN468" t="s">
        <v>1190</v>
      </c>
      <c r="AO468" t="s">
        <v>599</v>
      </c>
      <c r="AP468" t="s">
        <v>2843</v>
      </c>
      <c r="AQ468" t="s">
        <v>599</v>
      </c>
      <c r="AR468" t="s">
        <v>599</v>
      </c>
      <c r="AS468" t="s">
        <v>2844</v>
      </c>
      <c r="AT468" t="s">
        <v>599</v>
      </c>
      <c r="AU468" t="s">
        <v>599</v>
      </c>
    </row>
    <row r="469" spans="1:47" s="13" customFormat="1" ht="30" x14ac:dyDescent="0.25">
      <c r="A469" s="9"/>
      <c r="B469" s="10">
        <v>473530</v>
      </c>
      <c r="C469" s="10">
        <v>1</v>
      </c>
      <c r="D469" s="9">
        <v>15</v>
      </c>
      <c r="E469" s="11" t="s">
        <v>405</v>
      </c>
      <c r="F469" s="11" t="str">
        <f t="shared" si="21"/>
        <v>https://purl.pt/44562</v>
      </c>
      <c r="G469" s="12" t="s">
        <v>406</v>
      </c>
      <c r="H469" s="9"/>
      <c r="I469" s="34"/>
      <c r="J469" s="55" t="str">
        <f t="shared" si="22"/>
        <v>https://permalinkbnd.bnportugal.gov.pt/viewer/278166/?offset=#page=15&amp;viewer=picture&amp;o=info&amp;n=0&amp;q=</v>
      </c>
      <c r="K469" s="45"/>
      <c r="L469" s="45"/>
      <c r="M469" s="45"/>
      <c r="N469" t="s">
        <v>405</v>
      </c>
      <c r="O469">
        <v>278166</v>
      </c>
      <c r="P469" t="str">
        <f t="shared" si="23"/>
        <v>https://permalinkbnd.bnportugal.gov.pt/viewer/278166/?offset=#page=15&amp;viewer=picture&amp;o=info&amp;n=0&amp;q=</v>
      </c>
      <c r="Q469">
        <v>473530</v>
      </c>
      <c r="R469" t="s">
        <v>405</v>
      </c>
      <c r="S469" t="s">
        <v>2836</v>
      </c>
      <c r="T469" t="s">
        <v>1178</v>
      </c>
      <c r="U469" t="s">
        <v>1192</v>
      </c>
      <c r="V469" t="s">
        <v>599</v>
      </c>
      <c r="W469" t="s">
        <v>2837</v>
      </c>
      <c r="X469" t="s">
        <v>2838</v>
      </c>
      <c r="Y469" t="s">
        <v>599</v>
      </c>
      <c r="Z469" t="s">
        <v>1182</v>
      </c>
      <c r="AA469" t="s">
        <v>2839</v>
      </c>
      <c r="AB469">
        <v>1898</v>
      </c>
      <c r="AC469">
        <v>1898</v>
      </c>
      <c r="AD469" t="s">
        <v>2840</v>
      </c>
      <c r="AE469" t="s">
        <v>1918</v>
      </c>
      <c r="AF469" t="s">
        <v>599</v>
      </c>
      <c r="AG469" t="s">
        <v>599</v>
      </c>
      <c r="AH469" t="s">
        <v>599</v>
      </c>
      <c r="AI469" t="s">
        <v>599</v>
      </c>
      <c r="AJ469" t="s">
        <v>599</v>
      </c>
      <c r="AK469" t="s">
        <v>2841</v>
      </c>
      <c r="AL469" t="s">
        <v>1188</v>
      </c>
      <c r="AM469" t="s">
        <v>2842</v>
      </c>
      <c r="AN469" t="s">
        <v>1190</v>
      </c>
      <c r="AO469" t="s">
        <v>599</v>
      </c>
      <c r="AP469" t="s">
        <v>2843</v>
      </c>
      <c r="AQ469" t="s">
        <v>599</v>
      </c>
      <c r="AR469" t="s">
        <v>599</v>
      </c>
      <c r="AS469" t="s">
        <v>2844</v>
      </c>
      <c r="AT469" t="s">
        <v>599</v>
      </c>
      <c r="AU469" t="s">
        <v>599</v>
      </c>
    </row>
    <row r="470" spans="1:47" s="13" customFormat="1" ht="30" x14ac:dyDescent="0.25">
      <c r="A470" s="9">
        <v>11080</v>
      </c>
      <c r="B470" s="10">
        <v>369142</v>
      </c>
      <c r="C470" s="10">
        <v>1</v>
      </c>
      <c r="D470" s="9">
        <v>6</v>
      </c>
      <c r="E470" s="11" t="s">
        <v>407</v>
      </c>
      <c r="F470" s="11" t="str">
        <f t="shared" si="21"/>
        <v>https://purl.pt/44585</v>
      </c>
      <c r="G470" s="12" t="s">
        <v>408</v>
      </c>
      <c r="H470" s="9">
        <v>6</v>
      </c>
      <c r="I470" s="34"/>
      <c r="J470" s="55" t="str">
        <f t="shared" si="22"/>
        <v>https://permalinkbnd.bnportugal.gov.pt/viewer/278323/?offset=#page=6&amp;viewer=picture&amp;o=info&amp;n=0&amp;q=</v>
      </c>
      <c r="K470" s="45"/>
      <c r="L470" s="45"/>
      <c r="M470" s="45"/>
      <c r="N470" t="s">
        <v>407</v>
      </c>
      <c r="O470">
        <v>278323</v>
      </c>
      <c r="P470" t="str">
        <f t="shared" si="23"/>
        <v>https://permalinkbnd.bnportugal.gov.pt/viewer/278323/?offset=#page=6&amp;viewer=picture&amp;o=info&amp;n=0&amp;q=</v>
      </c>
      <c r="Q470">
        <v>369142</v>
      </c>
      <c r="R470" t="s">
        <v>407</v>
      </c>
      <c r="S470" t="s">
        <v>2845</v>
      </c>
      <c r="T470" t="s">
        <v>1178</v>
      </c>
      <c r="U470" t="s">
        <v>1192</v>
      </c>
      <c r="V470" t="s">
        <v>599</v>
      </c>
      <c r="W470" t="s">
        <v>1551</v>
      </c>
      <c r="X470" t="s">
        <v>2846</v>
      </c>
      <c r="Y470" t="s">
        <v>599</v>
      </c>
      <c r="Z470" t="s">
        <v>2847</v>
      </c>
      <c r="AA470" t="s">
        <v>2848</v>
      </c>
      <c r="AB470">
        <v>1868</v>
      </c>
      <c r="AC470">
        <v>1868</v>
      </c>
      <c r="AD470" t="s">
        <v>2849</v>
      </c>
      <c r="AE470" t="s">
        <v>1185</v>
      </c>
      <c r="AF470" t="s">
        <v>599</v>
      </c>
      <c r="AG470" t="s">
        <v>599</v>
      </c>
      <c r="AH470" t="s">
        <v>599</v>
      </c>
      <c r="AI470" t="s">
        <v>599</v>
      </c>
      <c r="AJ470" t="s">
        <v>599</v>
      </c>
      <c r="AK470" t="s">
        <v>2850</v>
      </c>
      <c r="AL470" t="s">
        <v>1188</v>
      </c>
      <c r="AM470" t="s">
        <v>2851</v>
      </c>
      <c r="AN470" t="s">
        <v>1190</v>
      </c>
      <c r="AO470" t="s">
        <v>599</v>
      </c>
      <c r="AP470" t="s">
        <v>599</v>
      </c>
      <c r="AQ470" t="s">
        <v>599</v>
      </c>
      <c r="AR470" t="s">
        <v>599</v>
      </c>
      <c r="AS470" t="s">
        <v>599</v>
      </c>
      <c r="AT470" t="s">
        <v>599</v>
      </c>
      <c r="AU470" t="s">
        <v>599</v>
      </c>
    </row>
    <row r="471" spans="1:47" s="13" customFormat="1" ht="30" x14ac:dyDescent="0.25">
      <c r="A471" s="9">
        <v>11082</v>
      </c>
      <c r="B471" s="10">
        <v>369151</v>
      </c>
      <c r="C471" s="10">
        <v>1</v>
      </c>
      <c r="D471" s="9">
        <v>7</v>
      </c>
      <c r="E471" s="11" t="s">
        <v>409</v>
      </c>
      <c r="F471" s="11" t="str">
        <f t="shared" si="21"/>
        <v>https://purl.pt/44594</v>
      </c>
      <c r="G471" s="12" t="s">
        <v>410</v>
      </c>
      <c r="H471" s="9">
        <v>7</v>
      </c>
      <c r="I471" s="34"/>
      <c r="J471" s="55" t="str">
        <f t="shared" si="22"/>
        <v>https://permalinkbnd.bnportugal.gov.pt/viewer/278325/?offset=#page=7&amp;viewer=picture&amp;o=info&amp;n=0&amp;q=</v>
      </c>
      <c r="K471" s="45"/>
      <c r="L471" s="45"/>
      <c r="M471" s="45"/>
      <c r="N471" t="s">
        <v>409</v>
      </c>
      <c r="O471">
        <v>278325</v>
      </c>
      <c r="P471" t="str">
        <f t="shared" si="23"/>
        <v>https://permalinkbnd.bnportugal.gov.pt/viewer/278325/?offset=#page=7&amp;viewer=picture&amp;o=info&amp;n=0&amp;q=</v>
      </c>
      <c r="Q471">
        <v>369151</v>
      </c>
      <c r="R471" t="s">
        <v>409</v>
      </c>
      <c r="S471" t="s">
        <v>2852</v>
      </c>
      <c r="T471" t="s">
        <v>1178</v>
      </c>
      <c r="U471" t="s">
        <v>1192</v>
      </c>
      <c r="V471" t="s">
        <v>599</v>
      </c>
      <c r="W471" t="s">
        <v>1551</v>
      </c>
      <c r="X471" t="s">
        <v>1778</v>
      </c>
      <c r="Y471" t="s">
        <v>599</v>
      </c>
      <c r="Z471" t="s">
        <v>2853</v>
      </c>
      <c r="AA471" t="s">
        <v>2854</v>
      </c>
      <c r="AB471">
        <v>1884</v>
      </c>
      <c r="AC471">
        <v>1884</v>
      </c>
      <c r="AD471" t="s">
        <v>2855</v>
      </c>
      <c r="AE471" t="s">
        <v>1185</v>
      </c>
      <c r="AF471" t="s">
        <v>599</v>
      </c>
      <c r="AG471" t="s">
        <v>599</v>
      </c>
      <c r="AH471" t="s">
        <v>599</v>
      </c>
      <c r="AI471" t="s">
        <v>599</v>
      </c>
      <c r="AJ471" t="s">
        <v>599</v>
      </c>
      <c r="AK471" t="s">
        <v>2856</v>
      </c>
      <c r="AL471" t="s">
        <v>1188</v>
      </c>
      <c r="AM471" t="s">
        <v>2857</v>
      </c>
      <c r="AN471" t="s">
        <v>1190</v>
      </c>
      <c r="AO471" t="s">
        <v>599</v>
      </c>
      <c r="AP471" t="s">
        <v>599</v>
      </c>
      <c r="AQ471" t="s">
        <v>599</v>
      </c>
      <c r="AR471" t="s">
        <v>599</v>
      </c>
      <c r="AS471" t="s">
        <v>599</v>
      </c>
      <c r="AT471" t="s">
        <v>599</v>
      </c>
      <c r="AU471" t="s">
        <v>599</v>
      </c>
    </row>
    <row r="472" spans="1:47" s="13" customFormat="1" ht="30" x14ac:dyDescent="0.25">
      <c r="A472" s="9">
        <v>11083</v>
      </c>
      <c r="B472" s="10">
        <v>322260</v>
      </c>
      <c r="C472" s="10">
        <v>1</v>
      </c>
      <c r="D472" s="9">
        <v>12</v>
      </c>
      <c r="E472" s="11" t="s">
        <v>411</v>
      </c>
      <c r="F472" s="11" t="str">
        <f t="shared" si="21"/>
        <v>https://purl.pt/44588</v>
      </c>
      <c r="G472" s="12">
        <v>12</v>
      </c>
      <c r="H472" s="9">
        <v>12</v>
      </c>
      <c r="I472" s="34"/>
      <c r="J472" s="55" t="str">
        <f t="shared" si="22"/>
        <v>https://permalinkbnd.bnportugal.gov.pt/viewer/278334/?offset=#page=12&amp;viewer=picture&amp;o=info&amp;n=0&amp;q=</v>
      </c>
      <c r="K472" s="45"/>
      <c r="L472" s="45"/>
      <c r="M472" s="45"/>
      <c r="N472" t="s">
        <v>411</v>
      </c>
      <c r="O472">
        <v>278334</v>
      </c>
      <c r="P472" t="str">
        <f t="shared" si="23"/>
        <v>https://permalinkbnd.bnportugal.gov.pt/viewer/278334/?offset=#page=12&amp;viewer=picture&amp;o=info&amp;n=0&amp;q=</v>
      </c>
      <c r="Q472">
        <v>322260</v>
      </c>
      <c r="R472" t="s">
        <v>411</v>
      </c>
      <c r="S472" t="s">
        <v>2858</v>
      </c>
      <c r="T472" t="s">
        <v>1178</v>
      </c>
      <c r="U472" t="s">
        <v>1192</v>
      </c>
      <c r="V472" t="s">
        <v>599</v>
      </c>
      <c r="W472" t="s">
        <v>1105</v>
      </c>
      <c r="X472" t="s">
        <v>599</v>
      </c>
      <c r="Y472" t="s">
        <v>599</v>
      </c>
      <c r="Z472" t="s">
        <v>1182</v>
      </c>
      <c r="AA472" t="s">
        <v>2859</v>
      </c>
      <c r="AB472">
        <v>1880</v>
      </c>
      <c r="AC472">
        <v>1880</v>
      </c>
      <c r="AD472" t="s">
        <v>2860</v>
      </c>
      <c r="AE472" t="s">
        <v>2861</v>
      </c>
      <c r="AF472" t="s">
        <v>599</v>
      </c>
      <c r="AG472" t="s">
        <v>599</v>
      </c>
      <c r="AH472" t="s">
        <v>599</v>
      </c>
      <c r="AI472" t="s">
        <v>599</v>
      </c>
      <c r="AJ472" t="s">
        <v>599</v>
      </c>
      <c r="AK472" t="s">
        <v>2862</v>
      </c>
      <c r="AL472" t="s">
        <v>1188</v>
      </c>
      <c r="AM472" t="s">
        <v>2863</v>
      </c>
      <c r="AN472" t="s">
        <v>1190</v>
      </c>
      <c r="AO472" t="s">
        <v>2864</v>
      </c>
      <c r="AP472" t="s">
        <v>599</v>
      </c>
      <c r="AQ472" t="s">
        <v>599</v>
      </c>
      <c r="AR472" t="s">
        <v>599</v>
      </c>
      <c r="AS472" t="s">
        <v>599</v>
      </c>
      <c r="AT472" t="s">
        <v>599</v>
      </c>
      <c r="AU472" t="s">
        <v>599</v>
      </c>
    </row>
    <row r="473" spans="1:47" s="13" customFormat="1" ht="30" x14ac:dyDescent="0.25">
      <c r="A473" s="9">
        <v>11097</v>
      </c>
      <c r="B473" s="10">
        <v>189268</v>
      </c>
      <c r="C473" s="10">
        <v>1</v>
      </c>
      <c r="D473" s="9">
        <v>12</v>
      </c>
      <c r="E473" s="11" t="s">
        <v>606</v>
      </c>
      <c r="F473" s="11" t="str">
        <f t="shared" si="21"/>
        <v>https://purl.pt/44164</v>
      </c>
      <c r="G473" s="12">
        <v>12</v>
      </c>
      <c r="H473" s="9">
        <v>12</v>
      </c>
      <c r="I473" s="34"/>
      <c r="J473" s="55" t="str">
        <f t="shared" si="22"/>
        <v>https://permalinkbnd.bnportugal.gov.pt/viewer/273607/?offset=#page=12&amp;viewer=picture&amp;o=info&amp;n=0&amp;q=</v>
      </c>
      <c r="K473" s="45"/>
      <c r="L473" s="45"/>
      <c r="M473" s="45"/>
      <c r="N473" t="s">
        <v>606</v>
      </c>
      <c r="O473">
        <v>273607</v>
      </c>
      <c r="P473" t="str">
        <f t="shared" si="23"/>
        <v>https://permalinkbnd.bnportugal.gov.pt/viewer/273607/?offset=#page=12&amp;viewer=picture&amp;o=info&amp;n=0&amp;q=</v>
      </c>
      <c r="Q473">
        <v>189268</v>
      </c>
      <c r="R473" t="s">
        <v>606</v>
      </c>
      <c r="S473" t="s">
        <v>2865</v>
      </c>
      <c r="T473" t="s">
        <v>1178</v>
      </c>
      <c r="U473" t="s">
        <v>1321</v>
      </c>
      <c r="V473" t="s">
        <v>599</v>
      </c>
      <c r="W473" t="s">
        <v>2866</v>
      </c>
      <c r="X473" t="s">
        <v>2867</v>
      </c>
      <c r="Y473" t="s">
        <v>599</v>
      </c>
      <c r="Z473" t="s">
        <v>1182</v>
      </c>
      <c r="AA473" t="s">
        <v>1909</v>
      </c>
      <c r="AB473">
        <v>1865</v>
      </c>
      <c r="AC473">
        <v>1865</v>
      </c>
      <c r="AD473" t="s">
        <v>2868</v>
      </c>
      <c r="AE473" t="s">
        <v>1185</v>
      </c>
      <c r="AF473" t="s">
        <v>599</v>
      </c>
      <c r="AG473" t="s">
        <v>599</v>
      </c>
      <c r="AH473" t="s">
        <v>2869</v>
      </c>
      <c r="AI473" t="s">
        <v>599</v>
      </c>
      <c r="AJ473" t="s">
        <v>599</v>
      </c>
      <c r="AK473" t="s">
        <v>2870</v>
      </c>
      <c r="AL473" t="s">
        <v>1188</v>
      </c>
      <c r="AM473" t="s">
        <v>2871</v>
      </c>
      <c r="AN473" t="s">
        <v>1190</v>
      </c>
      <c r="AO473" t="s">
        <v>2872</v>
      </c>
      <c r="AP473" t="s">
        <v>599</v>
      </c>
      <c r="AQ473" t="s">
        <v>599</v>
      </c>
      <c r="AR473" t="s">
        <v>599</v>
      </c>
      <c r="AS473" t="s">
        <v>2534</v>
      </c>
      <c r="AT473" t="s">
        <v>599</v>
      </c>
      <c r="AU473" t="s">
        <v>599</v>
      </c>
    </row>
    <row r="474" spans="1:47" s="13" customFormat="1" ht="30" x14ac:dyDescent="0.25">
      <c r="A474" s="9">
        <v>11098</v>
      </c>
      <c r="B474" s="10">
        <v>808486</v>
      </c>
      <c r="C474" s="10">
        <v>1</v>
      </c>
      <c r="D474" s="9">
        <v>7</v>
      </c>
      <c r="E474" s="11" t="s">
        <v>607</v>
      </c>
      <c r="F474" s="11" t="str">
        <f t="shared" si="21"/>
        <v>https://purl.pt/44192</v>
      </c>
      <c r="G474" s="12" t="s">
        <v>412</v>
      </c>
      <c r="H474" s="9"/>
      <c r="I474" s="34"/>
      <c r="J474" s="55" t="str">
        <f t="shared" si="22"/>
        <v>https://permalinkbnd.bnportugal.gov.pt/viewer/273178/?offset=#page=7&amp;viewer=picture&amp;o=info&amp;n=0&amp;q=</v>
      </c>
      <c r="K474" s="45"/>
      <c r="L474" s="45"/>
      <c r="M474" s="45"/>
      <c r="N474" t="s">
        <v>607</v>
      </c>
      <c r="O474">
        <v>273178</v>
      </c>
      <c r="P474" t="str">
        <f t="shared" si="23"/>
        <v>https://permalinkbnd.bnportugal.gov.pt/viewer/273178/?offset=#page=7&amp;viewer=picture&amp;o=info&amp;n=0&amp;q=</v>
      </c>
      <c r="Q474">
        <v>808486</v>
      </c>
      <c r="R474" t="s">
        <v>607</v>
      </c>
      <c r="S474" t="s">
        <v>2873</v>
      </c>
      <c r="T474" t="s">
        <v>1178</v>
      </c>
      <c r="U474" t="s">
        <v>1192</v>
      </c>
      <c r="V474" t="s">
        <v>1179</v>
      </c>
      <c r="W474" t="s">
        <v>2874</v>
      </c>
      <c r="X474" t="s">
        <v>599</v>
      </c>
      <c r="Y474" t="s">
        <v>599</v>
      </c>
      <c r="Z474" t="s">
        <v>1182</v>
      </c>
      <c r="AA474" t="s">
        <v>2875</v>
      </c>
      <c r="AB474">
        <v>1885</v>
      </c>
      <c r="AC474">
        <v>1885</v>
      </c>
      <c r="AD474" t="s">
        <v>2876</v>
      </c>
      <c r="AE474" t="s">
        <v>1185</v>
      </c>
      <c r="AF474" t="s">
        <v>599</v>
      </c>
      <c r="AG474" t="s">
        <v>599</v>
      </c>
      <c r="AH474" t="s">
        <v>1873</v>
      </c>
      <c r="AI474" t="s">
        <v>599</v>
      </c>
      <c r="AJ474" t="s">
        <v>599</v>
      </c>
      <c r="AK474" t="s">
        <v>2877</v>
      </c>
      <c r="AL474" t="s">
        <v>1188</v>
      </c>
      <c r="AM474" t="s">
        <v>2878</v>
      </c>
      <c r="AN474" t="s">
        <v>1190</v>
      </c>
      <c r="AO474" t="s">
        <v>599</v>
      </c>
      <c r="AP474" t="s">
        <v>599</v>
      </c>
      <c r="AQ474" t="s">
        <v>599</v>
      </c>
      <c r="AR474" t="s">
        <v>599</v>
      </c>
      <c r="AS474" t="s">
        <v>599</v>
      </c>
      <c r="AT474" t="s">
        <v>599</v>
      </c>
      <c r="AU474" t="s">
        <v>599</v>
      </c>
    </row>
    <row r="475" spans="1:47" s="13" customFormat="1" ht="30" x14ac:dyDescent="0.25">
      <c r="A475" s="9"/>
      <c r="B475" s="10">
        <v>808486</v>
      </c>
      <c r="C475" s="10">
        <v>1</v>
      </c>
      <c r="D475" s="9">
        <v>20</v>
      </c>
      <c r="E475" s="11" t="s">
        <v>607</v>
      </c>
      <c r="F475" s="11" t="str">
        <f t="shared" si="21"/>
        <v>https://purl.pt/44192</v>
      </c>
      <c r="G475" s="12" t="s">
        <v>601</v>
      </c>
      <c r="H475" s="9"/>
      <c r="I475" s="34"/>
      <c r="J475" s="55" t="str">
        <f t="shared" si="22"/>
        <v>https://permalinkbnd.bnportugal.gov.pt/viewer/273178/?offset=#page=20&amp;viewer=picture&amp;o=info&amp;n=0&amp;q=</v>
      </c>
      <c r="K475" s="45"/>
      <c r="L475" s="45"/>
      <c r="M475" s="45"/>
      <c r="N475" t="s">
        <v>607</v>
      </c>
      <c r="O475">
        <v>273178</v>
      </c>
      <c r="P475" t="str">
        <f t="shared" si="23"/>
        <v>https://permalinkbnd.bnportugal.gov.pt/viewer/273178/?offset=#page=20&amp;viewer=picture&amp;o=info&amp;n=0&amp;q=</v>
      </c>
      <c r="Q475">
        <v>808486</v>
      </c>
      <c r="R475" t="s">
        <v>607</v>
      </c>
      <c r="S475" t="s">
        <v>2873</v>
      </c>
      <c r="T475" t="s">
        <v>1178</v>
      </c>
      <c r="U475" t="s">
        <v>1192</v>
      </c>
      <c r="V475" t="s">
        <v>1179</v>
      </c>
      <c r="W475" t="s">
        <v>2874</v>
      </c>
      <c r="X475" t="s">
        <v>599</v>
      </c>
      <c r="Y475" t="s">
        <v>599</v>
      </c>
      <c r="Z475" t="s">
        <v>1182</v>
      </c>
      <c r="AA475" t="s">
        <v>2875</v>
      </c>
      <c r="AB475">
        <v>1885</v>
      </c>
      <c r="AC475">
        <v>1885</v>
      </c>
      <c r="AD475" t="s">
        <v>2876</v>
      </c>
      <c r="AE475" t="s">
        <v>1185</v>
      </c>
      <c r="AF475" t="s">
        <v>599</v>
      </c>
      <c r="AG475" t="s">
        <v>599</v>
      </c>
      <c r="AH475" t="s">
        <v>1873</v>
      </c>
      <c r="AI475" t="s">
        <v>599</v>
      </c>
      <c r="AJ475" t="s">
        <v>599</v>
      </c>
      <c r="AK475" t="s">
        <v>2877</v>
      </c>
      <c r="AL475" t="s">
        <v>1188</v>
      </c>
      <c r="AM475" t="s">
        <v>2878</v>
      </c>
      <c r="AN475" t="s">
        <v>1190</v>
      </c>
      <c r="AO475" t="s">
        <v>599</v>
      </c>
      <c r="AP475" t="s">
        <v>599</v>
      </c>
      <c r="AQ475" t="s">
        <v>599</v>
      </c>
      <c r="AR475" t="s">
        <v>599</v>
      </c>
      <c r="AS475" t="s">
        <v>599</v>
      </c>
      <c r="AT475" t="s">
        <v>599</v>
      </c>
      <c r="AU475" t="s">
        <v>599</v>
      </c>
    </row>
    <row r="476" spans="1:47" s="13" customFormat="1" ht="30" x14ac:dyDescent="0.25">
      <c r="A476" s="9"/>
      <c r="B476" s="10">
        <v>808486</v>
      </c>
      <c r="C476" s="10">
        <v>1</v>
      </c>
      <c r="D476" s="9">
        <v>34</v>
      </c>
      <c r="E476" s="11" t="s">
        <v>607</v>
      </c>
      <c r="F476" s="11" t="str">
        <f t="shared" si="21"/>
        <v>https://purl.pt/44192</v>
      </c>
      <c r="G476" s="12" t="s">
        <v>602</v>
      </c>
      <c r="H476" s="9"/>
      <c r="I476" s="34"/>
      <c r="J476" s="55" t="str">
        <f t="shared" si="22"/>
        <v>https://permalinkbnd.bnportugal.gov.pt/viewer/273178/?offset=#page=34&amp;viewer=picture&amp;o=info&amp;n=0&amp;q=</v>
      </c>
      <c r="K476" s="45"/>
      <c r="L476" s="45"/>
      <c r="M476" s="45"/>
      <c r="N476" t="s">
        <v>607</v>
      </c>
      <c r="O476">
        <v>273178</v>
      </c>
      <c r="P476" t="str">
        <f t="shared" si="23"/>
        <v>https://permalinkbnd.bnportugal.gov.pt/viewer/273178/?offset=#page=34&amp;viewer=picture&amp;o=info&amp;n=0&amp;q=</v>
      </c>
      <c r="Q476">
        <v>808486</v>
      </c>
      <c r="R476" t="s">
        <v>607</v>
      </c>
      <c r="S476" t="s">
        <v>2873</v>
      </c>
      <c r="T476" t="s">
        <v>1178</v>
      </c>
      <c r="U476" t="s">
        <v>1192</v>
      </c>
      <c r="V476" t="s">
        <v>1179</v>
      </c>
      <c r="W476" t="s">
        <v>2874</v>
      </c>
      <c r="X476" t="s">
        <v>599</v>
      </c>
      <c r="Y476" t="s">
        <v>599</v>
      </c>
      <c r="Z476" t="s">
        <v>1182</v>
      </c>
      <c r="AA476" t="s">
        <v>2875</v>
      </c>
      <c r="AB476">
        <v>1885</v>
      </c>
      <c r="AC476">
        <v>1885</v>
      </c>
      <c r="AD476" t="s">
        <v>2876</v>
      </c>
      <c r="AE476" t="s">
        <v>1185</v>
      </c>
      <c r="AF476" t="s">
        <v>599</v>
      </c>
      <c r="AG476" t="s">
        <v>599</v>
      </c>
      <c r="AH476" t="s">
        <v>1873</v>
      </c>
      <c r="AI476" t="s">
        <v>599</v>
      </c>
      <c r="AJ476" t="s">
        <v>599</v>
      </c>
      <c r="AK476" t="s">
        <v>2877</v>
      </c>
      <c r="AL476" t="s">
        <v>1188</v>
      </c>
      <c r="AM476" t="s">
        <v>2878</v>
      </c>
      <c r="AN476" t="s">
        <v>1190</v>
      </c>
      <c r="AO476" t="s">
        <v>599</v>
      </c>
      <c r="AP476" t="s">
        <v>599</v>
      </c>
      <c r="AQ476" t="s">
        <v>599</v>
      </c>
      <c r="AR476" t="s">
        <v>599</v>
      </c>
      <c r="AS476" t="s">
        <v>599</v>
      </c>
      <c r="AT476" t="s">
        <v>599</v>
      </c>
      <c r="AU476" t="s">
        <v>599</v>
      </c>
    </row>
    <row r="477" spans="1:47" s="13" customFormat="1" ht="30" x14ac:dyDescent="0.25">
      <c r="A477" s="9"/>
      <c r="B477" s="10">
        <v>808486</v>
      </c>
      <c r="C477" s="10">
        <v>1</v>
      </c>
      <c r="D477" s="9">
        <v>48</v>
      </c>
      <c r="E477" s="11" t="s">
        <v>607</v>
      </c>
      <c r="F477" s="11" t="str">
        <f t="shared" si="21"/>
        <v>https://purl.pt/44192</v>
      </c>
      <c r="G477" s="12" t="s">
        <v>603</v>
      </c>
      <c r="H477" s="9"/>
      <c r="I477" s="34"/>
      <c r="J477" s="55" t="str">
        <f t="shared" si="22"/>
        <v>https://permalinkbnd.bnportugal.gov.pt/viewer/273178/?offset=#page=48&amp;viewer=picture&amp;o=info&amp;n=0&amp;q=</v>
      </c>
      <c r="K477" s="45"/>
      <c r="L477" s="45"/>
      <c r="M477" s="45"/>
      <c r="N477" t="s">
        <v>607</v>
      </c>
      <c r="O477">
        <v>273178</v>
      </c>
      <c r="P477" t="str">
        <f t="shared" si="23"/>
        <v>https://permalinkbnd.bnportugal.gov.pt/viewer/273178/?offset=#page=48&amp;viewer=picture&amp;o=info&amp;n=0&amp;q=</v>
      </c>
      <c r="Q477">
        <v>808486</v>
      </c>
      <c r="R477" t="s">
        <v>607</v>
      </c>
      <c r="S477" t="s">
        <v>2873</v>
      </c>
      <c r="T477" t="s">
        <v>1178</v>
      </c>
      <c r="U477" t="s">
        <v>1192</v>
      </c>
      <c r="V477" t="s">
        <v>1179</v>
      </c>
      <c r="W477" t="s">
        <v>2874</v>
      </c>
      <c r="X477" t="s">
        <v>599</v>
      </c>
      <c r="Y477" t="s">
        <v>599</v>
      </c>
      <c r="Z477" t="s">
        <v>1182</v>
      </c>
      <c r="AA477" t="s">
        <v>2875</v>
      </c>
      <c r="AB477">
        <v>1885</v>
      </c>
      <c r="AC477">
        <v>1885</v>
      </c>
      <c r="AD477" t="s">
        <v>2876</v>
      </c>
      <c r="AE477" t="s">
        <v>1185</v>
      </c>
      <c r="AF477" t="s">
        <v>599</v>
      </c>
      <c r="AG477" t="s">
        <v>599</v>
      </c>
      <c r="AH477" t="s">
        <v>1873</v>
      </c>
      <c r="AI477" t="s">
        <v>599</v>
      </c>
      <c r="AJ477" t="s">
        <v>599</v>
      </c>
      <c r="AK477" t="s">
        <v>2877</v>
      </c>
      <c r="AL477" t="s">
        <v>1188</v>
      </c>
      <c r="AM477" t="s">
        <v>2878</v>
      </c>
      <c r="AN477" t="s">
        <v>1190</v>
      </c>
      <c r="AO477" t="s">
        <v>599</v>
      </c>
      <c r="AP477" t="s">
        <v>599</v>
      </c>
      <c r="AQ477" t="s">
        <v>599</v>
      </c>
      <c r="AR477" t="s">
        <v>599</v>
      </c>
      <c r="AS477" t="s">
        <v>599</v>
      </c>
      <c r="AT477" t="s">
        <v>599</v>
      </c>
      <c r="AU477" t="s">
        <v>599</v>
      </c>
    </row>
    <row r="478" spans="1:47" s="13" customFormat="1" ht="30" x14ac:dyDescent="0.25">
      <c r="A478" s="9"/>
      <c r="B478" s="10">
        <v>808486</v>
      </c>
      <c r="C478" s="10">
        <v>1</v>
      </c>
      <c r="D478" s="9">
        <v>85</v>
      </c>
      <c r="E478" s="11" t="s">
        <v>607</v>
      </c>
      <c r="F478" s="11" t="str">
        <f t="shared" si="21"/>
        <v>https://purl.pt/44192</v>
      </c>
      <c r="G478" s="12" t="s">
        <v>604</v>
      </c>
      <c r="H478" s="9"/>
      <c r="I478" s="34"/>
      <c r="J478" s="55" t="str">
        <f t="shared" si="22"/>
        <v>https://permalinkbnd.bnportugal.gov.pt/viewer/273178/?offset=#page=85&amp;viewer=picture&amp;o=info&amp;n=0&amp;q=</v>
      </c>
      <c r="K478" s="45"/>
      <c r="L478" s="45"/>
      <c r="M478" s="45"/>
      <c r="N478" t="s">
        <v>607</v>
      </c>
      <c r="O478">
        <v>273178</v>
      </c>
      <c r="P478" t="str">
        <f t="shared" si="23"/>
        <v>https://permalinkbnd.bnportugal.gov.pt/viewer/273178/?offset=#page=85&amp;viewer=picture&amp;o=info&amp;n=0&amp;q=</v>
      </c>
      <c r="Q478">
        <v>808486</v>
      </c>
      <c r="R478" t="s">
        <v>607</v>
      </c>
      <c r="S478" t="s">
        <v>2873</v>
      </c>
      <c r="T478" t="s">
        <v>1178</v>
      </c>
      <c r="U478" t="s">
        <v>1192</v>
      </c>
      <c r="V478" t="s">
        <v>1179</v>
      </c>
      <c r="W478" t="s">
        <v>2874</v>
      </c>
      <c r="X478" t="s">
        <v>599</v>
      </c>
      <c r="Y478" t="s">
        <v>599</v>
      </c>
      <c r="Z478" t="s">
        <v>1182</v>
      </c>
      <c r="AA478" t="s">
        <v>2875</v>
      </c>
      <c r="AB478">
        <v>1885</v>
      </c>
      <c r="AC478">
        <v>1885</v>
      </c>
      <c r="AD478" t="s">
        <v>2876</v>
      </c>
      <c r="AE478" t="s">
        <v>1185</v>
      </c>
      <c r="AF478" t="s">
        <v>599</v>
      </c>
      <c r="AG478" t="s">
        <v>599</v>
      </c>
      <c r="AH478" t="s">
        <v>1873</v>
      </c>
      <c r="AI478" t="s">
        <v>599</v>
      </c>
      <c r="AJ478" t="s">
        <v>599</v>
      </c>
      <c r="AK478" t="s">
        <v>2877</v>
      </c>
      <c r="AL478" t="s">
        <v>1188</v>
      </c>
      <c r="AM478" t="s">
        <v>2878</v>
      </c>
      <c r="AN478" t="s">
        <v>1190</v>
      </c>
      <c r="AO478" t="s">
        <v>599</v>
      </c>
      <c r="AP478" t="s">
        <v>599</v>
      </c>
      <c r="AQ478" t="s">
        <v>599</v>
      </c>
      <c r="AR478" t="s">
        <v>599</v>
      </c>
      <c r="AS478" t="s">
        <v>599</v>
      </c>
      <c r="AT478" t="s">
        <v>599</v>
      </c>
      <c r="AU478" t="s">
        <v>599</v>
      </c>
    </row>
    <row r="479" spans="1:47" s="13" customFormat="1" ht="30" x14ac:dyDescent="0.25">
      <c r="A479" s="9"/>
      <c r="B479" s="10">
        <v>808486</v>
      </c>
      <c r="C479" s="10">
        <v>1</v>
      </c>
      <c r="D479" s="9">
        <v>90</v>
      </c>
      <c r="E479" s="11" t="s">
        <v>607</v>
      </c>
      <c r="F479" s="11" t="str">
        <f t="shared" si="21"/>
        <v>https://purl.pt/44192</v>
      </c>
      <c r="G479" s="12" t="s">
        <v>605</v>
      </c>
      <c r="H479" s="9"/>
      <c r="I479" s="34"/>
      <c r="J479" s="55" t="str">
        <f t="shared" si="22"/>
        <v>https://permalinkbnd.bnportugal.gov.pt/viewer/273178/?offset=#page=90&amp;viewer=picture&amp;o=info&amp;n=0&amp;q=</v>
      </c>
      <c r="K479" s="45"/>
      <c r="L479" s="45"/>
      <c r="M479" s="45"/>
      <c r="N479" t="s">
        <v>607</v>
      </c>
      <c r="O479">
        <v>273178</v>
      </c>
      <c r="P479" t="str">
        <f t="shared" si="23"/>
        <v>https://permalinkbnd.bnportugal.gov.pt/viewer/273178/?offset=#page=90&amp;viewer=picture&amp;o=info&amp;n=0&amp;q=</v>
      </c>
      <c r="Q479">
        <v>808486</v>
      </c>
      <c r="R479" t="s">
        <v>607</v>
      </c>
      <c r="S479" t="s">
        <v>2873</v>
      </c>
      <c r="T479" t="s">
        <v>1178</v>
      </c>
      <c r="U479" t="s">
        <v>1192</v>
      </c>
      <c r="V479" t="s">
        <v>1179</v>
      </c>
      <c r="W479" t="s">
        <v>2874</v>
      </c>
      <c r="X479" t="s">
        <v>599</v>
      </c>
      <c r="Y479" t="s">
        <v>599</v>
      </c>
      <c r="Z479" t="s">
        <v>1182</v>
      </c>
      <c r="AA479" t="s">
        <v>2875</v>
      </c>
      <c r="AB479">
        <v>1885</v>
      </c>
      <c r="AC479">
        <v>1885</v>
      </c>
      <c r="AD479" t="s">
        <v>2876</v>
      </c>
      <c r="AE479" t="s">
        <v>1185</v>
      </c>
      <c r="AF479" t="s">
        <v>599</v>
      </c>
      <c r="AG479" t="s">
        <v>599</v>
      </c>
      <c r="AH479" t="s">
        <v>1873</v>
      </c>
      <c r="AI479" t="s">
        <v>599</v>
      </c>
      <c r="AJ479" t="s">
        <v>599</v>
      </c>
      <c r="AK479" t="s">
        <v>2877</v>
      </c>
      <c r="AL479" t="s">
        <v>1188</v>
      </c>
      <c r="AM479" t="s">
        <v>2878</v>
      </c>
      <c r="AN479" t="s">
        <v>1190</v>
      </c>
      <c r="AO479" t="s">
        <v>599</v>
      </c>
      <c r="AP479" t="s">
        <v>599</v>
      </c>
      <c r="AQ479" t="s">
        <v>599</v>
      </c>
      <c r="AR479" t="s">
        <v>599</v>
      </c>
      <c r="AS479" t="s">
        <v>599</v>
      </c>
      <c r="AT479" t="s">
        <v>599</v>
      </c>
      <c r="AU479" t="s">
        <v>599</v>
      </c>
    </row>
    <row r="480" spans="1:47" s="13" customFormat="1" ht="30" x14ac:dyDescent="0.25">
      <c r="A480" s="9">
        <v>11100</v>
      </c>
      <c r="B480" s="10">
        <v>810044</v>
      </c>
      <c r="C480" s="10">
        <v>1</v>
      </c>
      <c r="D480" s="9">
        <v>1</v>
      </c>
      <c r="E480" s="11" t="s">
        <v>608</v>
      </c>
      <c r="F480" s="11" t="str">
        <f t="shared" si="21"/>
        <v>https://purl.pt/44139</v>
      </c>
      <c r="G480" s="12">
        <v>1</v>
      </c>
      <c r="H480" s="9"/>
      <c r="I480" s="34"/>
      <c r="J480" s="55" t="str">
        <f t="shared" si="22"/>
        <v>https://permalinkbnd.bnportugal.gov.pt/viewer/273317/?offset=#page=1&amp;viewer=picture&amp;o=info&amp;n=0&amp;q=</v>
      </c>
      <c r="K480" s="45"/>
      <c r="L480" s="45"/>
      <c r="M480" s="45"/>
      <c r="N480" t="s">
        <v>608</v>
      </c>
      <c r="O480">
        <v>273317</v>
      </c>
      <c r="P480" t="str">
        <f t="shared" si="23"/>
        <v>https://permalinkbnd.bnportugal.gov.pt/viewer/273317/?offset=#page=1&amp;viewer=picture&amp;o=info&amp;n=0&amp;q=</v>
      </c>
      <c r="Q480">
        <v>810044</v>
      </c>
      <c r="R480" t="s">
        <v>608</v>
      </c>
      <c r="S480" t="s">
        <v>2879</v>
      </c>
      <c r="T480" t="s">
        <v>1178</v>
      </c>
      <c r="U480" t="s">
        <v>2880</v>
      </c>
      <c r="V480" t="s">
        <v>1192</v>
      </c>
      <c r="W480" t="s">
        <v>2881</v>
      </c>
      <c r="X480" t="s">
        <v>599</v>
      </c>
      <c r="Y480" t="s">
        <v>599</v>
      </c>
      <c r="Z480" t="s">
        <v>1182</v>
      </c>
      <c r="AA480" t="s">
        <v>1446</v>
      </c>
      <c r="AB480">
        <v>1898</v>
      </c>
      <c r="AC480">
        <v>1898</v>
      </c>
      <c r="AD480" t="s">
        <v>2882</v>
      </c>
      <c r="AE480" t="s">
        <v>1185</v>
      </c>
      <c r="AF480" t="s">
        <v>599</v>
      </c>
      <c r="AG480" t="s">
        <v>599</v>
      </c>
      <c r="AH480" t="s">
        <v>2883</v>
      </c>
      <c r="AI480" t="s">
        <v>599</v>
      </c>
      <c r="AJ480" t="s">
        <v>599</v>
      </c>
      <c r="AK480" t="s">
        <v>2884</v>
      </c>
      <c r="AL480" t="s">
        <v>1188</v>
      </c>
      <c r="AM480" t="s">
        <v>2885</v>
      </c>
      <c r="AN480" t="s">
        <v>1190</v>
      </c>
      <c r="AO480" t="s">
        <v>599</v>
      </c>
      <c r="AP480" t="s">
        <v>599</v>
      </c>
      <c r="AQ480" t="s">
        <v>599</v>
      </c>
      <c r="AR480" t="s">
        <v>599</v>
      </c>
      <c r="AS480" t="s">
        <v>2886</v>
      </c>
      <c r="AT480" t="s">
        <v>599</v>
      </c>
      <c r="AU480" t="s">
        <v>599</v>
      </c>
    </row>
    <row r="481" spans="1:47" s="32" customFormat="1" ht="105" x14ac:dyDescent="0.25">
      <c r="A481" s="28">
        <v>11102</v>
      </c>
      <c r="B481" s="29">
        <v>412780</v>
      </c>
      <c r="C481" s="29">
        <v>1</v>
      </c>
      <c r="D481" s="28">
        <v>35</v>
      </c>
      <c r="E481" s="30" t="s">
        <v>599</v>
      </c>
      <c r="F481" s="50" t="s">
        <v>1142</v>
      </c>
      <c r="G481" s="31" t="s">
        <v>413</v>
      </c>
      <c r="H481" s="28">
        <v>35</v>
      </c>
      <c r="I481" s="35" t="s">
        <v>631</v>
      </c>
      <c r="J481" s="55" t="str">
        <f t="shared" si="22"/>
        <v>https://permalinkbnd.bnportugal.gov.pt/viewer/1/?offset=#page=35&amp;viewer=picture&amp;o=info&amp;n=0&amp;q=</v>
      </c>
      <c r="K481" s="45"/>
      <c r="L481" s="45"/>
      <c r="M481" s="45"/>
      <c r="N481" t="s">
        <v>1142</v>
      </c>
      <c r="O481">
        <v>1</v>
      </c>
      <c r="P481" t="str">
        <f t="shared" si="23"/>
        <v>https://permalinkbnd.bnportugal.gov.pt/viewer/1/?offset=#page=35&amp;viewer=picture&amp;o=info&amp;n=0&amp;q=</v>
      </c>
      <c r="Q481">
        <v>412780</v>
      </c>
      <c r="R481" t="s">
        <v>1142</v>
      </c>
      <c r="S481" t="s">
        <v>2887</v>
      </c>
      <c r="T481" t="s">
        <v>1226</v>
      </c>
      <c r="U481" t="s">
        <v>2888</v>
      </c>
      <c r="V481" t="s">
        <v>599</v>
      </c>
      <c r="W481" t="s">
        <v>2889</v>
      </c>
      <c r="X481" t="s">
        <v>2890</v>
      </c>
      <c r="Y481" t="s">
        <v>599</v>
      </c>
      <c r="Z481" t="s">
        <v>1182</v>
      </c>
      <c r="AA481" t="s">
        <v>2891</v>
      </c>
      <c r="AB481">
        <v>1898</v>
      </c>
      <c r="AC481">
        <v>1898</v>
      </c>
      <c r="AD481" t="s">
        <v>2892</v>
      </c>
      <c r="AE481" t="s">
        <v>599</v>
      </c>
      <c r="AF481" t="s">
        <v>599</v>
      </c>
      <c r="AG481" t="s">
        <v>599</v>
      </c>
      <c r="AH481" t="s">
        <v>599</v>
      </c>
      <c r="AI481" t="s">
        <v>599</v>
      </c>
      <c r="AJ481" t="s">
        <v>599</v>
      </c>
      <c r="AK481" t="s">
        <v>2893</v>
      </c>
      <c r="AL481" t="s">
        <v>1188</v>
      </c>
      <c r="AM481" t="s">
        <v>2894</v>
      </c>
      <c r="AN481" t="s">
        <v>1190</v>
      </c>
      <c r="AO481" t="s">
        <v>599</v>
      </c>
      <c r="AP481" t="s">
        <v>599</v>
      </c>
      <c r="AQ481" t="s">
        <v>599</v>
      </c>
      <c r="AR481" t="s">
        <v>599</v>
      </c>
      <c r="AS481" t="s">
        <v>599</v>
      </c>
      <c r="AT481" t="s">
        <v>599</v>
      </c>
      <c r="AU481" t="s">
        <v>599</v>
      </c>
    </row>
    <row r="482" spans="1:47" s="13" customFormat="1" ht="75" x14ac:dyDescent="0.25">
      <c r="A482" s="9">
        <v>11175</v>
      </c>
      <c r="B482" s="10">
        <v>98840</v>
      </c>
      <c r="C482" s="10">
        <v>1</v>
      </c>
      <c r="D482" s="9">
        <v>10</v>
      </c>
      <c r="E482" s="11" t="s">
        <v>414</v>
      </c>
      <c r="F482" s="11" t="str">
        <f t="shared" si="21"/>
        <v>https://purl.pt/44016</v>
      </c>
      <c r="G482" s="12" t="s">
        <v>415</v>
      </c>
      <c r="H482" s="9" t="s">
        <v>416</v>
      </c>
      <c r="I482" s="34"/>
      <c r="J482" s="55" t="str">
        <f t="shared" si="22"/>
        <v>https://permalinkbnd.bnportugal.gov.pt/viewer/273944/?offset=#page=10&amp;viewer=picture&amp;o=info&amp;n=0&amp;q=</v>
      </c>
      <c r="K482" s="45"/>
      <c r="L482" s="45"/>
      <c r="M482" s="45"/>
      <c r="N482" t="s">
        <v>414</v>
      </c>
      <c r="O482">
        <v>273944</v>
      </c>
      <c r="P482" t="str">
        <f t="shared" si="23"/>
        <v>https://permalinkbnd.bnportugal.gov.pt/viewer/273944/?offset=#page=10&amp;viewer=picture&amp;o=info&amp;n=0&amp;q=</v>
      </c>
      <c r="Q482">
        <v>98840</v>
      </c>
      <c r="R482" t="s">
        <v>414</v>
      </c>
      <c r="S482" t="s">
        <v>2895</v>
      </c>
      <c r="T482" t="s">
        <v>1178</v>
      </c>
      <c r="U482" t="s">
        <v>1192</v>
      </c>
      <c r="V482" t="s">
        <v>599</v>
      </c>
      <c r="W482" t="s">
        <v>1551</v>
      </c>
      <c r="X482" t="s">
        <v>599</v>
      </c>
      <c r="Y482" t="s">
        <v>599</v>
      </c>
      <c r="Z482" t="s">
        <v>2896</v>
      </c>
      <c r="AA482" t="s">
        <v>2897</v>
      </c>
      <c r="AB482">
        <v>1880</v>
      </c>
      <c r="AC482">
        <v>1880</v>
      </c>
      <c r="AD482" t="s">
        <v>2898</v>
      </c>
      <c r="AE482" t="s">
        <v>1185</v>
      </c>
      <c r="AF482" t="s">
        <v>599</v>
      </c>
      <c r="AG482" t="s">
        <v>599</v>
      </c>
      <c r="AH482" t="s">
        <v>2899</v>
      </c>
      <c r="AI482" t="s">
        <v>599</v>
      </c>
      <c r="AJ482" t="s">
        <v>2900</v>
      </c>
      <c r="AK482" t="s">
        <v>2901</v>
      </c>
      <c r="AL482" t="s">
        <v>1188</v>
      </c>
      <c r="AM482" t="s">
        <v>2902</v>
      </c>
      <c r="AN482" t="s">
        <v>1190</v>
      </c>
      <c r="AO482" t="s">
        <v>599</v>
      </c>
      <c r="AP482" t="s">
        <v>599</v>
      </c>
      <c r="AQ482" t="s">
        <v>599</v>
      </c>
      <c r="AR482" t="s">
        <v>599</v>
      </c>
      <c r="AS482" t="s">
        <v>599</v>
      </c>
      <c r="AT482" t="s">
        <v>599</v>
      </c>
      <c r="AU482" t="s">
        <v>599</v>
      </c>
    </row>
    <row r="483" spans="1:47" s="13" customFormat="1" ht="75" x14ac:dyDescent="0.25">
      <c r="A483" s="9">
        <v>11176</v>
      </c>
      <c r="B483" s="10">
        <v>98840</v>
      </c>
      <c r="C483" s="10">
        <v>1</v>
      </c>
      <c r="D483" s="9">
        <v>103</v>
      </c>
      <c r="E483" s="11" t="s">
        <v>414</v>
      </c>
      <c r="F483" s="11" t="str">
        <f t="shared" si="21"/>
        <v>https://purl.pt/44016</v>
      </c>
      <c r="G483" s="12" t="s">
        <v>415</v>
      </c>
      <c r="H483" s="9" t="s">
        <v>416</v>
      </c>
      <c r="I483" s="34"/>
      <c r="J483" s="55" t="str">
        <f t="shared" si="22"/>
        <v>https://permalinkbnd.bnportugal.gov.pt/viewer/273944/?offset=#page=103&amp;viewer=picture&amp;o=info&amp;n=0&amp;q=</v>
      </c>
      <c r="K483" s="45"/>
      <c r="L483" s="45"/>
      <c r="M483" s="45"/>
      <c r="N483" t="s">
        <v>414</v>
      </c>
      <c r="O483">
        <v>273944</v>
      </c>
      <c r="P483" t="str">
        <f t="shared" si="23"/>
        <v>https://permalinkbnd.bnportugal.gov.pt/viewer/273944/?offset=#page=103&amp;viewer=picture&amp;o=info&amp;n=0&amp;q=</v>
      </c>
      <c r="Q483">
        <v>98840</v>
      </c>
      <c r="R483" t="s">
        <v>414</v>
      </c>
      <c r="S483" t="s">
        <v>2895</v>
      </c>
      <c r="T483" t="s">
        <v>1178</v>
      </c>
      <c r="U483" t="s">
        <v>1192</v>
      </c>
      <c r="V483" t="s">
        <v>599</v>
      </c>
      <c r="W483" t="s">
        <v>1551</v>
      </c>
      <c r="X483" t="s">
        <v>599</v>
      </c>
      <c r="Y483" t="s">
        <v>599</v>
      </c>
      <c r="Z483" t="s">
        <v>2896</v>
      </c>
      <c r="AA483" t="s">
        <v>2897</v>
      </c>
      <c r="AB483">
        <v>1880</v>
      </c>
      <c r="AC483">
        <v>1880</v>
      </c>
      <c r="AD483" t="s">
        <v>2898</v>
      </c>
      <c r="AE483" t="s">
        <v>1185</v>
      </c>
      <c r="AF483" t="s">
        <v>599</v>
      </c>
      <c r="AG483" t="s">
        <v>599</v>
      </c>
      <c r="AH483" t="s">
        <v>2899</v>
      </c>
      <c r="AI483" t="s">
        <v>599</v>
      </c>
      <c r="AJ483" t="s">
        <v>2900</v>
      </c>
      <c r="AK483" t="s">
        <v>2901</v>
      </c>
      <c r="AL483" t="s">
        <v>1188</v>
      </c>
      <c r="AM483" t="s">
        <v>2902</v>
      </c>
      <c r="AN483" t="s">
        <v>1190</v>
      </c>
      <c r="AO483" t="s">
        <v>599</v>
      </c>
      <c r="AP483" t="s">
        <v>599</v>
      </c>
      <c r="AQ483" t="s">
        <v>599</v>
      </c>
      <c r="AR483" t="s">
        <v>599</v>
      </c>
      <c r="AS483" t="s">
        <v>599</v>
      </c>
      <c r="AT483" t="s">
        <v>599</v>
      </c>
      <c r="AU483" t="s">
        <v>599</v>
      </c>
    </row>
    <row r="484" spans="1:47" s="13" customFormat="1" ht="75" x14ac:dyDescent="0.25">
      <c r="A484" s="9">
        <v>11177</v>
      </c>
      <c r="B484" s="10">
        <v>98840</v>
      </c>
      <c r="C484" s="10">
        <v>1</v>
      </c>
      <c r="D484" s="9">
        <v>107</v>
      </c>
      <c r="E484" s="11" t="s">
        <v>414</v>
      </c>
      <c r="F484" s="11" t="str">
        <f t="shared" si="21"/>
        <v>https://purl.pt/44016</v>
      </c>
      <c r="G484" s="12" t="s">
        <v>415</v>
      </c>
      <c r="H484" s="9" t="s">
        <v>416</v>
      </c>
      <c r="I484" s="34"/>
      <c r="J484" s="55" t="str">
        <f t="shared" si="22"/>
        <v>https://permalinkbnd.bnportugal.gov.pt/viewer/273944/?offset=#page=107&amp;viewer=picture&amp;o=info&amp;n=0&amp;q=</v>
      </c>
      <c r="K484" s="45"/>
      <c r="L484" s="45"/>
      <c r="M484" s="45"/>
      <c r="N484" t="s">
        <v>414</v>
      </c>
      <c r="O484">
        <v>273944</v>
      </c>
      <c r="P484" t="str">
        <f t="shared" si="23"/>
        <v>https://permalinkbnd.bnportugal.gov.pt/viewer/273944/?offset=#page=107&amp;viewer=picture&amp;o=info&amp;n=0&amp;q=</v>
      </c>
      <c r="Q484">
        <v>98840</v>
      </c>
      <c r="R484" t="s">
        <v>414</v>
      </c>
      <c r="S484" t="s">
        <v>2895</v>
      </c>
      <c r="T484" t="s">
        <v>1178</v>
      </c>
      <c r="U484" t="s">
        <v>1192</v>
      </c>
      <c r="V484" t="s">
        <v>599</v>
      </c>
      <c r="W484" t="s">
        <v>1551</v>
      </c>
      <c r="X484" t="s">
        <v>599</v>
      </c>
      <c r="Y484" t="s">
        <v>599</v>
      </c>
      <c r="Z484" t="s">
        <v>2896</v>
      </c>
      <c r="AA484" t="s">
        <v>2897</v>
      </c>
      <c r="AB484">
        <v>1880</v>
      </c>
      <c r="AC484">
        <v>1880</v>
      </c>
      <c r="AD484" t="s">
        <v>2898</v>
      </c>
      <c r="AE484" t="s">
        <v>1185</v>
      </c>
      <c r="AF484" t="s">
        <v>599</v>
      </c>
      <c r="AG484" t="s">
        <v>599</v>
      </c>
      <c r="AH484" t="s">
        <v>2899</v>
      </c>
      <c r="AI484" t="s">
        <v>599</v>
      </c>
      <c r="AJ484" t="s">
        <v>2900</v>
      </c>
      <c r="AK484" t="s">
        <v>2901</v>
      </c>
      <c r="AL484" t="s">
        <v>1188</v>
      </c>
      <c r="AM484" t="s">
        <v>2902</v>
      </c>
      <c r="AN484" t="s">
        <v>1190</v>
      </c>
      <c r="AO484" t="s">
        <v>599</v>
      </c>
      <c r="AP484" t="s">
        <v>599</v>
      </c>
      <c r="AQ484" t="s">
        <v>599</v>
      </c>
      <c r="AR484" t="s">
        <v>599</v>
      </c>
      <c r="AS484" t="s">
        <v>599</v>
      </c>
      <c r="AT484" t="s">
        <v>599</v>
      </c>
      <c r="AU484" t="s">
        <v>599</v>
      </c>
    </row>
    <row r="485" spans="1:47" s="13" customFormat="1" ht="75" x14ac:dyDescent="0.25">
      <c r="A485" s="9">
        <v>11178</v>
      </c>
      <c r="B485" s="10">
        <v>98840</v>
      </c>
      <c r="C485" s="10">
        <v>1</v>
      </c>
      <c r="D485" s="9">
        <v>145</v>
      </c>
      <c r="E485" s="11" t="s">
        <v>414</v>
      </c>
      <c r="F485" s="11" t="str">
        <f t="shared" si="21"/>
        <v>https://purl.pt/44016</v>
      </c>
      <c r="G485" s="12" t="s">
        <v>415</v>
      </c>
      <c r="H485" s="9" t="s">
        <v>416</v>
      </c>
      <c r="I485" s="34"/>
      <c r="J485" s="55" t="str">
        <f t="shared" si="22"/>
        <v>https://permalinkbnd.bnportugal.gov.pt/viewer/273944/?offset=#page=145&amp;viewer=picture&amp;o=info&amp;n=0&amp;q=</v>
      </c>
      <c r="K485" s="45"/>
      <c r="L485" s="45"/>
      <c r="M485" s="45"/>
      <c r="N485" t="s">
        <v>414</v>
      </c>
      <c r="O485">
        <v>273944</v>
      </c>
      <c r="P485" t="str">
        <f t="shared" si="23"/>
        <v>https://permalinkbnd.bnportugal.gov.pt/viewer/273944/?offset=#page=145&amp;viewer=picture&amp;o=info&amp;n=0&amp;q=</v>
      </c>
      <c r="Q485">
        <v>98840</v>
      </c>
      <c r="R485" t="s">
        <v>414</v>
      </c>
      <c r="S485" t="s">
        <v>2895</v>
      </c>
      <c r="T485" t="s">
        <v>1178</v>
      </c>
      <c r="U485" t="s">
        <v>1192</v>
      </c>
      <c r="V485" t="s">
        <v>599</v>
      </c>
      <c r="W485" t="s">
        <v>1551</v>
      </c>
      <c r="X485" t="s">
        <v>599</v>
      </c>
      <c r="Y485" t="s">
        <v>599</v>
      </c>
      <c r="Z485" t="s">
        <v>2896</v>
      </c>
      <c r="AA485" t="s">
        <v>2897</v>
      </c>
      <c r="AB485">
        <v>1880</v>
      </c>
      <c r="AC485">
        <v>1880</v>
      </c>
      <c r="AD485" t="s">
        <v>2898</v>
      </c>
      <c r="AE485" t="s">
        <v>1185</v>
      </c>
      <c r="AF485" t="s">
        <v>599</v>
      </c>
      <c r="AG485" t="s">
        <v>599</v>
      </c>
      <c r="AH485" t="s">
        <v>2899</v>
      </c>
      <c r="AI485" t="s">
        <v>599</v>
      </c>
      <c r="AJ485" t="s">
        <v>2900</v>
      </c>
      <c r="AK485" t="s">
        <v>2901</v>
      </c>
      <c r="AL485" t="s">
        <v>1188</v>
      </c>
      <c r="AM485" t="s">
        <v>2902</v>
      </c>
      <c r="AN485" t="s">
        <v>1190</v>
      </c>
      <c r="AO485" t="s">
        <v>599</v>
      </c>
      <c r="AP485" t="s">
        <v>599</v>
      </c>
      <c r="AQ485" t="s">
        <v>599</v>
      </c>
      <c r="AR485" t="s">
        <v>599</v>
      </c>
      <c r="AS485" t="s">
        <v>599</v>
      </c>
      <c r="AT485" t="s">
        <v>599</v>
      </c>
      <c r="AU485" t="s">
        <v>599</v>
      </c>
    </row>
    <row r="486" spans="1:47" s="13" customFormat="1" ht="75" x14ac:dyDescent="0.25">
      <c r="A486" s="9">
        <v>11179</v>
      </c>
      <c r="B486" s="10">
        <v>98840</v>
      </c>
      <c r="C486" s="10">
        <v>1</v>
      </c>
      <c r="D486" s="9">
        <v>185</v>
      </c>
      <c r="E486" s="11" t="s">
        <v>414</v>
      </c>
      <c r="F486" s="11" t="str">
        <f t="shared" si="21"/>
        <v>https://purl.pt/44016</v>
      </c>
      <c r="G486" s="12" t="s">
        <v>415</v>
      </c>
      <c r="H486" s="9" t="s">
        <v>416</v>
      </c>
      <c r="I486" s="34"/>
      <c r="J486" s="55" t="str">
        <f t="shared" si="22"/>
        <v>https://permalinkbnd.bnportugal.gov.pt/viewer/273944/?offset=#page=185&amp;viewer=picture&amp;o=info&amp;n=0&amp;q=</v>
      </c>
      <c r="K486" s="45"/>
      <c r="L486" s="45"/>
      <c r="M486" s="45"/>
      <c r="N486" t="s">
        <v>414</v>
      </c>
      <c r="O486">
        <v>273944</v>
      </c>
      <c r="P486" t="str">
        <f t="shared" si="23"/>
        <v>https://permalinkbnd.bnportugal.gov.pt/viewer/273944/?offset=#page=185&amp;viewer=picture&amp;o=info&amp;n=0&amp;q=</v>
      </c>
      <c r="Q486">
        <v>98840</v>
      </c>
      <c r="R486" t="s">
        <v>414</v>
      </c>
      <c r="S486" t="s">
        <v>2895</v>
      </c>
      <c r="T486" t="s">
        <v>1178</v>
      </c>
      <c r="U486" t="s">
        <v>1192</v>
      </c>
      <c r="V486" t="s">
        <v>599</v>
      </c>
      <c r="W486" t="s">
        <v>1551</v>
      </c>
      <c r="X486" t="s">
        <v>599</v>
      </c>
      <c r="Y486" t="s">
        <v>599</v>
      </c>
      <c r="Z486" t="s">
        <v>2896</v>
      </c>
      <c r="AA486" t="s">
        <v>2897</v>
      </c>
      <c r="AB486">
        <v>1880</v>
      </c>
      <c r="AC486">
        <v>1880</v>
      </c>
      <c r="AD486" t="s">
        <v>2898</v>
      </c>
      <c r="AE486" t="s">
        <v>1185</v>
      </c>
      <c r="AF486" t="s">
        <v>599</v>
      </c>
      <c r="AG486" t="s">
        <v>599</v>
      </c>
      <c r="AH486" t="s">
        <v>2899</v>
      </c>
      <c r="AI486" t="s">
        <v>599</v>
      </c>
      <c r="AJ486" t="s">
        <v>2900</v>
      </c>
      <c r="AK486" t="s">
        <v>2901</v>
      </c>
      <c r="AL486" t="s">
        <v>1188</v>
      </c>
      <c r="AM486" t="s">
        <v>2902</v>
      </c>
      <c r="AN486" t="s">
        <v>1190</v>
      </c>
      <c r="AO486" t="s">
        <v>599</v>
      </c>
      <c r="AP486" t="s">
        <v>599</v>
      </c>
      <c r="AQ486" t="s">
        <v>599</v>
      </c>
      <c r="AR486" t="s">
        <v>599</v>
      </c>
      <c r="AS486" t="s">
        <v>599</v>
      </c>
      <c r="AT486" t="s">
        <v>599</v>
      </c>
      <c r="AU486" t="s">
        <v>599</v>
      </c>
    </row>
    <row r="487" spans="1:47" s="13" customFormat="1" ht="75" x14ac:dyDescent="0.25">
      <c r="A487" s="9">
        <v>11180</v>
      </c>
      <c r="B487" s="10">
        <v>98840</v>
      </c>
      <c r="C487" s="10">
        <v>1</v>
      </c>
      <c r="D487" s="9">
        <v>235</v>
      </c>
      <c r="E487" s="11" t="s">
        <v>414</v>
      </c>
      <c r="F487" s="11" t="str">
        <f t="shared" si="21"/>
        <v>https://purl.pt/44016</v>
      </c>
      <c r="G487" s="12" t="s">
        <v>415</v>
      </c>
      <c r="H487" s="9" t="s">
        <v>416</v>
      </c>
      <c r="I487" s="34"/>
      <c r="J487" s="55" t="str">
        <f t="shared" si="22"/>
        <v>https://permalinkbnd.bnportugal.gov.pt/viewer/273944/?offset=#page=235&amp;viewer=picture&amp;o=info&amp;n=0&amp;q=</v>
      </c>
      <c r="K487" s="45"/>
      <c r="L487" s="45"/>
      <c r="M487" s="45"/>
      <c r="N487" t="s">
        <v>414</v>
      </c>
      <c r="O487">
        <v>273944</v>
      </c>
      <c r="P487" t="str">
        <f t="shared" si="23"/>
        <v>https://permalinkbnd.bnportugal.gov.pt/viewer/273944/?offset=#page=235&amp;viewer=picture&amp;o=info&amp;n=0&amp;q=</v>
      </c>
      <c r="Q487">
        <v>98840</v>
      </c>
      <c r="R487" t="s">
        <v>414</v>
      </c>
      <c r="S487" t="s">
        <v>2895</v>
      </c>
      <c r="T487" t="s">
        <v>1178</v>
      </c>
      <c r="U487" t="s">
        <v>1192</v>
      </c>
      <c r="V487" t="s">
        <v>599</v>
      </c>
      <c r="W487" t="s">
        <v>1551</v>
      </c>
      <c r="X487" t="s">
        <v>599</v>
      </c>
      <c r="Y487" t="s">
        <v>599</v>
      </c>
      <c r="Z487" t="s">
        <v>2896</v>
      </c>
      <c r="AA487" t="s">
        <v>2897</v>
      </c>
      <c r="AB487">
        <v>1880</v>
      </c>
      <c r="AC487">
        <v>1880</v>
      </c>
      <c r="AD487" t="s">
        <v>2898</v>
      </c>
      <c r="AE487" t="s">
        <v>1185</v>
      </c>
      <c r="AF487" t="s">
        <v>599</v>
      </c>
      <c r="AG487" t="s">
        <v>599</v>
      </c>
      <c r="AH487" t="s">
        <v>2899</v>
      </c>
      <c r="AI487" t="s">
        <v>599</v>
      </c>
      <c r="AJ487" t="s">
        <v>2900</v>
      </c>
      <c r="AK487" t="s">
        <v>2901</v>
      </c>
      <c r="AL487" t="s">
        <v>1188</v>
      </c>
      <c r="AM487" t="s">
        <v>2902</v>
      </c>
      <c r="AN487" t="s">
        <v>1190</v>
      </c>
      <c r="AO487" t="s">
        <v>599</v>
      </c>
      <c r="AP487" t="s">
        <v>599</v>
      </c>
      <c r="AQ487" t="s">
        <v>599</v>
      </c>
      <c r="AR487" t="s">
        <v>599</v>
      </c>
      <c r="AS487" t="s">
        <v>599</v>
      </c>
      <c r="AT487" t="s">
        <v>599</v>
      </c>
      <c r="AU487" t="s">
        <v>599</v>
      </c>
    </row>
    <row r="488" spans="1:47" s="13" customFormat="1" ht="75" x14ac:dyDescent="0.25">
      <c r="A488" s="9">
        <v>11181</v>
      </c>
      <c r="B488" s="10">
        <v>98840</v>
      </c>
      <c r="C488" s="10">
        <v>1</v>
      </c>
      <c r="D488" s="9">
        <v>270</v>
      </c>
      <c r="E488" s="11" t="s">
        <v>414</v>
      </c>
      <c r="F488" s="11" t="str">
        <f t="shared" si="21"/>
        <v>https://purl.pt/44016</v>
      </c>
      <c r="G488" s="12" t="s">
        <v>415</v>
      </c>
      <c r="H488" s="9" t="s">
        <v>416</v>
      </c>
      <c r="I488" s="34"/>
      <c r="J488" s="55" t="str">
        <f t="shared" si="22"/>
        <v>https://permalinkbnd.bnportugal.gov.pt/viewer/273944/?offset=#page=270&amp;viewer=picture&amp;o=info&amp;n=0&amp;q=</v>
      </c>
      <c r="K488" s="45"/>
      <c r="L488" s="45"/>
      <c r="M488" s="45"/>
      <c r="N488" t="s">
        <v>414</v>
      </c>
      <c r="O488">
        <v>273944</v>
      </c>
      <c r="P488" t="str">
        <f t="shared" si="23"/>
        <v>https://permalinkbnd.bnportugal.gov.pt/viewer/273944/?offset=#page=270&amp;viewer=picture&amp;o=info&amp;n=0&amp;q=</v>
      </c>
      <c r="Q488">
        <v>98840</v>
      </c>
      <c r="R488" t="s">
        <v>414</v>
      </c>
      <c r="S488" t="s">
        <v>2895</v>
      </c>
      <c r="T488" t="s">
        <v>1178</v>
      </c>
      <c r="U488" t="s">
        <v>1192</v>
      </c>
      <c r="V488" t="s">
        <v>599</v>
      </c>
      <c r="W488" t="s">
        <v>1551</v>
      </c>
      <c r="X488" t="s">
        <v>599</v>
      </c>
      <c r="Y488" t="s">
        <v>599</v>
      </c>
      <c r="Z488" t="s">
        <v>2896</v>
      </c>
      <c r="AA488" t="s">
        <v>2897</v>
      </c>
      <c r="AB488">
        <v>1880</v>
      </c>
      <c r="AC488">
        <v>1880</v>
      </c>
      <c r="AD488" t="s">
        <v>2898</v>
      </c>
      <c r="AE488" t="s">
        <v>1185</v>
      </c>
      <c r="AF488" t="s">
        <v>599</v>
      </c>
      <c r="AG488" t="s">
        <v>599</v>
      </c>
      <c r="AH488" t="s">
        <v>2899</v>
      </c>
      <c r="AI488" t="s">
        <v>599</v>
      </c>
      <c r="AJ488" t="s">
        <v>2900</v>
      </c>
      <c r="AK488" t="s">
        <v>2901</v>
      </c>
      <c r="AL488" t="s">
        <v>1188</v>
      </c>
      <c r="AM488" t="s">
        <v>2902</v>
      </c>
      <c r="AN488" t="s">
        <v>1190</v>
      </c>
      <c r="AO488" t="s">
        <v>599</v>
      </c>
      <c r="AP488" t="s">
        <v>599</v>
      </c>
      <c r="AQ488" t="s">
        <v>599</v>
      </c>
      <c r="AR488" t="s">
        <v>599</v>
      </c>
      <c r="AS488" t="s">
        <v>599</v>
      </c>
      <c r="AT488" t="s">
        <v>599</v>
      </c>
      <c r="AU488" t="s">
        <v>599</v>
      </c>
    </row>
    <row r="489" spans="1:47" s="13" customFormat="1" ht="75" x14ac:dyDescent="0.25">
      <c r="A489" s="9">
        <v>11182</v>
      </c>
      <c r="B489" s="10">
        <v>98840</v>
      </c>
      <c r="C489" s="10">
        <v>1</v>
      </c>
      <c r="D489" s="9">
        <v>273</v>
      </c>
      <c r="E489" s="11" t="s">
        <v>414</v>
      </c>
      <c r="F489" s="11" t="str">
        <f t="shared" si="21"/>
        <v>https://purl.pt/44016</v>
      </c>
      <c r="G489" s="12" t="s">
        <v>415</v>
      </c>
      <c r="H489" s="9" t="s">
        <v>416</v>
      </c>
      <c r="I489" s="34"/>
      <c r="J489" s="55" t="str">
        <f t="shared" si="22"/>
        <v>https://permalinkbnd.bnportugal.gov.pt/viewer/273944/?offset=#page=273&amp;viewer=picture&amp;o=info&amp;n=0&amp;q=</v>
      </c>
      <c r="K489" s="45"/>
      <c r="L489" s="45"/>
      <c r="M489" s="45"/>
      <c r="N489" t="s">
        <v>414</v>
      </c>
      <c r="O489">
        <v>273944</v>
      </c>
      <c r="P489" t="str">
        <f t="shared" si="23"/>
        <v>https://permalinkbnd.bnportugal.gov.pt/viewer/273944/?offset=#page=273&amp;viewer=picture&amp;o=info&amp;n=0&amp;q=</v>
      </c>
      <c r="Q489">
        <v>98840</v>
      </c>
      <c r="R489" t="s">
        <v>414</v>
      </c>
      <c r="S489" t="s">
        <v>2895</v>
      </c>
      <c r="T489" t="s">
        <v>1178</v>
      </c>
      <c r="U489" t="s">
        <v>1192</v>
      </c>
      <c r="V489" t="s">
        <v>599</v>
      </c>
      <c r="W489" t="s">
        <v>1551</v>
      </c>
      <c r="X489" t="s">
        <v>599</v>
      </c>
      <c r="Y489" t="s">
        <v>599</v>
      </c>
      <c r="Z489" t="s">
        <v>2896</v>
      </c>
      <c r="AA489" t="s">
        <v>2897</v>
      </c>
      <c r="AB489">
        <v>1880</v>
      </c>
      <c r="AC489">
        <v>1880</v>
      </c>
      <c r="AD489" t="s">
        <v>2898</v>
      </c>
      <c r="AE489" t="s">
        <v>1185</v>
      </c>
      <c r="AF489" t="s">
        <v>599</v>
      </c>
      <c r="AG489" t="s">
        <v>599</v>
      </c>
      <c r="AH489" t="s">
        <v>2899</v>
      </c>
      <c r="AI489" t="s">
        <v>599</v>
      </c>
      <c r="AJ489" t="s">
        <v>2900</v>
      </c>
      <c r="AK489" t="s">
        <v>2901</v>
      </c>
      <c r="AL489" t="s">
        <v>1188</v>
      </c>
      <c r="AM489" t="s">
        <v>2902</v>
      </c>
      <c r="AN489" t="s">
        <v>1190</v>
      </c>
      <c r="AO489" t="s">
        <v>599</v>
      </c>
      <c r="AP489" t="s">
        <v>599</v>
      </c>
      <c r="AQ489" t="s">
        <v>599</v>
      </c>
      <c r="AR489" t="s">
        <v>599</v>
      </c>
      <c r="AS489" t="s">
        <v>599</v>
      </c>
      <c r="AT489" t="s">
        <v>599</v>
      </c>
      <c r="AU489" t="s">
        <v>599</v>
      </c>
    </row>
    <row r="490" spans="1:47" s="13" customFormat="1" ht="75" x14ac:dyDescent="0.25">
      <c r="A490" s="9">
        <v>11183</v>
      </c>
      <c r="B490" s="10">
        <v>98840</v>
      </c>
      <c r="C490" s="10">
        <v>1</v>
      </c>
      <c r="D490" s="9">
        <v>306</v>
      </c>
      <c r="E490" s="11" t="s">
        <v>414</v>
      </c>
      <c r="F490" s="11" t="str">
        <f t="shared" si="21"/>
        <v>https://purl.pt/44016</v>
      </c>
      <c r="G490" s="12" t="s">
        <v>415</v>
      </c>
      <c r="H490" s="9" t="s">
        <v>416</v>
      </c>
      <c r="I490" s="34"/>
      <c r="J490" s="55" t="str">
        <f t="shared" si="22"/>
        <v>https://permalinkbnd.bnportugal.gov.pt/viewer/273944/?offset=#page=306&amp;viewer=picture&amp;o=info&amp;n=0&amp;q=</v>
      </c>
      <c r="K490" s="45"/>
      <c r="L490" s="45"/>
      <c r="M490" s="45"/>
      <c r="N490" t="s">
        <v>414</v>
      </c>
      <c r="O490">
        <v>273944</v>
      </c>
      <c r="P490" t="str">
        <f t="shared" si="23"/>
        <v>https://permalinkbnd.bnportugal.gov.pt/viewer/273944/?offset=#page=306&amp;viewer=picture&amp;o=info&amp;n=0&amp;q=</v>
      </c>
      <c r="Q490">
        <v>98840</v>
      </c>
      <c r="R490" t="s">
        <v>414</v>
      </c>
      <c r="S490" t="s">
        <v>2895</v>
      </c>
      <c r="T490" t="s">
        <v>1178</v>
      </c>
      <c r="U490" t="s">
        <v>1192</v>
      </c>
      <c r="V490" t="s">
        <v>599</v>
      </c>
      <c r="W490" t="s">
        <v>1551</v>
      </c>
      <c r="X490" t="s">
        <v>599</v>
      </c>
      <c r="Y490" t="s">
        <v>599</v>
      </c>
      <c r="Z490" t="s">
        <v>2896</v>
      </c>
      <c r="AA490" t="s">
        <v>2897</v>
      </c>
      <c r="AB490">
        <v>1880</v>
      </c>
      <c r="AC490">
        <v>1880</v>
      </c>
      <c r="AD490" t="s">
        <v>2898</v>
      </c>
      <c r="AE490" t="s">
        <v>1185</v>
      </c>
      <c r="AF490" t="s">
        <v>599</v>
      </c>
      <c r="AG490" t="s">
        <v>599</v>
      </c>
      <c r="AH490" t="s">
        <v>2899</v>
      </c>
      <c r="AI490" t="s">
        <v>599</v>
      </c>
      <c r="AJ490" t="s">
        <v>2900</v>
      </c>
      <c r="AK490" t="s">
        <v>2901</v>
      </c>
      <c r="AL490" t="s">
        <v>1188</v>
      </c>
      <c r="AM490" t="s">
        <v>2902</v>
      </c>
      <c r="AN490" t="s">
        <v>1190</v>
      </c>
      <c r="AO490" t="s">
        <v>599</v>
      </c>
      <c r="AP490" t="s">
        <v>599</v>
      </c>
      <c r="AQ490" t="s">
        <v>599</v>
      </c>
      <c r="AR490" t="s">
        <v>599</v>
      </c>
      <c r="AS490" t="s">
        <v>599</v>
      </c>
      <c r="AT490" t="s">
        <v>599</v>
      </c>
      <c r="AU490" t="s">
        <v>599</v>
      </c>
    </row>
    <row r="491" spans="1:47" s="13" customFormat="1" ht="75" x14ac:dyDescent="0.25">
      <c r="A491" s="9">
        <v>11184</v>
      </c>
      <c r="B491" s="10">
        <v>98840</v>
      </c>
      <c r="C491" s="10">
        <v>1</v>
      </c>
      <c r="D491" s="9">
        <v>309</v>
      </c>
      <c r="E491" s="11" t="s">
        <v>414</v>
      </c>
      <c r="F491" s="11" t="str">
        <f t="shared" si="21"/>
        <v>https://purl.pt/44016</v>
      </c>
      <c r="G491" s="12" t="s">
        <v>415</v>
      </c>
      <c r="H491" s="9" t="s">
        <v>416</v>
      </c>
      <c r="I491" s="34"/>
      <c r="J491" s="55" t="str">
        <f t="shared" si="22"/>
        <v>https://permalinkbnd.bnportugal.gov.pt/viewer/273944/?offset=#page=309&amp;viewer=picture&amp;o=info&amp;n=0&amp;q=</v>
      </c>
      <c r="K491" s="45"/>
      <c r="L491" s="45"/>
      <c r="M491" s="45"/>
      <c r="N491" t="s">
        <v>414</v>
      </c>
      <c r="O491">
        <v>273944</v>
      </c>
      <c r="P491" t="str">
        <f t="shared" si="23"/>
        <v>https://permalinkbnd.bnportugal.gov.pt/viewer/273944/?offset=#page=309&amp;viewer=picture&amp;o=info&amp;n=0&amp;q=</v>
      </c>
      <c r="Q491">
        <v>98840</v>
      </c>
      <c r="R491" t="s">
        <v>414</v>
      </c>
      <c r="S491" t="s">
        <v>2895</v>
      </c>
      <c r="T491" t="s">
        <v>1178</v>
      </c>
      <c r="U491" t="s">
        <v>1192</v>
      </c>
      <c r="V491" t="s">
        <v>599</v>
      </c>
      <c r="W491" t="s">
        <v>1551</v>
      </c>
      <c r="X491" t="s">
        <v>599</v>
      </c>
      <c r="Y491" t="s">
        <v>599</v>
      </c>
      <c r="Z491" t="s">
        <v>2896</v>
      </c>
      <c r="AA491" t="s">
        <v>2897</v>
      </c>
      <c r="AB491">
        <v>1880</v>
      </c>
      <c r="AC491">
        <v>1880</v>
      </c>
      <c r="AD491" t="s">
        <v>2898</v>
      </c>
      <c r="AE491" t="s">
        <v>1185</v>
      </c>
      <c r="AF491" t="s">
        <v>599</v>
      </c>
      <c r="AG491" t="s">
        <v>599</v>
      </c>
      <c r="AH491" t="s">
        <v>2899</v>
      </c>
      <c r="AI491" t="s">
        <v>599</v>
      </c>
      <c r="AJ491" t="s">
        <v>2900</v>
      </c>
      <c r="AK491" t="s">
        <v>2901</v>
      </c>
      <c r="AL491" t="s">
        <v>1188</v>
      </c>
      <c r="AM491" t="s">
        <v>2902</v>
      </c>
      <c r="AN491" t="s">
        <v>1190</v>
      </c>
      <c r="AO491" t="s">
        <v>599</v>
      </c>
      <c r="AP491" t="s">
        <v>599</v>
      </c>
      <c r="AQ491" t="s">
        <v>599</v>
      </c>
      <c r="AR491" t="s">
        <v>599</v>
      </c>
      <c r="AS491" t="s">
        <v>599</v>
      </c>
      <c r="AT491" t="s">
        <v>599</v>
      </c>
      <c r="AU491" t="s">
        <v>599</v>
      </c>
    </row>
    <row r="492" spans="1:47" s="13" customFormat="1" ht="75" x14ac:dyDescent="0.25">
      <c r="A492" s="9">
        <v>11185</v>
      </c>
      <c r="B492" s="10">
        <v>98840</v>
      </c>
      <c r="C492" s="10">
        <v>1</v>
      </c>
      <c r="D492" s="9">
        <v>342</v>
      </c>
      <c r="E492" s="11" t="s">
        <v>414</v>
      </c>
      <c r="F492" s="11" t="str">
        <f t="shared" si="21"/>
        <v>https://purl.pt/44016</v>
      </c>
      <c r="G492" s="12" t="s">
        <v>415</v>
      </c>
      <c r="H492" s="9" t="s">
        <v>416</v>
      </c>
      <c r="I492" s="34"/>
      <c r="J492" s="55" t="str">
        <f t="shared" si="22"/>
        <v>https://permalinkbnd.bnportugal.gov.pt/viewer/273944/?offset=#page=342&amp;viewer=picture&amp;o=info&amp;n=0&amp;q=</v>
      </c>
      <c r="K492" s="45"/>
      <c r="L492" s="45"/>
      <c r="M492" s="45"/>
      <c r="N492" t="s">
        <v>414</v>
      </c>
      <c r="O492">
        <v>273944</v>
      </c>
      <c r="P492" t="str">
        <f t="shared" si="23"/>
        <v>https://permalinkbnd.bnportugal.gov.pt/viewer/273944/?offset=#page=342&amp;viewer=picture&amp;o=info&amp;n=0&amp;q=</v>
      </c>
      <c r="Q492">
        <v>98840</v>
      </c>
      <c r="R492" t="s">
        <v>414</v>
      </c>
      <c r="S492" t="s">
        <v>2895</v>
      </c>
      <c r="T492" t="s">
        <v>1178</v>
      </c>
      <c r="U492" t="s">
        <v>1192</v>
      </c>
      <c r="V492" t="s">
        <v>599</v>
      </c>
      <c r="W492" t="s">
        <v>1551</v>
      </c>
      <c r="X492" t="s">
        <v>599</v>
      </c>
      <c r="Y492" t="s">
        <v>599</v>
      </c>
      <c r="Z492" t="s">
        <v>2896</v>
      </c>
      <c r="AA492" t="s">
        <v>2897</v>
      </c>
      <c r="AB492">
        <v>1880</v>
      </c>
      <c r="AC492">
        <v>1880</v>
      </c>
      <c r="AD492" t="s">
        <v>2898</v>
      </c>
      <c r="AE492" t="s">
        <v>1185</v>
      </c>
      <c r="AF492" t="s">
        <v>599</v>
      </c>
      <c r="AG492" t="s">
        <v>599</v>
      </c>
      <c r="AH492" t="s">
        <v>2899</v>
      </c>
      <c r="AI492" t="s">
        <v>599</v>
      </c>
      <c r="AJ492" t="s">
        <v>2900</v>
      </c>
      <c r="AK492" t="s">
        <v>2901</v>
      </c>
      <c r="AL492" t="s">
        <v>1188</v>
      </c>
      <c r="AM492" t="s">
        <v>2902</v>
      </c>
      <c r="AN492" t="s">
        <v>1190</v>
      </c>
      <c r="AO492" t="s">
        <v>599</v>
      </c>
      <c r="AP492" t="s">
        <v>599</v>
      </c>
      <c r="AQ492" t="s">
        <v>599</v>
      </c>
      <c r="AR492" t="s">
        <v>599</v>
      </c>
      <c r="AS492" t="s">
        <v>599</v>
      </c>
      <c r="AT492" t="s">
        <v>599</v>
      </c>
      <c r="AU492" t="s">
        <v>599</v>
      </c>
    </row>
    <row r="493" spans="1:47" s="13" customFormat="1" ht="75" x14ac:dyDescent="0.25">
      <c r="A493" s="9">
        <v>11186</v>
      </c>
      <c r="B493" s="10">
        <v>98840</v>
      </c>
      <c r="C493" s="10">
        <v>1</v>
      </c>
      <c r="D493" s="9">
        <v>345</v>
      </c>
      <c r="E493" s="11" t="s">
        <v>414</v>
      </c>
      <c r="F493" s="11" t="str">
        <f t="shared" si="21"/>
        <v>https://purl.pt/44016</v>
      </c>
      <c r="G493" s="12" t="s">
        <v>415</v>
      </c>
      <c r="H493" s="9" t="s">
        <v>416</v>
      </c>
      <c r="I493" s="34"/>
      <c r="J493" s="55" t="str">
        <f t="shared" si="22"/>
        <v>https://permalinkbnd.bnportugal.gov.pt/viewer/273944/?offset=#page=345&amp;viewer=picture&amp;o=info&amp;n=0&amp;q=</v>
      </c>
      <c r="K493" s="45"/>
      <c r="L493" s="45"/>
      <c r="M493" s="45"/>
      <c r="N493" t="s">
        <v>414</v>
      </c>
      <c r="O493">
        <v>273944</v>
      </c>
      <c r="P493" t="str">
        <f t="shared" si="23"/>
        <v>https://permalinkbnd.bnportugal.gov.pt/viewer/273944/?offset=#page=345&amp;viewer=picture&amp;o=info&amp;n=0&amp;q=</v>
      </c>
      <c r="Q493">
        <v>98840</v>
      </c>
      <c r="R493" t="s">
        <v>414</v>
      </c>
      <c r="S493" t="s">
        <v>2895</v>
      </c>
      <c r="T493" t="s">
        <v>1178</v>
      </c>
      <c r="U493" t="s">
        <v>1192</v>
      </c>
      <c r="V493" t="s">
        <v>599</v>
      </c>
      <c r="W493" t="s">
        <v>1551</v>
      </c>
      <c r="X493" t="s">
        <v>599</v>
      </c>
      <c r="Y493" t="s">
        <v>599</v>
      </c>
      <c r="Z493" t="s">
        <v>2896</v>
      </c>
      <c r="AA493" t="s">
        <v>2897</v>
      </c>
      <c r="AB493">
        <v>1880</v>
      </c>
      <c r="AC493">
        <v>1880</v>
      </c>
      <c r="AD493" t="s">
        <v>2898</v>
      </c>
      <c r="AE493" t="s">
        <v>1185</v>
      </c>
      <c r="AF493" t="s">
        <v>599</v>
      </c>
      <c r="AG493" t="s">
        <v>599</v>
      </c>
      <c r="AH493" t="s">
        <v>2899</v>
      </c>
      <c r="AI493" t="s">
        <v>599</v>
      </c>
      <c r="AJ493" t="s">
        <v>2900</v>
      </c>
      <c r="AK493" t="s">
        <v>2901</v>
      </c>
      <c r="AL493" t="s">
        <v>1188</v>
      </c>
      <c r="AM493" t="s">
        <v>2902</v>
      </c>
      <c r="AN493" t="s">
        <v>1190</v>
      </c>
      <c r="AO493" t="s">
        <v>599</v>
      </c>
      <c r="AP493" t="s">
        <v>599</v>
      </c>
      <c r="AQ493" t="s">
        <v>599</v>
      </c>
      <c r="AR493" t="s">
        <v>599</v>
      </c>
      <c r="AS493" t="s">
        <v>599</v>
      </c>
      <c r="AT493" t="s">
        <v>599</v>
      </c>
      <c r="AU493" t="s">
        <v>599</v>
      </c>
    </row>
    <row r="494" spans="1:47" s="13" customFormat="1" ht="75" x14ac:dyDescent="0.25">
      <c r="A494" s="9">
        <v>11187</v>
      </c>
      <c r="B494" s="10">
        <v>98840</v>
      </c>
      <c r="C494" s="10">
        <v>1</v>
      </c>
      <c r="D494" s="9">
        <v>374</v>
      </c>
      <c r="E494" s="11" t="s">
        <v>414</v>
      </c>
      <c r="F494" s="11" t="str">
        <f t="shared" si="21"/>
        <v>https://purl.pt/44016</v>
      </c>
      <c r="G494" s="12" t="s">
        <v>415</v>
      </c>
      <c r="H494" s="9" t="s">
        <v>416</v>
      </c>
      <c r="I494" s="34"/>
      <c r="J494" s="55" t="str">
        <f t="shared" si="22"/>
        <v>https://permalinkbnd.bnportugal.gov.pt/viewer/273944/?offset=#page=374&amp;viewer=picture&amp;o=info&amp;n=0&amp;q=</v>
      </c>
      <c r="K494" s="45"/>
      <c r="L494" s="45"/>
      <c r="M494" s="45"/>
      <c r="N494" t="s">
        <v>414</v>
      </c>
      <c r="O494">
        <v>273944</v>
      </c>
      <c r="P494" t="str">
        <f t="shared" si="23"/>
        <v>https://permalinkbnd.bnportugal.gov.pt/viewer/273944/?offset=#page=374&amp;viewer=picture&amp;o=info&amp;n=0&amp;q=</v>
      </c>
      <c r="Q494">
        <v>98840</v>
      </c>
      <c r="R494" t="s">
        <v>414</v>
      </c>
      <c r="S494" t="s">
        <v>2895</v>
      </c>
      <c r="T494" t="s">
        <v>1178</v>
      </c>
      <c r="U494" t="s">
        <v>1192</v>
      </c>
      <c r="V494" t="s">
        <v>599</v>
      </c>
      <c r="W494" t="s">
        <v>1551</v>
      </c>
      <c r="X494" t="s">
        <v>599</v>
      </c>
      <c r="Y494" t="s">
        <v>599</v>
      </c>
      <c r="Z494" t="s">
        <v>2896</v>
      </c>
      <c r="AA494" t="s">
        <v>2897</v>
      </c>
      <c r="AB494">
        <v>1880</v>
      </c>
      <c r="AC494">
        <v>1880</v>
      </c>
      <c r="AD494" t="s">
        <v>2898</v>
      </c>
      <c r="AE494" t="s">
        <v>1185</v>
      </c>
      <c r="AF494" t="s">
        <v>599</v>
      </c>
      <c r="AG494" t="s">
        <v>599</v>
      </c>
      <c r="AH494" t="s">
        <v>2899</v>
      </c>
      <c r="AI494" t="s">
        <v>599</v>
      </c>
      <c r="AJ494" t="s">
        <v>2900</v>
      </c>
      <c r="AK494" t="s">
        <v>2901</v>
      </c>
      <c r="AL494" t="s">
        <v>1188</v>
      </c>
      <c r="AM494" t="s">
        <v>2902</v>
      </c>
      <c r="AN494" t="s">
        <v>1190</v>
      </c>
      <c r="AO494" t="s">
        <v>599</v>
      </c>
      <c r="AP494" t="s">
        <v>599</v>
      </c>
      <c r="AQ494" t="s">
        <v>599</v>
      </c>
      <c r="AR494" t="s">
        <v>599</v>
      </c>
      <c r="AS494" t="s">
        <v>599</v>
      </c>
      <c r="AT494" t="s">
        <v>599</v>
      </c>
      <c r="AU494" t="s">
        <v>599</v>
      </c>
    </row>
    <row r="495" spans="1:47" s="13" customFormat="1" ht="75" x14ac:dyDescent="0.25">
      <c r="A495" s="9">
        <v>11188</v>
      </c>
      <c r="B495" s="10">
        <v>98840</v>
      </c>
      <c r="C495" s="10">
        <v>1</v>
      </c>
      <c r="D495" s="9">
        <v>377</v>
      </c>
      <c r="E495" s="11" t="s">
        <v>414</v>
      </c>
      <c r="F495" s="11" t="str">
        <f t="shared" si="21"/>
        <v>https://purl.pt/44016</v>
      </c>
      <c r="G495" s="12" t="s">
        <v>415</v>
      </c>
      <c r="H495" s="9" t="s">
        <v>416</v>
      </c>
      <c r="I495" s="34"/>
      <c r="J495" s="55" t="str">
        <f t="shared" si="22"/>
        <v>https://permalinkbnd.bnportugal.gov.pt/viewer/273944/?offset=#page=377&amp;viewer=picture&amp;o=info&amp;n=0&amp;q=</v>
      </c>
      <c r="K495" s="45"/>
      <c r="L495" s="45"/>
      <c r="M495" s="45"/>
      <c r="N495" t="s">
        <v>414</v>
      </c>
      <c r="O495">
        <v>273944</v>
      </c>
      <c r="P495" t="str">
        <f t="shared" si="23"/>
        <v>https://permalinkbnd.bnportugal.gov.pt/viewer/273944/?offset=#page=377&amp;viewer=picture&amp;o=info&amp;n=0&amp;q=</v>
      </c>
      <c r="Q495">
        <v>98840</v>
      </c>
      <c r="R495" t="s">
        <v>414</v>
      </c>
      <c r="S495" t="s">
        <v>2895</v>
      </c>
      <c r="T495" t="s">
        <v>1178</v>
      </c>
      <c r="U495" t="s">
        <v>1192</v>
      </c>
      <c r="V495" t="s">
        <v>599</v>
      </c>
      <c r="W495" t="s">
        <v>1551</v>
      </c>
      <c r="X495" t="s">
        <v>599</v>
      </c>
      <c r="Y495" t="s">
        <v>599</v>
      </c>
      <c r="Z495" t="s">
        <v>2896</v>
      </c>
      <c r="AA495" t="s">
        <v>2897</v>
      </c>
      <c r="AB495">
        <v>1880</v>
      </c>
      <c r="AC495">
        <v>1880</v>
      </c>
      <c r="AD495" t="s">
        <v>2898</v>
      </c>
      <c r="AE495" t="s">
        <v>1185</v>
      </c>
      <c r="AF495" t="s">
        <v>599</v>
      </c>
      <c r="AG495" t="s">
        <v>599</v>
      </c>
      <c r="AH495" t="s">
        <v>2899</v>
      </c>
      <c r="AI495" t="s">
        <v>599</v>
      </c>
      <c r="AJ495" t="s">
        <v>2900</v>
      </c>
      <c r="AK495" t="s">
        <v>2901</v>
      </c>
      <c r="AL495" t="s">
        <v>1188</v>
      </c>
      <c r="AM495" t="s">
        <v>2902</v>
      </c>
      <c r="AN495" t="s">
        <v>1190</v>
      </c>
      <c r="AO495" t="s">
        <v>599</v>
      </c>
      <c r="AP495" t="s">
        <v>599</v>
      </c>
      <c r="AQ495" t="s">
        <v>599</v>
      </c>
      <c r="AR495" t="s">
        <v>599</v>
      </c>
      <c r="AS495" t="s">
        <v>599</v>
      </c>
      <c r="AT495" t="s">
        <v>599</v>
      </c>
      <c r="AU495" t="s">
        <v>599</v>
      </c>
    </row>
    <row r="496" spans="1:47" s="13" customFormat="1" ht="75" x14ac:dyDescent="0.25">
      <c r="A496" s="9">
        <v>11189</v>
      </c>
      <c r="B496" s="10">
        <v>98840</v>
      </c>
      <c r="C496" s="10">
        <v>1</v>
      </c>
      <c r="D496" s="9">
        <v>410</v>
      </c>
      <c r="E496" s="11" t="s">
        <v>414</v>
      </c>
      <c r="F496" s="11" t="str">
        <f t="shared" si="21"/>
        <v>https://purl.pt/44016</v>
      </c>
      <c r="G496" s="12" t="s">
        <v>415</v>
      </c>
      <c r="H496" s="9" t="s">
        <v>416</v>
      </c>
      <c r="I496" s="34"/>
      <c r="J496" s="55" t="str">
        <f t="shared" si="22"/>
        <v>https://permalinkbnd.bnportugal.gov.pt/viewer/273944/?offset=#page=410&amp;viewer=picture&amp;o=info&amp;n=0&amp;q=</v>
      </c>
      <c r="K496" s="45"/>
      <c r="L496" s="45"/>
      <c r="M496" s="45"/>
      <c r="N496" t="s">
        <v>414</v>
      </c>
      <c r="O496">
        <v>273944</v>
      </c>
      <c r="P496" t="str">
        <f t="shared" si="23"/>
        <v>https://permalinkbnd.bnportugal.gov.pt/viewer/273944/?offset=#page=410&amp;viewer=picture&amp;o=info&amp;n=0&amp;q=</v>
      </c>
      <c r="Q496">
        <v>98840</v>
      </c>
      <c r="R496" t="s">
        <v>414</v>
      </c>
      <c r="S496" t="s">
        <v>2895</v>
      </c>
      <c r="T496" t="s">
        <v>1178</v>
      </c>
      <c r="U496" t="s">
        <v>1192</v>
      </c>
      <c r="V496" t="s">
        <v>599</v>
      </c>
      <c r="W496" t="s">
        <v>1551</v>
      </c>
      <c r="X496" t="s">
        <v>599</v>
      </c>
      <c r="Y496" t="s">
        <v>599</v>
      </c>
      <c r="Z496" t="s">
        <v>2896</v>
      </c>
      <c r="AA496" t="s">
        <v>2897</v>
      </c>
      <c r="AB496">
        <v>1880</v>
      </c>
      <c r="AC496">
        <v>1880</v>
      </c>
      <c r="AD496" t="s">
        <v>2898</v>
      </c>
      <c r="AE496" t="s">
        <v>1185</v>
      </c>
      <c r="AF496" t="s">
        <v>599</v>
      </c>
      <c r="AG496" t="s">
        <v>599</v>
      </c>
      <c r="AH496" t="s">
        <v>2899</v>
      </c>
      <c r="AI496" t="s">
        <v>599</v>
      </c>
      <c r="AJ496" t="s">
        <v>2900</v>
      </c>
      <c r="AK496" t="s">
        <v>2901</v>
      </c>
      <c r="AL496" t="s">
        <v>1188</v>
      </c>
      <c r="AM496" t="s">
        <v>2902</v>
      </c>
      <c r="AN496" t="s">
        <v>1190</v>
      </c>
      <c r="AO496" t="s">
        <v>599</v>
      </c>
      <c r="AP496" t="s">
        <v>599</v>
      </c>
      <c r="AQ496" t="s">
        <v>599</v>
      </c>
      <c r="AR496" t="s">
        <v>599</v>
      </c>
      <c r="AS496" t="s">
        <v>599</v>
      </c>
      <c r="AT496" t="s">
        <v>599</v>
      </c>
      <c r="AU496" t="s">
        <v>599</v>
      </c>
    </row>
    <row r="497" spans="1:47" s="13" customFormat="1" ht="75" x14ac:dyDescent="0.25">
      <c r="A497" s="9">
        <v>11190</v>
      </c>
      <c r="B497" s="10">
        <v>98840</v>
      </c>
      <c r="C497" s="10">
        <v>1</v>
      </c>
      <c r="D497" s="9">
        <v>413</v>
      </c>
      <c r="E497" s="11" t="s">
        <v>414</v>
      </c>
      <c r="F497" s="11" t="str">
        <f t="shared" si="21"/>
        <v>https://purl.pt/44016</v>
      </c>
      <c r="G497" s="12" t="s">
        <v>415</v>
      </c>
      <c r="H497" s="9" t="s">
        <v>416</v>
      </c>
      <c r="I497" s="34"/>
      <c r="J497" s="55" t="str">
        <f t="shared" si="22"/>
        <v>https://permalinkbnd.bnportugal.gov.pt/viewer/273944/?offset=#page=413&amp;viewer=picture&amp;o=info&amp;n=0&amp;q=</v>
      </c>
      <c r="K497" s="45"/>
      <c r="L497" s="45"/>
      <c r="M497" s="45"/>
      <c r="N497" t="s">
        <v>414</v>
      </c>
      <c r="O497">
        <v>273944</v>
      </c>
      <c r="P497" t="str">
        <f t="shared" si="23"/>
        <v>https://permalinkbnd.bnportugal.gov.pt/viewer/273944/?offset=#page=413&amp;viewer=picture&amp;o=info&amp;n=0&amp;q=</v>
      </c>
      <c r="Q497">
        <v>98840</v>
      </c>
      <c r="R497" t="s">
        <v>414</v>
      </c>
      <c r="S497" t="s">
        <v>2895</v>
      </c>
      <c r="T497" t="s">
        <v>1178</v>
      </c>
      <c r="U497" t="s">
        <v>1192</v>
      </c>
      <c r="V497" t="s">
        <v>599</v>
      </c>
      <c r="W497" t="s">
        <v>1551</v>
      </c>
      <c r="X497" t="s">
        <v>599</v>
      </c>
      <c r="Y497" t="s">
        <v>599</v>
      </c>
      <c r="Z497" t="s">
        <v>2896</v>
      </c>
      <c r="AA497" t="s">
        <v>2897</v>
      </c>
      <c r="AB497">
        <v>1880</v>
      </c>
      <c r="AC497">
        <v>1880</v>
      </c>
      <c r="AD497" t="s">
        <v>2898</v>
      </c>
      <c r="AE497" t="s">
        <v>1185</v>
      </c>
      <c r="AF497" t="s">
        <v>599</v>
      </c>
      <c r="AG497" t="s">
        <v>599</v>
      </c>
      <c r="AH497" t="s">
        <v>2899</v>
      </c>
      <c r="AI497" t="s">
        <v>599</v>
      </c>
      <c r="AJ497" t="s">
        <v>2900</v>
      </c>
      <c r="AK497" t="s">
        <v>2901</v>
      </c>
      <c r="AL497" t="s">
        <v>1188</v>
      </c>
      <c r="AM497" t="s">
        <v>2902</v>
      </c>
      <c r="AN497" t="s">
        <v>1190</v>
      </c>
      <c r="AO497" t="s">
        <v>599</v>
      </c>
      <c r="AP497" t="s">
        <v>599</v>
      </c>
      <c r="AQ497" t="s">
        <v>599</v>
      </c>
      <c r="AR497" t="s">
        <v>599</v>
      </c>
      <c r="AS497" t="s">
        <v>599</v>
      </c>
      <c r="AT497" t="s">
        <v>599</v>
      </c>
      <c r="AU497" t="s">
        <v>599</v>
      </c>
    </row>
    <row r="498" spans="1:47" s="13" customFormat="1" ht="75" x14ac:dyDescent="0.25">
      <c r="A498" s="9">
        <v>11191</v>
      </c>
      <c r="B498" s="10">
        <v>98840</v>
      </c>
      <c r="C498" s="10">
        <v>1</v>
      </c>
      <c r="D498" s="9">
        <v>447</v>
      </c>
      <c r="E498" s="11" t="s">
        <v>414</v>
      </c>
      <c r="F498" s="11" t="str">
        <f t="shared" si="21"/>
        <v>https://purl.pt/44016</v>
      </c>
      <c r="G498" s="12" t="s">
        <v>415</v>
      </c>
      <c r="H498" s="9" t="s">
        <v>416</v>
      </c>
      <c r="I498" s="34"/>
      <c r="J498" s="55" t="str">
        <f t="shared" si="22"/>
        <v>https://permalinkbnd.bnportugal.gov.pt/viewer/273944/?offset=#page=447&amp;viewer=picture&amp;o=info&amp;n=0&amp;q=</v>
      </c>
      <c r="K498" s="45"/>
      <c r="L498" s="45"/>
      <c r="M498" s="45"/>
      <c r="N498" t="s">
        <v>414</v>
      </c>
      <c r="O498">
        <v>273944</v>
      </c>
      <c r="P498" t="str">
        <f t="shared" si="23"/>
        <v>https://permalinkbnd.bnportugal.gov.pt/viewer/273944/?offset=#page=447&amp;viewer=picture&amp;o=info&amp;n=0&amp;q=</v>
      </c>
      <c r="Q498">
        <v>98840</v>
      </c>
      <c r="R498" t="s">
        <v>414</v>
      </c>
      <c r="S498" t="s">
        <v>2895</v>
      </c>
      <c r="T498" t="s">
        <v>1178</v>
      </c>
      <c r="U498" t="s">
        <v>1192</v>
      </c>
      <c r="V498" t="s">
        <v>599</v>
      </c>
      <c r="W498" t="s">
        <v>1551</v>
      </c>
      <c r="X498" t="s">
        <v>599</v>
      </c>
      <c r="Y498" t="s">
        <v>599</v>
      </c>
      <c r="Z498" t="s">
        <v>2896</v>
      </c>
      <c r="AA498" t="s">
        <v>2897</v>
      </c>
      <c r="AB498">
        <v>1880</v>
      </c>
      <c r="AC498">
        <v>1880</v>
      </c>
      <c r="AD498" t="s">
        <v>2898</v>
      </c>
      <c r="AE498" t="s">
        <v>1185</v>
      </c>
      <c r="AF498" t="s">
        <v>599</v>
      </c>
      <c r="AG498" t="s">
        <v>599</v>
      </c>
      <c r="AH498" t="s">
        <v>2899</v>
      </c>
      <c r="AI498" t="s">
        <v>599</v>
      </c>
      <c r="AJ498" t="s">
        <v>2900</v>
      </c>
      <c r="AK498" t="s">
        <v>2901</v>
      </c>
      <c r="AL498" t="s">
        <v>1188</v>
      </c>
      <c r="AM498" t="s">
        <v>2902</v>
      </c>
      <c r="AN498" t="s">
        <v>1190</v>
      </c>
      <c r="AO498" t="s">
        <v>599</v>
      </c>
      <c r="AP498" t="s">
        <v>599</v>
      </c>
      <c r="AQ498" t="s">
        <v>599</v>
      </c>
      <c r="AR498" t="s">
        <v>599</v>
      </c>
      <c r="AS498" t="s">
        <v>599</v>
      </c>
      <c r="AT498" t="s">
        <v>599</v>
      </c>
      <c r="AU498" t="s">
        <v>599</v>
      </c>
    </row>
    <row r="499" spans="1:47" s="13" customFormat="1" ht="75" x14ac:dyDescent="0.25">
      <c r="A499" s="9">
        <v>11192</v>
      </c>
      <c r="B499" s="10">
        <v>98840</v>
      </c>
      <c r="C499" s="10">
        <v>1</v>
      </c>
      <c r="D499" s="9">
        <v>499</v>
      </c>
      <c r="E499" s="11" t="s">
        <v>414</v>
      </c>
      <c r="F499" s="11" t="str">
        <f t="shared" si="21"/>
        <v>https://purl.pt/44016</v>
      </c>
      <c r="G499" s="12" t="s">
        <v>415</v>
      </c>
      <c r="H499" s="9" t="s">
        <v>416</v>
      </c>
      <c r="I499" s="34"/>
      <c r="J499" s="55" t="str">
        <f t="shared" si="22"/>
        <v>https://permalinkbnd.bnportugal.gov.pt/viewer/273944/?offset=#page=499&amp;viewer=picture&amp;o=info&amp;n=0&amp;q=</v>
      </c>
      <c r="K499" s="45"/>
      <c r="L499" s="45"/>
      <c r="M499" s="45"/>
      <c r="N499" t="s">
        <v>414</v>
      </c>
      <c r="O499">
        <v>273944</v>
      </c>
      <c r="P499" t="str">
        <f t="shared" si="23"/>
        <v>https://permalinkbnd.bnportugal.gov.pt/viewer/273944/?offset=#page=499&amp;viewer=picture&amp;o=info&amp;n=0&amp;q=</v>
      </c>
      <c r="Q499">
        <v>98840</v>
      </c>
      <c r="R499" t="s">
        <v>414</v>
      </c>
      <c r="S499" t="s">
        <v>2895</v>
      </c>
      <c r="T499" t="s">
        <v>1178</v>
      </c>
      <c r="U499" t="s">
        <v>1192</v>
      </c>
      <c r="V499" t="s">
        <v>599</v>
      </c>
      <c r="W499" t="s">
        <v>1551</v>
      </c>
      <c r="X499" t="s">
        <v>599</v>
      </c>
      <c r="Y499" t="s">
        <v>599</v>
      </c>
      <c r="Z499" t="s">
        <v>2896</v>
      </c>
      <c r="AA499" t="s">
        <v>2897</v>
      </c>
      <c r="AB499">
        <v>1880</v>
      </c>
      <c r="AC499">
        <v>1880</v>
      </c>
      <c r="AD499" t="s">
        <v>2898</v>
      </c>
      <c r="AE499" t="s">
        <v>1185</v>
      </c>
      <c r="AF499" t="s">
        <v>599</v>
      </c>
      <c r="AG499" t="s">
        <v>599</v>
      </c>
      <c r="AH499" t="s">
        <v>2899</v>
      </c>
      <c r="AI499" t="s">
        <v>599</v>
      </c>
      <c r="AJ499" t="s">
        <v>2900</v>
      </c>
      <c r="AK499" t="s">
        <v>2901</v>
      </c>
      <c r="AL499" t="s">
        <v>1188</v>
      </c>
      <c r="AM499" t="s">
        <v>2902</v>
      </c>
      <c r="AN499" t="s">
        <v>1190</v>
      </c>
      <c r="AO499" t="s">
        <v>599</v>
      </c>
      <c r="AP499" t="s">
        <v>599</v>
      </c>
      <c r="AQ499" t="s">
        <v>599</v>
      </c>
      <c r="AR499" t="s">
        <v>599</v>
      </c>
      <c r="AS499" t="s">
        <v>599</v>
      </c>
      <c r="AT499" t="s">
        <v>599</v>
      </c>
      <c r="AU499" t="s">
        <v>599</v>
      </c>
    </row>
    <row r="500" spans="1:47" s="13" customFormat="1" ht="30" x14ac:dyDescent="0.25">
      <c r="A500" s="9">
        <v>11240</v>
      </c>
      <c r="B500" s="10">
        <v>224027</v>
      </c>
      <c r="C500" s="10">
        <v>1</v>
      </c>
      <c r="D500" s="9">
        <v>7</v>
      </c>
      <c r="E500" s="11" t="s">
        <v>417</v>
      </c>
      <c r="F500" s="11" t="str">
        <f t="shared" si="21"/>
        <v>https://purl.pt/23629</v>
      </c>
      <c r="G500" s="12" t="s">
        <v>172</v>
      </c>
      <c r="H500" s="9"/>
      <c r="I500" s="34"/>
      <c r="J500" s="55" t="str">
        <f t="shared" si="22"/>
        <v>https://permalinkbnd.bnportugal.gov.pt/viewer/14663/?offset=#page=7&amp;viewer=picture&amp;o=info&amp;n=0&amp;q=</v>
      </c>
      <c r="K500" s="45"/>
      <c r="L500" s="45"/>
      <c r="M500" s="45"/>
      <c r="N500" t="s">
        <v>417</v>
      </c>
      <c r="O500">
        <v>14663</v>
      </c>
      <c r="P500" t="str">
        <f t="shared" si="23"/>
        <v>https://permalinkbnd.bnportugal.gov.pt/viewer/14663/?offset=#page=7&amp;viewer=picture&amp;o=info&amp;n=0&amp;q=</v>
      </c>
      <c r="Q500">
        <v>224027</v>
      </c>
      <c r="R500" t="s">
        <v>417</v>
      </c>
      <c r="S500" t="s">
        <v>2903</v>
      </c>
      <c r="T500" t="s">
        <v>1178</v>
      </c>
      <c r="U500" t="s">
        <v>1209</v>
      </c>
      <c r="V500" t="s">
        <v>1192</v>
      </c>
      <c r="W500" t="s">
        <v>2904</v>
      </c>
      <c r="X500" t="s">
        <v>599</v>
      </c>
      <c r="Y500" t="s">
        <v>599</v>
      </c>
      <c r="Z500" t="s">
        <v>1182</v>
      </c>
      <c r="AA500" t="s">
        <v>2905</v>
      </c>
      <c r="AB500">
        <v>1580</v>
      </c>
      <c r="AC500">
        <v>1580</v>
      </c>
      <c r="AD500" t="s">
        <v>2906</v>
      </c>
      <c r="AE500" t="s">
        <v>1185</v>
      </c>
      <c r="AF500" t="s">
        <v>599</v>
      </c>
      <c r="AG500" t="s">
        <v>599</v>
      </c>
      <c r="AH500" t="s">
        <v>2907</v>
      </c>
      <c r="AI500" t="s">
        <v>599</v>
      </c>
      <c r="AJ500" t="s">
        <v>599</v>
      </c>
      <c r="AK500" t="s">
        <v>2908</v>
      </c>
      <c r="AL500" t="s">
        <v>599</v>
      </c>
      <c r="AM500" t="s">
        <v>2909</v>
      </c>
      <c r="AN500" t="s">
        <v>1190</v>
      </c>
      <c r="AO500" t="s">
        <v>599</v>
      </c>
      <c r="AP500" t="s">
        <v>599</v>
      </c>
      <c r="AQ500" t="s">
        <v>599</v>
      </c>
      <c r="AR500" t="s">
        <v>599</v>
      </c>
      <c r="AS500" t="s">
        <v>599</v>
      </c>
      <c r="AT500" t="s">
        <v>599</v>
      </c>
      <c r="AU500" t="s">
        <v>599</v>
      </c>
    </row>
    <row r="501" spans="1:47" s="13" customFormat="1" ht="30" x14ac:dyDescent="0.25">
      <c r="A501" s="9">
        <v>11249</v>
      </c>
      <c r="B501" s="10">
        <v>251973</v>
      </c>
      <c r="C501" s="10">
        <v>1</v>
      </c>
      <c r="D501" s="9">
        <v>5</v>
      </c>
      <c r="E501" s="11" t="s">
        <v>418</v>
      </c>
      <c r="F501" s="11" t="str">
        <f t="shared" si="21"/>
        <v>https://purl.pt/39844</v>
      </c>
      <c r="G501" s="12" t="s">
        <v>419</v>
      </c>
      <c r="H501" s="9" t="s">
        <v>420</v>
      </c>
      <c r="I501" s="34"/>
      <c r="J501" s="55" t="str">
        <f t="shared" si="22"/>
        <v>https://permalinkbnd.bnportugal.gov.pt/viewer/255848/?offset=#page=5&amp;viewer=picture&amp;o=info&amp;n=0&amp;q=</v>
      </c>
      <c r="K501" s="45"/>
      <c r="L501" s="45"/>
      <c r="M501" s="45"/>
      <c r="N501" t="s">
        <v>418</v>
      </c>
      <c r="O501">
        <v>255848</v>
      </c>
      <c r="P501" t="str">
        <f t="shared" si="23"/>
        <v>https://permalinkbnd.bnportugal.gov.pt/viewer/255848/?offset=#page=5&amp;viewer=picture&amp;o=info&amp;n=0&amp;q=</v>
      </c>
      <c r="Q501">
        <v>251973</v>
      </c>
      <c r="R501" t="s">
        <v>418</v>
      </c>
      <c r="S501" t="s">
        <v>2910</v>
      </c>
      <c r="T501" t="s">
        <v>1178</v>
      </c>
      <c r="U501" t="s">
        <v>1192</v>
      </c>
      <c r="V501" t="s">
        <v>599</v>
      </c>
      <c r="W501" t="s">
        <v>2911</v>
      </c>
      <c r="X501" t="s">
        <v>599</v>
      </c>
      <c r="Y501" t="s">
        <v>599</v>
      </c>
      <c r="Z501" t="s">
        <v>1182</v>
      </c>
      <c r="AA501" t="s">
        <v>2912</v>
      </c>
      <c r="AB501">
        <v>1981</v>
      </c>
      <c r="AC501">
        <v>1981</v>
      </c>
      <c r="AD501" t="s">
        <v>2913</v>
      </c>
      <c r="AE501" t="s">
        <v>2914</v>
      </c>
      <c r="AF501" t="s">
        <v>599</v>
      </c>
      <c r="AG501" t="s">
        <v>599</v>
      </c>
      <c r="AH501" t="s">
        <v>2915</v>
      </c>
      <c r="AI501" t="s">
        <v>599</v>
      </c>
      <c r="AJ501" t="s">
        <v>599</v>
      </c>
      <c r="AK501" t="s">
        <v>2916</v>
      </c>
      <c r="AL501" t="s">
        <v>599</v>
      </c>
      <c r="AM501" t="s">
        <v>2917</v>
      </c>
      <c r="AN501" t="s">
        <v>1319</v>
      </c>
      <c r="AO501" t="s">
        <v>599</v>
      </c>
      <c r="AP501" t="s">
        <v>599</v>
      </c>
      <c r="AQ501" t="s">
        <v>599</v>
      </c>
      <c r="AR501" t="s">
        <v>599</v>
      </c>
      <c r="AS501" t="s">
        <v>599</v>
      </c>
      <c r="AT501" t="s">
        <v>599</v>
      </c>
      <c r="AU501" t="s">
        <v>599</v>
      </c>
    </row>
    <row r="502" spans="1:47" s="13" customFormat="1" ht="30" x14ac:dyDescent="0.25">
      <c r="A502" s="9">
        <v>11250</v>
      </c>
      <c r="B502" s="10">
        <v>251973</v>
      </c>
      <c r="C502" s="10">
        <v>1</v>
      </c>
      <c r="D502" s="9">
        <v>11</v>
      </c>
      <c r="E502" s="11" t="s">
        <v>418</v>
      </c>
      <c r="F502" s="11" t="str">
        <f t="shared" si="21"/>
        <v>https://purl.pt/39844</v>
      </c>
      <c r="G502" s="12" t="s">
        <v>419</v>
      </c>
      <c r="H502" s="9" t="s">
        <v>420</v>
      </c>
      <c r="I502" s="34"/>
      <c r="J502" s="55" t="str">
        <f t="shared" si="22"/>
        <v>https://permalinkbnd.bnportugal.gov.pt/viewer/255848/?offset=#page=11&amp;viewer=picture&amp;o=info&amp;n=0&amp;q=</v>
      </c>
      <c r="K502" s="45"/>
      <c r="L502" s="45"/>
      <c r="M502" s="45"/>
      <c r="N502" t="s">
        <v>418</v>
      </c>
      <c r="O502">
        <v>255848</v>
      </c>
      <c r="P502" t="str">
        <f t="shared" si="23"/>
        <v>https://permalinkbnd.bnportugal.gov.pt/viewer/255848/?offset=#page=11&amp;viewer=picture&amp;o=info&amp;n=0&amp;q=</v>
      </c>
      <c r="Q502">
        <v>251973</v>
      </c>
      <c r="R502" t="s">
        <v>418</v>
      </c>
      <c r="S502" t="s">
        <v>2910</v>
      </c>
      <c r="T502" t="s">
        <v>1178</v>
      </c>
      <c r="U502" t="s">
        <v>1192</v>
      </c>
      <c r="V502" t="s">
        <v>599</v>
      </c>
      <c r="W502" t="s">
        <v>2911</v>
      </c>
      <c r="X502" t="s">
        <v>599</v>
      </c>
      <c r="Y502" t="s">
        <v>599</v>
      </c>
      <c r="Z502" t="s">
        <v>1182</v>
      </c>
      <c r="AA502" t="s">
        <v>2912</v>
      </c>
      <c r="AB502">
        <v>1981</v>
      </c>
      <c r="AC502">
        <v>1981</v>
      </c>
      <c r="AD502" t="s">
        <v>2913</v>
      </c>
      <c r="AE502" t="s">
        <v>2914</v>
      </c>
      <c r="AF502" t="s">
        <v>599</v>
      </c>
      <c r="AG502" t="s">
        <v>599</v>
      </c>
      <c r="AH502" t="s">
        <v>2915</v>
      </c>
      <c r="AI502" t="s">
        <v>599</v>
      </c>
      <c r="AJ502" t="s">
        <v>599</v>
      </c>
      <c r="AK502" t="s">
        <v>2916</v>
      </c>
      <c r="AL502" t="s">
        <v>599</v>
      </c>
      <c r="AM502" t="s">
        <v>2917</v>
      </c>
      <c r="AN502" t="s">
        <v>1319</v>
      </c>
      <c r="AO502" t="s">
        <v>599</v>
      </c>
      <c r="AP502" t="s">
        <v>599</v>
      </c>
      <c r="AQ502" t="s">
        <v>599</v>
      </c>
      <c r="AR502" t="s">
        <v>599</v>
      </c>
      <c r="AS502" t="s">
        <v>599</v>
      </c>
      <c r="AT502" t="s">
        <v>599</v>
      </c>
      <c r="AU502" t="s">
        <v>599</v>
      </c>
    </row>
    <row r="503" spans="1:47" s="13" customFormat="1" ht="30" x14ac:dyDescent="0.25">
      <c r="A503" s="9">
        <v>11251</v>
      </c>
      <c r="B503" s="10">
        <v>251973</v>
      </c>
      <c r="C503" s="10">
        <v>1</v>
      </c>
      <c r="D503" s="9">
        <v>13</v>
      </c>
      <c r="E503" s="11" t="s">
        <v>418</v>
      </c>
      <c r="F503" s="11" t="str">
        <f t="shared" si="21"/>
        <v>https://purl.pt/39844</v>
      </c>
      <c r="G503" s="12" t="s">
        <v>419</v>
      </c>
      <c r="H503" s="9" t="s">
        <v>420</v>
      </c>
      <c r="I503" s="34"/>
      <c r="J503" s="55" t="str">
        <f t="shared" si="22"/>
        <v>https://permalinkbnd.bnportugal.gov.pt/viewer/255848/?offset=#page=13&amp;viewer=picture&amp;o=info&amp;n=0&amp;q=</v>
      </c>
      <c r="K503" s="45"/>
      <c r="L503" s="45"/>
      <c r="M503" s="45"/>
      <c r="N503" t="s">
        <v>418</v>
      </c>
      <c r="O503">
        <v>255848</v>
      </c>
      <c r="P503" t="str">
        <f t="shared" si="23"/>
        <v>https://permalinkbnd.bnportugal.gov.pt/viewer/255848/?offset=#page=13&amp;viewer=picture&amp;o=info&amp;n=0&amp;q=</v>
      </c>
      <c r="Q503">
        <v>251973</v>
      </c>
      <c r="R503" t="s">
        <v>418</v>
      </c>
      <c r="S503" t="s">
        <v>2910</v>
      </c>
      <c r="T503" t="s">
        <v>1178</v>
      </c>
      <c r="U503" t="s">
        <v>1192</v>
      </c>
      <c r="V503" t="s">
        <v>599</v>
      </c>
      <c r="W503" t="s">
        <v>2911</v>
      </c>
      <c r="X503" t="s">
        <v>599</v>
      </c>
      <c r="Y503" t="s">
        <v>599</v>
      </c>
      <c r="Z503" t="s">
        <v>1182</v>
      </c>
      <c r="AA503" t="s">
        <v>2912</v>
      </c>
      <c r="AB503">
        <v>1981</v>
      </c>
      <c r="AC503">
        <v>1981</v>
      </c>
      <c r="AD503" t="s">
        <v>2913</v>
      </c>
      <c r="AE503" t="s">
        <v>2914</v>
      </c>
      <c r="AF503" t="s">
        <v>599</v>
      </c>
      <c r="AG503" t="s">
        <v>599</v>
      </c>
      <c r="AH503" t="s">
        <v>2915</v>
      </c>
      <c r="AI503" t="s">
        <v>599</v>
      </c>
      <c r="AJ503" t="s">
        <v>599</v>
      </c>
      <c r="AK503" t="s">
        <v>2916</v>
      </c>
      <c r="AL503" t="s">
        <v>599</v>
      </c>
      <c r="AM503" t="s">
        <v>2917</v>
      </c>
      <c r="AN503" t="s">
        <v>1319</v>
      </c>
      <c r="AO503" t="s">
        <v>599</v>
      </c>
      <c r="AP503" t="s">
        <v>599</v>
      </c>
      <c r="AQ503" t="s">
        <v>599</v>
      </c>
      <c r="AR503" t="s">
        <v>599</v>
      </c>
      <c r="AS503" t="s">
        <v>599</v>
      </c>
      <c r="AT503" t="s">
        <v>599</v>
      </c>
      <c r="AU503" t="s">
        <v>599</v>
      </c>
    </row>
    <row r="504" spans="1:47" s="13" customFormat="1" ht="30" x14ac:dyDescent="0.25">
      <c r="A504" s="9">
        <v>11252</v>
      </c>
      <c r="B504" s="10">
        <v>251973</v>
      </c>
      <c r="C504" s="10">
        <v>1</v>
      </c>
      <c r="D504" s="9">
        <v>15</v>
      </c>
      <c r="E504" s="11" t="s">
        <v>418</v>
      </c>
      <c r="F504" s="11" t="str">
        <f t="shared" si="21"/>
        <v>https://purl.pt/39844</v>
      </c>
      <c r="G504" s="12" t="s">
        <v>419</v>
      </c>
      <c r="H504" s="9" t="s">
        <v>420</v>
      </c>
      <c r="I504" s="34"/>
      <c r="J504" s="55" t="str">
        <f t="shared" si="22"/>
        <v>https://permalinkbnd.bnportugal.gov.pt/viewer/255848/?offset=#page=15&amp;viewer=picture&amp;o=info&amp;n=0&amp;q=</v>
      </c>
      <c r="K504" s="45"/>
      <c r="L504" s="45"/>
      <c r="M504" s="45"/>
      <c r="N504" t="s">
        <v>418</v>
      </c>
      <c r="O504">
        <v>255848</v>
      </c>
      <c r="P504" t="str">
        <f t="shared" si="23"/>
        <v>https://permalinkbnd.bnportugal.gov.pt/viewer/255848/?offset=#page=15&amp;viewer=picture&amp;o=info&amp;n=0&amp;q=</v>
      </c>
      <c r="Q504">
        <v>251973</v>
      </c>
      <c r="R504" t="s">
        <v>418</v>
      </c>
      <c r="S504" t="s">
        <v>2910</v>
      </c>
      <c r="T504" t="s">
        <v>1178</v>
      </c>
      <c r="U504" t="s">
        <v>1192</v>
      </c>
      <c r="V504" t="s">
        <v>599</v>
      </c>
      <c r="W504" t="s">
        <v>2911</v>
      </c>
      <c r="X504" t="s">
        <v>599</v>
      </c>
      <c r="Y504" t="s">
        <v>599</v>
      </c>
      <c r="Z504" t="s">
        <v>1182</v>
      </c>
      <c r="AA504" t="s">
        <v>2912</v>
      </c>
      <c r="AB504">
        <v>1981</v>
      </c>
      <c r="AC504">
        <v>1981</v>
      </c>
      <c r="AD504" t="s">
        <v>2913</v>
      </c>
      <c r="AE504" t="s">
        <v>2914</v>
      </c>
      <c r="AF504" t="s">
        <v>599</v>
      </c>
      <c r="AG504" t="s">
        <v>599</v>
      </c>
      <c r="AH504" t="s">
        <v>2915</v>
      </c>
      <c r="AI504" t="s">
        <v>599</v>
      </c>
      <c r="AJ504" t="s">
        <v>599</v>
      </c>
      <c r="AK504" t="s">
        <v>2916</v>
      </c>
      <c r="AL504" t="s">
        <v>599</v>
      </c>
      <c r="AM504" t="s">
        <v>2917</v>
      </c>
      <c r="AN504" t="s">
        <v>1319</v>
      </c>
      <c r="AO504" t="s">
        <v>599</v>
      </c>
      <c r="AP504" t="s">
        <v>599</v>
      </c>
      <c r="AQ504" t="s">
        <v>599</v>
      </c>
      <c r="AR504" t="s">
        <v>599</v>
      </c>
      <c r="AS504" t="s">
        <v>599</v>
      </c>
      <c r="AT504" t="s">
        <v>599</v>
      </c>
      <c r="AU504" t="s">
        <v>599</v>
      </c>
    </row>
    <row r="505" spans="1:47" s="13" customFormat="1" ht="30" x14ac:dyDescent="0.25">
      <c r="A505" s="9">
        <v>11253</v>
      </c>
      <c r="B505" s="10">
        <v>251973</v>
      </c>
      <c r="C505" s="10">
        <v>1</v>
      </c>
      <c r="D505" s="9">
        <v>17</v>
      </c>
      <c r="E505" s="11" t="s">
        <v>418</v>
      </c>
      <c r="F505" s="11" t="str">
        <f t="shared" si="21"/>
        <v>https://purl.pt/39844</v>
      </c>
      <c r="G505" s="12" t="s">
        <v>419</v>
      </c>
      <c r="H505" s="9" t="s">
        <v>420</v>
      </c>
      <c r="I505" s="34"/>
      <c r="J505" s="55" t="str">
        <f t="shared" si="22"/>
        <v>https://permalinkbnd.bnportugal.gov.pt/viewer/255848/?offset=#page=17&amp;viewer=picture&amp;o=info&amp;n=0&amp;q=</v>
      </c>
      <c r="K505" s="45"/>
      <c r="L505" s="45"/>
      <c r="M505" s="45"/>
      <c r="N505" t="s">
        <v>418</v>
      </c>
      <c r="O505">
        <v>255848</v>
      </c>
      <c r="P505" t="str">
        <f t="shared" si="23"/>
        <v>https://permalinkbnd.bnportugal.gov.pt/viewer/255848/?offset=#page=17&amp;viewer=picture&amp;o=info&amp;n=0&amp;q=</v>
      </c>
      <c r="Q505">
        <v>251973</v>
      </c>
      <c r="R505" t="s">
        <v>418</v>
      </c>
      <c r="S505" t="s">
        <v>2910</v>
      </c>
      <c r="T505" t="s">
        <v>1178</v>
      </c>
      <c r="U505" t="s">
        <v>1192</v>
      </c>
      <c r="V505" t="s">
        <v>599</v>
      </c>
      <c r="W505" t="s">
        <v>2911</v>
      </c>
      <c r="X505" t="s">
        <v>599</v>
      </c>
      <c r="Y505" t="s">
        <v>599</v>
      </c>
      <c r="Z505" t="s">
        <v>1182</v>
      </c>
      <c r="AA505" t="s">
        <v>2912</v>
      </c>
      <c r="AB505">
        <v>1981</v>
      </c>
      <c r="AC505">
        <v>1981</v>
      </c>
      <c r="AD505" t="s">
        <v>2913</v>
      </c>
      <c r="AE505" t="s">
        <v>2914</v>
      </c>
      <c r="AF505" t="s">
        <v>599</v>
      </c>
      <c r="AG505" t="s">
        <v>599</v>
      </c>
      <c r="AH505" t="s">
        <v>2915</v>
      </c>
      <c r="AI505" t="s">
        <v>599</v>
      </c>
      <c r="AJ505" t="s">
        <v>599</v>
      </c>
      <c r="AK505" t="s">
        <v>2916</v>
      </c>
      <c r="AL505" t="s">
        <v>599</v>
      </c>
      <c r="AM505" t="s">
        <v>2917</v>
      </c>
      <c r="AN505" t="s">
        <v>1319</v>
      </c>
      <c r="AO505" t="s">
        <v>599</v>
      </c>
      <c r="AP505" t="s">
        <v>599</v>
      </c>
      <c r="AQ505" t="s">
        <v>599</v>
      </c>
      <c r="AR505" t="s">
        <v>599</v>
      </c>
      <c r="AS505" t="s">
        <v>599</v>
      </c>
      <c r="AT505" t="s">
        <v>599</v>
      </c>
      <c r="AU505" t="s">
        <v>599</v>
      </c>
    </row>
    <row r="506" spans="1:47" s="13" customFormat="1" ht="30" x14ac:dyDescent="0.25">
      <c r="A506" s="9">
        <v>11254</v>
      </c>
      <c r="B506" s="10">
        <v>251973</v>
      </c>
      <c r="C506" s="10">
        <v>1</v>
      </c>
      <c r="D506" s="9">
        <v>19</v>
      </c>
      <c r="E506" s="11" t="s">
        <v>418</v>
      </c>
      <c r="F506" s="11" t="str">
        <f t="shared" si="21"/>
        <v>https://purl.pt/39844</v>
      </c>
      <c r="G506" s="12" t="s">
        <v>419</v>
      </c>
      <c r="H506" s="9" t="s">
        <v>420</v>
      </c>
      <c r="I506" s="34"/>
      <c r="J506" s="55" t="str">
        <f t="shared" si="22"/>
        <v>https://permalinkbnd.bnportugal.gov.pt/viewer/255848/?offset=#page=19&amp;viewer=picture&amp;o=info&amp;n=0&amp;q=</v>
      </c>
      <c r="K506" s="45"/>
      <c r="L506" s="45"/>
      <c r="M506" s="45"/>
      <c r="N506" t="s">
        <v>418</v>
      </c>
      <c r="O506">
        <v>255848</v>
      </c>
      <c r="P506" t="str">
        <f t="shared" si="23"/>
        <v>https://permalinkbnd.bnportugal.gov.pt/viewer/255848/?offset=#page=19&amp;viewer=picture&amp;o=info&amp;n=0&amp;q=</v>
      </c>
      <c r="Q506">
        <v>251973</v>
      </c>
      <c r="R506" t="s">
        <v>418</v>
      </c>
      <c r="S506" t="s">
        <v>2910</v>
      </c>
      <c r="T506" t="s">
        <v>1178</v>
      </c>
      <c r="U506" t="s">
        <v>1192</v>
      </c>
      <c r="V506" t="s">
        <v>599</v>
      </c>
      <c r="W506" t="s">
        <v>2911</v>
      </c>
      <c r="X506" t="s">
        <v>599</v>
      </c>
      <c r="Y506" t="s">
        <v>599</v>
      </c>
      <c r="Z506" t="s">
        <v>1182</v>
      </c>
      <c r="AA506" t="s">
        <v>2912</v>
      </c>
      <c r="AB506">
        <v>1981</v>
      </c>
      <c r="AC506">
        <v>1981</v>
      </c>
      <c r="AD506" t="s">
        <v>2913</v>
      </c>
      <c r="AE506" t="s">
        <v>2914</v>
      </c>
      <c r="AF506" t="s">
        <v>599</v>
      </c>
      <c r="AG506" t="s">
        <v>599</v>
      </c>
      <c r="AH506" t="s">
        <v>2915</v>
      </c>
      <c r="AI506" t="s">
        <v>599</v>
      </c>
      <c r="AJ506" t="s">
        <v>599</v>
      </c>
      <c r="AK506" t="s">
        <v>2916</v>
      </c>
      <c r="AL506" t="s">
        <v>599</v>
      </c>
      <c r="AM506" t="s">
        <v>2917</v>
      </c>
      <c r="AN506" t="s">
        <v>1319</v>
      </c>
      <c r="AO506" t="s">
        <v>599</v>
      </c>
      <c r="AP506" t="s">
        <v>599</v>
      </c>
      <c r="AQ506" t="s">
        <v>599</v>
      </c>
      <c r="AR506" t="s">
        <v>599</v>
      </c>
      <c r="AS506" t="s">
        <v>599</v>
      </c>
      <c r="AT506" t="s">
        <v>599</v>
      </c>
      <c r="AU506" t="s">
        <v>599</v>
      </c>
    </row>
    <row r="507" spans="1:47" s="13" customFormat="1" ht="30" x14ac:dyDescent="0.25">
      <c r="A507" s="9">
        <v>11255</v>
      </c>
      <c r="B507" s="10">
        <v>251973</v>
      </c>
      <c r="C507" s="10">
        <v>1</v>
      </c>
      <c r="D507" s="9">
        <v>21</v>
      </c>
      <c r="E507" s="11" t="s">
        <v>418</v>
      </c>
      <c r="F507" s="11" t="str">
        <f t="shared" si="21"/>
        <v>https://purl.pt/39844</v>
      </c>
      <c r="G507" s="12" t="s">
        <v>419</v>
      </c>
      <c r="H507" s="9" t="s">
        <v>420</v>
      </c>
      <c r="I507" s="34"/>
      <c r="J507" s="55" t="str">
        <f t="shared" si="22"/>
        <v>https://permalinkbnd.bnportugal.gov.pt/viewer/255848/?offset=#page=21&amp;viewer=picture&amp;o=info&amp;n=0&amp;q=</v>
      </c>
      <c r="K507" s="45"/>
      <c r="L507" s="45"/>
      <c r="M507" s="45"/>
      <c r="N507" t="s">
        <v>418</v>
      </c>
      <c r="O507">
        <v>255848</v>
      </c>
      <c r="P507" t="str">
        <f t="shared" si="23"/>
        <v>https://permalinkbnd.bnportugal.gov.pt/viewer/255848/?offset=#page=21&amp;viewer=picture&amp;o=info&amp;n=0&amp;q=</v>
      </c>
      <c r="Q507">
        <v>251973</v>
      </c>
      <c r="R507" t="s">
        <v>418</v>
      </c>
      <c r="S507" t="s">
        <v>2910</v>
      </c>
      <c r="T507" t="s">
        <v>1178</v>
      </c>
      <c r="U507" t="s">
        <v>1192</v>
      </c>
      <c r="V507" t="s">
        <v>599</v>
      </c>
      <c r="W507" t="s">
        <v>2911</v>
      </c>
      <c r="X507" t="s">
        <v>599</v>
      </c>
      <c r="Y507" t="s">
        <v>599</v>
      </c>
      <c r="Z507" t="s">
        <v>1182</v>
      </c>
      <c r="AA507" t="s">
        <v>2912</v>
      </c>
      <c r="AB507">
        <v>1981</v>
      </c>
      <c r="AC507">
        <v>1981</v>
      </c>
      <c r="AD507" t="s">
        <v>2913</v>
      </c>
      <c r="AE507" t="s">
        <v>2914</v>
      </c>
      <c r="AF507" t="s">
        <v>599</v>
      </c>
      <c r="AG507" t="s">
        <v>599</v>
      </c>
      <c r="AH507" t="s">
        <v>2915</v>
      </c>
      <c r="AI507" t="s">
        <v>599</v>
      </c>
      <c r="AJ507" t="s">
        <v>599</v>
      </c>
      <c r="AK507" t="s">
        <v>2916</v>
      </c>
      <c r="AL507" t="s">
        <v>599</v>
      </c>
      <c r="AM507" t="s">
        <v>2917</v>
      </c>
      <c r="AN507" t="s">
        <v>1319</v>
      </c>
      <c r="AO507" t="s">
        <v>599</v>
      </c>
      <c r="AP507" t="s">
        <v>599</v>
      </c>
      <c r="AQ507" t="s">
        <v>599</v>
      </c>
      <c r="AR507" t="s">
        <v>599</v>
      </c>
      <c r="AS507" t="s">
        <v>599</v>
      </c>
      <c r="AT507" t="s">
        <v>599</v>
      </c>
      <c r="AU507" t="s">
        <v>599</v>
      </c>
    </row>
    <row r="508" spans="1:47" s="13" customFormat="1" ht="30" x14ac:dyDescent="0.25">
      <c r="A508" s="9">
        <v>11256</v>
      </c>
      <c r="B508" s="10">
        <v>251973</v>
      </c>
      <c r="C508" s="10">
        <v>1</v>
      </c>
      <c r="D508" s="9">
        <v>23</v>
      </c>
      <c r="E508" s="11" t="s">
        <v>418</v>
      </c>
      <c r="F508" s="11" t="str">
        <f t="shared" si="21"/>
        <v>https://purl.pt/39844</v>
      </c>
      <c r="G508" s="12" t="s">
        <v>419</v>
      </c>
      <c r="H508" s="9" t="s">
        <v>420</v>
      </c>
      <c r="I508" s="34"/>
      <c r="J508" s="55" t="str">
        <f t="shared" si="22"/>
        <v>https://permalinkbnd.bnportugal.gov.pt/viewer/255848/?offset=#page=23&amp;viewer=picture&amp;o=info&amp;n=0&amp;q=</v>
      </c>
      <c r="K508" s="45"/>
      <c r="L508" s="45"/>
      <c r="M508" s="45"/>
      <c r="N508" t="s">
        <v>418</v>
      </c>
      <c r="O508">
        <v>255848</v>
      </c>
      <c r="P508" t="str">
        <f t="shared" si="23"/>
        <v>https://permalinkbnd.bnportugal.gov.pt/viewer/255848/?offset=#page=23&amp;viewer=picture&amp;o=info&amp;n=0&amp;q=</v>
      </c>
      <c r="Q508">
        <v>251973</v>
      </c>
      <c r="R508" t="s">
        <v>418</v>
      </c>
      <c r="S508" t="s">
        <v>2910</v>
      </c>
      <c r="T508" t="s">
        <v>1178</v>
      </c>
      <c r="U508" t="s">
        <v>1192</v>
      </c>
      <c r="V508" t="s">
        <v>599</v>
      </c>
      <c r="W508" t="s">
        <v>2911</v>
      </c>
      <c r="X508" t="s">
        <v>599</v>
      </c>
      <c r="Y508" t="s">
        <v>599</v>
      </c>
      <c r="Z508" t="s">
        <v>1182</v>
      </c>
      <c r="AA508" t="s">
        <v>2912</v>
      </c>
      <c r="AB508">
        <v>1981</v>
      </c>
      <c r="AC508">
        <v>1981</v>
      </c>
      <c r="AD508" t="s">
        <v>2913</v>
      </c>
      <c r="AE508" t="s">
        <v>2914</v>
      </c>
      <c r="AF508" t="s">
        <v>599</v>
      </c>
      <c r="AG508" t="s">
        <v>599</v>
      </c>
      <c r="AH508" t="s">
        <v>2915</v>
      </c>
      <c r="AI508" t="s">
        <v>599</v>
      </c>
      <c r="AJ508" t="s">
        <v>599</v>
      </c>
      <c r="AK508" t="s">
        <v>2916</v>
      </c>
      <c r="AL508" t="s">
        <v>599</v>
      </c>
      <c r="AM508" t="s">
        <v>2917</v>
      </c>
      <c r="AN508" t="s">
        <v>1319</v>
      </c>
      <c r="AO508" t="s">
        <v>599</v>
      </c>
      <c r="AP508" t="s">
        <v>599</v>
      </c>
      <c r="AQ508" t="s">
        <v>599</v>
      </c>
      <c r="AR508" t="s">
        <v>599</v>
      </c>
      <c r="AS508" t="s">
        <v>599</v>
      </c>
      <c r="AT508" t="s">
        <v>599</v>
      </c>
      <c r="AU508" t="s">
        <v>599</v>
      </c>
    </row>
    <row r="509" spans="1:47" s="13" customFormat="1" ht="30" x14ac:dyDescent="0.25">
      <c r="A509" s="9">
        <v>11257</v>
      </c>
      <c r="B509" s="10">
        <v>251973</v>
      </c>
      <c r="C509" s="10">
        <v>1</v>
      </c>
      <c r="D509" s="9">
        <v>25</v>
      </c>
      <c r="E509" s="11" t="s">
        <v>418</v>
      </c>
      <c r="F509" s="11" t="str">
        <f t="shared" si="21"/>
        <v>https://purl.pt/39844</v>
      </c>
      <c r="G509" s="12" t="s">
        <v>419</v>
      </c>
      <c r="H509" s="9" t="s">
        <v>420</v>
      </c>
      <c r="I509" s="34"/>
      <c r="J509" s="55" t="str">
        <f t="shared" si="22"/>
        <v>https://permalinkbnd.bnportugal.gov.pt/viewer/255848/?offset=#page=25&amp;viewer=picture&amp;o=info&amp;n=0&amp;q=</v>
      </c>
      <c r="K509" s="45"/>
      <c r="L509" s="45"/>
      <c r="M509" s="45"/>
      <c r="N509" t="s">
        <v>418</v>
      </c>
      <c r="O509">
        <v>255848</v>
      </c>
      <c r="P509" t="str">
        <f t="shared" si="23"/>
        <v>https://permalinkbnd.bnportugal.gov.pt/viewer/255848/?offset=#page=25&amp;viewer=picture&amp;o=info&amp;n=0&amp;q=</v>
      </c>
      <c r="Q509">
        <v>251973</v>
      </c>
      <c r="R509" t="s">
        <v>418</v>
      </c>
      <c r="S509" t="s">
        <v>2910</v>
      </c>
      <c r="T509" t="s">
        <v>1178</v>
      </c>
      <c r="U509" t="s">
        <v>1192</v>
      </c>
      <c r="V509" t="s">
        <v>599</v>
      </c>
      <c r="W509" t="s">
        <v>2911</v>
      </c>
      <c r="X509" t="s">
        <v>599</v>
      </c>
      <c r="Y509" t="s">
        <v>599</v>
      </c>
      <c r="Z509" t="s">
        <v>1182</v>
      </c>
      <c r="AA509" t="s">
        <v>2912</v>
      </c>
      <c r="AB509">
        <v>1981</v>
      </c>
      <c r="AC509">
        <v>1981</v>
      </c>
      <c r="AD509" t="s">
        <v>2913</v>
      </c>
      <c r="AE509" t="s">
        <v>2914</v>
      </c>
      <c r="AF509" t="s">
        <v>599</v>
      </c>
      <c r="AG509" t="s">
        <v>599</v>
      </c>
      <c r="AH509" t="s">
        <v>2915</v>
      </c>
      <c r="AI509" t="s">
        <v>599</v>
      </c>
      <c r="AJ509" t="s">
        <v>599</v>
      </c>
      <c r="AK509" t="s">
        <v>2916</v>
      </c>
      <c r="AL509" t="s">
        <v>599</v>
      </c>
      <c r="AM509" t="s">
        <v>2917</v>
      </c>
      <c r="AN509" t="s">
        <v>1319</v>
      </c>
      <c r="AO509" t="s">
        <v>599</v>
      </c>
      <c r="AP509" t="s">
        <v>599</v>
      </c>
      <c r="AQ509" t="s">
        <v>599</v>
      </c>
      <c r="AR509" t="s">
        <v>599</v>
      </c>
      <c r="AS509" t="s">
        <v>599</v>
      </c>
      <c r="AT509" t="s">
        <v>599</v>
      </c>
      <c r="AU509" t="s">
        <v>599</v>
      </c>
    </row>
    <row r="510" spans="1:47" s="13" customFormat="1" ht="30" x14ac:dyDescent="0.25">
      <c r="A510" s="9">
        <v>11258</v>
      </c>
      <c r="B510" s="10">
        <v>251973</v>
      </c>
      <c r="C510" s="10">
        <v>1</v>
      </c>
      <c r="D510" s="9">
        <v>27</v>
      </c>
      <c r="E510" s="11" t="s">
        <v>418</v>
      </c>
      <c r="F510" s="11" t="str">
        <f t="shared" si="21"/>
        <v>https://purl.pt/39844</v>
      </c>
      <c r="G510" s="12" t="s">
        <v>419</v>
      </c>
      <c r="H510" s="9" t="s">
        <v>420</v>
      </c>
      <c r="I510" s="34"/>
      <c r="J510" s="55" t="str">
        <f t="shared" si="22"/>
        <v>https://permalinkbnd.bnportugal.gov.pt/viewer/255848/?offset=#page=27&amp;viewer=picture&amp;o=info&amp;n=0&amp;q=</v>
      </c>
      <c r="K510" s="45"/>
      <c r="L510" s="45"/>
      <c r="M510" s="45"/>
      <c r="N510" t="s">
        <v>418</v>
      </c>
      <c r="O510">
        <v>255848</v>
      </c>
      <c r="P510" t="str">
        <f t="shared" si="23"/>
        <v>https://permalinkbnd.bnportugal.gov.pt/viewer/255848/?offset=#page=27&amp;viewer=picture&amp;o=info&amp;n=0&amp;q=</v>
      </c>
      <c r="Q510">
        <v>251973</v>
      </c>
      <c r="R510" t="s">
        <v>418</v>
      </c>
      <c r="S510" t="s">
        <v>2910</v>
      </c>
      <c r="T510" t="s">
        <v>1178</v>
      </c>
      <c r="U510" t="s">
        <v>1192</v>
      </c>
      <c r="V510" t="s">
        <v>599</v>
      </c>
      <c r="W510" t="s">
        <v>2911</v>
      </c>
      <c r="X510" t="s">
        <v>599</v>
      </c>
      <c r="Y510" t="s">
        <v>599</v>
      </c>
      <c r="Z510" t="s">
        <v>1182</v>
      </c>
      <c r="AA510" t="s">
        <v>2912</v>
      </c>
      <c r="AB510">
        <v>1981</v>
      </c>
      <c r="AC510">
        <v>1981</v>
      </c>
      <c r="AD510" t="s">
        <v>2913</v>
      </c>
      <c r="AE510" t="s">
        <v>2914</v>
      </c>
      <c r="AF510" t="s">
        <v>599</v>
      </c>
      <c r="AG510" t="s">
        <v>599</v>
      </c>
      <c r="AH510" t="s">
        <v>2915</v>
      </c>
      <c r="AI510" t="s">
        <v>599</v>
      </c>
      <c r="AJ510" t="s">
        <v>599</v>
      </c>
      <c r="AK510" t="s">
        <v>2916</v>
      </c>
      <c r="AL510" t="s">
        <v>599</v>
      </c>
      <c r="AM510" t="s">
        <v>2917</v>
      </c>
      <c r="AN510" t="s">
        <v>1319</v>
      </c>
      <c r="AO510" t="s">
        <v>599</v>
      </c>
      <c r="AP510" t="s">
        <v>599</v>
      </c>
      <c r="AQ510" t="s">
        <v>599</v>
      </c>
      <c r="AR510" t="s">
        <v>599</v>
      </c>
      <c r="AS510" t="s">
        <v>599</v>
      </c>
      <c r="AT510" t="s">
        <v>599</v>
      </c>
      <c r="AU510" t="s">
        <v>599</v>
      </c>
    </row>
    <row r="511" spans="1:47" s="13" customFormat="1" ht="30" x14ac:dyDescent="0.25">
      <c r="A511" s="9">
        <v>11259</v>
      </c>
      <c r="B511" s="10">
        <v>251973</v>
      </c>
      <c r="C511" s="10">
        <v>1</v>
      </c>
      <c r="D511" s="9">
        <v>29</v>
      </c>
      <c r="E511" s="11" t="s">
        <v>418</v>
      </c>
      <c r="F511" s="11" t="str">
        <f t="shared" si="21"/>
        <v>https://purl.pt/39844</v>
      </c>
      <c r="G511" s="12" t="s">
        <v>419</v>
      </c>
      <c r="H511" s="9" t="s">
        <v>420</v>
      </c>
      <c r="I511" s="34"/>
      <c r="J511" s="55" t="str">
        <f t="shared" si="22"/>
        <v>https://permalinkbnd.bnportugal.gov.pt/viewer/255848/?offset=#page=29&amp;viewer=picture&amp;o=info&amp;n=0&amp;q=</v>
      </c>
      <c r="K511" s="45"/>
      <c r="L511" s="45"/>
      <c r="M511" s="45"/>
      <c r="N511" t="s">
        <v>418</v>
      </c>
      <c r="O511">
        <v>255848</v>
      </c>
      <c r="P511" t="str">
        <f t="shared" si="23"/>
        <v>https://permalinkbnd.bnportugal.gov.pt/viewer/255848/?offset=#page=29&amp;viewer=picture&amp;o=info&amp;n=0&amp;q=</v>
      </c>
      <c r="Q511">
        <v>251973</v>
      </c>
      <c r="R511" t="s">
        <v>418</v>
      </c>
      <c r="S511" t="s">
        <v>2910</v>
      </c>
      <c r="T511" t="s">
        <v>1178</v>
      </c>
      <c r="U511" t="s">
        <v>1192</v>
      </c>
      <c r="V511" t="s">
        <v>599</v>
      </c>
      <c r="W511" t="s">
        <v>2911</v>
      </c>
      <c r="X511" t="s">
        <v>599</v>
      </c>
      <c r="Y511" t="s">
        <v>599</v>
      </c>
      <c r="Z511" t="s">
        <v>1182</v>
      </c>
      <c r="AA511" t="s">
        <v>2912</v>
      </c>
      <c r="AB511">
        <v>1981</v>
      </c>
      <c r="AC511">
        <v>1981</v>
      </c>
      <c r="AD511" t="s">
        <v>2913</v>
      </c>
      <c r="AE511" t="s">
        <v>2914</v>
      </c>
      <c r="AF511" t="s">
        <v>599</v>
      </c>
      <c r="AG511" t="s">
        <v>599</v>
      </c>
      <c r="AH511" t="s">
        <v>2915</v>
      </c>
      <c r="AI511" t="s">
        <v>599</v>
      </c>
      <c r="AJ511" t="s">
        <v>599</v>
      </c>
      <c r="AK511" t="s">
        <v>2916</v>
      </c>
      <c r="AL511" t="s">
        <v>599</v>
      </c>
      <c r="AM511" t="s">
        <v>2917</v>
      </c>
      <c r="AN511" t="s">
        <v>1319</v>
      </c>
      <c r="AO511" t="s">
        <v>599</v>
      </c>
      <c r="AP511" t="s">
        <v>599</v>
      </c>
      <c r="AQ511" t="s">
        <v>599</v>
      </c>
      <c r="AR511" t="s">
        <v>599</v>
      </c>
      <c r="AS511" t="s">
        <v>599</v>
      </c>
      <c r="AT511" t="s">
        <v>599</v>
      </c>
      <c r="AU511" t="s">
        <v>599</v>
      </c>
    </row>
    <row r="512" spans="1:47" s="13" customFormat="1" ht="30" x14ac:dyDescent="0.25">
      <c r="A512" s="9">
        <v>11260</v>
      </c>
      <c r="B512" s="10">
        <v>251973</v>
      </c>
      <c r="C512" s="10">
        <v>1</v>
      </c>
      <c r="D512" s="9">
        <v>31</v>
      </c>
      <c r="E512" s="11" t="s">
        <v>418</v>
      </c>
      <c r="F512" s="11" t="str">
        <f t="shared" ref="F512:F575" si="24">HYPERLINK(E512)</f>
        <v>https://purl.pt/39844</v>
      </c>
      <c r="G512" s="12" t="s">
        <v>419</v>
      </c>
      <c r="H512" s="9" t="s">
        <v>420</v>
      </c>
      <c r="I512" s="34"/>
      <c r="J512" s="55" t="str">
        <f t="shared" si="22"/>
        <v>https://permalinkbnd.bnportugal.gov.pt/viewer/255848/?offset=#page=31&amp;viewer=picture&amp;o=info&amp;n=0&amp;q=</v>
      </c>
      <c r="K512" s="45"/>
      <c r="L512" s="45"/>
      <c r="M512" s="45"/>
      <c r="N512" t="s">
        <v>418</v>
      </c>
      <c r="O512">
        <v>255848</v>
      </c>
      <c r="P512" t="str">
        <f t="shared" si="23"/>
        <v>https://permalinkbnd.bnportugal.gov.pt/viewer/255848/?offset=#page=31&amp;viewer=picture&amp;o=info&amp;n=0&amp;q=</v>
      </c>
      <c r="Q512">
        <v>251973</v>
      </c>
      <c r="R512" t="s">
        <v>418</v>
      </c>
      <c r="S512" t="s">
        <v>2910</v>
      </c>
      <c r="T512" t="s">
        <v>1178</v>
      </c>
      <c r="U512" t="s">
        <v>1192</v>
      </c>
      <c r="V512" t="s">
        <v>599</v>
      </c>
      <c r="W512" t="s">
        <v>2911</v>
      </c>
      <c r="X512" t="s">
        <v>599</v>
      </c>
      <c r="Y512" t="s">
        <v>599</v>
      </c>
      <c r="Z512" t="s">
        <v>1182</v>
      </c>
      <c r="AA512" t="s">
        <v>2912</v>
      </c>
      <c r="AB512">
        <v>1981</v>
      </c>
      <c r="AC512">
        <v>1981</v>
      </c>
      <c r="AD512" t="s">
        <v>2913</v>
      </c>
      <c r="AE512" t="s">
        <v>2914</v>
      </c>
      <c r="AF512" t="s">
        <v>599</v>
      </c>
      <c r="AG512" t="s">
        <v>599</v>
      </c>
      <c r="AH512" t="s">
        <v>2915</v>
      </c>
      <c r="AI512" t="s">
        <v>599</v>
      </c>
      <c r="AJ512" t="s">
        <v>599</v>
      </c>
      <c r="AK512" t="s">
        <v>2916</v>
      </c>
      <c r="AL512" t="s">
        <v>599</v>
      </c>
      <c r="AM512" t="s">
        <v>2917</v>
      </c>
      <c r="AN512" t="s">
        <v>1319</v>
      </c>
      <c r="AO512" t="s">
        <v>599</v>
      </c>
      <c r="AP512" t="s">
        <v>599</v>
      </c>
      <c r="AQ512" t="s">
        <v>599</v>
      </c>
      <c r="AR512" t="s">
        <v>599</v>
      </c>
      <c r="AS512" t="s">
        <v>599</v>
      </c>
      <c r="AT512" t="s">
        <v>599</v>
      </c>
      <c r="AU512" t="s">
        <v>599</v>
      </c>
    </row>
    <row r="513" spans="1:47" s="13" customFormat="1" ht="30" x14ac:dyDescent="0.25">
      <c r="A513" s="9">
        <v>11261</v>
      </c>
      <c r="B513" s="10">
        <v>251973</v>
      </c>
      <c r="C513" s="10">
        <v>1</v>
      </c>
      <c r="D513" s="9">
        <v>33</v>
      </c>
      <c r="E513" s="11" t="s">
        <v>418</v>
      </c>
      <c r="F513" s="11" t="str">
        <f t="shared" si="24"/>
        <v>https://purl.pt/39844</v>
      </c>
      <c r="G513" s="12" t="s">
        <v>419</v>
      </c>
      <c r="H513" s="9" t="s">
        <v>420</v>
      </c>
      <c r="I513" s="34"/>
      <c r="J513" s="55" t="str">
        <f t="shared" si="22"/>
        <v>https://permalinkbnd.bnportugal.gov.pt/viewer/255848/?offset=#page=33&amp;viewer=picture&amp;o=info&amp;n=0&amp;q=</v>
      </c>
      <c r="K513" s="45"/>
      <c r="L513" s="45"/>
      <c r="M513" s="45"/>
      <c r="N513" t="s">
        <v>418</v>
      </c>
      <c r="O513">
        <v>255848</v>
      </c>
      <c r="P513" t="str">
        <f t="shared" si="23"/>
        <v>https://permalinkbnd.bnportugal.gov.pt/viewer/255848/?offset=#page=33&amp;viewer=picture&amp;o=info&amp;n=0&amp;q=</v>
      </c>
      <c r="Q513">
        <v>251973</v>
      </c>
      <c r="R513" t="s">
        <v>418</v>
      </c>
      <c r="S513" t="s">
        <v>2910</v>
      </c>
      <c r="T513" t="s">
        <v>1178</v>
      </c>
      <c r="U513" t="s">
        <v>1192</v>
      </c>
      <c r="V513" t="s">
        <v>599</v>
      </c>
      <c r="W513" t="s">
        <v>2911</v>
      </c>
      <c r="X513" t="s">
        <v>599</v>
      </c>
      <c r="Y513" t="s">
        <v>599</v>
      </c>
      <c r="Z513" t="s">
        <v>1182</v>
      </c>
      <c r="AA513" t="s">
        <v>2912</v>
      </c>
      <c r="AB513">
        <v>1981</v>
      </c>
      <c r="AC513">
        <v>1981</v>
      </c>
      <c r="AD513" t="s">
        <v>2913</v>
      </c>
      <c r="AE513" t="s">
        <v>2914</v>
      </c>
      <c r="AF513" t="s">
        <v>599</v>
      </c>
      <c r="AG513" t="s">
        <v>599</v>
      </c>
      <c r="AH513" t="s">
        <v>2915</v>
      </c>
      <c r="AI513" t="s">
        <v>599</v>
      </c>
      <c r="AJ513" t="s">
        <v>599</v>
      </c>
      <c r="AK513" t="s">
        <v>2916</v>
      </c>
      <c r="AL513" t="s">
        <v>599</v>
      </c>
      <c r="AM513" t="s">
        <v>2917</v>
      </c>
      <c r="AN513" t="s">
        <v>1319</v>
      </c>
      <c r="AO513" t="s">
        <v>599</v>
      </c>
      <c r="AP513" t="s">
        <v>599</v>
      </c>
      <c r="AQ513" t="s">
        <v>599</v>
      </c>
      <c r="AR513" t="s">
        <v>599</v>
      </c>
      <c r="AS513" t="s">
        <v>599</v>
      </c>
      <c r="AT513" t="s">
        <v>599</v>
      </c>
      <c r="AU513" t="s">
        <v>599</v>
      </c>
    </row>
    <row r="514" spans="1:47" s="13" customFormat="1" ht="30" x14ac:dyDescent="0.25">
      <c r="A514" s="9">
        <v>11262</v>
      </c>
      <c r="B514" s="10">
        <v>251973</v>
      </c>
      <c r="C514" s="10">
        <v>1</v>
      </c>
      <c r="D514" s="9">
        <v>35</v>
      </c>
      <c r="E514" s="11" t="s">
        <v>418</v>
      </c>
      <c r="F514" s="11" t="str">
        <f t="shared" si="24"/>
        <v>https://purl.pt/39844</v>
      </c>
      <c r="G514" s="12" t="s">
        <v>419</v>
      </c>
      <c r="H514" s="9" t="s">
        <v>420</v>
      </c>
      <c r="I514" s="34"/>
      <c r="J514" s="55" t="str">
        <f t="shared" si="22"/>
        <v>https://permalinkbnd.bnportugal.gov.pt/viewer/255848/?offset=#page=35&amp;viewer=picture&amp;o=info&amp;n=0&amp;q=</v>
      </c>
      <c r="K514" s="45"/>
      <c r="L514" s="45"/>
      <c r="M514" s="45"/>
      <c r="N514" t="s">
        <v>418</v>
      </c>
      <c r="O514">
        <v>255848</v>
      </c>
      <c r="P514" t="str">
        <f t="shared" si="23"/>
        <v>https://permalinkbnd.bnportugal.gov.pt/viewer/255848/?offset=#page=35&amp;viewer=picture&amp;o=info&amp;n=0&amp;q=</v>
      </c>
      <c r="Q514">
        <v>251973</v>
      </c>
      <c r="R514" t="s">
        <v>418</v>
      </c>
      <c r="S514" t="s">
        <v>2910</v>
      </c>
      <c r="T514" t="s">
        <v>1178</v>
      </c>
      <c r="U514" t="s">
        <v>1192</v>
      </c>
      <c r="V514" t="s">
        <v>599</v>
      </c>
      <c r="W514" t="s">
        <v>2911</v>
      </c>
      <c r="X514" t="s">
        <v>599</v>
      </c>
      <c r="Y514" t="s">
        <v>599</v>
      </c>
      <c r="Z514" t="s">
        <v>1182</v>
      </c>
      <c r="AA514" t="s">
        <v>2912</v>
      </c>
      <c r="AB514">
        <v>1981</v>
      </c>
      <c r="AC514">
        <v>1981</v>
      </c>
      <c r="AD514" t="s">
        <v>2913</v>
      </c>
      <c r="AE514" t="s">
        <v>2914</v>
      </c>
      <c r="AF514" t="s">
        <v>599</v>
      </c>
      <c r="AG514" t="s">
        <v>599</v>
      </c>
      <c r="AH514" t="s">
        <v>2915</v>
      </c>
      <c r="AI514" t="s">
        <v>599</v>
      </c>
      <c r="AJ514" t="s">
        <v>599</v>
      </c>
      <c r="AK514" t="s">
        <v>2916</v>
      </c>
      <c r="AL514" t="s">
        <v>599</v>
      </c>
      <c r="AM514" t="s">
        <v>2917</v>
      </c>
      <c r="AN514" t="s">
        <v>1319</v>
      </c>
      <c r="AO514" t="s">
        <v>599</v>
      </c>
      <c r="AP514" t="s">
        <v>599</v>
      </c>
      <c r="AQ514" t="s">
        <v>599</v>
      </c>
      <c r="AR514" t="s">
        <v>599</v>
      </c>
      <c r="AS514" t="s">
        <v>599</v>
      </c>
      <c r="AT514" t="s">
        <v>599</v>
      </c>
      <c r="AU514" t="s">
        <v>599</v>
      </c>
    </row>
    <row r="515" spans="1:47" s="13" customFormat="1" ht="30" x14ac:dyDescent="0.25">
      <c r="A515" s="9">
        <v>11263</v>
      </c>
      <c r="B515" s="10">
        <v>251973</v>
      </c>
      <c r="C515" s="10">
        <v>1</v>
      </c>
      <c r="D515" s="9">
        <v>37</v>
      </c>
      <c r="E515" s="11" t="s">
        <v>418</v>
      </c>
      <c r="F515" s="11" t="str">
        <f t="shared" si="24"/>
        <v>https://purl.pt/39844</v>
      </c>
      <c r="G515" s="12" t="s">
        <v>419</v>
      </c>
      <c r="H515" s="9" t="s">
        <v>420</v>
      </c>
      <c r="I515" s="34"/>
      <c r="J515" s="55" t="str">
        <f t="shared" ref="J515:J578" si="25">HYPERLINK(P515)</f>
        <v>https://permalinkbnd.bnportugal.gov.pt/viewer/255848/?offset=#page=37&amp;viewer=picture&amp;o=info&amp;n=0&amp;q=</v>
      </c>
      <c r="K515" s="45"/>
      <c r="L515" s="45"/>
      <c r="M515" s="45"/>
      <c r="N515" t="s">
        <v>418</v>
      </c>
      <c r="O515">
        <v>255848</v>
      </c>
      <c r="P515" t="str">
        <f t="shared" ref="P515:P578" si="26">CONCATENATE("https://permalinkbnd.bnportugal.gov.pt/viewer/",O515,"/?offset=#page=",D515,"&amp;viewer=picture&amp;o=info&amp;n=0&amp;q=")</f>
        <v>https://permalinkbnd.bnportugal.gov.pt/viewer/255848/?offset=#page=37&amp;viewer=picture&amp;o=info&amp;n=0&amp;q=</v>
      </c>
      <c r="Q515">
        <v>251973</v>
      </c>
      <c r="R515" t="s">
        <v>418</v>
      </c>
      <c r="S515" t="s">
        <v>2910</v>
      </c>
      <c r="T515" t="s">
        <v>1178</v>
      </c>
      <c r="U515" t="s">
        <v>1192</v>
      </c>
      <c r="V515" t="s">
        <v>599</v>
      </c>
      <c r="W515" t="s">
        <v>2911</v>
      </c>
      <c r="X515" t="s">
        <v>599</v>
      </c>
      <c r="Y515" t="s">
        <v>599</v>
      </c>
      <c r="Z515" t="s">
        <v>1182</v>
      </c>
      <c r="AA515" t="s">
        <v>2912</v>
      </c>
      <c r="AB515">
        <v>1981</v>
      </c>
      <c r="AC515">
        <v>1981</v>
      </c>
      <c r="AD515" t="s">
        <v>2913</v>
      </c>
      <c r="AE515" t="s">
        <v>2914</v>
      </c>
      <c r="AF515" t="s">
        <v>599</v>
      </c>
      <c r="AG515" t="s">
        <v>599</v>
      </c>
      <c r="AH515" t="s">
        <v>2915</v>
      </c>
      <c r="AI515" t="s">
        <v>599</v>
      </c>
      <c r="AJ515" t="s">
        <v>599</v>
      </c>
      <c r="AK515" t="s">
        <v>2916</v>
      </c>
      <c r="AL515" t="s">
        <v>599</v>
      </c>
      <c r="AM515" t="s">
        <v>2917</v>
      </c>
      <c r="AN515" t="s">
        <v>1319</v>
      </c>
      <c r="AO515" t="s">
        <v>599</v>
      </c>
      <c r="AP515" t="s">
        <v>599</v>
      </c>
      <c r="AQ515" t="s">
        <v>599</v>
      </c>
      <c r="AR515" t="s">
        <v>599</v>
      </c>
      <c r="AS515" t="s">
        <v>599</v>
      </c>
      <c r="AT515" t="s">
        <v>599</v>
      </c>
      <c r="AU515" t="s">
        <v>599</v>
      </c>
    </row>
    <row r="516" spans="1:47" s="13" customFormat="1" ht="30" x14ac:dyDescent="0.25">
      <c r="A516" s="9">
        <v>11264</v>
      </c>
      <c r="B516" s="10">
        <v>251973</v>
      </c>
      <c r="C516" s="10">
        <v>1</v>
      </c>
      <c r="D516" s="9">
        <v>39</v>
      </c>
      <c r="E516" s="11" t="s">
        <v>418</v>
      </c>
      <c r="F516" s="11" t="str">
        <f t="shared" si="24"/>
        <v>https://purl.pt/39844</v>
      </c>
      <c r="G516" s="12" t="s">
        <v>419</v>
      </c>
      <c r="H516" s="9" t="s">
        <v>420</v>
      </c>
      <c r="I516" s="34"/>
      <c r="J516" s="55" t="str">
        <f t="shared" si="25"/>
        <v>https://permalinkbnd.bnportugal.gov.pt/viewer/255848/?offset=#page=39&amp;viewer=picture&amp;o=info&amp;n=0&amp;q=</v>
      </c>
      <c r="K516" s="45"/>
      <c r="L516" s="45"/>
      <c r="M516" s="45"/>
      <c r="N516" t="s">
        <v>418</v>
      </c>
      <c r="O516">
        <v>255848</v>
      </c>
      <c r="P516" t="str">
        <f t="shared" si="26"/>
        <v>https://permalinkbnd.bnportugal.gov.pt/viewer/255848/?offset=#page=39&amp;viewer=picture&amp;o=info&amp;n=0&amp;q=</v>
      </c>
      <c r="Q516">
        <v>251973</v>
      </c>
      <c r="R516" t="s">
        <v>418</v>
      </c>
      <c r="S516" t="s">
        <v>2910</v>
      </c>
      <c r="T516" t="s">
        <v>1178</v>
      </c>
      <c r="U516" t="s">
        <v>1192</v>
      </c>
      <c r="V516" t="s">
        <v>599</v>
      </c>
      <c r="W516" t="s">
        <v>2911</v>
      </c>
      <c r="X516" t="s">
        <v>599</v>
      </c>
      <c r="Y516" t="s">
        <v>599</v>
      </c>
      <c r="Z516" t="s">
        <v>1182</v>
      </c>
      <c r="AA516" t="s">
        <v>2912</v>
      </c>
      <c r="AB516">
        <v>1981</v>
      </c>
      <c r="AC516">
        <v>1981</v>
      </c>
      <c r="AD516" t="s">
        <v>2913</v>
      </c>
      <c r="AE516" t="s">
        <v>2914</v>
      </c>
      <c r="AF516" t="s">
        <v>599</v>
      </c>
      <c r="AG516" t="s">
        <v>599</v>
      </c>
      <c r="AH516" t="s">
        <v>2915</v>
      </c>
      <c r="AI516" t="s">
        <v>599</v>
      </c>
      <c r="AJ516" t="s">
        <v>599</v>
      </c>
      <c r="AK516" t="s">
        <v>2916</v>
      </c>
      <c r="AL516" t="s">
        <v>599</v>
      </c>
      <c r="AM516" t="s">
        <v>2917</v>
      </c>
      <c r="AN516" t="s">
        <v>1319</v>
      </c>
      <c r="AO516" t="s">
        <v>599</v>
      </c>
      <c r="AP516" t="s">
        <v>599</v>
      </c>
      <c r="AQ516" t="s">
        <v>599</v>
      </c>
      <c r="AR516" t="s">
        <v>599</v>
      </c>
      <c r="AS516" t="s">
        <v>599</v>
      </c>
      <c r="AT516" t="s">
        <v>599</v>
      </c>
      <c r="AU516" t="s">
        <v>599</v>
      </c>
    </row>
    <row r="517" spans="1:47" s="13" customFormat="1" ht="30" x14ac:dyDescent="0.25">
      <c r="A517" s="9">
        <v>11265</v>
      </c>
      <c r="B517" s="10">
        <v>251973</v>
      </c>
      <c r="C517" s="10">
        <v>1</v>
      </c>
      <c r="D517" s="9">
        <v>41</v>
      </c>
      <c r="E517" s="11" t="s">
        <v>418</v>
      </c>
      <c r="F517" s="11" t="str">
        <f t="shared" si="24"/>
        <v>https://purl.pt/39844</v>
      </c>
      <c r="G517" s="12" t="s">
        <v>419</v>
      </c>
      <c r="H517" s="9" t="s">
        <v>420</v>
      </c>
      <c r="I517" s="34"/>
      <c r="J517" s="55" t="str">
        <f t="shared" si="25"/>
        <v>https://permalinkbnd.bnportugal.gov.pt/viewer/255848/?offset=#page=41&amp;viewer=picture&amp;o=info&amp;n=0&amp;q=</v>
      </c>
      <c r="K517" s="45"/>
      <c r="L517" s="45"/>
      <c r="M517" s="45"/>
      <c r="N517" t="s">
        <v>418</v>
      </c>
      <c r="O517">
        <v>255848</v>
      </c>
      <c r="P517" t="str">
        <f t="shared" si="26"/>
        <v>https://permalinkbnd.bnportugal.gov.pt/viewer/255848/?offset=#page=41&amp;viewer=picture&amp;o=info&amp;n=0&amp;q=</v>
      </c>
      <c r="Q517">
        <v>251973</v>
      </c>
      <c r="R517" t="s">
        <v>418</v>
      </c>
      <c r="S517" t="s">
        <v>2910</v>
      </c>
      <c r="T517" t="s">
        <v>1178</v>
      </c>
      <c r="U517" t="s">
        <v>1192</v>
      </c>
      <c r="V517" t="s">
        <v>599</v>
      </c>
      <c r="W517" t="s">
        <v>2911</v>
      </c>
      <c r="X517" t="s">
        <v>599</v>
      </c>
      <c r="Y517" t="s">
        <v>599</v>
      </c>
      <c r="Z517" t="s">
        <v>1182</v>
      </c>
      <c r="AA517" t="s">
        <v>2912</v>
      </c>
      <c r="AB517">
        <v>1981</v>
      </c>
      <c r="AC517">
        <v>1981</v>
      </c>
      <c r="AD517" t="s">
        <v>2913</v>
      </c>
      <c r="AE517" t="s">
        <v>2914</v>
      </c>
      <c r="AF517" t="s">
        <v>599</v>
      </c>
      <c r="AG517" t="s">
        <v>599</v>
      </c>
      <c r="AH517" t="s">
        <v>2915</v>
      </c>
      <c r="AI517" t="s">
        <v>599</v>
      </c>
      <c r="AJ517" t="s">
        <v>599</v>
      </c>
      <c r="AK517" t="s">
        <v>2916</v>
      </c>
      <c r="AL517" t="s">
        <v>599</v>
      </c>
      <c r="AM517" t="s">
        <v>2917</v>
      </c>
      <c r="AN517" t="s">
        <v>1319</v>
      </c>
      <c r="AO517" t="s">
        <v>599</v>
      </c>
      <c r="AP517" t="s">
        <v>599</v>
      </c>
      <c r="AQ517" t="s">
        <v>599</v>
      </c>
      <c r="AR517" t="s">
        <v>599</v>
      </c>
      <c r="AS517" t="s">
        <v>599</v>
      </c>
      <c r="AT517" t="s">
        <v>599</v>
      </c>
      <c r="AU517" t="s">
        <v>599</v>
      </c>
    </row>
    <row r="518" spans="1:47" s="13" customFormat="1" ht="30" x14ac:dyDescent="0.25">
      <c r="A518" s="9">
        <v>11266</v>
      </c>
      <c r="B518" s="10">
        <v>251973</v>
      </c>
      <c r="C518" s="10">
        <v>1</v>
      </c>
      <c r="D518" s="9">
        <v>43</v>
      </c>
      <c r="E518" s="11" t="s">
        <v>418</v>
      </c>
      <c r="F518" s="11" t="str">
        <f t="shared" si="24"/>
        <v>https://purl.pt/39844</v>
      </c>
      <c r="G518" s="12" t="s">
        <v>419</v>
      </c>
      <c r="H518" s="9" t="s">
        <v>420</v>
      </c>
      <c r="I518" s="34"/>
      <c r="J518" s="55" t="str">
        <f t="shared" si="25"/>
        <v>https://permalinkbnd.bnportugal.gov.pt/viewer/255848/?offset=#page=43&amp;viewer=picture&amp;o=info&amp;n=0&amp;q=</v>
      </c>
      <c r="K518" s="45"/>
      <c r="L518" s="45"/>
      <c r="M518" s="45"/>
      <c r="N518" t="s">
        <v>418</v>
      </c>
      <c r="O518">
        <v>255848</v>
      </c>
      <c r="P518" t="str">
        <f t="shared" si="26"/>
        <v>https://permalinkbnd.bnportugal.gov.pt/viewer/255848/?offset=#page=43&amp;viewer=picture&amp;o=info&amp;n=0&amp;q=</v>
      </c>
      <c r="Q518">
        <v>251973</v>
      </c>
      <c r="R518" t="s">
        <v>418</v>
      </c>
      <c r="S518" t="s">
        <v>2910</v>
      </c>
      <c r="T518" t="s">
        <v>1178</v>
      </c>
      <c r="U518" t="s">
        <v>1192</v>
      </c>
      <c r="V518" t="s">
        <v>599</v>
      </c>
      <c r="W518" t="s">
        <v>2911</v>
      </c>
      <c r="X518" t="s">
        <v>599</v>
      </c>
      <c r="Y518" t="s">
        <v>599</v>
      </c>
      <c r="Z518" t="s">
        <v>1182</v>
      </c>
      <c r="AA518" t="s">
        <v>2912</v>
      </c>
      <c r="AB518">
        <v>1981</v>
      </c>
      <c r="AC518">
        <v>1981</v>
      </c>
      <c r="AD518" t="s">
        <v>2913</v>
      </c>
      <c r="AE518" t="s">
        <v>2914</v>
      </c>
      <c r="AF518" t="s">
        <v>599</v>
      </c>
      <c r="AG518" t="s">
        <v>599</v>
      </c>
      <c r="AH518" t="s">
        <v>2915</v>
      </c>
      <c r="AI518" t="s">
        <v>599</v>
      </c>
      <c r="AJ518" t="s">
        <v>599</v>
      </c>
      <c r="AK518" t="s">
        <v>2916</v>
      </c>
      <c r="AL518" t="s">
        <v>599</v>
      </c>
      <c r="AM518" t="s">
        <v>2917</v>
      </c>
      <c r="AN518" t="s">
        <v>1319</v>
      </c>
      <c r="AO518" t="s">
        <v>599</v>
      </c>
      <c r="AP518" t="s">
        <v>599</v>
      </c>
      <c r="AQ518" t="s">
        <v>599</v>
      </c>
      <c r="AR518" t="s">
        <v>599</v>
      </c>
      <c r="AS518" t="s">
        <v>599</v>
      </c>
      <c r="AT518" t="s">
        <v>599</v>
      </c>
      <c r="AU518" t="s">
        <v>599</v>
      </c>
    </row>
    <row r="519" spans="1:47" s="13" customFormat="1" ht="30" x14ac:dyDescent="0.25">
      <c r="A519" s="9">
        <v>11267</v>
      </c>
      <c r="B519" s="10">
        <v>251973</v>
      </c>
      <c r="C519" s="10">
        <v>1</v>
      </c>
      <c r="D519" s="9">
        <v>45</v>
      </c>
      <c r="E519" s="11" t="s">
        <v>418</v>
      </c>
      <c r="F519" s="11" t="str">
        <f t="shared" si="24"/>
        <v>https://purl.pt/39844</v>
      </c>
      <c r="G519" s="12" t="s">
        <v>419</v>
      </c>
      <c r="H519" s="9" t="s">
        <v>420</v>
      </c>
      <c r="I519" s="34"/>
      <c r="J519" s="55" t="str">
        <f t="shared" si="25"/>
        <v>https://permalinkbnd.bnportugal.gov.pt/viewer/255848/?offset=#page=45&amp;viewer=picture&amp;o=info&amp;n=0&amp;q=</v>
      </c>
      <c r="K519" s="45"/>
      <c r="L519" s="45"/>
      <c r="M519" s="45"/>
      <c r="N519" t="s">
        <v>418</v>
      </c>
      <c r="O519">
        <v>255848</v>
      </c>
      <c r="P519" t="str">
        <f t="shared" si="26"/>
        <v>https://permalinkbnd.bnportugal.gov.pt/viewer/255848/?offset=#page=45&amp;viewer=picture&amp;o=info&amp;n=0&amp;q=</v>
      </c>
      <c r="Q519">
        <v>251973</v>
      </c>
      <c r="R519" t="s">
        <v>418</v>
      </c>
      <c r="S519" t="s">
        <v>2910</v>
      </c>
      <c r="T519" t="s">
        <v>1178</v>
      </c>
      <c r="U519" t="s">
        <v>1192</v>
      </c>
      <c r="V519" t="s">
        <v>599</v>
      </c>
      <c r="W519" t="s">
        <v>2911</v>
      </c>
      <c r="X519" t="s">
        <v>599</v>
      </c>
      <c r="Y519" t="s">
        <v>599</v>
      </c>
      <c r="Z519" t="s">
        <v>1182</v>
      </c>
      <c r="AA519" t="s">
        <v>2912</v>
      </c>
      <c r="AB519">
        <v>1981</v>
      </c>
      <c r="AC519">
        <v>1981</v>
      </c>
      <c r="AD519" t="s">
        <v>2913</v>
      </c>
      <c r="AE519" t="s">
        <v>2914</v>
      </c>
      <c r="AF519" t="s">
        <v>599</v>
      </c>
      <c r="AG519" t="s">
        <v>599</v>
      </c>
      <c r="AH519" t="s">
        <v>2915</v>
      </c>
      <c r="AI519" t="s">
        <v>599</v>
      </c>
      <c r="AJ519" t="s">
        <v>599</v>
      </c>
      <c r="AK519" t="s">
        <v>2916</v>
      </c>
      <c r="AL519" t="s">
        <v>599</v>
      </c>
      <c r="AM519" t="s">
        <v>2917</v>
      </c>
      <c r="AN519" t="s">
        <v>1319</v>
      </c>
      <c r="AO519" t="s">
        <v>599</v>
      </c>
      <c r="AP519" t="s">
        <v>599</v>
      </c>
      <c r="AQ519" t="s">
        <v>599</v>
      </c>
      <c r="AR519" t="s">
        <v>599</v>
      </c>
      <c r="AS519" t="s">
        <v>599</v>
      </c>
      <c r="AT519" t="s">
        <v>599</v>
      </c>
      <c r="AU519" t="s">
        <v>599</v>
      </c>
    </row>
    <row r="520" spans="1:47" s="13" customFormat="1" ht="30" x14ac:dyDescent="0.25">
      <c r="A520" s="9">
        <v>11268</v>
      </c>
      <c r="B520" s="10">
        <v>251973</v>
      </c>
      <c r="C520" s="10">
        <v>1</v>
      </c>
      <c r="D520" s="9">
        <v>47</v>
      </c>
      <c r="E520" s="11" t="s">
        <v>418</v>
      </c>
      <c r="F520" s="11" t="str">
        <f t="shared" si="24"/>
        <v>https://purl.pt/39844</v>
      </c>
      <c r="G520" s="12" t="s">
        <v>419</v>
      </c>
      <c r="H520" s="9" t="s">
        <v>420</v>
      </c>
      <c r="I520" s="34"/>
      <c r="J520" s="55" t="str">
        <f t="shared" si="25"/>
        <v>https://permalinkbnd.bnportugal.gov.pt/viewer/255848/?offset=#page=47&amp;viewer=picture&amp;o=info&amp;n=0&amp;q=</v>
      </c>
      <c r="K520" s="45"/>
      <c r="L520" s="45"/>
      <c r="M520" s="45"/>
      <c r="N520" t="s">
        <v>418</v>
      </c>
      <c r="O520">
        <v>255848</v>
      </c>
      <c r="P520" t="str">
        <f t="shared" si="26"/>
        <v>https://permalinkbnd.bnportugal.gov.pt/viewer/255848/?offset=#page=47&amp;viewer=picture&amp;o=info&amp;n=0&amp;q=</v>
      </c>
      <c r="Q520">
        <v>251973</v>
      </c>
      <c r="R520" t="s">
        <v>418</v>
      </c>
      <c r="S520" t="s">
        <v>2910</v>
      </c>
      <c r="T520" t="s">
        <v>1178</v>
      </c>
      <c r="U520" t="s">
        <v>1192</v>
      </c>
      <c r="V520" t="s">
        <v>599</v>
      </c>
      <c r="W520" t="s">
        <v>2911</v>
      </c>
      <c r="X520" t="s">
        <v>599</v>
      </c>
      <c r="Y520" t="s">
        <v>599</v>
      </c>
      <c r="Z520" t="s">
        <v>1182</v>
      </c>
      <c r="AA520" t="s">
        <v>2912</v>
      </c>
      <c r="AB520">
        <v>1981</v>
      </c>
      <c r="AC520">
        <v>1981</v>
      </c>
      <c r="AD520" t="s">
        <v>2913</v>
      </c>
      <c r="AE520" t="s">
        <v>2914</v>
      </c>
      <c r="AF520" t="s">
        <v>599</v>
      </c>
      <c r="AG520" t="s">
        <v>599</v>
      </c>
      <c r="AH520" t="s">
        <v>2915</v>
      </c>
      <c r="AI520" t="s">
        <v>599</v>
      </c>
      <c r="AJ520" t="s">
        <v>599</v>
      </c>
      <c r="AK520" t="s">
        <v>2916</v>
      </c>
      <c r="AL520" t="s">
        <v>599</v>
      </c>
      <c r="AM520" t="s">
        <v>2917</v>
      </c>
      <c r="AN520" t="s">
        <v>1319</v>
      </c>
      <c r="AO520" t="s">
        <v>599</v>
      </c>
      <c r="AP520" t="s">
        <v>599</v>
      </c>
      <c r="AQ520" t="s">
        <v>599</v>
      </c>
      <c r="AR520" t="s">
        <v>599</v>
      </c>
      <c r="AS520" t="s">
        <v>599</v>
      </c>
      <c r="AT520" t="s">
        <v>599</v>
      </c>
      <c r="AU520" t="s">
        <v>599</v>
      </c>
    </row>
    <row r="521" spans="1:47" s="13" customFormat="1" ht="30" x14ac:dyDescent="0.25">
      <c r="A521" s="9">
        <v>11269</v>
      </c>
      <c r="B521" s="10">
        <v>251973</v>
      </c>
      <c r="C521" s="10">
        <v>1</v>
      </c>
      <c r="D521" s="9">
        <v>49</v>
      </c>
      <c r="E521" s="11" t="s">
        <v>418</v>
      </c>
      <c r="F521" s="11" t="str">
        <f t="shared" si="24"/>
        <v>https://purl.pt/39844</v>
      </c>
      <c r="G521" s="12" t="s">
        <v>419</v>
      </c>
      <c r="H521" s="9" t="s">
        <v>420</v>
      </c>
      <c r="I521" s="34"/>
      <c r="J521" s="55" t="str">
        <f t="shared" si="25"/>
        <v>https://permalinkbnd.bnportugal.gov.pt/viewer/255848/?offset=#page=49&amp;viewer=picture&amp;o=info&amp;n=0&amp;q=</v>
      </c>
      <c r="K521" s="45"/>
      <c r="L521" s="45"/>
      <c r="M521" s="45"/>
      <c r="N521" t="s">
        <v>418</v>
      </c>
      <c r="O521">
        <v>255848</v>
      </c>
      <c r="P521" t="str">
        <f t="shared" si="26"/>
        <v>https://permalinkbnd.bnportugal.gov.pt/viewer/255848/?offset=#page=49&amp;viewer=picture&amp;o=info&amp;n=0&amp;q=</v>
      </c>
      <c r="Q521">
        <v>251973</v>
      </c>
      <c r="R521" t="s">
        <v>418</v>
      </c>
      <c r="S521" t="s">
        <v>2910</v>
      </c>
      <c r="T521" t="s">
        <v>1178</v>
      </c>
      <c r="U521" t="s">
        <v>1192</v>
      </c>
      <c r="V521" t="s">
        <v>599</v>
      </c>
      <c r="W521" t="s">
        <v>2911</v>
      </c>
      <c r="X521" t="s">
        <v>599</v>
      </c>
      <c r="Y521" t="s">
        <v>599</v>
      </c>
      <c r="Z521" t="s">
        <v>1182</v>
      </c>
      <c r="AA521" t="s">
        <v>2912</v>
      </c>
      <c r="AB521">
        <v>1981</v>
      </c>
      <c r="AC521">
        <v>1981</v>
      </c>
      <c r="AD521" t="s">
        <v>2913</v>
      </c>
      <c r="AE521" t="s">
        <v>2914</v>
      </c>
      <c r="AF521" t="s">
        <v>599</v>
      </c>
      <c r="AG521" t="s">
        <v>599</v>
      </c>
      <c r="AH521" t="s">
        <v>2915</v>
      </c>
      <c r="AI521" t="s">
        <v>599</v>
      </c>
      <c r="AJ521" t="s">
        <v>599</v>
      </c>
      <c r="AK521" t="s">
        <v>2916</v>
      </c>
      <c r="AL521" t="s">
        <v>599</v>
      </c>
      <c r="AM521" t="s">
        <v>2917</v>
      </c>
      <c r="AN521" t="s">
        <v>1319</v>
      </c>
      <c r="AO521" t="s">
        <v>599</v>
      </c>
      <c r="AP521" t="s">
        <v>599</v>
      </c>
      <c r="AQ521" t="s">
        <v>599</v>
      </c>
      <c r="AR521" t="s">
        <v>599</v>
      </c>
      <c r="AS521" t="s">
        <v>599</v>
      </c>
      <c r="AT521" t="s">
        <v>599</v>
      </c>
      <c r="AU521" t="s">
        <v>599</v>
      </c>
    </row>
    <row r="522" spans="1:47" s="13" customFormat="1" ht="30" x14ac:dyDescent="0.25">
      <c r="A522" s="9">
        <v>11270</v>
      </c>
      <c r="B522" s="10">
        <v>251973</v>
      </c>
      <c r="C522" s="10">
        <v>1</v>
      </c>
      <c r="D522" s="9">
        <v>51</v>
      </c>
      <c r="E522" s="11" t="s">
        <v>418</v>
      </c>
      <c r="F522" s="11" t="str">
        <f t="shared" si="24"/>
        <v>https://purl.pt/39844</v>
      </c>
      <c r="G522" s="12" t="s">
        <v>419</v>
      </c>
      <c r="H522" s="9" t="s">
        <v>420</v>
      </c>
      <c r="I522" s="34"/>
      <c r="J522" s="55" t="str">
        <f t="shared" si="25"/>
        <v>https://permalinkbnd.bnportugal.gov.pt/viewer/255848/?offset=#page=51&amp;viewer=picture&amp;o=info&amp;n=0&amp;q=</v>
      </c>
      <c r="K522" s="45"/>
      <c r="L522" s="45"/>
      <c r="M522" s="45"/>
      <c r="N522" t="s">
        <v>418</v>
      </c>
      <c r="O522">
        <v>255848</v>
      </c>
      <c r="P522" t="str">
        <f t="shared" si="26"/>
        <v>https://permalinkbnd.bnportugal.gov.pt/viewer/255848/?offset=#page=51&amp;viewer=picture&amp;o=info&amp;n=0&amp;q=</v>
      </c>
      <c r="Q522">
        <v>251973</v>
      </c>
      <c r="R522" t="s">
        <v>418</v>
      </c>
      <c r="S522" t="s">
        <v>2910</v>
      </c>
      <c r="T522" t="s">
        <v>1178</v>
      </c>
      <c r="U522" t="s">
        <v>1192</v>
      </c>
      <c r="V522" t="s">
        <v>599</v>
      </c>
      <c r="W522" t="s">
        <v>2911</v>
      </c>
      <c r="X522" t="s">
        <v>599</v>
      </c>
      <c r="Y522" t="s">
        <v>599</v>
      </c>
      <c r="Z522" t="s">
        <v>1182</v>
      </c>
      <c r="AA522" t="s">
        <v>2912</v>
      </c>
      <c r="AB522">
        <v>1981</v>
      </c>
      <c r="AC522">
        <v>1981</v>
      </c>
      <c r="AD522" t="s">
        <v>2913</v>
      </c>
      <c r="AE522" t="s">
        <v>2914</v>
      </c>
      <c r="AF522" t="s">
        <v>599</v>
      </c>
      <c r="AG522" t="s">
        <v>599</v>
      </c>
      <c r="AH522" t="s">
        <v>2915</v>
      </c>
      <c r="AI522" t="s">
        <v>599</v>
      </c>
      <c r="AJ522" t="s">
        <v>599</v>
      </c>
      <c r="AK522" t="s">
        <v>2916</v>
      </c>
      <c r="AL522" t="s">
        <v>599</v>
      </c>
      <c r="AM522" t="s">
        <v>2917</v>
      </c>
      <c r="AN522" t="s">
        <v>1319</v>
      </c>
      <c r="AO522" t="s">
        <v>599</v>
      </c>
      <c r="AP522" t="s">
        <v>599</v>
      </c>
      <c r="AQ522" t="s">
        <v>599</v>
      </c>
      <c r="AR522" t="s">
        <v>599</v>
      </c>
      <c r="AS522" t="s">
        <v>599</v>
      </c>
      <c r="AT522" t="s">
        <v>599</v>
      </c>
      <c r="AU522" t="s">
        <v>599</v>
      </c>
    </row>
    <row r="523" spans="1:47" s="13" customFormat="1" ht="30" x14ac:dyDescent="0.25">
      <c r="A523" s="9">
        <v>11276</v>
      </c>
      <c r="B523" s="10">
        <v>253094</v>
      </c>
      <c r="C523" s="10">
        <v>1</v>
      </c>
      <c r="D523" s="9">
        <v>54</v>
      </c>
      <c r="E523" s="11" t="s">
        <v>421</v>
      </c>
      <c r="F523" s="11" t="str">
        <f t="shared" si="24"/>
        <v>https://purl.pt/44015</v>
      </c>
      <c r="G523" s="12" t="s">
        <v>422</v>
      </c>
      <c r="H523" s="9" t="s">
        <v>423</v>
      </c>
      <c r="I523" s="34"/>
      <c r="J523" s="55" t="str">
        <f t="shared" si="25"/>
        <v>https://permalinkbnd.bnportugal.gov.pt/viewer/274463/?offset=#page=54&amp;viewer=picture&amp;o=info&amp;n=0&amp;q=</v>
      </c>
      <c r="K523" s="45"/>
      <c r="L523" s="45"/>
      <c r="M523" s="45"/>
      <c r="N523" t="s">
        <v>421</v>
      </c>
      <c r="O523">
        <v>274463</v>
      </c>
      <c r="P523" t="str">
        <f t="shared" si="26"/>
        <v>https://permalinkbnd.bnportugal.gov.pt/viewer/274463/?offset=#page=54&amp;viewer=picture&amp;o=info&amp;n=0&amp;q=</v>
      </c>
      <c r="Q523">
        <v>253094</v>
      </c>
      <c r="R523" t="s">
        <v>421</v>
      </c>
      <c r="S523" t="s">
        <v>2918</v>
      </c>
      <c r="T523" t="s">
        <v>1178</v>
      </c>
      <c r="U523" t="s">
        <v>1179</v>
      </c>
      <c r="V523" t="s">
        <v>599</v>
      </c>
      <c r="W523" t="s">
        <v>1180</v>
      </c>
      <c r="X523" t="s">
        <v>599</v>
      </c>
      <c r="Y523" t="s">
        <v>599</v>
      </c>
      <c r="Z523" t="s">
        <v>2919</v>
      </c>
      <c r="AA523" t="s">
        <v>2920</v>
      </c>
      <c r="AB523">
        <v>1821</v>
      </c>
      <c r="AC523">
        <v>1821</v>
      </c>
      <c r="AD523" t="s">
        <v>2921</v>
      </c>
      <c r="AE523" t="s">
        <v>1185</v>
      </c>
      <c r="AF523" t="s">
        <v>599</v>
      </c>
      <c r="AG523" t="s">
        <v>2922</v>
      </c>
      <c r="AH523" t="s">
        <v>2923</v>
      </c>
      <c r="AI523" t="s">
        <v>599</v>
      </c>
      <c r="AJ523" t="s">
        <v>2924</v>
      </c>
      <c r="AK523" t="s">
        <v>2925</v>
      </c>
      <c r="AL523" t="s">
        <v>1188</v>
      </c>
      <c r="AM523" t="s">
        <v>2926</v>
      </c>
      <c r="AN523" t="s">
        <v>1190</v>
      </c>
      <c r="AO523" t="s">
        <v>2927</v>
      </c>
      <c r="AP523" t="s">
        <v>599</v>
      </c>
      <c r="AQ523" t="s">
        <v>2928</v>
      </c>
      <c r="AR523" t="s">
        <v>599</v>
      </c>
      <c r="AS523" t="s">
        <v>599</v>
      </c>
      <c r="AT523" t="s">
        <v>599</v>
      </c>
      <c r="AU523" t="s">
        <v>599</v>
      </c>
    </row>
    <row r="524" spans="1:47" s="13" customFormat="1" ht="30" x14ac:dyDescent="0.25">
      <c r="A524" s="9">
        <v>11277</v>
      </c>
      <c r="B524" s="10">
        <v>253094</v>
      </c>
      <c r="C524" s="10">
        <v>1</v>
      </c>
      <c r="D524" s="9">
        <v>366</v>
      </c>
      <c r="E524" s="11" t="s">
        <v>421</v>
      </c>
      <c r="F524" s="11" t="str">
        <f t="shared" si="24"/>
        <v>https://purl.pt/44015</v>
      </c>
      <c r="G524" s="12" t="s">
        <v>422</v>
      </c>
      <c r="H524" s="9" t="s">
        <v>423</v>
      </c>
      <c r="I524" s="34"/>
      <c r="J524" s="55" t="str">
        <f t="shared" si="25"/>
        <v>https://permalinkbnd.bnportugal.gov.pt/viewer/274463/?offset=#page=366&amp;viewer=picture&amp;o=info&amp;n=0&amp;q=</v>
      </c>
      <c r="K524" s="45"/>
      <c r="L524" s="45"/>
      <c r="M524" s="45"/>
      <c r="N524" t="s">
        <v>421</v>
      </c>
      <c r="O524">
        <v>274463</v>
      </c>
      <c r="P524" t="str">
        <f t="shared" si="26"/>
        <v>https://permalinkbnd.bnportugal.gov.pt/viewer/274463/?offset=#page=366&amp;viewer=picture&amp;o=info&amp;n=0&amp;q=</v>
      </c>
      <c r="Q524">
        <v>253094</v>
      </c>
      <c r="R524" t="s">
        <v>421</v>
      </c>
      <c r="S524" t="s">
        <v>2918</v>
      </c>
      <c r="T524" t="s">
        <v>1178</v>
      </c>
      <c r="U524" t="s">
        <v>1179</v>
      </c>
      <c r="V524" t="s">
        <v>599</v>
      </c>
      <c r="W524" t="s">
        <v>1180</v>
      </c>
      <c r="X524" t="s">
        <v>599</v>
      </c>
      <c r="Y524" t="s">
        <v>599</v>
      </c>
      <c r="Z524" t="s">
        <v>2919</v>
      </c>
      <c r="AA524" t="s">
        <v>2920</v>
      </c>
      <c r="AB524">
        <v>1821</v>
      </c>
      <c r="AC524">
        <v>1821</v>
      </c>
      <c r="AD524" t="s">
        <v>2921</v>
      </c>
      <c r="AE524" t="s">
        <v>1185</v>
      </c>
      <c r="AF524" t="s">
        <v>599</v>
      </c>
      <c r="AG524" t="s">
        <v>2922</v>
      </c>
      <c r="AH524" t="s">
        <v>2923</v>
      </c>
      <c r="AI524" t="s">
        <v>599</v>
      </c>
      <c r="AJ524" t="s">
        <v>2924</v>
      </c>
      <c r="AK524" t="s">
        <v>2925</v>
      </c>
      <c r="AL524" t="s">
        <v>1188</v>
      </c>
      <c r="AM524" t="s">
        <v>2926</v>
      </c>
      <c r="AN524" t="s">
        <v>1190</v>
      </c>
      <c r="AO524" t="s">
        <v>2927</v>
      </c>
      <c r="AP524" t="s">
        <v>599</v>
      </c>
      <c r="AQ524" t="s">
        <v>2928</v>
      </c>
      <c r="AR524" t="s">
        <v>599</v>
      </c>
      <c r="AS524" t="s">
        <v>599</v>
      </c>
      <c r="AT524" t="s">
        <v>599</v>
      </c>
      <c r="AU524" t="s">
        <v>599</v>
      </c>
    </row>
    <row r="525" spans="1:47" s="13" customFormat="1" ht="30" x14ac:dyDescent="0.25">
      <c r="A525" s="9">
        <v>11291</v>
      </c>
      <c r="B525" s="10">
        <v>258798</v>
      </c>
      <c r="C525" s="10">
        <v>1</v>
      </c>
      <c r="D525" s="9">
        <v>7</v>
      </c>
      <c r="E525" s="11" t="s">
        <v>424</v>
      </c>
      <c r="F525" s="11" t="str">
        <f t="shared" si="24"/>
        <v>https://purl.pt/37882</v>
      </c>
      <c r="G525" s="12" t="s">
        <v>425</v>
      </c>
      <c r="H525" s="9" t="s">
        <v>426</v>
      </c>
      <c r="I525" s="34"/>
      <c r="J525" s="55" t="str">
        <f t="shared" si="25"/>
        <v>https://permalinkbnd.bnportugal.gov.pt/viewer/14629/?offset=#page=7&amp;viewer=picture&amp;o=info&amp;n=0&amp;q=</v>
      </c>
      <c r="K525" s="45"/>
      <c r="L525" s="45"/>
      <c r="M525" s="45"/>
      <c r="N525" t="s">
        <v>424</v>
      </c>
      <c r="O525">
        <v>14629</v>
      </c>
      <c r="P525" t="str">
        <f t="shared" si="26"/>
        <v>https://permalinkbnd.bnportugal.gov.pt/viewer/14629/?offset=#page=7&amp;viewer=picture&amp;o=info&amp;n=0&amp;q=</v>
      </c>
      <c r="Q525">
        <v>258798</v>
      </c>
      <c r="R525" t="s">
        <v>424</v>
      </c>
      <c r="S525" t="s">
        <v>2929</v>
      </c>
      <c r="T525" t="s">
        <v>1178</v>
      </c>
      <c r="U525" t="s">
        <v>1209</v>
      </c>
      <c r="V525" t="s">
        <v>599</v>
      </c>
      <c r="W525" t="s">
        <v>2904</v>
      </c>
      <c r="X525" t="s">
        <v>599</v>
      </c>
      <c r="Y525" t="s">
        <v>599</v>
      </c>
      <c r="Z525" t="s">
        <v>1182</v>
      </c>
      <c r="AA525" t="s">
        <v>2930</v>
      </c>
      <c r="AB525">
        <v>1874</v>
      </c>
      <c r="AC525">
        <v>1874</v>
      </c>
      <c r="AD525" t="s">
        <v>2931</v>
      </c>
      <c r="AE525" t="s">
        <v>1185</v>
      </c>
      <c r="AF525" t="s">
        <v>599</v>
      </c>
      <c r="AG525" t="s">
        <v>599</v>
      </c>
      <c r="AH525" t="s">
        <v>2932</v>
      </c>
      <c r="AI525" t="s">
        <v>599</v>
      </c>
      <c r="AJ525" t="s">
        <v>599</v>
      </c>
      <c r="AK525" t="s">
        <v>2933</v>
      </c>
      <c r="AL525" t="s">
        <v>599</v>
      </c>
      <c r="AM525" t="s">
        <v>2934</v>
      </c>
      <c r="AN525" t="s">
        <v>1190</v>
      </c>
      <c r="AO525" t="s">
        <v>599</v>
      </c>
      <c r="AP525" t="s">
        <v>599</v>
      </c>
      <c r="AQ525" t="s">
        <v>2935</v>
      </c>
      <c r="AR525" t="s">
        <v>599</v>
      </c>
      <c r="AS525" t="s">
        <v>599</v>
      </c>
      <c r="AT525" t="s">
        <v>599</v>
      </c>
      <c r="AU525" t="s">
        <v>599</v>
      </c>
    </row>
    <row r="526" spans="1:47" s="13" customFormat="1" ht="30" x14ac:dyDescent="0.25">
      <c r="A526" s="9">
        <v>11292</v>
      </c>
      <c r="B526" s="10">
        <v>258798</v>
      </c>
      <c r="C526" s="10">
        <v>1</v>
      </c>
      <c r="D526" s="9">
        <v>21</v>
      </c>
      <c r="E526" s="11" t="s">
        <v>424</v>
      </c>
      <c r="F526" s="11" t="str">
        <f t="shared" si="24"/>
        <v>https://purl.pt/37882</v>
      </c>
      <c r="G526" s="12" t="s">
        <v>425</v>
      </c>
      <c r="H526" s="9" t="s">
        <v>426</v>
      </c>
      <c r="I526" s="34"/>
      <c r="J526" s="55" t="str">
        <f t="shared" si="25"/>
        <v>https://permalinkbnd.bnportugal.gov.pt/viewer/14629/?offset=#page=21&amp;viewer=picture&amp;o=info&amp;n=0&amp;q=</v>
      </c>
      <c r="K526" s="45"/>
      <c r="L526" s="45"/>
      <c r="M526" s="45"/>
      <c r="N526" t="s">
        <v>424</v>
      </c>
      <c r="O526">
        <v>14629</v>
      </c>
      <c r="P526" t="str">
        <f t="shared" si="26"/>
        <v>https://permalinkbnd.bnportugal.gov.pt/viewer/14629/?offset=#page=21&amp;viewer=picture&amp;o=info&amp;n=0&amp;q=</v>
      </c>
      <c r="Q526">
        <v>258798</v>
      </c>
      <c r="R526" t="s">
        <v>424</v>
      </c>
      <c r="S526" t="s">
        <v>2929</v>
      </c>
      <c r="T526" t="s">
        <v>1178</v>
      </c>
      <c r="U526" t="s">
        <v>1209</v>
      </c>
      <c r="V526" t="s">
        <v>599</v>
      </c>
      <c r="W526" t="s">
        <v>2904</v>
      </c>
      <c r="X526" t="s">
        <v>599</v>
      </c>
      <c r="Y526" t="s">
        <v>599</v>
      </c>
      <c r="Z526" t="s">
        <v>1182</v>
      </c>
      <c r="AA526" t="s">
        <v>2930</v>
      </c>
      <c r="AB526">
        <v>1874</v>
      </c>
      <c r="AC526">
        <v>1874</v>
      </c>
      <c r="AD526" t="s">
        <v>2931</v>
      </c>
      <c r="AE526" t="s">
        <v>1185</v>
      </c>
      <c r="AF526" t="s">
        <v>599</v>
      </c>
      <c r="AG526" t="s">
        <v>599</v>
      </c>
      <c r="AH526" t="s">
        <v>2932</v>
      </c>
      <c r="AI526" t="s">
        <v>599</v>
      </c>
      <c r="AJ526" t="s">
        <v>599</v>
      </c>
      <c r="AK526" t="s">
        <v>2933</v>
      </c>
      <c r="AL526" t="s">
        <v>599</v>
      </c>
      <c r="AM526" t="s">
        <v>2934</v>
      </c>
      <c r="AN526" t="s">
        <v>1190</v>
      </c>
      <c r="AO526" t="s">
        <v>599</v>
      </c>
      <c r="AP526" t="s">
        <v>599</v>
      </c>
      <c r="AQ526" t="s">
        <v>2935</v>
      </c>
      <c r="AR526" t="s">
        <v>599</v>
      </c>
      <c r="AS526" t="s">
        <v>599</v>
      </c>
      <c r="AT526" t="s">
        <v>599</v>
      </c>
      <c r="AU526" t="s">
        <v>599</v>
      </c>
    </row>
    <row r="527" spans="1:47" s="13" customFormat="1" ht="30" x14ac:dyDescent="0.25">
      <c r="A527" s="9">
        <v>11293</v>
      </c>
      <c r="B527" s="10">
        <v>258798</v>
      </c>
      <c r="C527" s="10">
        <v>1</v>
      </c>
      <c r="D527" s="9">
        <v>48</v>
      </c>
      <c r="E527" s="11" t="s">
        <v>424</v>
      </c>
      <c r="F527" s="11" t="str">
        <f t="shared" si="24"/>
        <v>https://purl.pt/37882</v>
      </c>
      <c r="G527" s="12" t="s">
        <v>425</v>
      </c>
      <c r="H527" s="9" t="s">
        <v>426</v>
      </c>
      <c r="I527" s="34"/>
      <c r="J527" s="55" t="str">
        <f t="shared" si="25"/>
        <v>https://permalinkbnd.bnportugal.gov.pt/viewer/14629/?offset=#page=48&amp;viewer=picture&amp;o=info&amp;n=0&amp;q=</v>
      </c>
      <c r="K527" s="45"/>
      <c r="L527" s="45"/>
      <c r="M527" s="45"/>
      <c r="N527" t="s">
        <v>424</v>
      </c>
      <c r="O527">
        <v>14629</v>
      </c>
      <c r="P527" t="str">
        <f t="shared" si="26"/>
        <v>https://permalinkbnd.bnportugal.gov.pt/viewer/14629/?offset=#page=48&amp;viewer=picture&amp;o=info&amp;n=0&amp;q=</v>
      </c>
      <c r="Q527">
        <v>258798</v>
      </c>
      <c r="R527" t="s">
        <v>424</v>
      </c>
      <c r="S527" t="s">
        <v>2929</v>
      </c>
      <c r="T527" t="s">
        <v>1178</v>
      </c>
      <c r="U527" t="s">
        <v>1209</v>
      </c>
      <c r="V527" t="s">
        <v>599</v>
      </c>
      <c r="W527" t="s">
        <v>2904</v>
      </c>
      <c r="X527" t="s">
        <v>599</v>
      </c>
      <c r="Y527" t="s">
        <v>599</v>
      </c>
      <c r="Z527" t="s">
        <v>1182</v>
      </c>
      <c r="AA527" t="s">
        <v>2930</v>
      </c>
      <c r="AB527">
        <v>1874</v>
      </c>
      <c r="AC527">
        <v>1874</v>
      </c>
      <c r="AD527" t="s">
        <v>2931</v>
      </c>
      <c r="AE527" t="s">
        <v>1185</v>
      </c>
      <c r="AF527" t="s">
        <v>599</v>
      </c>
      <c r="AG527" t="s">
        <v>599</v>
      </c>
      <c r="AH527" t="s">
        <v>2932</v>
      </c>
      <c r="AI527" t="s">
        <v>599</v>
      </c>
      <c r="AJ527" t="s">
        <v>599</v>
      </c>
      <c r="AK527" t="s">
        <v>2933</v>
      </c>
      <c r="AL527" t="s">
        <v>599</v>
      </c>
      <c r="AM527" t="s">
        <v>2934</v>
      </c>
      <c r="AN527" t="s">
        <v>1190</v>
      </c>
      <c r="AO527" t="s">
        <v>599</v>
      </c>
      <c r="AP527" t="s">
        <v>599</v>
      </c>
      <c r="AQ527" t="s">
        <v>2935</v>
      </c>
      <c r="AR527" t="s">
        <v>599</v>
      </c>
      <c r="AS527" t="s">
        <v>599</v>
      </c>
      <c r="AT527" t="s">
        <v>599</v>
      </c>
      <c r="AU527" t="s">
        <v>599</v>
      </c>
    </row>
    <row r="528" spans="1:47" s="13" customFormat="1" ht="30" x14ac:dyDescent="0.25">
      <c r="A528" s="9">
        <v>11294</v>
      </c>
      <c r="B528" s="10">
        <v>258798</v>
      </c>
      <c r="C528" s="10">
        <v>1</v>
      </c>
      <c r="D528" s="9">
        <v>100</v>
      </c>
      <c r="E528" s="11" t="s">
        <v>424</v>
      </c>
      <c r="F528" s="11" t="str">
        <f t="shared" si="24"/>
        <v>https://purl.pt/37882</v>
      </c>
      <c r="G528" s="12" t="s">
        <v>425</v>
      </c>
      <c r="H528" s="9" t="s">
        <v>426</v>
      </c>
      <c r="I528" s="34"/>
      <c r="J528" s="55" t="str">
        <f t="shared" si="25"/>
        <v>https://permalinkbnd.bnportugal.gov.pt/viewer/14629/?offset=#page=100&amp;viewer=picture&amp;o=info&amp;n=0&amp;q=</v>
      </c>
      <c r="K528" s="45"/>
      <c r="L528" s="45"/>
      <c r="M528" s="45"/>
      <c r="N528" t="s">
        <v>424</v>
      </c>
      <c r="O528">
        <v>14629</v>
      </c>
      <c r="P528" t="str">
        <f t="shared" si="26"/>
        <v>https://permalinkbnd.bnportugal.gov.pt/viewer/14629/?offset=#page=100&amp;viewer=picture&amp;o=info&amp;n=0&amp;q=</v>
      </c>
      <c r="Q528">
        <v>258798</v>
      </c>
      <c r="R528" t="s">
        <v>424</v>
      </c>
      <c r="S528" t="s">
        <v>2929</v>
      </c>
      <c r="T528" t="s">
        <v>1178</v>
      </c>
      <c r="U528" t="s">
        <v>1209</v>
      </c>
      <c r="V528" t="s">
        <v>599</v>
      </c>
      <c r="W528" t="s">
        <v>2904</v>
      </c>
      <c r="X528" t="s">
        <v>599</v>
      </c>
      <c r="Y528" t="s">
        <v>599</v>
      </c>
      <c r="Z528" t="s">
        <v>1182</v>
      </c>
      <c r="AA528" t="s">
        <v>2930</v>
      </c>
      <c r="AB528">
        <v>1874</v>
      </c>
      <c r="AC528">
        <v>1874</v>
      </c>
      <c r="AD528" t="s">
        <v>2931</v>
      </c>
      <c r="AE528" t="s">
        <v>1185</v>
      </c>
      <c r="AF528" t="s">
        <v>599</v>
      </c>
      <c r="AG528" t="s">
        <v>599</v>
      </c>
      <c r="AH528" t="s">
        <v>2932</v>
      </c>
      <c r="AI528" t="s">
        <v>599</v>
      </c>
      <c r="AJ528" t="s">
        <v>599</v>
      </c>
      <c r="AK528" t="s">
        <v>2933</v>
      </c>
      <c r="AL528" t="s">
        <v>599</v>
      </c>
      <c r="AM528" t="s">
        <v>2934</v>
      </c>
      <c r="AN528" t="s">
        <v>1190</v>
      </c>
      <c r="AO528" t="s">
        <v>599</v>
      </c>
      <c r="AP528" t="s">
        <v>599</v>
      </c>
      <c r="AQ528" t="s">
        <v>2935</v>
      </c>
      <c r="AR528" t="s">
        <v>599</v>
      </c>
      <c r="AS528" t="s">
        <v>599</v>
      </c>
      <c r="AT528" t="s">
        <v>599</v>
      </c>
      <c r="AU528" t="s">
        <v>599</v>
      </c>
    </row>
    <row r="529" spans="1:47" s="13" customFormat="1" ht="30" x14ac:dyDescent="0.25">
      <c r="A529" s="9">
        <v>11295</v>
      </c>
      <c r="B529" s="10">
        <v>258798</v>
      </c>
      <c r="C529" s="10">
        <v>1</v>
      </c>
      <c r="D529" s="9">
        <v>129</v>
      </c>
      <c r="E529" s="11" t="s">
        <v>424</v>
      </c>
      <c r="F529" s="11" t="str">
        <f t="shared" si="24"/>
        <v>https://purl.pt/37882</v>
      </c>
      <c r="G529" s="12" t="s">
        <v>425</v>
      </c>
      <c r="H529" s="9" t="s">
        <v>426</v>
      </c>
      <c r="I529" s="34"/>
      <c r="J529" s="55" t="str">
        <f t="shared" si="25"/>
        <v>https://permalinkbnd.bnportugal.gov.pt/viewer/14629/?offset=#page=129&amp;viewer=picture&amp;o=info&amp;n=0&amp;q=</v>
      </c>
      <c r="K529" s="45"/>
      <c r="L529" s="45"/>
      <c r="M529" s="45"/>
      <c r="N529" t="s">
        <v>424</v>
      </c>
      <c r="O529">
        <v>14629</v>
      </c>
      <c r="P529" t="str">
        <f t="shared" si="26"/>
        <v>https://permalinkbnd.bnportugal.gov.pt/viewer/14629/?offset=#page=129&amp;viewer=picture&amp;o=info&amp;n=0&amp;q=</v>
      </c>
      <c r="Q529">
        <v>258798</v>
      </c>
      <c r="R529" t="s">
        <v>424</v>
      </c>
      <c r="S529" t="s">
        <v>2929</v>
      </c>
      <c r="T529" t="s">
        <v>1178</v>
      </c>
      <c r="U529" t="s">
        <v>1209</v>
      </c>
      <c r="V529" t="s">
        <v>599</v>
      </c>
      <c r="W529" t="s">
        <v>2904</v>
      </c>
      <c r="X529" t="s">
        <v>599</v>
      </c>
      <c r="Y529" t="s">
        <v>599</v>
      </c>
      <c r="Z529" t="s">
        <v>1182</v>
      </c>
      <c r="AA529" t="s">
        <v>2930</v>
      </c>
      <c r="AB529">
        <v>1874</v>
      </c>
      <c r="AC529">
        <v>1874</v>
      </c>
      <c r="AD529" t="s">
        <v>2931</v>
      </c>
      <c r="AE529" t="s">
        <v>1185</v>
      </c>
      <c r="AF529" t="s">
        <v>599</v>
      </c>
      <c r="AG529" t="s">
        <v>599</v>
      </c>
      <c r="AH529" t="s">
        <v>2932</v>
      </c>
      <c r="AI529" t="s">
        <v>599</v>
      </c>
      <c r="AJ529" t="s">
        <v>599</v>
      </c>
      <c r="AK529" t="s">
        <v>2933</v>
      </c>
      <c r="AL529" t="s">
        <v>599</v>
      </c>
      <c r="AM529" t="s">
        <v>2934</v>
      </c>
      <c r="AN529" t="s">
        <v>1190</v>
      </c>
      <c r="AO529" t="s">
        <v>599</v>
      </c>
      <c r="AP529" t="s">
        <v>599</v>
      </c>
      <c r="AQ529" t="s">
        <v>2935</v>
      </c>
      <c r="AR529" t="s">
        <v>599</v>
      </c>
      <c r="AS529" t="s">
        <v>599</v>
      </c>
      <c r="AT529" t="s">
        <v>599</v>
      </c>
      <c r="AU529" t="s">
        <v>599</v>
      </c>
    </row>
    <row r="530" spans="1:47" s="13" customFormat="1" ht="30" x14ac:dyDescent="0.25">
      <c r="A530" s="9">
        <v>11296</v>
      </c>
      <c r="B530" s="10">
        <v>258798</v>
      </c>
      <c r="C530" s="10">
        <v>1</v>
      </c>
      <c r="D530" s="9">
        <v>152</v>
      </c>
      <c r="E530" s="11" t="s">
        <v>424</v>
      </c>
      <c r="F530" s="11" t="str">
        <f t="shared" si="24"/>
        <v>https://purl.pt/37882</v>
      </c>
      <c r="G530" s="12" t="s">
        <v>425</v>
      </c>
      <c r="H530" s="9" t="s">
        <v>426</v>
      </c>
      <c r="I530" s="34"/>
      <c r="J530" s="55" t="str">
        <f t="shared" si="25"/>
        <v>https://permalinkbnd.bnportugal.gov.pt/viewer/14629/?offset=#page=152&amp;viewer=picture&amp;o=info&amp;n=0&amp;q=</v>
      </c>
      <c r="K530" s="45"/>
      <c r="L530" s="45"/>
      <c r="M530" s="45"/>
      <c r="N530" t="s">
        <v>424</v>
      </c>
      <c r="O530">
        <v>14629</v>
      </c>
      <c r="P530" t="str">
        <f t="shared" si="26"/>
        <v>https://permalinkbnd.bnportugal.gov.pt/viewer/14629/?offset=#page=152&amp;viewer=picture&amp;o=info&amp;n=0&amp;q=</v>
      </c>
      <c r="Q530">
        <v>258798</v>
      </c>
      <c r="R530" t="s">
        <v>424</v>
      </c>
      <c r="S530" t="s">
        <v>2929</v>
      </c>
      <c r="T530" t="s">
        <v>1178</v>
      </c>
      <c r="U530" t="s">
        <v>1209</v>
      </c>
      <c r="V530" t="s">
        <v>599</v>
      </c>
      <c r="W530" t="s">
        <v>2904</v>
      </c>
      <c r="X530" t="s">
        <v>599</v>
      </c>
      <c r="Y530" t="s">
        <v>599</v>
      </c>
      <c r="Z530" t="s">
        <v>1182</v>
      </c>
      <c r="AA530" t="s">
        <v>2930</v>
      </c>
      <c r="AB530">
        <v>1874</v>
      </c>
      <c r="AC530">
        <v>1874</v>
      </c>
      <c r="AD530" t="s">
        <v>2931</v>
      </c>
      <c r="AE530" t="s">
        <v>1185</v>
      </c>
      <c r="AF530" t="s">
        <v>599</v>
      </c>
      <c r="AG530" t="s">
        <v>599</v>
      </c>
      <c r="AH530" t="s">
        <v>2932</v>
      </c>
      <c r="AI530" t="s">
        <v>599</v>
      </c>
      <c r="AJ530" t="s">
        <v>599</v>
      </c>
      <c r="AK530" t="s">
        <v>2933</v>
      </c>
      <c r="AL530" t="s">
        <v>599</v>
      </c>
      <c r="AM530" t="s">
        <v>2934</v>
      </c>
      <c r="AN530" t="s">
        <v>1190</v>
      </c>
      <c r="AO530" t="s">
        <v>599</v>
      </c>
      <c r="AP530" t="s">
        <v>599</v>
      </c>
      <c r="AQ530" t="s">
        <v>2935</v>
      </c>
      <c r="AR530" t="s">
        <v>599</v>
      </c>
      <c r="AS530" t="s">
        <v>599</v>
      </c>
      <c r="AT530" t="s">
        <v>599</v>
      </c>
      <c r="AU530" t="s">
        <v>599</v>
      </c>
    </row>
    <row r="531" spans="1:47" s="13" customFormat="1" ht="30" x14ac:dyDescent="0.25">
      <c r="A531" s="9">
        <v>11297</v>
      </c>
      <c r="B531" s="10">
        <v>258798</v>
      </c>
      <c r="C531" s="10">
        <v>1</v>
      </c>
      <c r="D531" s="9">
        <v>191</v>
      </c>
      <c r="E531" s="11" t="s">
        <v>424</v>
      </c>
      <c r="F531" s="11" t="str">
        <f t="shared" si="24"/>
        <v>https://purl.pt/37882</v>
      </c>
      <c r="G531" s="12" t="s">
        <v>425</v>
      </c>
      <c r="H531" s="9" t="s">
        <v>426</v>
      </c>
      <c r="I531" s="34"/>
      <c r="J531" s="55" t="str">
        <f t="shared" si="25"/>
        <v>https://permalinkbnd.bnportugal.gov.pt/viewer/14629/?offset=#page=191&amp;viewer=picture&amp;o=info&amp;n=0&amp;q=</v>
      </c>
      <c r="K531" s="45"/>
      <c r="L531" s="45"/>
      <c r="M531" s="45"/>
      <c r="N531" t="s">
        <v>424</v>
      </c>
      <c r="O531">
        <v>14629</v>
      </c>
      <c r="P531" t="str">
        <f t="shared" si="26"/>
        <v>https://permalinkbnd.bnportugal.gov.pt/viewer/14629/?offset=#page=191&amp;viewer=picture&amp;o=info&amp;n=0&amp;q=</v>
      </c>
      <c r="Q531">
        <v>258798</v>
      </c>
      <c r="R531" t="s">
        <v>424</v>
      </c>
      <c r="S531" t="s">
        <v>2929</v>
      </c>
      <c r="T531" t="s">
        <v>1178</v>
      </c>
      <c r="U531" t="s">
        <v>1209</v>
      </c>
      <c r="V531" t="s">
        <v>599</v>
      </c>
      <c r="W531" t="s">
        <v>2904</v>
      </c>
      <c r="X531" t="s">
        <v>599</v>
      </c>
      <c r="Y531" t="s">
        <v>599</v>
      </c>
      <c r="Z531" t="s">
        <v>1182</v>
      </c>
      <c r="AA531" t="s">
        <v>2930</v>
      </c>
      <c r="AB531">
        <v>1874</v>
      </c>
      <c r="AC531">
        <v>1874</v>
      </c>
      <c r="AD531" t="s">
        <v>2931</v>
      </c>
      <c r="AE531" t="s">
        <v>1185</v>
      </c>
      <c r="AF531" t="s">
        <v>599</v>
      </c>
      <c r="AG531" t="s">
        <v>599</v>
      </c>
      <c r="AH531" t="s">
        <v>2932</v>
      </c>
      <c r="AI531" t="s">
        <v>599</v>
      </c>
      <c r="AJ531" t="s">
        <v>599</v>
      </c>
      <c r="AK531" t="s">
        <v>2933</v>
      </c>
      <c r="AL531" t="s">
        <v>599</v>
      </c>
      <c r="AM531" t="s">
        <v>2934</v>
      </c>
      <c r="AN531" t="s">
        <v>1190</v>
      </c>
      <c r="AO531" t="s">
        <v>599</v>
      </c>
      <c r="AP531" t="s">
        <v>599</v>
      </c>
      <c r="AQ531" t="s">
        <v>2935</v>
      </c>
      <c r="AR531" t="s">
        <v>599</v>
      </c>
      <c r="AS531" t="s">
        <v>599</v>
      </c>
      <c r="AT531" t="s">
        <v>599</v>
      </c>
      <c r="AU531" t="s">
        <v>599</v>
      </c>
    </row>
    <row r="532" spans="1:47" s="13" customFormat="1" ht="30" x14ac:dyDescent="0.25">
      <c r="A532" s="9">
        <v>11298</v>
      </c>
      <c r="B532" s="10">
        <v>258798</v>
      </c>
      <c r="C532" s="10">
        <v>1</v>
      </c>
      <c r="D532" s="9">
        <v>209</v>
      </c>
      <c r="E532" s="11" t="s">
        <v>424</v>
      </c>
      <c r="F532" s="11" t="str">
        <f t="shared" si="24"/>
        <v>https://purl.pt/37882</v>
      </c>
      <c r="G532" s="12" t="s">
        <v>425</v>
      </c>
      <c r="H532" s="9" t="s">
        <v>426</v>
      </c>
      <c r="I532" s="34"/>
      <c r="J532" s="55" t="str">
        <f t="shared" si="25"/>
        <v>https://permalinkbnd.bnportugal.gov.pt/viewer/14629/?offset=#page=209&amp;viewer=picture&amp;o=info&amp;n=0&amp;q=</v>
      </c>
      <c r="K532" s="45"/>
      <c r="L532" s="45"/>
      <c r="M532" s="45"/>
      <c r="N532" t="s">
        <v>424</v>
      </c>
      <c r="O532">
        <v>14629</v>
      </c>
      <c r="P532" t="str">
        <f t="shared" si="26"/>
        <v>https://permalinkbnd.bnportugal.gov.pt/viewer/14629/?offset=#page=209&amp;viewer=picture&amp;o=info&amp;n=0&amp;q=</v>
      </c>
      <c r="Q532">
        <v>258798</v>
      </c>
      <c r="R532" t="s">
        <v>424</v>
      </c>
      <c r="S532" t="s">
        <v>2929</v>
      </c>
      <c r="T532" t="s">
        <v>1178</v>
      </c>
      <c r="U532" t="s">
        <v>1209</v>
      </c>
      <c r="V532" t="s">
        <v>599</v>
      </c>
      <c r="W532" t="s">
        <v>2904</v>
      </c>
      <c r="X532" t="s">
        <v>599</v>
      </c>
      <c r="Y532" t="s">
        <v>599</v>
      </c>
      <c r="Z532" t="s">
        <v>1182</v>
      </c>
      <c r="AA532" t="s">
        <v>2930</v>
      </c>
      <c r="AB532">
        <v>1874</v>
      </c>
      <c r="AC532">
        <v>1874</v>
      </c>
      <c r="AD532" t="s">
        <v>2931</v>
      </c>
      <c r="AE532" t="s">
        <v>1185</v>
      </c>
      <c r="AF532" t="s">
        <v>599</v>
      </c>
      <c r="AG532" t="s">
        <v>599</v>
      </c>
      <c r="AH532" t="s">
        <v>2932</v>
      </c>
      <c r="AI532" t="s">
        <v>599</v>
      </c>
      <c r="AJ532" t="s">
        <v>599</v>
      </c>
      <c r="AK532" t="s">
        <v>2933</v>
      </c>
      <c r="AL532" t="s">
        <v>599</v>
      </c>
      <c r="AM532" t="s">
        <v>2934</v>
      </c>
      <c r="AN532" t="s">
        <v>1190</v>
      </c>
      <c r="AO532" t="s">
        <v>599</v>
      </c>
      <c r="AP532" t="s">
        <v>599</v>
      </c>
      <c r="AQ532" t="s">
        <v>2935</v>
      </c>
      <c r="AR532" t="s">
        <v>599</v>
      </c>
      <c r="AS532" t="s">
        <v>599</v>
      </c>
      <c r="AT532" t="s">
        <v>599</v>
      </c>
      <c r="AU532" t="s">
        <v>599</v>
      </c>
    </row>
    <row r="533" spans="1:47" s="13" customFormat="1" ht="30" x14ac:dyDescent="0.25">
      <c r="A533" s="9">
        <v>11299</v>
      </c>
      <c r="B533" s="10">
        <v>258798</v>
      </c>
      <c r="C533" s="10">
        <v>1</v>
      </c>
      <c r="D533" s="9">
        <v>264</v>
      </c>
      <c r="E533" s="11" t="s">
        <v>424</v>
      </c>
      <c r="F533" s="11" t="str">
        <f t="shared" si="24"/>
        <v>https://purl.pt/37882</v>
      </c>
      <c r="G533" s="12" t="s">
        <v>425</v>
      </c>
      <c r="H533" s="9" t="s">
        <v>426</v>
      </c>
      <c r="I533" s="34"/>
      <c r="J533" s="55" t="str">
        <f t="shared" si="25"/>
        <v>https://permalinkbnd.bnportugal.gov.pt/viewer/14629/?offset=#page=264&amp;viewer=picture&amp;o=info&amp;n=0&amp;q=</v>
      </c>
      <c r="K533" s="45"/>
      <c r="L533" s="45"/>
      <c r="M533" s="45"/>
      <c r="N533" t="s">
        <v>424</v>
      </c>
      <c r="O533">
        <v>14629</v>
      </c>
      <c r="P533" t="str">
        <f t="shared" si="26"/>
        <v>https://permalinkbnd.bnportugal.gov.pt/viewer/14629/?offset=#page=264&amp;viewer=picture&amp;o=info&amp;n=0&amp;q=</v>
      </c>
      <c r="Q533">
        <v>258798</v>
      </c>
      <c r="R533" t="s">
        <v>424</v>
      </c>
      <c r="S533" t="s">
        <v>2929</v>
      </c>
      <c r="T533" t="s">
        <v>1178</v>
      </c>
      <c r="U533" t="s">
        <v>1209</v>
      </c>
      <c r="V533" t="s">
        <v>599</v>
      </c>
      <c r="W533" t="s">
        <v>2904</v>
      </c>
      <c r="X533" t="s">
        <v>599</v>
      </c>
      <c r="Y533" t="s">
        <v>599</v>
      </c>
      <c r="Z533" t="s">
        <v>1182</v>
      </c>
      <c r="AA533" t="s">
        <v>2930</v>
      </c>
      <c r="AB533">
        <v>1874</v>
      </c>
      <c r="AC533">
        <v>1874</v>
      </c>
      <c r="AD533" t="s">
        <v>2931</v>
      </c>
      <c r="AE533" t="s">
        <v>1185</v>
      </c>
      <c r="AF533" t="s">
        <v>599</v>
      </c>
      <c r="AG533" t="s">
        <v>599</v>
      </c>
      <c r="AH533" t="s">
        <v>2932</v>
      </c>
      <c r="AI533" t="s">
        <v>599</v>
      </c>
      <c r="AJ533" t="s">
        <v>599</v>
      </c>
      <c r="AK533" t="s">
        <v>2933</v>
      </c>
      <c r="AL533" t="s">
        <v>599</v>
      </c>
      <c r="AM533" t="s">
        <v>2934</v>
      </c>
      <c r="AN533" t="s">
        <v>1190</v>
      </c>
      <c r="AO533" t="s">
        <v>599</v>
      </c>
      <c r="AP533" t="s">
        <v>599</v>
      </c>
      <c r="AQ533" t="s">
        <v>2935</v>
      </c>
      <c r="AR533" t="s">
        <v>599</v>
      </c>
      <c r="AS533" t="s">
        <v>599</v>
      </c>
      <c r="AT533" t="s">
        <v>599</v>
      </c>
      <c r="AU533" t="s">
        <v>599</v>
      </c>
    </row>
    <row r="534" spans="1:47" s="13" customFormat="1" ht="30" x14ac:dyDescent="0.25">
      <c r="A534" s="9">
        <v>11300</v>
      </c>
      <c r="B534" s="10">
        <v>258798</v>
      </c>
      <c r="C534" s="10">
        <v>1</v>
      </c>
      <c r="D534" s="9">
        <v>297</v>
      </c>
      <c r="E534" s="11" t="s">
        <v>424</v>
      </c>
      <c r="F534" s="11" t="str">
        <f t="shared" si="24"/>
        <v>https://purl.pt/37882</v>
      </c>
      <c r="G534" s="12" t="s">
        <v>425</v>
      </c>
      <c r="H534" s="9" t="s">
        <v>426</v>
      </c>
      <c r="I534" s="34"/>
      <c r="J534" s="55" t="str">
        <f t="shared" si="25"/>
        <v>https://permalinkbnd.bnportugal.gov.pt/viewer/14629/?offset=#page=297&amp;viewer=picture&amp;o=info&amp;n=0&amp;q=</v>
      </c>
      <c r="K534" s="45"/>
      <c r="L534" s="45"/>
      <c r="M534" s="45"/>
      <c r="N534" t="s">
        <v>424</v>
      </c>
      <c r="O534">
        <v>14629</v>
      </c>
      <c r="P534" t="str">
        <f t="shared" si="26"/>
        <v>https://permalinkbnd.bnportugal.gov.pt/viewer/14629/?offset=#page=297&amp;viewer=picture&amp;o=info&amp;n=0&amp;q=</v>
      </c>
      <c r="Q534">
        <v>258798</v>
      </c>
      <c r="R534" t="s">
        <v>424</v>
      </c>
      <c r="S534" t="s">
        <v>2929</v>
      </c>
      <c r="T534" t="s">
        <v>1178</v>
      </c>
      <c r="U534" t="s">
        <v>1209</v>
      </c>
      <c r="V534" t="s">
        <v>599</v>
      </c>
      <c r="W534" t="s">
        <v>2904</v>
      </c>
      <c r="X534" t="s">
        <v>599</v>
      </c>
      <c r="Y534" t="s">
        <v>599</v>
      </c>
      <c r="Z534" t="s">
        <v>1182</v>
      </c>
      <c r="AA534" t="s">
        <v>2930</v>
      </c>
      <c r="AB534">
        <v>1874</v>
      </c>
      <c r="AC534">
        <v>1874</v>
      </c>
      <c r="AD534" t="s">
        <v>2931</v>
      </c>
      <c r="AE534" t="s">
        <v>1185</v>
      </c>
      <c r="AF534" t="s">
        <v>599</v>
      </c>
      <c r="AG534" t="s">
        <v>599</v>
      </c>
      <c r="AH534" t="s">
        <v>2932</v>
      </c>
      <c r="AI534" t="s">
        <v>599</v>
      </c>
      <c r="AJ534" t="s">
        <v>599</v>
      </c>
      <c r="AK534" t="s">
        <v>2933</v>
      </c>
      <c r="AL534" t="s">
        <v>599</v>
      </c>
      <c r="AM534" t="s">
        <v>2934</v>
      </c>
      <c r="AN534" t="s">
        <v>1190</v>
      </c>
      <c r="AO534" t="s">
        <v>599</v>
      </c>
      <c r="AP534" t="s">
        <v>599</v>
      </c>
      <c r="AQ534" t="s">
        <v>2935</v>
      </c>
      <c r="AR534" t="s">
        <v>599</v>
      </c>
      <c r="AS534" t="s">
        <v>599</v>
      </c>
      <c r="AT534" t="s">
        <v>599</v>
      </c>
      <c r="AU534" t="s">
        <v>599</v>
      </c>
    </row>
    <row r="535" spans="1:47" s="13" customFormat="1" ht="30" x14ac:dyDescent="0.25">
      <c r="A535" s="9">
        <v>11301</v>
      </c>
      <c r="B535" s="10">
        <v>259033</v>
      </c>
      <c r="C535" s="10">
        <v>1</v>
      </c>
      <c r="D535" s="9">
        <v>10</v>
      </c>
      <c r="E535" s="11" t="s">
        <v>427</v>
      </c>
      <c r="F535" s="11" t="str">
        <f t="shared" si="24"/>
        <v>https://purl.pt/23636</v>
      </c>
      <c r="G535" s="12" t="s">
        <v>428</v>
      </c>
      <c r="H535" s="9" t="s">
        <v>429</v>
      </c>
      <c r="I535" s="34"/>
      <c r="J535" s="55" t="str">
        <f t="shared" si="25"/>
        <v>https://permalinkbnd.bnportugal.gov.pt/viewer/14639/?offset=#page=10&amp;viewer=picture&amp;o=info&amp;n=0&amp;q=</v>
      </c>
      <c r="K535" s="45"/>
      <c r="L535" s="45"/>
      <c r="M535" s="45"/>
      <c r="N535" t="s">
        <v>427</v>
      </c>
      <c r="O535">
        <v>14639</v>
      </c>
      <c r="P535" t="str">
        <f t="shared" si="26"/>
        <v>https://permalinkbnd.bnportugal.gov.pt/viewer/14639/?offset=#page=10&amp;viewer=picture&amp;o=info&amp;n=0&amp;q=</v>
      </c>
      <c r="Q535">
        <v>259033</v>
      </c>
      <c r="R535" t="s">
        <v>427</v>
      </c>
      <c r="S535" t="s">
        <v>2936</v>
      </c>
      <c r="T535" t="s">
        <v>1178</v>
      </c>
      <c r="U535" t="s">
        <v>1362</v>
      </c>
      <c r="V535" t="s">
        <v>1192</v>
      </c>
      <c r="W535" t="s">
        <v>2937</v>
      </c>
      <c r="X535" t="s">
        <v>2938</v>
      </c>
      <c r="Y535" t="s">
        <v>599</v>
      </c>
      <c r="Z535" t="s">
        <v>1182</v>
      </c>
      <c r="AA535" t="s">
        <v>2939</v>
      </c>
      <c r="AB535">
        <v>1735</v>
      </c>
      <c r="AC535">
        <v>1735</v>
      </c>
      <c r="AD535" t="s">
        <v>2940</v>
      </c>
      <c r="AE535" t="s">
        <v>1185</v>
      </c>
      <c r="AF535" t="s">
        <v>599</v>
      </c>
      <c r="AG535" t="s">
        <v>599</v>
      </c>
      <c r="AH535" t="s">
        <v>2941</v>
      </c>
      <c r="AI535" t="s">
        <v>599</v>
      </c>
      <c r="AJ535" t="s">
        <v>599</v>
      </c>
      <c r="AK535" t="s">
        <v>2942</v>
      </c>
      <c r="AL535" t="s">
        <v>599</v>
      </c>
      <c r="AM535" t="s">
        <v>2943</v>
      </c>
      <c r="AN535" t="s">
        <v>1190</v>
      </c>
      <c r="AO535" t="s">
        <v>599</v>
      </c>
      <c r="AP535" t="s">
        <v>599</v>
      </c>
      <c r="AQ535" t="s">
        <v>2944</v>
      </c>
      <c r="AR535" t="s">
        <v>599</v>
      </c>
      <c r="AS535" t="s">
        <v>599</v>
      </c>
      <c r="AT535" t="s">
        <v>599</v>
      </c>
      <c r="AU535" t="s">
        <v>599</v>
      </c>
    </row>
    <row r="536" spans="1:47" s="13" customFormat="1" ht="30" x14ac:dyDescent="0.25">
      <c r="A536" s="9">
        <v>11302</v>
      </c>
      <c r="B536" s="10">
        <v>259033</v>
      </c>
      <c r="C536" s="10">
        <v>1</v>
      </c>
      <c r="D536" s="9">
        <v>86</v>
      </c>
      <c r="E536" s="11" t="s">
        <v>427</v>
      </c>
      <c r="F536" s="11" t="str">
        <f t="shared" si="24"/>
        <v>https://purl.pt/23636</v>
      </c>
      <c r="G536" s="12" t="s">
        <v>428</v>
      </c>
      <c r="H536" s="9" t="s">
        <v>429</v>
      </c>
      <c r="I536" s="34"/>
      <c r="J536" s="55" t="str">
        <f t="shared" si="25"/>
        <v>https://permalinkbnd.bnportugal.gov.pt/viewer/14639/?offset=#page=86&amp;viewer=picture&amp;o=info&amp;n=0&amp;q=</v>
      </c>
      <c r="K536" s="45"/>
      <c r="L536" s="45"/>
      <c r="M536" s="45"/>
      <c r="N536" t="s">
        <v>427</v>
      </c>
      <c r="O536">
        <v>14639</v>
      </c>
      <c r="P536" t="str">
        <f t="shared" si="26"/>
        <v>https://permalinkbnd.bnportugal.gov.pt/viewer/14639/?offset=#page=86&amp;viewer=picture&amp;o=info&amp;n=0&amp;q=</v>
      </c>
      <c r="Q536">
        <v>259033</v>
      </c>
      <c r="R536" t="s">
        <v>427</v>
      </c>
      <c r="S536" t="s">
        <v>2936</v>
      </c>
      <c r="T536" t="s">
        <v>1178</v>
      </c>
      <c r="U536" t="s">
        <v>1362</v>
      </c>
      <c r="V536" t="s">
        <v>1192</v>
      </c>
      <c r="W536" t="s">
        <v>2937</v>
      </c>
      <c r="X536" t="s">
        <v>2938</v>
      </c>
      <c r="Y536" t="s">
        <v>599</v>
      </c>
      <c r="Z536" t="s">
        <v>1182</v>
      </c>
      <c r="AA536" t="s">
        <v>2939</v>
      </c>
      <c r="AB536">
        <v>1735</v>
      </c>
      <c r="AC536">
        <v>1735</v>
      </c>
      <c r="AD536" t="s">
        <v>2940</v>
      </c>
      <c r="AE536" t="s">
        <v>1185</v>
      </c>
      <c r="AF536" t="s">
        <v>599</v>
      </c>
      <c r="AG536" t="s">
        <v>599</v>
      </c>
      <c r="AH536" t="s">
        <v>2941</v>
      </c>
      <c r="AI536" t="s">
        <v>599</v>
      </c>
      <c r="AJ536" t="s">
        <v>599</v>
      </c>
      <c r="AK536" t="s">
        <v>2942</v>
      </c>
      <c r="AL536" t="s">
        <v>599</v>
      </c>
      <c r="AM536" t="s">
        <v>2943</v>
      </c>
      <c r="AN536" t="s">
        <v>1190</v>
      </c>
      <c r="AO536" t="s">
        <v>599</v>
      </c>
      <c r="AP536" t="s">
        <v>599</v>
      </c>
      <c r="AQ536" t="s">
        <v>2944</v>
      </c>
      <c r="AR536" t="s">
        <v>599</v>
      </c>
      <c r="AS536" t="s">
        <v>599</v>
      </c>
      <c r="AT536" t="s">
        <v>599</v>
      </c>
      <c r="AU536" t="s">
        <v>599</v>
      </c>
    </row>
    <row r="537" spans="1:47" s="13" customFormat="1" ht="30" x14ac:dyDescent="0.25">
      <c r="A537" s="9">
        <v>11303</v>
      </c>
      <c r="B537" s="10">
        <v>259033</v>
      </c>
      <c r="C537" s="10">
        <v>1</v>
      </c>
      <c r="D537" s="9">
        <v>168</v>
      </c>
      <c r="E537" s="11" t="s">
        <v>427</v>
      </c>
      <c r="F537" s="11" t="str">
        <f t="shared" si="24"/>
        <v>https://purl.pt/23636</v>
      </c>
      <c r="G537" s="12" t="s">
        <v>428</v>
      </c>
      <c r="H537" s="9" t="s">
        <v>429</v>
      </c>
      <c r="I537" s="34"/>
      <c r="J537" s="55" t="str">
        <f t="shared" si="25"/>
        <v>https://permalinkbnd.bnportugal.gov.pt/viewer/14639/?offset=#page=168&amp;viewer=picture&amp;o=info&amp;n=0&amp;q=</v>
      </c>
      <c r="K537" s="45"/>
      <c r="L537" s="45"/>
      <c r="M537" s="45"/>
      <c r="N537" t="s">
        <v>427</v>
      </c>
      <c r="O537">
        <v>14639</v>
      </c>
      <c r="P537" t="str">
        <f t="shared" si="26"/>
        <v>https://permalinkbnd.bnportugal.gov.pt/viewer/14639/?offset=#page=168&amp;viewer=picture&amp;o=info&amp;n=0&amp;q=</v>
      </c>
      <c r="Q537">
        <v>259033</v>
      </c>
      <c r="R537" t="s">
        <v>427</v>
      </c>
      <c r="S537" t="s">
        <v>2936</v>
      </c>
      <c r="T537" t="s">
        <v>1178</v>
      </c>
      <c r="U537" t="s">
        <v>1362</v>
      </c>
      <c r="V537" t="s">
        <v>1192</v>
      </c>
      <c r="W537" t="s">
        <v>2937</v>
      </c>
      <c r="X537" t="s">
        <v>2938</v>
      </c>
      <c r="Y537" t="s">
        <v>599</v>
      </c>
      <c r="Z537" t="s">
        <v>1182</v>
      </c>
      <c r="AA537" t="s">
        <v>2939</v>
      </c>
      <c r="AB537">
        <v>1735</v>
      </c>
      <c r="AC537">
        <v>1735</v>
      </c>
      <c r="AD537" t="s">
        <v>2940</v>
      </c>
      <c r="AE537" t="s">
        <v>1185</v>
      </c>
      <c r="AF537" t="s">
        <v>599</v>
      </c>
      <c r="AG537" t="s">
        <v>599</v>
      </c>
      <c r="AH537" t="s">
        <v>2941</v>
      </c>
      <c r="AI537" t="s">
        <v>599</v>
      </c>
      <c r="AJ537" t="s">
        <v>599</v>
      </c>
      <c r="AK537" t="s">
        <v>2942</v>
      </c>
      <c r="AL537" t="s">
        <v>599</v>
      </c>
      <c r="AM537" t="s">
        <v>2943</v>
      </c>
      <c r="AN537" t="s">
        <v>1190</v>
      </c>
      <c r="AO537" t="s">
        <v>599</v>
      </c>
      <c r="AP537" t="s">
        <v>599</v>
      </c>
      <c r="AQ537" t="s">
        <v>2944</v>
      </c>
      <c r="AR537" t="s">
        <v>599</v>
      </c>
      <c r="AS537" t="s">
        <v>599</v>
      </c>
      <c r="AT537" t="s">
        <v>599</v>
      </c>
      <c r="AU537" t="s">
        <v>599</v>
      </c>
    </row>
    <row r="538" spans="1:47" s="13" customFormat="1" ht="30" x14ac:dyDescent="0.25">
      <c r="A538" s="9">
        <v>11304</v>
      </c>
      <c r="B538" s="10">
        <v>259033</v>
      </c>
      <c r="C538" s="10">
        <v>1</v>
      </c>
      <c r="D538" s="9">
        <v>266</v>
      </c>
      <c r="E538" s="11" t="s">
        <v>427</v>
      </c>
      <c r="F538" s="11" t="str">
        <f t="shared" si="24"/>
        <v>https://purl.pt/23636</v>
      </c>
      <c r="G538" s="12" t="s">
        <v>428</v>
      </c>
      <c r="H538" s="9" t="s">
        <v>429</v>
      </c>
      <c r="I538" s="34"/>
      <c r="J538" s="55" t="str">
        <f t="shared" si="25"/>
        <v>https://permalinkbnd.bnportugal.gov.pt/viewer/14639/?offset=#page=266&amp;viewer=picture&amp;o=info&amp;n=0&amp;q=</v>
      </c>
      <c r="K538" s="45"/>
      <c r="L538" s="45"/>
      <c r="M538" s="45"/>
      <c r="N538" t="s">
        <v>427</v>
      </c>
      <c r="O538">
        <v>14639</v>
      </c>
      <c r="P538" t="str">
        <f t="shared" si="26"/>
        <v>https://permalinkbnd.bnportugal.gov.pt/viewer/14639/?offset=#page=266&amp;viewer=picture&amp;o=info&amp;n=0&amp;q=</v>
      </c>
      <c r="Q538">
        <v>259033</v>
      </c>
      <c r="R538" t="s">
        <v>427</v>
      </c>
      <c r="S538" t="s">
        <v>2936</v>
      </c>
      <c r="T538" t="s">
        <v>1178</v>
      </c>
      <c r="U538" t="s">
        <v>1362</v>
      </c>
      <c r="V538" t="s">
        <v>1192</v>
      </c>
      <c r="W538" t="s">
        <v>2937</v>
      </c>
      <c r="X538" t="s">
        <v>2938</v>
      </c>
      <c r="Y538" t="s">
        <v>599</v>
      </c>
      <c r="Z538" t="s">
        <v>1182</v>
      </c>
      <c r="AA538" t="s">
        <v>2939</v>
      </c>
      <c r="AB538">
        <v>1735</v>
      </c>
      <c r="AC538">
        <v>1735</v>
      </c>
      <c r="AD538" t="s">
        <v>2940</v>
      </c>
      <c r="AE538" t="s">
        <v>1185</v>
      </c>
      <c r="AF538" t="s">
        <v>599</v>
      </c>
      <c r="AG538" t="s">
        <v>599</v>
      </c>
      <c r="AH538" t="s">
        <v>2941</v>
      </c>
      <c r="AI538" t="s">
        <v>599</v>
      </c>
      <c r="AJ538" t="s">
        <v>599</v>
      </c>
      <c r="AK538" t="s">
        <v>2942</v>
      </c>
      <c r="AL538" t="s">
        <v>599</v>
      </c>
      <c r="AM538" t="s">
        <v>2943</v>
      </c>
      <c r="AN538" t="s">
        <v>1190</v>
      </c>
      <c r="AO538" t="s">
        <v>599</v>
      </c>
      <c r="AP538" t="s">
        <v>599</v>
      </c>
      <c r="AQ538" t="s">
        <v>2944</v>
      </c>
      <c r="AR538" t="s">
        <v>599</v>
      </c>
      <c r="AS538" t="s">
        <v>599</v>
      </c>
      <c r="AT538" t="s">
        <v>599</v>
      </c>
      <c r="AU538" t="s">
        <v>599</v>
      </c>
    </row>
    <row r="539" spans="1:47" s="13" customFormat="1" ht="30" x14ac:dyDescent="0.25">
      <c r="A539" s="9">
        <v>11305</v>
      </c>
      <c r="B539" s="10">
        <v>259033</v>
      </c>
      <c r="C539" s="10">
        <v>2</v>
      </c>
      <c r="D539" s="9">
        <v>12</v>
      </c>
      <c r="E539" s="11" t="s">
        <v>427</v>
      </c>
      <c r="F539" s="11" t="str">
        <f t="shared" si="24"/>
        <v>https://purl.pt/23636</v>
      </c>
      <c r="G539" s="12" t="s">
        <v>428</v>
      </c>
      <c r="H539" s="9" t="s">
        <v>429</v>
      </c>
      <c r="I539" s="34"/>
      <c r="J539" s="55" t="str">
        <f t="shared" si="25"/>
        <v>https://permalinkbnd.bnportugal.gov.pt/viewer/14639/?offset=#page=12&amp;viewer=picture&amp;o=info&amp;n=0&amp;q=</v>
      </c>
      <c r="K539" s="45"/>
      <c r="L539" s="45"/>
      <c r="M539" s="45"/>
      <c r="N539" t="s">
        <v>427</v>
      </c>
      <c r="O539">
        <v>14639</v>
      </c>
      <c r="P539" t="str">
        <f t="shared" si="26"/>
        <v>https://permalinkbnd.bnportugal.gov.pt/viewer/14639/?offset=#page=12&amp;viewer=picture&amp;o=info&amp;n=0&amp;q=</v>
      </c>
      <c r="Q539">
        <v>259033</v>
      </c>
      <c r="R539" t="s">
        <v>427</v>
      </c>
      <c r="S539" t="s">
        <v>2936</v>
      </c>
      <c r="T539" t="s">
        <v>1178</v>
      </c>
      <c r="U539" t="s">
        <v>1362</v>
      </c>
      <c r="V539" t="s">
        <v>1192</v>
      </c>
      <c r="W539" t="s">
        <v>2937</v>
      </c>
      <c r="X539" t="s">
        <v>2938</v>
      </c>
      <c r="Y539" t="s">
        <v>599</v>
      </c>
      <c r="Z539" t="s">
        <v>1182</v>
      </c>
      <c r="AA539" t="s">
        <v>2939</v>
      </c>
      <c r="AB539">
        <v>1735</v>
      </c>
      <c r="AC539">
        <v>1735</v>
      </c>
      <c r="AD539" t="s">
        <v>2940</v>
      </c>
      <c r="AE539" t="s">
        <v>1185</v>
      </c>
      <c r="AF539" t="s">
        <v>599</v>
      </c>
      <c r="AG539" t="s">
        <v>599</v>
      </c>
      <c r="AH539" t="s">
        <v>2941</v>
      </c>
      <c r="AI539" t="s">
        <v>599</v>
      </c>
      <c r="AJ539" t="s">
        <v>599</v>
      </c>
      <c r="AK539" t="s">
        <v>2942</v>
      </c>
      <c r="AL539" t="s">
        <v>599</v>
      </c>
      <c r="AM539" t="s">
        <v>2943</v>
      </c>
      <c r="AN539" t="s">
        <v>1190</v>
      </c>
      <c r="AO539" t="s">
        <v>599</v>
      </c>
      <c r="AP539" t="s">
        <v>599</v>
      </c>
      <c r="AQ539" t="s">
        <v>2944</v>
      </c>
      <c r="AR539" t="s">
        <v>599</v>
      </c>
      <c r="AS539" t="s">
        <v>599</v>
      </c>
      <c r="AT539" t="s">
        <v>599</v>
      </c>
      <c r="AU539" t="s">
        <v>599</v>
      </c>
    </row>
    <row r="540" spans="1:47" ht="30" x14ac:dyDescent="0.25">
      <c r="A540" s="2">
        <v>11306</v>
      </c>
      <c r="B540" s="10">
        <v>259033</v>
      </c>
      <c r="C540" s="10">
        <v>2</v>
      </c>
      <c r="D540" s="9">
        <v>102</v>
      </c>
      <c r="E540" s="11" t="s">
        <v>427</v>
      </c>
      <c r="F540" s="11" t="str">
        <f t="shared" si="24"/>
        <v>https://purl.pt/23636</v>
      </c>
      <c r="G540" s="12" t="s">
        <v>428</v>
      </c>
      <c r="H540" s="9" t="s">
        <v>429</v>
      </c>
      <c r="I540" s="34"/>
      <c r="J540" s="55" t="str">
        <f t="shared" si="25"/>
        <v>https://permalinkbnd.bnportugal.gov.pt/viewer/14639/?offset=#page=102&amp;viewer=picture&amp;o=info&amp;n=0&amp;q=</v>
      </c>
      <c r="K540" s="45"/>
      <c r="L540" s="45"/>
      <c r="M540" s="45"/>
      <c r="N540" t="s">
        <v>427</v>
      </c>
      <c r="O540">
        <v>14639</v>
      </c>
      <c r="P540" t="str">
        <f t="shared" si="26"/>
        <v>https://permalinkbnd.bnportugal.gov.pt/viewer/14639/?offset=#page=102&amp;viewer=picture&amp;o=info&amp;n=0&amp;q=</v>
      </c>
      <c r="Q540">
        <v>259033</v>
      </c>
      <c r="R540" t="s">
        <v>427</v>
      </c>
      <c r="S540" t="s">
        <v>2936</v>
      </c>
      <c r="T540" t="s">
        <v>1178</v>
      </c>
      <c r="U540" t="s">
        <v>1362</v>
      </c>
      <c r="V540" t="s">
        <v>1192</v>
      </c>
      <c r="W540" t="s">
        <v>2937</v>
      </c>
      <c r="X540" t="s">
        <v>2938</v>
      </c>
      <c r="Y540" t="s">
        <v>599</v>
      </c>
      <c r="Z540" t="s">
        <v>1182</v>
      </c>
      <c r="AA540" t="s">
        <v>2939</v>
      </c>
      <c r="AB540">
        <v>1735</v>
      </c>
      <c r="AC540">
        <v>1735</v>
      </c>
      <c r="AD540" t="s">
        <v>2940</v>
      </c>
      <c r="AE540" t="s">
        <v>1185</v>
      </c>
      <c r="AF540" t="s">
        <v>599</v>
      </c>
      <c r="AG540" t="s">
        <v>599</v>
      </c>
      <c r="AH540" t="s">
        <v>2941</v>
      </c>
      <c r="AI540" t="s">
        <v>599</v>
      </c>
      <c r="AJ540" t="s">
        <v>599</v>
      </c>
      <c r="AK540" t="s">
        <v>2942</v>
      </c>
      <c r="AL540" t="s">
        <v>599</v>
      </c>
      <c r="AM540" t="s">
        <v>2943</v>
      </c>
      <c r="AN540" t="s">
        <v>1190</v>
      </c>
      <c r="AO540" t="s">
        <v>599</v>
      </c>
      <c r="AP540" t="s">
        <v>599</v>
      </c>
      <c r="AQ540" t="s">
        <v>2944</v>
      </c>
      <c r="AR540" t="s">
        <v>599</v>
      </c>
      <c r="AS540" t="s">
        <v>599</v>
      </c>
      <c r="AT540" t="s">
        <v>599</v>
      </c>
      <c r="AU540" t="s">
        <v>599</v>
      </c>
    </row>
    <row r="541" spans="1:47" ht="30" x14ac:dyDescent="0.25">
      <c r="A541" s="2">
        <v>11307</v>
      </c>
      <c r="B541" s="10">
        <v>259033</v>
      </c>
      <c r="C541" s="10">
        <v>2</v>
      </c>
      <c r="D541" s="9">
        <v>202</v>
      </c>
      <c r="E541" s="11" t="s">
        <v>427</v>
      </c>
      <c r="F541" s="11" t="str">
        <f t="shared" si="24"/>
        <v>https://purl.pt/23636</v>
      </c>
      <c r="G541" s="12" t="s">
        <v>428</v>
      </c>
      <c r="H541" s="9" t="s">
        <v>429</v>
      </c>
      <c r="I541" s="34"/>
      <c r="J541" s="55" t="str">
        <f t="shared" si="25"/>
        <v>https://permalinkbnd.bnportugal.gov.pt/viewer/14639/?offset=#page=202&amp;viewer=picture&amp;o=info&amp;n=0&amp;q=</v>
      </c>
      <c r="K541" s="45"/>
      <c r="L541" s="45"/>
      <c r="M541" s="45"/>
      <c r="N541" t="s">
        <v>427</v>
      </c>
      <c r="O541">
        <v>14639</v>
      </c>
      <c r="P541" t="str">
        <f t="shared" si="26"/>
        <v>https://permalinkbnd.bnportugal.gov.pt/viewer/14639/?offset=#page=202&amp;viewer=picture&amp;o=info&amp;n=0&amp;q=</v>
      </c>
      <c r="Q541">
        <v>259033</v>
      </c>
      <c r="R541" t="s">
        <v>427</v>
      </c>
      <c r="S541" t="s">
        <v>2936</v>
      </c>
      <c r="T541" t="s">
        <v>1178</v>
      </c>
      <c r="U541" t="s">
        <v>1362</v>
      </c>
      <c r="V541" t="s">
        <v>1192</v>
      </c>
      <c r="W541" t="s">
        <v>2937</v>
      </c>
      <c r="X541" t="s">
        <v>2938</v>
      </c>
      <c r="Y541" t="s">
        <v>599</v>
      </c>
      <c r="Z541" t="s">
        <v>1182</v>
      </c>
      <c r="AA541" t="s">
        <v>2939</v>
      </c>
      <c r="AB541">
        <v>1735</v>
      </c>
      <c r="AC541">
        <v>1735</v>
      </c>
      <c r="AD541" t="s">
        <v>2940</v>
      </c>
      <c r="AE541" t="s">
        <v>1185</v>
      </c>
      <c r="AF541" t="s">
        <v>599</v>
      </c>
      <c r="AG541" t="s">
        <v>599</v>
      </c>
      <c r="AH541" t="s">
        <v>2941</v>
      </c>
      <c r="AI541" t="s">
        <v>599</v>
      </c>
      <c r="AJ541" t="s">
        <v>599</v>
      </c>
      <c r="AK541" t="s">
        <v>2942</v>
      </c>
      <c r="AL541" t="s">
        <v>599</v>
      </c>
      <c r="AM541" t="s">
        <v>2943</v>
      </c>
      <c r="AN541" t="s">
        <v>1190</v>
      </c>
      <c r="AO541" t="s">
        <v>599</v>
      </c>
      <c r="AP541" t="s">
        <v>599</v>
      </c>
      <c r="AQ541" t="s">
        <v>2944</v>
      </c>
      <c r="AR541" t="s">
        <v>599</v>
      </c>
      <c r="AS541" t="s">
        <v>599</v>
      </c>
      <c r="AT541" t="s">
        <v>599</v>
      </c>
      <c r="AU541" t="s">
        <v>599</v>
      </c>
    </row>
    <row r="542" spans="1:47" ht="30" x14ac:dyDescent="0.25">
      <c r="A542" s="2">
        <v>11308</v>
      </c>
      <c r="B542" s="10">
        <v>259033</v>
      </c>
      <c r="C542" s="10">
        <v>2</v>
      </c>
      <c r="D542" s="9">
        <v>282</v>
      </c>
      <c r="E542" s="11" t="s">
        <v>427</v>
      </c>
      <c r="F542" s="11" t="str">
        <f t="shared" si="24"/>
        <v>https://purl.pt/23636</v>
      </c>
      <c r="G542" s="12" t="s">
        <v>428</v>
      </c>
      <c r="H542" s="9" t="s">
        <v>429</v>
      </c>
      <c r="I542" s="34"/>
      <c r="J542" s="55" t="str">
        <f t="shared" si="25"/>
        <v>https://permalinkbnd.bnportugal.gov.pt/viewer/14639/?offset=#page=282&amp;viewer=picture&amp;o=info&amp;n=0&amp;q=</v>
      </c>
      <c r="K542" s="45"/>
      <c r="L542" s="45"/>
      <c r="M542" s="45"/>
      <c r="N542" t="s">
        <v>427</v>
      </c>
      <c r="O542">
        <v>14639</v>
      </c>
      <c r="P542" t="str">
        <f t="shared" si="26"/>
        <v>https://permalinkbnd.bnportugal.gov.pt/viewer/14639/?offset=#page=282&amp;viewer=picture&amp;o=info&amp;n=0&amp;q=</v>
      </c>
      <c r="Q542">
        <v>259033</v>
      </c>
      <c r="R542" t="s">
        <v>427</v>
      </c>
      <c r="S542" t="s">
        <v>2936</v>
      </c>
      <c r="T542" t="s">
        <v>1178</v>
      </c>
      <c r="U542" t="s">
        <v>1362</v>
      </c>
      <c r="V542" t="s">
        <v>1192</v>
      </c>
      <c r="W542" t="s">
        <v>2937</v>
      </c>
      <c r="X542" t="s">
        <v>2938</v>
      </c>
      <c r="Y542" t="s">
        <v>599</v>
      </c>
      <c r="Z542" t="s">
        <v>1182</v>
      </c>
      <c r="AA542" t="s">
        <v>2939</v>
      </c>
      <c r="AB542">
        <v>1735</v>
      </c>
      <c r="AC542">
        <v>1735</v>
      </c>
      <c r="AD542" t="s">
        <v>2940</v>
      </c>
      <c r="AE542" t="s">
        <v>1185</v>
      </c>
      <c r="AF542" t="s">
        <v>599</v>
      </c>
      <c r="AG542" t="s">
        <v>599</v>
      </c>
      <c r="AH542" t="s">
        <v>2941</v>
      </c>
      <c r="AI542" t="s">
        <v>599</v>
      </c>
      <c r="AJ542" t="s">
        <v>599</v>
      </c>
      <c r="AK542" t="s">
        <v>2942</v>
      </c>
      <c r="AL542" t="s">
        <v>599</v>
      </c>
      <c r="AM542" t="s">
        <v>2943</v>
      </c>
      <c r="AN542" t="s">
        <v>1190</v>
      </c>
      <c r="AO542" t="s">
        <v>599</v>
      </c>
      <c r="AP542" t="s">
        <v>599</v>
      </c>
      <c r="AQ542" t="s">
        <v>2944</v>
      </c>
      <c r="AR542" t="s">
        <v>599</v>
      </c>
      <c r="AS542" t="s">
        <v>599</v>
      </c>
      <c r="AT542" t="s">
        <v>599</v>
      </c>
      <c r="AU542" t="s">
        <v>599</v>
      </c>
    </row>
    <row r="543" spans="1:47" ht="45" x14ac:dyDescent="0.25">
      <c r="A543" s="2">
        <v>11309</v>
      </c>
      <c r="B543" s="46">
        <v>259033</v>
      </c>
      <c r="C543" s="46">
        <v>3</v>
      </c>
      <c r="D543" s="47">
        <v>12</v>
      </c>
      <c r="E543" s="48" t="s">
        <v>427</v>
      </c>
      <c r="F543" s="48" t="str">
        <f t="shared" si="24"/>
        <v>https://purl.pt/23636</v>
      </c>
      <c r="G543" s="49" t="s">
        <v>428</v>
      </c>
      <c r="H543" s="47" t="s">
        <v>429</v>
      </c>
      <c r="I543" s="47" t="s">
        <v>1137</v>
      </c>
      <c r="J543" s="55" t="str">
        <f t="shared" si="25"/>
        <v>https://permalinkbnd.bnportugal.gov.pt/viewer/14639/?offset=#page=12&amp;viewer=picture&amp;o=info&amp;n=0&amp;q=</v>
      </c>
      <c r="K543" s="45"/>
      <c r="L543" s="45"/>
      <c r="M543" s="45"/>
      <c r="N543" t="s">
        <v>427</v>
      </c>
      <c r="O543">
        <v>14639</v>
      </c>
      <c r="P543" t="str">
        <f t="shared" si="26"/>
        <v>https://permalinkbnd.bnportugal.gov.pt/viewer/14639/?offset=#page=12&amp;viewer=picture&amp;o=info&amp;n=0&amp;q=</v>
      </c>
      <c r="Q543">
        <v>259033</v>
      </c>
      <c r="R543" t="s">
        <v>427</v>
      </c>
      <c r="S543" t="s">
        <v>2936</v>
      </c>
      <c r="T543" t="s">
        <v>1178</v>
      </c>
      <c r="U543" t="s">
        <v>1362</v>
      </c>
      <c r="V543" t="s">
        <v>1192</v>
      </c>
      <c r="W543" t="s">
        <v>2937</v>
      </c>
      <c r="X543" t="s">
        <v>2938</v>
      </c>
      <c r="Y543" t="s">
        <v>599</v>
      </c>
      <c r="Z543" t="s">
        <v>1182</v>
      </c>
      <c r="AA543" t="s">
        <v>2939</v>
      </c>
      <c r="AB543">
        <v>1735</v>
      </c>
      <c r="AC543">
        <v>1735</v>
      </c>
      <c r="AD543" t="s">
        <v>2940</v>
      </c>
      <c r="AE543" t="s">
        <v>1185</v>
      </c>
      <c r="AF543" t="s">
        <v>599</v>
      </c>
      <c r="AG543" t="s">
        <v>599</v>
      </c>
      <c r="AH543" t="s">
        <v>2941</v>
      </c>
      <c r="AI543" t="s">
        <v>599</v>
      </c>
      <c r="AJ543" t="s">
        <v>599</v>
      </c>
      <c r="AK543" t="s">
        <v>2942</v>
      </c>
      <c r="AL543" t="s">
        <v>599</v>
      </c>
      <c r="AM543" t="s">
        <v>2943</v>
      </c>
      <c r="AN543" t="s">
        <v>1190</v>
      </c>
      <c r="AO543" t="s">
        <v>599</v>
      </c>
      <c r="AP543" t="s">
        <v>599</v>
      </c>
      <c r="AQ543" t="s">
        <v>2944</v>
      </c>
      <c r="AR543" t="s">
        <v>599</v>
      </c>
      <c r="AS543" t="s">
        <v>599</v>
      </c>
      <c r="AT543" t="s">
        <v>599</v>
      </c>
      <c r="AU543" t="s">
        <v>599</v>
      </c>
    </row>
    <row r="544" spans="1:47" ht="30" x14ac:dyDescent="0.25">
      <c r="A544" s="2">
        <v>11310</v>
      </c>
      <c r="B544" s="10">
        <v>259033</v>
      </c>
      <c r="C544" s="10">
        <v>3</v>
      </c>
      <c r="D544" s="9">
        <v>98</v>
      </c>
      <c r="E544" s="11" t="s">
        <v>427</v>
      </c>
      <c r="F544" s="11" t="str">
        <f t="shared" si="24"/>
        <v>https://purl.pt/23636</v>
      </c>
      <c r="G544" s="12" t="s">
        <v>428</v>
      </c>
      <c r="H544" s="9" t="s">
        <v>429</v>
      </c>
      <c r="I544" s="34"/>
      <c r="J544" s="55" t="str">
        <f t="shared" si="25"/>
        <v>https://permalinkbnd.bnportugal.gov.pt/viewer/14639/?offset=#page=98&amp;viewer=picture&amp;o=info&amp;n=0&amp;q=</v>
      </c>
      <c r="K544" s="45"/>
      <c r="L544" s="45"/>
      <c r="M544" s="45"/>
      <c r="N544" t="s">
        <v>427</v>
      </c>
      <c r="O544">
        <v>14639</v>
      </c>
      <c r="P544" t="str">
        <f t="shared" si="26"/>
        <v>https://permalinkbnd.bnportugal.gov.pt/viewer/14639/?offset=#page=98&amp;viewer=picture&amp;o=info&amp;n=0&amp;q=</v>
      </c>
      <c r="Q544">
        <v>259033</v>
      </c>
      <c r="R544" t="s">
        <v>427</v>
      </c>
      <c r="S544" t="s">
        <v>2936</v>
      </c>
      <c r="T544" t="s">
        <v>1178</v>
      </c>
      <c r="U544" t="s">
        <v>1362</v>
      </c>
      <c r="V544" t="s">
        <v>1192</v>
      </c>
      <c r="W544" t="s">
        <v>2937</v>
      </c>
      <c r="X544" t="s">
        <v>2938</v>
      </c>
      <c r="Y544" t="s">
        <v>599</v>
      </c>
      <c r="Z544" t="s">
        <v>1182</v>
      </c>
      <c r="AA544" t="s">
        <v>2939</v>
      </c>
      <c r="AB544">
        <v>1735</v>
      </c>
      <c r="AC544">
        <v>1735</v>
      </c>
      <c r="AD544" t="s">
        <v>2940</v>
      </c>
      <c r="AE544" t="s">
        <v>1185</v>
      </c>
      <c r="AF544" t="s">
        <v>599</v>
      </c>
      <c r="AG544" t="s">
        <v>599</v>
      </c>
      <c r="AH544" t="s">
        <v>2941</v>
      </c>
      <c r="AI544" t="s">
        <v>599</v>
      </c>
      <c r="AJ544" t="s">
        <v>599</v>
      </c>
      <c r="AK544" t="s">
        <v>2942</v>
      </c>
      <c r="AL544" t="s">
        <v>599</v>
      </c>
      <c r="AM544" t="s">
        <v>2943</v>
      </c>
      <c r="AN544" t="s">
        <v>1190</v>
      </c>
      <c r="AO544" t="s">
        <v>599</v>
      </c>
      <c r="AP544" t="s">
        <v>599</v>
      </c>
      <c r="AQ544" t="s">
        <v>2944</v>
      </c>
      <c r="AR544" t="s">
        <v>599</v>
      </c>
      <c r="AS544" t="s">
        <v>599</v>
      </c>
      <c r="AT544" t="s">
        <v>599</v>
      </c>
      <c r="AU544" t="s">
        <v>599</v>
      </c>
    </row>
    <row r="545" spans="1:47" ht="30" x14ac:dyDescent="0.25">
      <c r="A545" s="2">
        <v>11311</v>
      </c>
      <c r="B545" s="10">
        <v>259033</v>
      </c>
      <c r="C545" s="10">
        <v>3</v>
      </c>
      <c r="D545" s="9">
        <v>176</v>
      </c>
      <c r="E545" s="11" t="s">
        <v>427</v>
      </c>
      <c r="F545" s="11" t="str">
        <f t="shared" si="24"/>
        <v>https://purl.pt/23636</v>
      </c>
      <c r="G545" s="12" t="s">
        <v>428</v>
      </c>
      <c r="H545" s="9" t="s">
        <v>429</v>
      </c>
      <c r="I545" s="34"/>
      <c r="J545" s="55" t="str">
        <f t="shared" si="25"/>
        <v>https://permalinkbnd.bnportugal.gov.pt/viewer/14639/?offset=#page=176&amp;viewer=picture&amp;o=info&amp;n=0&amp;q=</v>
      </c>
      <c r="K545" s="45"/>
      <c r="L545" s="45"/>
      <c r="M545" s="45"/>
      <c r="N545" t="s">
        <v>427</v>
      </c>
      <c r="O545">
        <v>14639</v>
      </c>
      <c r="P545" t="str">
        <f t="shared" si="26"/>
        <v>https://permalinkbnd.bnportugal.gov.pt/viewer/14639/?offset=#page=176&amp;viewer=picture&amp;o=info&amp;n=0&amp;q=</v>
      </c>
      <c r="Q545">
        <v>259033</v>
      </c>
      <c r="R545" t="s">
        <v>427</v>
      </c>
      <c r="S545" t="s">
        <v>2936</v>
      </c>
      <c r="T545" t="s">
        <v>1178</v>
      </c>
      <c r="U545" t="s">
        <v>1362</v>
      </c>
      <c r="V545" t="s">
        <v>1192</v>
      </c>
      <c r="W545" t="s">
        <v>2937</v>
      </c>
      <c r="X545" t="s">
        <v>2938</v>
      </c>
      <c r="Y545" t="s">
        <v>599</v>
      </c>
      <c r="Z545" t="s">
        <v>1182</v>
      </c>
      <c r="AA545" t="s">
        <v>2939</v>
      </c>
      <c r="AB545">
        <v>1735</v>
      </c>
      <c r="AC545">
        <v>1735</v>
      </c>
      <c r="AD545" t="s">
        <v>2940</v>
      </c>
      <c r="AE545" t="s">
        <v>1185</v>
      </c>
      <c r="AF545" t="s">
        <v>599</v>
      </c>
      <c r="AG545" t="s">
        <v>599</v>
      </c>
      <c r="AH545" t="s">
        <v>2941</v>
      </c>
      <c r="AI545" t="s">
        <v>599</v>
      </c>
      <c r="AJ545" t="s">
        <v>599</v>
      </c>
      <c r="AK545" t="s">
        <v>2942</v>
      </c>
      <c r="AL545" t="s">
        <v>599</v>
      </c>
      <c r="AM545" t="s">
        <v>2943</v>
      </c>
      <c r="AN545" t="s">
        <v>1190</v>
      </c>
      <c r="AO545" t="s">
        <v>599</v>
      </c>
      <c r="AP545" t="s">
        <v>599</v>
      </c>
      <c r="AQ545" t="s">
        <v>2944</v>
      </c>
      <c r="AR545" t="s">
        <v>599</v>
      </c>
      <c r="AS545" t="s">
        <v>599</v>
      </c>
      <c r="AT545" t="s">
        <v>599</v>
      </c>
      <c r="AU545" t="s">
        <v>599</v>
      </c>
    </row>
    <row r="546" spans="1:47" ht="30" x14ac:dyDescent="0.25">
      <c r="A546" s="2">
        <v>11318</v>
      </c>
      <c r="B546" s="10">
        <v>259828</v>
      </c>
      <c r="C546" s="10">
        <v>1</v>
      </c>
      <c r="D546" s="9">
        <v>9</v>
      </c>
      <c r="E546" s="11" t="s">
        <v>430</v>
      </c>
      <c r="F546" s="11" t="str">
        <f t="shared" si="24"/>
        <v>https://purl.pt/23649</v>
      </c>
      <c r="G546" s="12" t="s">
        <v>431</v>
      </c>
      <c r="H546" s="9" t="s">
        <v>431</v>
      </c>
      <c r="I546" s="34"/>
      <c r="J546" s="55" t="str">
        <f t="shared" si="25"/>
        <v>https://permalinkbnd.bnportugal.gov.pt/viewer/14621/?offset=#page=9&amp;viewer=picture&amp;o=info&amp;n=0&amp;q=</v>
      </c>
      <c r="K546" s="45"/>
      <c r="L546" s="45"/>
      <c r="M546" s="45"/>
      <c r="N546" t="s">
        <v>430</v>
      </c>
      <c r="O546">
        <v>14621</v>
      </c>
      <c r="P546" t="str">
        <f t="shared" si="26"/>
        <v>https://permalinkbnd.bnportugal.gov.pt/viewer/14621/?offset=#page=9&amp;viewer=picture&amp;o=info&amp;n=0&amp;q=</v>
      </c>
      <c r="Q546">
        <v>259828</v>
      </c>
      <c r="R546" t="s">
        <v>430</v>
      </c>
      <c r="S546" t="s">
        <v>2945</v>
      </c>
      <c r="T546" t="s">
        <v>1178</v>
      </c>
      <c r="U546" t="s">
        <v>2543</v>
      </c>
      <c r="V546" t="s">
        <v>1192</v>
      </c>
      <c r="W546" t="s">
        <v>2946</v>
      </c>
      <c r="X546" t="s">
        <v>2947</v>
      </c>
      <c r="Y546" t="s">
        <v>599</v>
      </c>
      <c r="Z546" t="s">
        <v>1182</v>
      </c>
      <c r="AA546" t="s">
        <v>2948</v>
      </c>
      <c r="AB546">
        <v>1777</v>
      </c>
      <c r="AC546">
        <v>1777</v>
      </c>
      <c r="AD546" t="s">
        <v>2949</v>
      </c>
      <c r="AE546" t="s">
        <v>1185</v>
      </c>
      <c r="AF546" t="s">
        <v>599</v>
      </c>
      <c r="AG546" t="s">
        <v>599</v>
      </c>
      <c r="AH546" t="s">
        <v>2950</v>
      </c>
      <c r="AI546" t="s">
        <v>599</v>
      </c>
      <c r="AJ546" t="s">
        <v>599</v>
      </c>
      <c r="AK546" t="s">
        <v>2951</v>
      </c>
      <c r="AL546" t="s">
        <v>599</v>
      </c>
      <c r="AM546" t="s">
        <v>2952</v>
      </c>
      <c r="AN546" t="s">
        <v>1190</v>
      </c>
      <c r="AO546" t="s">
        <v>599</v>
      </c>
      <c r="AP546" t="s">
        <v>599</v>
      </c>
      <c r="AQ546" t="s">
        <v>599</v>
      </c>
      <c r="AR546" t="s">
        <v>599</v>
      </c>
      <c r="AS546" t="s">
        <v>599</v>
      </c>
      <c r="AT546" t="s">
        <v>599</v>
      </c>
      <c r="AU546" t="s">
        <v>599</v>
      </c>
    </row>
    <row r="547" spans="1:47" ht="30" x14ac:dyDescent="0.25">
      <c r="A547" s="2">
        <v>11319</v>
      </c>
      <c r="B547" s="10">
        <v>259828</v>
      </c>
      <c r="C547" s="10">
        <v>1</v>
      </c>
      <c r="D547" s="9">
        <v>37</v>
      </c>
      <c r="E547" s="11" t="s">
        <v>430</v>
      </c>
      <c r="F547" s="11" t="str">
        <f t="shared" si="24"/>
        <v>https://purl.pt/23649</v>
      </c>
      <c r="G547" s="12" t="s">
        <v>431</v>
      </c>
      <c r="H547" s="9" t="s">
        <v>431</v>
      </c>
      <c r="I547" s="34"/>
      <c r="J547" s="55" t="str">
        <f t="shared" si="25"/>
        <v>https://permalinkbnd.bnportugal.gov.pt/viewer/14621/?offset=#page=37&amp;viewer=picture&amp;o=info&amp;n=0&amp;q=</v>
      </c>
      <c r="K547" s="45"/>
      <c r="L547" s="45"/>
      <c r="M547" s="45"/>
      <c r="N547" t="s">
        <v>430</v>
      </c>
      <c r="O547">
        <v>14621</v>
      </c>
      <c r="P547" t="str">
        <f t="shared" si="26"/>
        <v>https://permalinkbnd.bnportugal.gov.pt/viewer/14621/?offset=#page=37&amp;viewer=picture&amp;o=info&amp;n=0&amp;q=</v>
      </c>
      <c r="Q547">
        <v>259828</v>
      </c>
      <c r="R547" t="s">
        <v>430</v>
      </c>
      <c r="S547" t="s">
        <v>2945</v>
      </c>
      <c r="T547" t="s">
        <v>1178</v>
      </c>
      <c r="U547" t="s">
        <v>2543</v>
      </c>
      <c r="V547" t="s">
        <v>1192</v>
      </c>
      <c r="W547" t="s">
        <v>2946</v>
      </c>
      <c r="X547" t="s">
        <v>2947</v>
      </c>
      <c r="Y547" t="s">
        <v>599</v>
      </c>
      <c r="Z547" t="s">
        <v>1182</v>
      </c>
      <c r="AA547" t="s">
        <v>2948</v>
      </c>
      <c r="AB547">
        <v>1777</v>
      </c>
      <c r="AC547">
        <v>1777</v>
      </c>
      <c r="AD547" t="s">
        <v>2949</v>
      </c>
      <c r="AE547" t="s">
        <v>1185</v>
      </c>
      <c r="AF547" t="s">
        <v>599</v>
      </c>
      <c r="AG547" t="s">
        <v>599</v>
      </c>
      <c r="AH547" t="s">
        <v>2950</v>
      </c>
      <c r="AI547" t="s">
        <v>599</v>
      </c>
      <c r="AJ547" t="s">
        <v>599</v>
      </c>
      <c r="AK547" t="s">
        <v>2951</v>
      </c>
      <c r="AL547" t="s">
        <v>599</v>
      </c>
      <c r="AM547" t="s">
        <v>2952</v>
      </c>
      <c r="AN547" t="s">
        <v>1190</v>
      </c>
      <c r="AO547" t="s">
        <v>599</v>
      </c>
      <c r="AP547" t="s">
        <v>599</v>
      </c>
      <c r="AQ547" t="s">
        <v>599</v>
      </c>
      <c r="AR547" t="s">
        <v>599</v>
      </c>
      <c r="AS547" t="s">
        <v>599</v>
      </c>
      <c r="AT547" t="s">
        <v>599</v>
      </c>
      <c r="AU547" t="s">
        <v>599</v>
      </c>
    </row>
    <row r="548" spans="1:47" ht="30" x14ac:dyDescent="0.25">
      <c r="A548" s="2">
        <v>11320</v>
      </c>
      <c r="B548" s="10">
        <v>259828</v>
      </c>
      <c r="C548" s="10">
        <v>1</v>
      </c>
      <c r="D548" s="9">
        <v>75</v>
      </c>
      <c r="E548" s="11" t="s">
        <v>430</v>
      </c>
      <c r="F548" s="11" t="str">
        <f t="shared" si="24"/>
        <v>https://purl.pt/23649</v>
      </c>
      <c r="G548" s="12" t="s">
        <v>431</v>
      </c>
      <c r="H548" s="9" t="s">
        <v>431</v>
      </c>
      <c r="I548" s="34"/>
      <c r="J548" s="55" t="str">
        <f t="shared" si="25"/>
        <v>https://permalinkbnd.bnportugal.gov.pt/viewer/14621/?offset=#page=75&amp;viewer=picture&amp;o=info&amp;n=0&amp;q=</v>
      </c>
      <c r="K548" s="45"/>
      <c r="L548" s="45"/>
      <c r="M548" s="45"/>
      <c r="N548" t="s">
        <v>430</v>
      </c>
      <c r="O548">
        <v>14621</v>
      </c>
      <c r="P548" t="str">
        <f t="shared" si="26"/>
        <v>https://permalinkbnd.bnportugal.gov.pt/viewer/14621/?offset=#page=75&amp;viewer=picture&amp;o=info&amp;n=0&amp;q=</v>
      </c>
      <c r="Q548">
        <v>259828</v>
      </c>
      <c r="R548" t="s">
        <v>430</v>
      </c>
      <c r="S548" t="s">
        <v>2945</v>
      </c>
      <c r="T548" t="s">
        <v>1178</v>
      </c>
      <c r="U548" t="s">
        <v>2543</v>
      </c>
      <c r="V548" t="s">
        <v>1192</v>
      </c>
      <c r="W548" t="s">
        <v>2946</v>
      </c>
      <c r="X548" t="s">
        <v>2947</v>
      </c>
      <c r="Y548" t="s">
        <v>599</v>
      </c>
      <c r="Z548" t="s">
        <v>1182</v>
      </c>
      <c r="AA548" t="s">
        <v>2948</v>
      </c>
      <c r="AB548">
        <v>1777</v>
      </c>
      <c r="AC548">
        <v>1777</v>
      </c>
      <c r="AD548" t="s">
        <v>2949</v>
      </c>
      <c r="AE548" t="s">
        <v>1185</v>
      </c>
      <c r="AF548" t="s">
        <v>599</v>
      </c>
      <c r="AG548" t="s">
        <v>599</v>
      </c>
      <c r="AH548" t="s">
        <v>2950</v>
      </c>
      <c r="AI548" t="s">
        <v>599</v>
      </c>
      <c r="AJ548" t="s">
        <v>599</v>
      </c>
      <c r="AK548" t="s">
        <v>2951</v>
      </c>
      <c r="AL548" t="s">
        <v>599</v>
      </c>
      <c r="AM548" t="s">
        <v>2952</v>
      </c>
      <c r="AN548" t="s">
        <v>1190</v>
      </c>
      <c r="AO548" t="s">
        <v>599</v>
      </c>
      <c r="AP548" t="s">
        <v>599</v>
      </c>
      <c r="AQ548" t="s">
        <v>599</v>
      </c>
      <c r="AR548" t="s">
        <v>599</v>
      </c>
      <c r="AS548" t="s">
        <v>599</v>
      </c>
      <c r="AT548" t="s">
        <v>599</v>
      </c>
      <c r="AU548" t="s">
        <v>599</v>
      </c>
    </row>
    <row r="549" spans="1:47" ht="30" x14ac:dyDescent="0.25">
      <c r="A549" s="2">
        <v>11321</v>
      </c>
      <c r="B549" s="10">
        <v>259828</v>
      </c>
      <c r="C549" s="10">
        <v>1</v>
      </c>
      <c r="D549" s="9">
        <v>115</v>
      </c>
      <c r="E549" s="11" t="s">
        <v>430</v>
      </c>
      <c r="F549" s="11" t="str">
        <f t="shared" si="24"/>
        <v>https://purl.pt/23649</v>
      </c>
      <c r="G549" s="12" t="s">
        <v>431</v>
      </c>
      <c r="H549" s="9" t="s">
        <v>431</v>
      </c>
      <c r="I549" s="34"/>
      <c r="J549" s="55" t="str">
        <f t="shared" si="25"/>
        <v>https://permalinkbnd.bnportugal.gov.pt/viewer/14621/?offset=#page=115&amp;viewer=picture&amp;o=info&amp;n=0&amp;q=</v>
      </c>
      <c r="K549" s="45"/>
      <c r="L549" s="45"/>
      <c r="M549" s="45"/>
      <c r="N549" t="s">
        <v>430</v>
      </c>
      <c r="O549">
        <v>14621</v>
      </c>
      <c r="P549" t="str">
        <f t="shared" si="26"/>
        <v>https://permalinkbnd.bnportugal.gov.pt/viewer/14621/?offset=#page=115&amp;viewer=picture&amp;o=info&amp;n=0&amp;q=</v>
      </c>
      <c r="Q549">
        <v>259828</v>
      </c>
      <c r="R549" t="s">
        <v>430</v>
      </c>
      <c r="S549" t="s">
        <v>2945</v>
      </c>
      <c r="T549" t="s">
        <v>1178</v>
      </c>
      <c r="U549" t="s">
        <v>2543</v>
      </c>
      <c r="V549" t="s">
        <v>1192</v>
      </c>
      <c r="W549" t="s">
        <v>2946</v>
      </c>
      <c r="X549" t="s">
        <v>2947</v>
      </c>
      <c r="Y549" t="s">
        <v>599</v>
      </c>
      <c r="Z549" t="s">
        <v>1182</v>
      </c>
      <c r="AA549" t="s">
        <v>2948</v>
      </c>
      <c r="AB549">
        <v>1777</v>
      </c>
      <c r="AC549">
        <v>1777</v>
      </c>
      <c r="AD549" t="s">
        <v>2949</v>
      </c>
      <c r="AE549" t="s">
        <v>1185</v>
      </c>
      <c r="AF549" t="s">
        <v>599</v>
      </c>
      <c r="AG549" t="s">
        <v>599</v>
      </c>
      <c r="AH549" t="s">
        <v>2950</v>
      </c>
      <c r="AI549" t="s">
        <v>599</v>
      </c>
      <c r="AJ549" t="s">
        <v>599</v>
      </c>
      <c r="AK549" t="s">
        <v>2951</v>
      </c>
      <c r="AL549" t="s">
        <v>599</v>
      </c>
      <c r="AM549" t="s">
        <v>2952</v>
      </c>
      <c r="AN549" t="s">
        <v>1190</v>
      </c>
      <c r="AO549" t="s">
        <v>599</v>
      </c>
      <c r="AP549" t="s">
        <v>599</v>
      </c>
      <c r="AQ549" t="s">
        <v>599</v>
      </c>
      <c r="AR549" t="s">
        <v>599</v>
      </c>
      <c r="AS549" t="s">
        <v>599</v>
      </c>
      <c r="AT549" t="s">
        <v>599</v>
      </c>
      <c r="AU549" t="s">
        <v>599</v>
      </c>
    </row>
    <row r="550" spans="1:47" ht="30" x14ac:dyDescent="0.25">
      <c r="A550" s="2">
        <v>11322</v>
      </c>
      <c r="B550" s="10">
        <v>259828</v>
      </c>
      <c r="C550" s="10">
        <v>1</v>
      </c>
      <c r="D550" s="9">
        <v>171</v>
      </c>
      <c r="E550" s="11" t="s">
        <v>430</v>
      </c>
      <c r="F550" s="11" t="str">
        <f t="shared" si="24"/>
        <v>https://purl.pt/23649</v>
      </c>
      <c r="G550" s="12" t="s">
        <v>431</v>
      </c>
      <c r="H550" s="9" t="s">
        <v>431</v>
      </c>
      <c r="I550" s="34"/>
      <c r="J550" s="55" t="str">
        <f t="shared" si="25"/>
        <v>https://permalinkbnd.bnportugal.gov.pt/viewer/14621/?offset=#page=171&amp;viewer=picture&amp;o=info&amp;n=0&amp;q=</v>
      </c>
      <c r="K550" s="45"/>
      <c r="L550" s="45"/>
      <c r="M550" s="45"/>
      <c r="N550" t="s">
        <v>430</v>
      </c>
      <c r="O550">
        <v>14621</v>
      </c>
      <c r="P550" t="str">
        <f t="shared" si="26"/>
        <v>https://permalinkbnd.bnportugal.gov.pt/viewer/14621/?offset=#page=171&amp;viewer=picture&amp;o=info&amp;n=0&amp;q=</v>
      </c>
      <c r="Q550">
        <v>259828</v>
      </c>
      <c r="R550" t="s">
        <v>430</v>
      </c>
      <c r="S550" t="s">
        <v>2945</v>
      </c>
      <c r="T550" t="s">
        <v>1178</v>
      </c>
      <c r="U550" t="s">
        <v>2543</v>
      </c>
      <c r="V550" t="s">
        <v>1192</v>
      </c>
      <c r="W550" t="s">
        <v>2946</v>
      </c>
      <c r="X550" t="s">
        <v>2947</v>
      </c>
      <c r="Y550" t="s">
        <v>599</v>
      </c>
      <c r="Z550" t="s">
        <v>1182</v>
      </c>
      <c r="AA550" t="s">
        <v>2948</v>
      </c>
      <c r="AB550">
        <v>1777</v>
      </c>
      <c r="AC550">
        <v>1777</v>
      </c>
      <c r="AD550" t="s">
        <v>2949</v>
      </c>
      <c r="AE550" t="s">
        <v>1185</v>
      </c>
      <c r="AF550" t="s">
        <v>599</v>
      </c>
      <c r="AG550" t="s">
        <v>599</v>
      </c>
      <c r="AH550" t="s">
        <v>2950</v>
      </c>
      <c r="AI550" t="s">
        <v>599</v>
      </c>
      <c r="AJ550" t="s">
        <v>599</v>
      </c>
      <c r="AK550" t="s">
        <v>2951</v>
      </c>
      <c r="AL550" t="s">
        <v>599</v>
      </c>
      <c r="AM550" t="s">
        <v>2952</v>
      </c>
      <c r="AN550" t="s">
        <v>1190</v>
      </c>
      <c r="AO550" t="s">
        <v>599</v>
      </c>
      <c r="AP550" t="s">
        <v>599</v>
      </c>
      <c r="AQ550" t="s">
        <v>599</v>
      </c>
      <c r="AR550" t="s">
        <v>599</v>
      </c>
      <c r="AS550" t="s">
        <v>599</v>
      </c>
      <c r="AT550" t="s">
        <v>599</v>
      </c>
      <c r="AU550" t="s">
        <v>599</v>
      </c>
    </row>
    <row r="551" spans="1:47" ht="30" x14ac:dyDescent="0.25">
      <c r="A551" s="2">
        <v>11323</v>
      </c>
      <c r="B551" s="10">
        <v>259828</v>
      </c>
      <c r="C551" s="10">
        <v>1</v>
      </c>
      <c r="D551" s="9">
        <v>211</v>
      </c>
      <c r="E551" s="11" t="s">
        <v>430</v>
      </c>
      <c r="F551" s="11" t="str">
        <f t="shared" si="24"/>
        <v>https://purl.pt/23649</v>
      </c>
      <c r="G551" s="12" t="s">
        <v>431</v>
      </c>
      <c r="H551" s="9" t="s">
        <v>431</v>
      </c>
      <c r="I551" s="34"/>
      <c r="J551" s="55" t="str">
        <f t="shared" si="25"/>
        <v>https://permalinkbnd.bnportugal.gov.pt/viewer/14621/?offset=#page=211&amp;viewer=picture&amp;o=info&amp;n=0&amp;q=</v>
      </c>
      <c r="K551" s="45"/>
      <c r="L551" s="45"/>
      <c r="M551" s="45"/>
      <c r="N551" t="s">
        <v>430</v>
      </c>
      <c r="O551">
        <v>14621</v>
      </c>
      <c r="P551" t="str">
        <f t="shared" si="26"/>
        <v>https://permalinkbnd.bnportugal.gov.pt/viewer/14621/?offset=#page=211&amp;viewer=picture&amp;o=info&amp;n=0&amp;q=</v>
      </c>
      <c r="Q551">
        <v>259828</v>
      </c>
      <c r="R551" t="s">
        <v>430</v>
      </c>
      <c r="S551" t="s">
        <v>2945</v>
      </c>
      <c r="T551" t="s">
        <v>1178</v>
      </c>
      <c r="U551" t="s">
        <v>2543</v>
      </c>
      <c r="V551" t="s">
        <v>1192</v>
      </c>
      <c r="W551" t="s">
        <v>2946</v>
      </c>
      <c r="X551" t="s">
        <v>2947</v>
      </c>
      <c r="Y551" t="s">
        <v>599</v>
      </c>
      <c r="Z551" t="s">
        <v>1182</v>
      </c>
      <c r="AA551" t="s">
        <v>2948</v>
      </c>
      <c r="AB551">
        <v>1777</v>
      </c>
      <c r="AC551">
        <v>1777</v>
      </c>
      <c r="AD551" t="s">
        <v>2949</v>
      </c>
      <c r="AE551" t="s">
        <v>1185</v>
      </c>
      <c r="AF551" t="s">
        <v>599</v>
      </c>
      <c r="AG551" t="s">
        <v>599</v>
      </c>
      <c r="AH551" t="s">
        <v>2950</v>
      </c>
      <c r="AI551" t="s">
        <v>599</v>
      </c>
      <c r="AJ551" t="s">
        <v>599</v>
      </c>
      <c r="AK551" t="s">
        <v>2951</v>
      </c>
      <c r="AL551" t="s">
        <v>599</v>
      </c>
      <c r="AM551" t="s">
        <v>2952</v>
      </c>
      <c r="AN551" t="s">
        <v>1190</v>
      </c>
      <c r="AO551" t="s">
        <v>599</v>
      </c>
      <c r="AP551" t="s">
        <v>599</v>
      </c>
      <c r="AQ551" t="s">
        <v>599</v>
      </c>
      <c r="AR551" t="s">
        <v>599</v>
      </c>
      <c r="AS551" t="s">
        <v>599</v>
      </c>
      <c r="AT551" t="s">
        <v>599</v>
      </c>
      <c r="AU551" t="s">
        <v>599</v>
      </c>
    </row>
    <row r="552" spans="1:47" ht="30" x14ac:dyDescent="0.25">
      <c r="A552" s="2">
        <v>11324</v>
      </c>
      <c r="B552" s="10">
        <v>259828</v>
      </c>
      <c r="C552" s="10">
        <v>1</v>
      </c>
      <c r="D552" s="9">
        <v>259</v>
      </c>
      <c r="E552" s="11" t="s">
        <v>430</v>
      </c>
      <c r="F552" s="11" t="str">
        <f t="shared" si="24"/>
        <v>https://purl.pt/23649</v>
      </c>
      <c r="G552" s="12" t="s">
        <v>431</v>
      </c>
      <c r="H552" s="9" t="s">
        <v>431</v>
      </c>
      <c r="I552" s="34"/>
      <c r="J552" s="55" t="str">
        <f t="shared" si="25"/>
        <v>https://permalinkbnd.bnportugal.gov.pt/viewer/14621/?offset=#page=259&amp;viewer=picture&amp;o=info&amp;n=0&amp;q=</v>
      </c>
      <c r="K552" s="45"/>
      <c r="L552" s="45"/>
      <c r="M552" s="45"/>
      <c r="N552" t="s">
        <v>430</v>
      </c>
      <c r="O552">
        <v>14621</v>
      </c>
      <c r="P552" t="str">
        <f t="shared" si="26"/>
        <v>https://permalinkbnd.bnportugal.gov.pt/viewer/14621/?offset=#page=259&amp;viewer=picture&amp;o=info&amp;n=0&amp;q=</v>
      </c>
      <c r="Q552">
        <v>259828</v>
      </c>
      <c r="R552" t="s">
        <v>430</v>
      </c>
      <c r="S552" t="s">
        <v>2945</v>
      </c>
      <c r="T552" t="s">
        <v>1178</v>
      </c>
      <c r="U552" t="s">
        <v>2543</v>
      </c>
      <c r="V552" t="s">
        <v>1192</v>
      </c>
      <c r="W552" t="s">
        <v>2946</v>
      </c>
      <c r="X552" t="s">
        <v>2947</v>
      </c>
      <c r="Y552" t="s">
        <v>599</v>
      </c>
      <c r="Z552" t="s">
        <v>1182</v>
      </c>
      <c r="AA552" t="s">
        <v>2948</v>
      </c>
      <c r="AB552">
        <v>1777</v>
      </c>
      <c r="AC552">
        <v>1777</v>
      </c>
      <c r="AD552" t="s">
        <v>2949</v>
      </c>
      <c r="AE552" t="s">
        <v>1185</v>
      </c>
      <c r="AF552" t="s">
        <v>599</v>
      </c>
      <c r="AG552" t="s">
        <v>599</v>
      </c>
      <c r="AH552" t="s">
        <v>2950</v>
      </c>
      <c r="AI552" t="s">
        <v>599</v>
      </c>
      <c r="AJ552" t="s">
        <v>599</v>
      </c>
      <c r="AK552" t="s">
        <v>2951</v>
      </c>
      <c r="AL552" t="s">
        <v>599</v>
      </c>
      <c r="AM552" t="s">
        <v>2952</v>
      </c>
      <c r="AN552" t="s">
        <v>1190</v>
      </c>
      <c r="AO552" t="s">
        <v>599</v>
      </c>
      <c r="AP552" t="s">
        <v>599</v>
      </c>
      <c r="AQ552" t="s">
        <v>599</v>
      </c>
      <c r="AR552" t="s">
        <v>599</v>
      </c>
      <c r="AS552" t="s">
        <v>599</v>
      </c>
      <c r="AT552" t="s">
        <v>599</v>
      </c>
      <c r="AU552" t="s">
        <v>599</v>
      </c>
    </row>
    <row r="553" spans="1:47" ht="30" x14ac:dyDescent="0.25">
      <c r="A553" s="2">
        <v>11325</v>
      </c>
      <c r="B553" s="10">
        <v>259828</v>
      </c>
      <c r="C553" s="10">
        <v>1</v>
      </c>
      <c r="D553" s="9">
        <v>293</v>
      </c>
      <c r="E553" s="11" t="s">
        <v>430</v>
      </c>
      <c r="F553" s="11" t="str">
        <f t="shared" si="24"/>
        <v>https://purl.pt/23649</v>
      </c>
      <c r="G553" s="12" t="s">
        <v>431</v>
      </c>
      <c r="H553" s="9" t="s">
        <v>431</v>
      </c>
      <c r="I553" s="34"/>
      <c r="J553" s="55" t="str">
        <f t="shared" si="25"/>
        <v>https://permalinkbnd.bnportugal.gov.pt/viewer/14621/?offset=#page=293&amp;viewer=picture&amp;o=info&amp;n=0&amp;q=</v>
      </c>
      <c r="K553" s="45"/>
      <c r="L553" s="45"/>
      <c r="M553" s="45"/>
      <c r="N553" t="s">
        <v>430</v>
      </c>
      <c r="O553">
        <v>14621</v>
      </c>
      <c r="P553" t="str">
        <f t="shared" si="26"/>
        <v>https://permalinkbnd.bnportugal.gov.pt/viewer/14621/?offset=#page=293&amp;viewer=picture&amp;o=info&amp;n=0&amp;q=</v>
      </c>
      <c r="Q553">
        <v>259828</v>
      </c>
      <c r="R553" t="s">
        <v>430</v>
      </c>
      <c r="S553" t="s">
        <v>2945</v>
      </c>
      <c r="T553" t="s">
        <v>1178</v>
      </c>
      <c r="U553" t="s">
        <v>2543</v>
      </c>
      <c r="V553" t="s">
        <v>1192</v>
      </c>
      <c r="W553" t="s">
        <v>2946</v>
      </c>
      <c r="X553" t="s">
        <v>2947</v>
      </c>
      <c r="Y553" t="s">
        <v>599</v>
      </c>
      <c r="Z553" t="s">
        <v>1182</v>
      </c>
      <c r="AA553" t="s">
        <v>2948</v>
      </c>
      <c r="AB553">
        <v>1777</v>
      </c>
      <c r="AC553">
        <v>1777</v>
      </c>
      <c r="AD553" t="s">
        <v>2949</v>
      </c>
      <c r="AE553" t="s">
        <v>1185</v>
      </c>
      <c r="AF553" t="s">
        <v>599</v>
      </c>
      <c r="AG553" t="s">
        <v>599</v>
      </c>
      <c r="AH553" t="s">
        <v>2950</v>
      </c>
      <c r="AI553" t="s">
        <v>599</v>
      </c>
      <c r="AJ553" t="s">
        <v>599</v>
      </c>
      <c r="AK553" t="s">
        <v>2951</v>
      </c>
      <c r="AL553" t="s">
        <v>599</v>
      </c>
      <c r="AM553" t="s">
        <v>2952</v>
      </c>
      <c r="AN553" t="s">
        <v>1190</v>
      </c>
      <c r="AO553" t="s">
        <v>599</v>
      </c>
      <c r="AP553" t="s">
        <v>599</v>
      </c>
      <c r="AQ553" t="s">
        <v>599</v>
      </c>
      <c r="AR553" t="s">
        <v>599</v>
      </c>
      <c r="AS553" t="s">
        <v>599</v>
      </c>
      <c r="AT553" t="s">
        <v>599</v>
      </c>
      <c r="AU553" t="s">
        <v>599</v>
      </c>
    </row>
    <row r="554" spans="1:47" ht="30" x14ac:dyDescent="0.25">
      <c r="A554" s="2">
        <v>11326</v>
      </c>
      <c r="B554" s="10">
        <v>259828</v>
      </c>
      <c r="C554" s="10">
        <v>1</v>
      </c>
      <c r="D554" s="9">
        <v>325</v>
      </c>
      <c r="E554" s="11" t="s">
        <v>430</v>
      </c>
      <c r="F554" s="11" t="str">
        <f t="shared" si="24"/>
        <v>https://purl.pt/23649</v>
      </c>
      <c r="G554" s="12" t="s">
        <v>431</v>
      </c>
      <c r="H554" s="9" t="s">
        <v>431</v>
      </c>
      <c r="I554" s="34"/>
      <c r="J554" s="55" t="str">
        <f t="shared" si="25"/>
        <v>https://permalinkbnd.bnportugal.gov.pt/viewer/14621/?offset=#page=325&amp;viewer=picture&amp;o=info&amp;n=0&amp;q=</v>
      </c>
      <c r="K554" s="45"/>
      <c r="L554" s="45"/>
      <c r="M554" s="45"/>
      <c r="N554" t="s">
        <v>430</v>
      </c>
      <c r="O554">
        <v>14621</v>
      </c>
      <c r="P554" t="str">
        <f t="shared" si="26"/>
        <v>https://permalinkbnd.bnportugal.gov.pt/viewer/14621/?offset=#page=325&amp;viewer=picture&amp;o=info&amp;n=0&amp;q=</v>
      </c>
      <c r="Q554">
        <v>259828</v>
      </c>
      <c r="R554" t="s">
        <v>430</v>
      </c>
      <c r="S554" t="s">
        <v>2945</v>
      </c>
      <c r="T554" t="s">
        <v>1178</v>
      </c>
      <c r="U554" t="s">
        <v>2543</v>
      </c>
      <c r="V554" t="s">
        <v>1192</v>
      </c>
      <c r="W554" t="s">
        <v>2946</v>
      </c>
      <c r="X554" t="s">
        <v>2947</v>
      </c>
      <c r="Y554" t="s">
        <v>599</v>
      </c>
      <c r="Z554" t="s">
        <v>1182</v>
      </c>
      <c r="AA554" t="s">
        <v>2948</v>
      </c>
      <c r="AB554">
        <v>1777</v>
      </c>
      <c r="AC554">
        <v>1777</v>
      </c>
      <c r="AD554" t="s">
        <v>2949</v>
      </c>
      <c r="AE554" t="s">
        <v>1185</v>
      </c>
      <c r="AF554" t="s">
        <v>599</v>
      </c>
      <c r="AG554" t="s">
        <v>599</v>
      </c>
      <c r="AH554" t="s">
        <v>2950</v>
      </c>
      <c r="AI554" t="s">
        <v>599</v>
      </c>
      <c r="AJ554" t="s">
        <v>599</v>
      </c>
      <c r="AK554" t="s">
        <v>2951</v>
      </c>
      <c r="AL554" t="s">
        <v>599</v>
      </c>
      <c r="AM554" t="s">
        <v>2952</v>
      </c>
      <c r="AN554" t="s">
        <v>1190</v>
      </c>
      <c r="AO554" t="s">
        <v>599</v>
      </c>
      <c r="AP554" t="s">
        <v>599</v>
      </c>
      <c r="AQ554" t="s">
        <v>599</v>
      </c>
      <c r="AR554" t="s">
        <v>599</v>
      </c>
      <c r="AS554" t="s">
        <v>599</v>
      </c>
      <c r="AT554" t="s">
        <v>599</v>
      </c>
      <c r="AU554" t="s">
        <v>599</v>
      </c>
    </row>
    <row r="555" spans="1:47" ht="30" x14ac:dyDescent="0.25">
      <c r="A555" s="2">
        <v>11327</v>
      </c>
      <c r="B555" s="10">
        <v>259828</v>
      </c>
      <c r="C555" s="10">
        <v>1</v>
      </c>
      <c r="D555" s="9">
        <v>365</v>
      </c>
      <c r="E555" s="11" t="s">
        <v>430</v>
      </c>
      <c r="F555" s="11" t="str">
        <f t="shared" si="24"/>
        <v>https://purl.pt/23649</v>
      </c>
      <c r="G555" s="12" t="s">
        <v>431</v>
      </c>
      <c r="H555" s="9" t="s">
        <v>431</v>
      </c>
      <c r="I555" s="34"/>
      <c r="J555" s="55" t="str">
        <f t="shared" si="25"/>
        <v>https://permalinkbnd.bnportugal.gov.pt/viewer/14621/?offset=#page=365&amp;viewer=picture&amp;o=info&amp;n=0&amp;q=</v>
      </c>
      <c r="K555" s="45"/>
      <c r="L555" s="45"/>
      <c r="M555" s="45"/>
      <c r="N555" t="s">
        <v>430</v>
      </c>
      <c r="O555">
        <v>14621</v>
      </c>
      <c r="P555" t="str">
        <f t="shared" si="26"/>
        <v>https://permalinkbnd.bnportugal.gov.pt/viewer/14621/?offset=#page=365&amp;viewer=picture&amp;o=info&amp;n=0&amp;q=</v>
      </c>
      <c r="Q555">
        <v>259828</v>
      </c>
      <c r="R555" t="s">
        <v>430</v>
      </c>
      <c r="S555" t="s">
        <v>2945</v>
      </c>
      <c r="T555" t="s">
        <v>1178</v>
      </c>
      <c r="U555" t="s">
        <v>2543</v>
      </c>
      <c r="V555" t="s">
        <v>1192</v>
      </c>
      <c r="W555" t="s">
        <v>2946</v>
      </c>
      <c r="X555" t="s">
        <v>2947</v>
      </c>
      <c r="Y555" t="s">
        <v>599</v>
      </c>
      <c r="Z555" t="s">
        <v>1182</v>
      </c>
      <c r="AA555" t="s">
        <v>2948</v>
      </c>
      <c r="AB555">
        <v>1777</v>
      </c>
      <c r="AC555">
        <v>1777</v>
      </c>
      <c r="AD555" t="s">
        <v>2949</v>
      </c>
      <c r="AE555" t="s">
        <v>1185</v>
      </c>
      <c r="AF555" t="s">
        <v>599</v>
      </c>
      <c r="AG555" t="s">
        <v>599</v>
      </c>
      <c r="AH555" t="s">
        <v>2950</v>
      </c>
      <c r="AI555" t="s">
        <v>599</v>
      </c>
      <c r="AJ555" t="s">
        <v>599</v>
      </c>
      <c r="AK555" t="s">
        <v>2951</v>
      </c>
      <c r="AL555" t="s">
        <v>599</v>
      </c>
      <c r="AM555" t="s">
        <v>2952</v>
      </c>
      <c r="AN555" t="s">
        <v>1190</v>
      </c>
      <c r="AO555" t="s">
        <v>599</v>
      </c>
      <c r="AP555" t="s">
        <v>599</v>
      </c>
      <c r="AQ555" t="s">
        <v>599</v>
      </c>
      <c r="AR555" t="s">
        <v>599</v>
      </c>
      <c r="AS555" t="s">
        <v>599</v>
      </c>
      <c r="AT555" t="s">
        <v>599</v>
      </c>
      <c r="AU555" t="s">
        <v>599</v>
      </c>
    </row>
    <row r="556" spans="1:47" ht="30" x14ac:dyDescent="0.25">
      <c r="A556" s="2">
        <v>11328</v>
      </c>
      <c r="B556" s="10">
        <v>259828</v>
      </c>
      <c r="C556" s="10">
        <v>1</v>
      </c>
      <c r="D556" s="9">
        <v>401</v>
      </c>
      <c r="E556" s="11" t="s">
        <v>430</v>
      </c>
      <c r="F556" s="11" t="str">
        <f t="shared" si="24"/>
        <v>https://purl.pt/23649</v>
      </c>
      <c r="G556" s="12" t="s">
        <v>431</v>
      </c>
      <c r="H556" s="9" t="s">
        <v>431</v>
      </c>
      <c r="I556" s="34"/>
      <c r="J556" s="55" t="str">
        <f t="shared" si="25"/>
        <v>https://permalinkbnd.bnportugal.gov.pt/viewer/14621/?offset=#page=401&amp;viewer=picture&amp;o=info&amp;n=0&amp;q=</v>
      </c>
      <c r="K556" s="45"/>
      <c r="L556" s="45"/>
      <c r="M556" s="45"/>
      <c r="N556" t="s">
        <v>430</v>
      </c>
      <c r="O556">
        <v>14621</v>
      </c>
      <c r="P556" t="str">
        <f t="shared" si="26"/>
        <v>https://permalinkbnd.bnportugal.gov.pt/viewer/14621/?offset=#page=401&amp;viewer=picture&amp;o=info&amp;n=0&amp;q=</v>
      </c>
      <c r="Q556">
        <v>259828</v>
      </c>
      <c r="R556" t="s">
        <v>430</v>
      </c>
      <c r="S556" t="s">
        <v>2945</v>
      </c>
      <c r="T556" t="s">
        <v>1178</v>
      </c>
      <c r="U556" t="s">
        <v>2543</v>
      </c>
      <c r="V556" t="s">
        <v>1192</v>
      </c>
      <c r="W556" t="s">
        <v>2946</v>
      </c>
      <c r="X556" t="s">
        <v>2947</v>
      </c>
      <c r="Y556" t="s">
        <v>599</v>
      </c>
      <c r="Z556" t="s">
        <v>1182</v>
      </c>
      <c r="AA556" t="s">
        <v>2948</v>
      </c>
      <c r="AB556">
        <v>1777</v>
      </c>
      <c r="AC556">
        <v>1777</v>
      </c>
      <c r="AD556" t="s">
        <v>2949</v>
      </c>
      <c r="AE556" t="s">
        <v>1185</v>
      </c>
      <c r="AF556" t="s">
        <v>599</v>
      </c>
      <c r="AG556" t="s">
        <v>599</v>
      </c>
      <c r="AH556" t="s">
        <v>2950</v>
      </c>
      <c r="AI556" t="s">
        <v>599</v>
      </c>
      <c r="AJ556" t="s">
        <v>599</v>
      </c>
      <c r="AK556" t="s">
        <v>2951</v>
      </c>
      <c r="AL556" t="s">
        <v>599</v>
      </c>
      <c r="AM556" t="s">
        <v>2952</v>
      </c>
      <c r="AN556" t="s">
        <v>1190</v>
      </c>
      <c r="AO556" t="s">
        <v>599</v>
      </c>
      <c r="AP556" t="s">
        <v>599</v>
      </c>
      <c r="AQ556" t="s">
        <v>599</v>
      </c>
      <c r="AR556" t="s">
        <v>599</v>
      </c>
      <c r="AS556" t="s">
        <v>599</v>
      </c>
      <c r="AT556" t="s">
        <v>599</v>
      </c>
      <c r="AU556" t="s">
        <v>599</v>
      </c>
    </row>
    <row r="557" spans="1:47" ht="30" x14ac:dyDescent="0.25">
      <c r="A557" s="2">
        <v>11364</v>
      </c>
      <c r="B557" s="10">
        <v>303898</v>
      </c>
      <c r="C557" s="10">
        <v>1</v>
      </c>
      <c r="D557" s="9">
        <v>10</v>
      </c>
      <c r="E557" s="11" t="s">
        <v>432</v>
      </c>
      <c r="F557" s="11" t="str">
        <f t="shared" si="24"/>
        <v>https://purl.pt/19852</v>
      </c>
      <c r="G557" s="12" t="s">
        <v>178</v>
      </c>
      <c r="H557" s="9">
        <v>10</v>
      </c>
      <c r="I557" s="34"/>
      <c r="J557" s="55" t="str">
        <f t="shared" si="25"/>
        <v>https://permalinkbnd.bnportugal.gov.pt/viewer/14573/?offset=#page=10&amp;viewer=picture&amp;o=info&amp;n=0&amp;q=</v>
      </c>
      <c r="K557" s="45"/>
      <c r="L557" s="45"/>
      <c r="M557" s="45"/>
      <c r="N557" t="s">
        <v>432</v>
      </c>
      <c r="O557">
        <v>14573</v>
      </c>
      <c r="P557" t="str">
        <f t="shared" si="26"/>
        <v>https://permalinkbnd.bnportugal.gov.pt/viewer/14573/?offset=#page=10&amp;viewer=picture&amp;o=info&amp;n=0&amp;q=</v>
      </c>
      <c r="Q557">
        <v>303898</v>
      </c>
      <c r="R557" t="s">
        <v>432</v>
      </c>
      <c r="S557" t="s">
        <v>2953</v>
      </c>
      <c r="T557" t="s">
        <v>1178</v>
      </c>
      <c r="U557" t="s">
        <v>1502</v>
      </c>
      <c r="V557" t="s">
        <v>1192</v>
      </c>
      <c r="W557" t="s">
        <v>1742</v>
      </c>
      <c r="X557" t="s">
        <v>599</v>
      </c>
      <c r="Y557" t="s">
        <v>599</v>
      </c>
      <c r="Z557" t="s">
        <v>1182</v>
      </c>
      <c r="AA557" t="s">
        <v>2680</v>
      </c>
      <c r="AB557">
        <v>1803</v>
      </c>
      <c r="AC557">
        <v>1803</v>
      </c>
      <c r="AD557" t="s">
        <v>2954</v>
      </c>
      <c r="AE557" t="s">
        <v>1185</v>
      </c>
      <c r="AF557" t="s">
        <v>599</v>
      </c>
      <c r="AG557" t="s">
        <v>599</v>
      </c>
      <c r="AH557" t="s">
        <v>2955</v>
      </c>
      <c r="AI557" t="s">
        <v>599</v>
      </c>
      <c r="AJ557" t="s">
        <v>599</v>
      </c>
      <c r="AK557" t="s">
        <v>2956</v>
      </c>
      <c r="AL557" t="s">
        <v>1702</v>
      </c>
      <c r="AM557" t="s">
        <v>2957</v>
      </c>
      <c r="AN557" t="s">
        <v>1190</v>
      </c>
      <c r="AO557" t="s">
        <v>599</v>
      </c>
      <c r="AP557" t="s">
        <v>599</v>
      </c>
      <c r="AQ557" t="s">
        <v>599</v>
      </c>
      <c r="AR557" t="s">
        <v>599</v>
      </c>
      <c r="AS557" t="s">
        <v>599</v>
      </c>
      <c r="AT557" t="s">
        <v>599</v>
      </c>
      <c r="AU557" t="s">
        <v>599</v>
      </c>
    </row>
    <row r="558" spans="1:47" ht="30" x14ac:dyDescent="0.25">
      <c r="A558" s="2">
        <v>11368</v>
      </c>
      <c r="B558" s="10">
        <v>323612</v>
      </c>
      <c r="C558" s="10">
        <v>1</v>
      </c>
      <c r="D558" s="9">
        <v>19</v>
      </c>
      <c r="E558" s="11" t="s">
        <v>433</v>
      </c>
      <c r="F558" s="11" t="str">
        <f t="shared" si="24"/>
        <v>https://purl.pt/14997</v>
      </c>
      <c r="G558" s="12">
        <v>19</v>
      </c>
      <c r="H558" s="9">
        <v>19</v>
      </c>
      <c r="I558" s="34"/>
      <c r="J558" s="55" t="str">
        <f t="shared" si="25"/>
        <v>https://permalinkbnd.bnportugal.gov.pt/viewer/14605/?offset=#page=19&amp;viewer=picture&amp;o=info&amp;n=0&amp;q=</v>
      </c>
      <c r="K558" s="45"/>
      <c r="L558" s="45"/>
      <c r="M558" s="45"/>
      <c r="N558" t="s">
        <v>433</v>
      </c>
      <c r="O558">
        <v>14605</v>
      </c>
      <c r="P558" t="str">
        <f t="shared" si="26"/>
        <v>https://permalinkbnd.bnportugal.gov.pt/viewer/14605/?offset=#page=19&amp;viewer=picture&amp;o=info&amp;n=0&amp;q=</v>
      </c>
      <c r="Q558">
        <v>323612</v>
      </c>
      <c r="R558" t="s">
        <v>433</v>
      </c>
      <c r="S558" t="s">
        <v>2958</v>
      </c>
      <c r="T558" t="s">
        <v>1178</v>
      </c>
      <c r="U558" t="s">
        <v>1192</v>
      </c>
      <c r="V558" t="s">
        <v>599</v>
      </c>
      <c r="W558" t="s">
        <v>1551</v>
      </c>
      <c r="X558" t="s">
        <v>599</v>
      </c>
      <c r="Y558" t="s">
        <v>599</v>
      </c>
      <c r="Z558" t="s">
        <v>1182</v>
      </c>
      <c r="AA558" t="s">
        <v>2959</v>
      </c>
      <c r="AB558">
        <v>1572</v>
      </c>
      <c r="AC558">
        <v>1572</v>
      </c>
      <c r="AD558" t="s">
        <v>1712</v>
      </c>
      <c r="AE558" t="s">
        <v>1185</v>
      </c>
      <c r="AF558" t="s">
        <v>599</v>
      </c>
      <c r="AG558" t="s">
        <v>599</v>
      </c>
      <c r="AH558" t="s">
        <v>2960</v>
      </c>
      <c r="AI558" t="s">
        <v>599</v>
      </c>
      <c r="AJ558" t="s">
        <v>599</v>
      </c>
      <c r="AK558" t="s">
        <v>2961</v>
      </c>
      <c r="AL558" t="s">
        <v>599</v>
      </c>
      <c r="AM558" t="s">
        <v>2962</v>
      </c>
      <c r="AN558" t="s">
        <v>1190</v>
      </c>
      <c r="AO558" t="s">
        <v>599</v>
      </c>
      <c r="AP558" t="s">
        <v>599</v>
      </c>
      <c r="AQ558" t="s">
        <v>599</v>
      </c>
      <c r="AR558" t="s">
        <v>599</v>
      </c>
      <c r="AS558" t="s">
        <v>599</v>
      </c>
      <c r="AT558" t="s">
        <v>599</v>
      </c>
      <c r="AU558" t="s">
        <v>599</v>
      </c>
    </row>
    <row r="559" spans="1:47" ht="30" x14ac:dyDescent="0.25">
      <c r="A559" s="2">
        <v>11369</v>
      </c>
      <c r="B559" s="10">
        <v>323613</v>
      </c>
      <c r="C559" s="10">
        <v>1</v>
      </c>
      <c r="D559" s="9">
        <v>7</v>
      </c>
      <c r="E559" s="11" t="s">
        <v>434</v>
      </c>
      <c r="F559" s="11" t="str">
        <f t="shared" si="24"/>
        <v>https://purl.pt/1</v>
      </c>
      <c r="G559" s="12">
        <v>7</v>
      </c>
      <c r="H559" s="9">
        <v>7</v>
      </c>
      <c r="I559" s="34"/>
      <c r="J559" s="55" t="str">
        <f t="shared" si="25"/>
        <v>https://permalinkbnd.bnportugal.gov.pt/viewer/14632/?offset=#page=7&amp;viewer=picture&amp;o=info&amp;n=0&amp;q=</v>
      </c>
      <c r="K559" s="45"/>
      <c r="L559" s="45"/>
      <c r="M559" s="45"/>
      <c r="N559" t="s">
        <v>434</v>
      </c>
      <c r="O559">
        <v>14632</v>
      </c>
      <c r="P559" t="str">
        <f t="shared" si="26"/>
        <v>https://permalinkbnd.bnportugal.gov.pt/viewer/14632/?offset=#page=7&amp;viewer=picture&amp;o=info&amp;n=0&amp;q=</v>
      </c>
      <c r="Q559">
        <v>323613</v>
      </c>
      <c r="R559" t="s">
        <v>434</v>
      </c>
      <c r="S559" t="s">
        <v>2963</v>
      </c>
      <c r="T559" t="s">
        <v>1178</v>
      </c>
      <c r="U559" t="s">
        <v>1192</v>
      </c>
      <c r="V559" t="s">
        <v>599</v>
      </c>
      <c r="W559" t="s">
        <v>1551</v>
      </c>
      <c r="X559" t="s">
        <v>599</v>
      </c>
      <c r="Y559" t="s">
        <v>599</v>
      </c>
      <c r="Z559" t="s">
        <v>1182</v>
      </c>
      <c r="AA559" t="s">
        <v>2964</v>
      </c>
      <c r="AB559">
        <v>1572</v>
      </c>
      <c r="AC559">
        <v>1572</v>
      </c>
      <c r="AD559" t="s">
        <v>1712</v>
      </c>
      <c r="AE559" t="s">
        <v>1185</v>
      </c>
      <c r="AF559" t="s">
        <v>599</v>
      </c>
      <c r="AG559" t="s">
        <v>599</v>
      </c>
      <c r="AH559" t="s">
        <v>2965</v>
      </c>
      <c r="AI559" t="s">
        <v>599</v>
      </c>
      <c r="AJ559" t="s">
        <v>599</v>
      </c>
      <c r="AK559" t="s">
        <v>2966</v>
      </c>
      <c r="AL559" t="s">
        <v>2967</v>
      </c>
      <c r="AM559" t="s">
        <v>2968</v>
      </c>
      <c r="AN559" t="s">
        <v>1190</v>
      </c>
      <c r="AO559" t="s">
        <v>599</v>
      </c>
      <c r="AP559" t="s">
        <v>599</v>
      </c>
      <c r="AQ559" t="s">
        <v>599</v>
      </c>
      <c r="AR559" t="s">
        <v>599</v>
      </c>
      <c r="AS559" t="s">
        <v>599</v>
      </c>
      <c r="AT559" t="s">
        <v>599</v>
      </c>
      <c r="AU559" t="s">
        <v>599</v>
      </c>
    </row>
    <row r="560" spans="1:47" ht="30" x14ac:dyDescent="0.25">
      <c r="A560" s="2">
        <v>11370</v>
      </c>
      <c r="B560" s="10">
        <v>323614</v>
      </c>
      <c r="C560" s="10">
        <v>1</v>
      </c>
      <c r="D560" s="9">
        <v>23</v>
      </c>
      <c r="E560" s="11" t="s">
        <v>435</v>
      </c>
      <c r="F560" s="11" t="str">
        <f t="shared" si="24"/>
        <v>https://purl.pt/17473</v>
      </c>
      <c r="G560" s="12" t="s">
        <v>436</v>
      </c>
      <c r="H560" s="9" t="s">
        <v>436</v>
      </c>
      <c r="I560" s="34"/>
      <c r="J560" s="55" t="str">
        <f t="shared" si="25"/>
        <v>https://permalinkbnd.bnportugal.gov.pt/viewer/14680/?offset=#page=23&amp;viewer=picture&amp;o=info&amp;n=0&amp;q=</v>
      </c>
      <c r="K560" s="45"/>
      <c r="L560" s="45"/>
      <c r="M560" s="45"/>
      <c r="N560" t="s">
        <v>435</v>
      </c>
      <c r="O560">
        <v>14680</v>
      </c>
      <c r="P560" t="str">
        <f t="shared" si="26"/>
        <v>https://permalinkbnd.bnportugal.gov.pt/viewer/14680/?offset=#page=23&amp;viewer=picture&amp;o=info&amp;n=0&amp;q=</v>
      </c>
      <c r="Q560">
        <v>323614</v>
      </c>
      <c r="R560" t="s">
        <v>435</v>
      </c>
      <c r="S560" t="s">
        <v>2969</v>
      </c>
      <c r="T560" t="s">
        <v>1178</v>
      </c>
      <c r="U560" t="s">
        <v>1192</v>
      </c>
      <c r="V560" t="s">
        <v>599</v>
      </c>
      <c r="W560" t="s">
        <v>1551</v>
      </c>
      <c r="X560" t="s">
        <v>599</v>
      </c>
      <c r="Y560" t="s">
        <v>599</v>
      </c>
      <c r="Z560" t="s">
        <v>2970</v>
      </c>
      <c r="AA560" t="s">
        <v>2971</v>
      </c>
      <c r="AB560">
        <v>1584</v>
      </c>
      <c r="AC560">
        <v>1584</v>
      </c>
      <c r="AD560" t="s">
        <v>2972</v>
      </c>
      <c r="AE560" t="s">
        <v>1185</v>
      </c>
      <c r="AF560" t="s">
        <v>599</v>
      </c>
      <c r="AG560" t="s">
        <v>599</v>
      </c>
      <c r="AH560" t="s">
        <v>2973</v>
      </c>
      <c r="AI560" t="s">
        <v>599</v>
      </c>
      <c r="AJ560" t="s">
        <v>2974</v>
      </c>
      <c r="AK560" t="s">
        <v>2975</v>
      </c>
      <c r="AL560" t="s">
        <v>2976</v>
      </c>
      <c r="AM560" t="s">
        <v>2977</v>
      </c>
      <c r="AN560" t="s">
        <v>1190</v>
      </c>
      <c r="AO560" t="s">
        <v>599</v>
      </c>
      <c r="AP560" t="s">
        <v>599</v>
      </c>
      <c r="AQ560" t="s">
        <v>599</v>
      </c>
      <c r="AR560" t="s">
        <v>599</v>
      </c>
      <c r="AS560" t="s">
        <v>599</v>
      </c>
      <c r="AT560" t="s">
        <v>599</v>
      </c>
      <c r="AU560" t="s">
        <v>599</v>
      </c>
    </row>
    <row r="561" spans="1:47" ht="30" x14ac:dyDescent="0.25">
      <c r="A561" s="2">
        <v>11371</v>
      </c>
      <c r="B561" s="10">
        <v>323614</v>
      </c>
      <c r="C561" s="10">
        <v>1</v>
      </c>
      <c r="D561" s="9">
        <v>45</v>
      </c>
      <c r="E561" s="11" t="s">
        <v>435</v>
      </c>
      <c r="F561" s="11" t="str">
        <f t="shared" si="24"/>
        <v>https://purl.pt/17473</v>
      </c>
      <c r="G561" s="12" t="s">
        <v>436</v>
      </c>
      <c r="H561" s="9" t="s">
        <v>436</v>
      </c>
      <c r="I561" s="34"/>
      <c r="J561" s="55" t="str">
        <f t="shared" si="25"/>
        <v>https://permalinkbnd.bnportugal.gov.pt/viewer/14680/?offset=#page=45&amp;viewer=picture&amp;o=info&amp;n=0&amp;q=</v>
      </c>
      <c r="K561" s="45"/>
      <c r="L561" s="45"/>
      <c r="M561" s="45"/>
      <c r="N561" t="s">
        <v>435</v>
      </c>
      <c r="O561">
        <v>14680</v>
      </c>
      <c r="P561" t="str">
        <f t="shared" si="26"/>
        <v>https://permalinkbnd.bnportugal.gov.pt/viewer/14680/?offset=#page=45&amp;viewer=picture&amp;o=info&amp;n=0&amp;q=</v>
      </c>
      <c r="Q561">
        <v>323614</v>
      </c>
      <c r="R561" t="s">
        <v>435</v>
      </c>
      <c r="S561" t="s">
        <v>2969</v>
      </c>
      <c r="T561" t="s">
        <v>1178</v>
      </c>
      <c r="U561" t="s">
        <v>1192</v>
      </c>
      <c r="V561" t="s">
        <v>599</v>
      </c>
      <c r="W561" t="s">
        <v>1551</v>
      </c>
      <c r="X561" t="s">
        <v>599</v>
      </c>
      <c r="Y561" t="s">
        <v>599</v>
      </c>
      <c r="Z561" t="s">
        <v>2970</v>
      </c>
      <c r="AA561" t="s">
        <v>2971</v>
      </c>
      <c r="AB561">
        <v>1584</v>
      </c>
      <c r="AC561">
        <v>1584</v>
      </c>
      <c r="AD561" t="s">
        <v>2972</v>
      </c>
      <c r="AE561" t="s">
        <v>1185</v>
      </c>
      <c r="AF561" t="s">
        <v>599</v>
      </c>
      <c r="AG561" t="s">
        <v>599</v>
      </c>
      <c r="AH561" t="s">
        <v>2973</v>
      </c>
      <c r="AI561" t="s">
        <v>599</v>
      </c>
      <c r="AJ561" t="s">
        <v>2974</v>
      </c>
      <c r="AK561" t="s">
        <v>2975</v>
      </c>
      <c r="AL561" t="s">
        <v>2976</v>
      </c>
      <c r="AM561" t="s">
        <v>2977</v>
      </c>
      <c r="AN561" t="s">
        <v>1190</v>
      </c>
      <c r="AO561" t="s">
        <v>599</v>
      </c>
      <c r="AP561" t="s">
        <v>599</v>
      </c>
      <c r="AQ561" t="s">
        <v>599</v>
      </c>
      <c r="AR561" t="s">
        <v>599</v>
      </c>
      <c r="AS561" t="s">
        <v>599</v>
      </c>
      <c r="AT561" t="s">
        <v>599</v>
      </c>
      <c r="AU561" t="s">
        <v>599</v>
      </c>
    </row>
    <row r="562" spans="1:47" ht="30" x14ac:dyDescent="0.25">
      <c r="A562" s="2">
        <v>11372</v>
      </c>
      <c r="B562" s="10">
        <v>323615</v>
      </c>
      <c r="C562" s="10">
        <v>1</v>
      </c>
      <c r="D562" s="9">
        <v>9</v>
      </c>
      <c r="E562" s="11" t="s">
        <v>437</v>
      </c>
      <c r="F562" s="11" t="str">
        <f t="shared" si="24"/>
        <v>https://purl.pt/14689</v>
      </c>
      <c r="G562" s="12">
        <v>9</v>
      </c>
      <c r="H562" s="9">
        <v>9</v>
      </c>
      <c r="I562" s="34"/>
      <c r="J562" s="55" t="str">
        <f t="shared" si="25"/>
        <v>https://permalinkbnd.bnportugal.gov.pt/viewer/14556/?offset=#page=9&amp;viewer=picture&amp;o=info&amp;n=0&amp;q=</v>
      </c>
      <c r="K562" s="45"/>
      <c r="L562" s="45"/>
      <c r="M562" s="45"/>
      <c r="N562" t="s">
        <v>437</v>
      </c>
      <c r="O562">
        <v>14556</v>
      </c>
      <c r="P562" t="str">
        <f t="shared" si="26"/>
        <v>https://permalinkbnd.bnportugal.gov.pt/viewer/14556/?offset=#page=9&amp;viewer=picture&amp;o=info&amp;n=0&amp;q=</v>
      </c>
      <c r="Q562">
        <v>323615</v>
      </c>
      <c r="R562" t="s">
        <v>437</v>
      </c>
      <c r="S562" t="s">
        <v>2978</v>
      </c>
      <c r="T562" t="s">
        <v>1178</v>
      </c>
      <c r="U562" t="s">
        <v>1192</v>
      </c>
      <c r="V562" t="s">
        <v>599</v>
      </c>
      <c r="W562" t="s">
        <v>1551</v>
      </c>
      <c r="X562" t="s">
        <v>599</v>
      </c>
      <c r="Y562" t="s">
        <v>599</v>
      </c>
      <c r="Z562" t="s">
        <v>2979</v>
      </c>
      <c r="AA562" t="s">
        <v>2980</v>
      </c>
      <c r="AB562">
        <v>1591</v>
      </c>
      <c r="AC562">
        <v>1591</v>
      </c>
      <c r="AD562" t="s">
        <v>2981</v>
      </c>
      <c r="AE562" t="s">
        <v>1185</v>
      </c>
      <c r="AF562" t="s">
        <v>599</v>
      </c>
      <c r="AG562" t="s">
        <v>599</v>
      </c>
      <c r="AH562" t="s">
        <v>2982</v>
      </c>
      <c r="AI562" t="s">
        <v>599</v>
      </c>
      <c r="AJ562" t="s">
        <v>599</v>
      </c>
      <c r="AK562" t="s">
        <v>2983</v>
      </c>
      <c r="AL562" t="s">
        <v>2984</v>
      </c>
      <c r="AM562" t="s">
        <v>2985</v>
      </c>
      <c r="AN562" t="s">
        <v>1190</v>
      </c>
      <c r="AO562" t="s">
        <v>599</v>
      </c>
      <c r="AP562" t="s">
        <v>599</v>
      </c>
      <c r="AQ562" t="s">
        <v>599</v>
      </c>
      <c r="AR562" t="s">
        <v>599</v>
      </c>
      <c r="AS562" t="s">
        <v>599</v>
      </c>
      <c r="AT562" t="s">
        <v>599</v>
      </c>
      <c r="AU562" t="s">
        <v>599</v>
      </c>
    </row>
    <row r="563" spans="1:47" ht="30" x14ac:dyDescent="0.25">
      <c r="A563" s="2">
        <v>11373</v>
      </c>
      <c r="B563" s="10">
        <v>323616</v>
      </c>
      <c r="C563" s="10">
        <v>1</v>
      </c>
      <c r="D563" s="9">
        <v>5</v>
      </c>
      <c r="E563" s="11" t="s">
        <v>438</v>
      </c>
      <c r="F563" s="11" t="str">
        <f t="shared" si="24"/>
        <v>https://purl.pt/14773</v>
      </c>
      <c r="G563" s="12">
        <v>5</v>
      </c>
      <c r="H563" s="9">
        <v>5</v>
      </c>
      <c r="I563" s="34"/>
      <c r="J563" s="55" t="str">
        <f t="shared" si="25"/>
        <v>https://permalinkbnd.bnportugal.gov.pt/viewer/14578/?offset=#page=5&amp;viewer=picture&amp;o=info&amp;n=0&amp;q=</v>
      </c>
      <c r="K563" s="45"/>
      <c r="L563" s="45"/>
      <c r="M563" s="45"/>
      <c r="N563" t="s">
        <v>438</v>
      </c>
      <c r="O563">
        <v>14578</v>
      </c>
      <c r="P563" t="str">
        <f t="shared" si="26"/>
        <v>https://permalinkbnd.bnportugal.gov.pt/viewer/14578/?offset=#page=5&amp;viewer=picture&amp;o=info&amp;n=0&amp;q=</v>
      </c>
      <c r="Q563">
        <v>323616</v>
      </c>
      <c r="R563" t="s">
        <v>438</v>
      </c>
      <c r="S563" t="s">
        <v>2986</v>
      </c>
      <c r="T563" t="s">
        <v>1178</v>
      </c>
      <c r="U563" t="s">
        <v>1192</v>
      </c>
      <c r="V563" t="s">
        <v>599</v>
      </c>
      <c r="W563" t="s">
        <v>1551</v>
      </c>
      <c r="X563" t="s">
        <v>599</v>
      </c>
      <c r="Y563" t="s">
        <v>599</v>
      </c>
      <c r="Z563" t="s">
        <v>2987</v>
      </c>
      <c r="AA563" t="s">
        <v>2988</v>
      </c>
      <c r="AB563">
        <v>1597</v>
      </c>
      <c r="AC563">
        <v>1597</v>
      </c>
      <c r="AD563" t="s">
        <v>1712</v>
      </c>
      <c r="AE563" t="s">
        <v>1185</v>
      </c>
      <c r="AF563" t="s">
        <v>599</v>
      </c>
      <c r="AG563" t="s">
        <v>599</v>
      </c>
      <c r="AH563" t="s">
        <v>2989</v>
      </c>
      <c r="AI563" t="s">
        <v>599</v>
      </c>
      <c r="AJ563" t="s">
        <v>599</v>
      </c>
      <c r="AK563" t="s">
        <v>2990</v>
      </c>
      <c r="AL563" t="s">
        <v>2984</v>
      </c>
      <c r="AM563" t="s">
        <v>2991</v>
      </c>
      <c r="AN563" t="s">
        <v>1190</v>
      </c>
      <c r="AO563" t="s">
        <v>599</v>
      </c>
      <c r="AP563" t="s">
        <v>599</v>
      </c>
      <c r="AQ563" t="s">
        <v>599</v>
      </c>
      <c r="AR563" t="s">
        <v>599</v>
      </c>
      <c r="AS563" t="s">
        <v>599</v>
      </c>
      <c r="AT563" t="s">
        <v>599</v>
      </c>
      <c r="AU563" t="s">
        <v>599</v>
      </c>
    </row>
    <row r="564" spans="1:47" ht="30" x14ac:dyDescent="0.25">
      <c r="A564" s="2">
        <v>11374</v>
      </c>
      <c r="B564" s="10">
        <v>323617</v>
      </c>
      <c r="C564" s="10">
        <v>1</v>
      </c>
      <c r="D564" s="9">
        <v>9</v>
      </c>
      <c r="E564" s="11" t="s">
        <v>439</v>
      </c>
      <c r="F564" s="11" t="str">
        <f t="shared" si="24"/>
        <v>https://purl.pt/14880</v>
      </c>
      <c r="G564" s="12">
        <v>9</v>
      </c>
      <c r="H564" s="9">
        <v>9</v>
      </c>
      <c r="I564" s="34"/>
      <c r="J564" s="55" t="str">
        <f t="shared" si="25"/>
        <v>https://permalinkbnd.bnportugal.gov.pt/viewer/14576/?offset=#page=9&amp;viewer=picture&amp;o=info&amp;n=0&amp;q=</v>
      </c>
      <c r="K564" s="45"/>
      <c r="L564" s="45"/>
      <c r="M564" s="45"/>
      <c r="N564" t="s">
        <v>439</v>
      </c>
      <c r="O564">
        <v>14576</v>
      </c>
      <c r="P564" t="str">
        <f t="shared" si="26"/>
        <v>https://permalinkbnd.bnportugal.gov.pt/viewer/14576/?offset=#page=9&amp;viewer=picture&amp;o=info&amp;n=0&amp;q=</v>
      </c>
      <c r="Q564">
        <v>323617</v>
      </c>
      <c r="R564" t="s">
        <v>439</v>
      </c>
      <c r="S564" t="s">
        <v>2992</v>
      </c>
      <c r="T564" t="s">
        <v>1178</v>
      </c>
      <c r="U564" t="s">
        <v>1192</v>
      </c>
      <c r="V564" t="s">
        <v>599</v>
      </c>
      <c r="W564" t="s">
        <v>2993</v>
      </c>
      <c r="X564" t="s">
        <v>599</v>
      </c>
      <c r="Y564" t="s">
        <v>599</v>
      </c>
      <c r="Z564" t="s">
        <v>1182</v>
      </c>
      <c r="AA564" t="s">
        <v>2994</v>
      </c>
      <c r="AB564">
        <v>1595</v>
      </c>
      <c r="AC564">
        <v>1595</v>
      </c>
      <c r="AD564" t="s">
        <v>2995</v>
      </c>
      <c r="AE564" t="s">
        <v>1185</v>
      </c>
      <c r="AF564" t="s">
        <v>599</v>
      </c>
      <c r="AG564" t="s">
        <v>599</v>
      </c>
      <c r="AH564" t="s">
        <v>2996</v>
      </c>
      <c r="AI564" t="s">
        <v>599</v>
      </c>
      <c r="AJ564" t="s">
        <v>599</v>
      </c>
      <c r="AK564" t="s">
        <v>2997</v>
      </c>
      <c r="AL564" t="s">
        <v>2984</v>
      </c>
      <c r="AM564" t="s">
        <v>2998</v>
      </c>
      <c r="AN564" t="s">
        <v>1190</v>
      </c>
      <c r="AO564" t="s">
        <v>599</v>
      </c>
      <c r="AP564" t="s">
        <v>599</v>
      </c>
      <c r="AQ564" t="s">
        <v>599</v>
      </c>
      <c r="AR564" t="s">
        <v>599</v>
      </c>
      <c r="AS564" t="s">
        <v>599</v>
      </c>
      <c r="AT564" t="s">
        <v>599</v>
      </c>
      <c r="AU564" t="s">
        <v>599</v>
      </c>
    </row>
    <row r="565" spans="1:47" ht="30" x14ac:dyDescent="0.25">
      <c r="A565" s="2">
        <v>11380</v>
      </c>
      <c r="B565" s="10">
        <v>329698</v>
      </c>
      <c r="C565" s="10">
        <v>1</v>
      </c>
      <c r="D565" s="9">
        <v>3</v>
      </c>
      <c r="E565" s="11" t="s">
        <v>440</v>
      </c>
      <c r="F565" s="11" t="str">
        <f t="shared" si="24"/>
        <v>https://purl.pt/14111</v>
      </c>
      <c r="G565" s="12" t="s">
        <v>441</v>
      </c>
      <c r="H565" s="9" t="s">
        <v>442</v>
      </c>
      <c r="I565" s="34"/>
      <c r="J565" s="55" t="str">
        <f t="shared" si="25"/>
        <v>https://permalinkbnd.bnportugal.gov.pt/viewer/14592/?offset=#page=3&amp;viewer=picture&amp;o=info&amp;n=0&amp;q=</v>
      </c>
      <c r="K565" s="45"/>
      <c r="L565" s="45"/>
      <c r="M565" s="45"/>
      <c r="N565" t="s">
        <v>440</v>
      </c>
      <c r="O565">
        <v>14592</v>
      </c>
      <c r="P565" t="str">
        <f t="shared" si="26"/>
        <v>https://permalinkbnd.bnportugal.gov.pt/viewer/14592/?offset=#page=3&amp;viewer=picture&amp;o=info&amp;n=0&amp;q=</v>
      </c>
      <c r="Q565">
        <v>329698</v>
      </c>
      <c r="R565" t="s">
        <v>440</v>
      </c>
      <c r="S565" t="s">
        <v>2999</v>
      </c>
      <c r="T565" t="s">
        <v>1178</v>
      </c>
      <c r="U565" t="s">
        <v>1192</v>
      </c>
      <c r="V565" t="s">
        <v>599</v>
      </c>
      <c r="W565" t="s">
        <v>3000</v>
      </c>
      <c r="X565" t="s">
        <v>599</v>
      </c>
      <c r="Y565" t="s">
        <v>599</v>
      </c>
      <c r="Z565" t="s">
        <v>1182</v>
      </c>
      <c r="AA565" t="s">
        <v>3001</v>
      </c>
      <c r="AB565">
        <v>1641</v>
      </c>
      <c r="AC565">
        <v>1641</v>
      </c>
      <c r="AD565" t="s">
        <v>3002</v>
      </c>
      <c r="AE565" t="s">
        <v>3003</v>
      </c>
      <c r="AF565" t="s">
        <v>599</v>
      </c>
      <c r="AG565" t="s">
        <v>599</v>
      </c>
      <c r="AH565" t="s">
        <v>3004</v>
      </c>
      <c r="AI565" t="s">
        <v>599</v>
      </c>
      <c r="AJ565" t="s">
        <v>599</v>
      </c>
      <c r="AK565" t="s">
        <v>3005</v>
      </c>
      <c r="AL565" t="s">
        <v>2967</v>
      </c>
      <c r="AM565" t="s">
        <v>3006</v>
      </c>
      <c r="AN565" t="s">
        <v>1190</v>
      </c>
      <c r="AO565" t="s">
        <v>599</v>
      </c>
      <c r="AP565" t="s">
        <v>599</v>
      </c>
      <c r="AQ565" t="s">
        <v>3007</v>
      </c>
      <c r="AR565" t="s">
        <v>599</v>
      </c>
      <c r="AS565" t="s">
        <v>599</v>
      </c>
      <c r="AT565" t="s">
        <v>599</v>
      </c>
      <c r="AU565" t="s">
        <v>599</v>
      </c>
    </row>
    <row r="566" spans="1:47" ht="30" x14ac:dyDescent="0.25">
      <c r="A566" s="2">
        <v>11381</v>
      </c>
      <c r="B566" s="10">
        <v>329698</v>
      </c>
      <c r="C566" s="10">
        <v>1</v>
      </c>
      <c r="D566" s="9">
        <v>8</v>
      </c>
      <c r="E566" s="11" t="s">
        <v>440</v>
      </c>
      <c r="F566" s="11" t="str">
        <f t="shared" si="24"/>
        <v>https://purl.pt/14111</v>
      </c>
      <c r="G566" s="12" t="s">
        <v>441</v>
      </c>
      <c r="H566" s="9" t="s">
        <v>442</v>
      </c>
      <c r="I566" s="34"/>
      <c r="J566" s="55" t="str">
        <f t="shared" si="25"/>
        <v>https://permalinkbnd.bnportugal.gov.pt/viewer/14592/?offset=#page=8&amp;viewer=picture&amp;o=info&amp;n=0&amp;q=</v>
      </c>
      <c r="K566" s="45"/>
      <c r="L566" s="45"/>
      <c r="M566" s="45"/>
      <c r="N566" t="s">
        <v>440</v>
      </c>
      <c r="O566">
        <v>14592</v>
      </c>
      <c r="P566" t="str">
        <f t="shared" si="26"/>
        <v>https://permalinkbnd.bnportugal.gov.pt/viewer/14592/?offset=#page=8&amp;viewer=picture&amp;o=info&amp;n=0&amp;q=</v>
      </c>
      <c r="Q566">
        <v>329698</v>
      </c>
      <c r="R566" t="s">
        <v>440</v>
      </c>
      <c r="S566" t="s">
        <v>2999</v>
      </c>
      <c r="T566" t="s">
        <v>1178</v>
      </c>
      <c r="U566" t="s">
        <v>1192</v>
      </c>
      <c r="V566" t="s">
        <v>599</v>
      </c>
      <c r="W566" t="s">
        <v>3000</v>
      </c>
      <c r="X566" t="s">
        <v>599</v>
      </c>
      <c r="Y566" t="s">
        <v>599</v>
      </c>
      <c r="Z566" t="s">
        <v>1182</v>
      </c>
      <c r="AA566" t="s">
        <v>3001</v>
      </c>
      <c r="AB566">
        <v>1641</v>
      </c>
      <c r="AC566">
        <v>1641</v>
      </c>
      <c r="AD566" t="s">
        <v>3002</v>
      </c>
      <c r="AE566" t="s">
        <v>3003</v>
      </c>
      <c r="AF566" t="s">
        <v>599</v>
      </c>
      <c r="AG566" t="s">
        <v>599</v>
      </c>
      <c r="AH566" t="s">
        <v>3004</v>
      </c>
      <c r="AI566" t="s">
        <v>599</v>
      </c>
      <c r="AJ566" t="s">
        <v>599</v>
      </c>
      <c r="AK566" t="s">
        <v>3005</v>
      </c>
      <c r="AL566" t="s">
        <v>2967</v>
      </c>
      <c r="AM566" t="s">
        <v>3006</v>
      </c>
      <c r="AN566" t="s">
        <v>1190</v>
      </c>
      <c r="AO566" t="s">
        <v>599</v>
      </c>
      <c r="AP566" t="s">
        <v>599</v>
      </c>
      <c r="AQ566" t="s">
        <v>3007</v>
      </c>
      <c r="AR566" t="s">
        <v>599</v>
      </c>
      <c r="AS566" t="s">
        <v>599</v>
      </c>
      <c r="AT566" t="s">
        <v>599</v>
      </c>
      <c r="AU566" t="s">
        <v>599</v>
      </c>
    </row>
    <row r="567" spans="1:47" ht="30" x14ac:dyDescent="0.25">
      <c r="A567" s="2">
        <v>11382</v>
      </c>
      <c r="B567" s="10">
        <v>329698</v>
      </c>
      <c r="C567" s="10">
        <v>1</v>
      </c>
      <c r="D567" s="9">
        <v>12</v>
      </c>
      <c r="E567" s="11" t="s">
        <v>440</v>
      </c>
      <c r="F567" s="11" t="str">
        <f t="shared" si="24"/>
        <v>https://purl.pt/14111</v>
      </c>
      <c r="G567" s="12" t="s">
        <v>441</v>
      </c>
      <c r="H567" s="9" t="s">
        <v>442</v>
      </c>
      <c r="I567" s="34"/>
      <c r="J567" s="55" t="str">
        <f t="shared" si="25"/>
        <v>https://permalinkbnd.bnportugal.gov.pt/viewer/14592/?offset=#page=12&amp;viewer=picture&amp;o=info&amp;n=0&amp;q=</v>
      </c>
      <c r="K567" s="45"/>
      <c r="L567" s="45"/>
      <c r="M567" s="45"/>
      <c r="N567" t="s">
        <v>440</v>
      </c>
      <c r="O567">
        <v>14592</v>
      </c>
      <c r="P567" t="str">
        <f t="shared" si="26"/>
        <v>https://permalinkbnd.bnportugal.gov.pt/viewer/14592/?offset=#page=12&amp;viewer=picture&amp;o=info&amp;n=0&amp;q=</v>
      </c>
      <c r="Q567">
        <v>329698</v>
      </c>
      <c r="R567" t="s">
        <v>440</v>
      </c>
      <c r="S567" t="s">
        <v>2999</v>
      </c>
      <c r="T567" t="s">
        <v>1178</v>
      </c>
      <c r="U567" t="s">
        <v>1192</v>
      </c>
      <c r="V567" t="s">
        <v>599</v>
      </c>
      <c r="W567" t="s">
        <v>3000</v>
      </c>
      <c r="X567" t="s">
        <v>599</v>
      </c>
      <c r="Y567" t="s">
        <v>599</v>
      </c>
      <c r="Z567" t="s">
        <v>1182</v>
      </c>
      <c r="AA567" t="s">
        <v>3001</v>
      </c>
      <c r="AB567">
        <v>1641</v>
      </c>
      <c r="AC567">
        <v>1641</v>
      </c>
      <c r="AD567" t="s">
        <v>3002</v>
      </c>
      <c r="AE567" t="s">
        <v>3003</v>
      </c>
      <c r="AF567" t="s">
        <v>599</v>
      </c>
      <c r="AG567" t="s">
        <v>599</v>
      </c>
      <c r="AH567" t="s">
        <v>3004</v>
      </c>
      <c r="AI567" t="s">
        <v>599</v>
      </c>
      <c r="AJ567" t="s">
        <v>599</v>
      </c>
      <c r="AK567" t="s">
        <v>3005</v>
      </c>
      <c r="AL567" t="s">
        <v>2967</v>
      </c>
      <c r="AM567" t="s">
        <v>3006</v>
      </c>
      <c r="AN567" t="s">
        <v>1190</v>
      </c>
      <c r="AO567" t="s">
        <v>599</v>
      </c>
      <c r="AP567" t="s">
        <v>599</v>
      </c>
      <c r="AQ567" t="s">
        <v>3007</v>
      </c>
      <c r="AR567" t="s">
        <v>599</v>
      </c>
      <c r="AS567" t="s">
        <v>599</v>
      </c>
      <c r="AT567" t="s">
        <v>599</v>
      </c>
      <c r="AU567" t="s">
        <v>599</v>
      </c>
    </row>
    <row r="568" spans="1:47" ht="30" x14ac:dyDescent="0.25">
      <c r="A568" s="2">
        <v>11388</v>
      </c>
      <c r="B568" s="10">
        <v>331404</v>
      </c>
      <c r="C568" s="10">
        <v>1</v>
      </c>
      <c r="D568" s="9">
        <v>10</v>
      </c>
      <c r="E568" s="11" t="s">
        <v>443</v>
      </c>
      <c r="F568" s="11" t="str">
        <f t="shared" si="24"/>
        <v>https://purl.pt/37844</v>
      </c>
      <c r="G568" s="12" t="s">
        <v>444</v>
      </c>
      <c r="H568" s="9" t="s">
        <v>249</v>
      </c>
      <c r="I568" s="34"/>
      <c r="J568" s="55" t="str">
        <f t="shared" si="25"/>
        <v>https://permalinkbnd.bnportugal.gov.pt/viewer/14566/?offset=#page=10&amp;viewer=picture&amp;o=info&amp;n=0&amp;q=</v>
      </c>
      <c r="K568" s="45"/>
      <c r="L568" s="45"/>
      <c r="M568" s="45"/>
      <c r="N568" t="s">
        <v>443</v>
      </c>
      <c r="O568">
        <v>14566</v>
      </c>
      <c r="P568" t="str">
        <f t="shared" si="26"/>
        <v>https://permalinkbnd.bnportugal.gov.pt/viewer/14566/?offset=#page=10&amp;viewer=picture&amp;o=info&amp;n=0&amp;q=</v>
      </c>
      <c r="Q568">
        <v>331404</v>
      </c>
      <c r="R568" t="s">
        <v>443</v>
      </c>
      <c r="S568" t="s">
        <v>3008</v>
      </c>
      <c r="T568" t="s">
        <v>1178</v>
      </c>
      <c r="U568" t="s">
        <v>1502</v>
      </c>
      <c r="V568" t="s">
        <v>1192</v>
      </c>
      <c r="W568" t="s">
        <v>1862</v>
      </c>
      <c r="X568" t="s">
        <v>3009</v>
      </c>
      <c r="Y568" t="s">
        <v>599</v>
      </c>
      <c r="Z568" t="s">
        <v>1182</v>
      </c>
      <c r="AA568" t="s">
        <v>3010</v>
      </c>
      <c r="AB568">
        <v>1809</v>
      </c>
      <c r="AC568">
        <v>1809</v>
      </c>
      <c r="AD568" t="s">
        <v>3011</v>
      </c>
      <c r="AE568" t="s">
        <v>1185</v>
      </c>
      <c r="AF568" t="s">
        <v>599</v>
      </c>
      <c r="AG568" t="s">
        <v>599</v>
      </c>
      <c r="AH568" t="s">
        <v>1866</v>
      </c>
      <c r="AI568" t="s">
        <v>599</v>
      </c>
      <c r="AJ568" t="s">
        <v>599</v>
      </c>
      <c r="AK568" t="s">
        <v>3012</v>
      </c>
      <c r="AL568" t="s">
        <v>1702</v>
      </c>
      <c r="AM568" t="s">
        <v>3013</v>
      </c>
      <c r="AN568" t="s">
        <v>1190</v>
      </c>
      <c r="AO568" t="s">
        <v>599</v>
      </c>
      <c r="AP568" t="s">
        <v>599</v>
      </c>
      <c r="AQ568" t="s">
        <v>599</v>
      </c>
      <c r="AR568" t="s">
        <v>599</v>
      </c>
      <c r="AS568" t="s">
        <v>599</v>
      </c>
      <c r="AT568" t="s">
        <v>599</v>
      </c>
      <c r="AU568" t="s">
        <v>599</v>
      </c>
    </row>
    <row r="569" spans="1:47" ht="30" x14ac:dyDescent="0.25">
      <c r="A569" s="2">
        <v>11389</v>
      </c>
      <c r="B569" s="10">
        <v>331404</v>
      </c>
      <c r="C569" s="10">
        <v>1</v>
      </c>
      <c r="D569" s="9">
        <v>11</v>
      </c>
      <c r="E569" s="11" t="s">
        <v>443</v>
      </c>
      <c r="F569" s="11" t="str">
        <f t="shared" si="24"/>
        <v>https://purl.pt/37844</v>
      </c>
      <c r="G569" s="12" t="s">
        <v>444</v>
      </c>
      <c r="H569" s="9" t="s">
        <v>249</v>
      </c>
      <c r="I569" s="34"/>
      <c r="J569" s="55" t="str">
        <f t="shared" si="25"/>
        <v>https://permalinkbnd.bnportugal.gov.pt/viewer/14566/?offset=#page=11&amp;viewer=picture&amp;o=info&amp;n=0&amp;q=</v>
      </c>
      <c r="K569" s="45"/>
      <c r="L569" s="45"/>
      <c r="M569" s="45"/>
      <c r="N569" t="s">
        <v>443</v>
      </c>
      <c r="O569">
        <v>14566</v>
      </c>
      <c r="P569" t="str">
        <f t="shared" si="26"/>
        <v>https://permalinkbnd.bnportugal.gov.pt/viewer/14566/?offset=#page=11&amp;viewer=picture&amp;o=info&amp;n=0&amp;q=</v>
      </c>
      <c r="Q569">
        <v>331404</v>
      </c>
      <c r="R569" t="s">
        <v>443</v>
      </c>
      <c r="S569" t="s">
        <v>3008</v>
      </c>
      <c r="T569" t="s">
        <v>1178</v>
      </c>
      <c r="U569" t="s">
        <v>1502</v>
      </c>
      <c r="V569" t="s">
        <v>1192</v>
      </c>
      <c r="W569" t="s">
        <v>1862</v>
      </c>
      <c r="X569" t="s">
        <v>3009</v>
      </c>
      <c r="Y569" t="s">
        <v>599</v>
      </c>
      <c r="Z569" t="s">
        <v>1182</v>
      </c>
      <c r="AA569" t="s">
        <v>3010</v>
      </c>
      <c r="AB569">
        <v>1809</v>
      </c>
      <c r="AC569">
        <v>1809</v>
      </c>
      <c r="AD569" t="s">
        <v>3011</v>
      </c>
      <c r="AE569" t="s">
        <v>1185</v>
      </c>
      <c r="AF569" t="s">
        <v>599</v>
      </c>
      <c r="AG569" t="s">
        <v>599</v>
      </c>
      <c r="AH569" t="s">
        <v>1866</v>
      </c>
      <c r="AI569" t="s">
        <v>599</v>
      </c>
      <c r="AJ569" t="s">
        <v>599</v>
      </c>
      <c r="AK569" t="s">
        <v>3012</v>
      </c>
      <c r="AL569" t="s">
        <v>1702</v>
      </c>
      <c r="AM569" t="s">
        <v>3013</v>
      </c>
      <c r="AN569" t="s">
        <v>1190</v>
      </c>
      <c r="AO569" t="s">
        <v>599</v>
      </c>
      <c r="AP569" t="s">
        <v>599</v>
      </c>
      <c r="AQ569" t="s">
        <v>599</v>
      </c>
      <c r="AR569" t="s">
        <v>599</v>
      </c>
      <c r="AS569" t="s">
        <v>599</v>
      </c>
      <c r="AT569" t="s">
        <v>599</v>
      </c>
      <c r="AU569" t="s">
        <v>599</v>
      </c>
    </row>
    <row r="570" spans="1:47" ht="30" x14ac:dyDescent="0.25">
      <c r="A570" s="2">
        <v>11390</v>
      </c>
      <c r="B570" s="10">
        <v>331411</v>
      </c>
      <c r="C570" s="10">
        <v>1</v>
      </c>
      <c r="D570" s="9">
        <v>6</v>
      </c>
      <c r="E570" s="11" t="s">
        <v>445</v>
      </c>
      <c r="F570" s="11" t="str">
        <f t="shared" si="24"/>
        <v>https://purl.pt/44017</v>
      </c>
      <c r="G570" s="12" t="s">
        <v>446</v>
      </c>
      <c r="H570" s="9" t="s">
        <v>447</v>
      </c>
      <c r="I570" s="34"/>
      <c r="J570" s="55" t="str">
        <f t="shared" si="25"/>
        <v>https://permalinkbnd.bnportugal.gov.pt/viewer/274466/?offset=#page=6&amp;viewer=picture&amp;o=info&amp;n=0&amp;q=</v>
      </c>
      <c r="K570" s="45"/>
      <c r="L570" s="45"/>
      <c r="M570" s="45"/>
      <c r="N570" t="s">
        <v>445</v>
      </c>
      <c r="O570">
        <v>274466</v>
      </c>
      <c r="P570" t="str">
        <f t="shared" si="26"/>
        <v>https://permalinkbnd.bnportugal.gov.pt/viewer/274466/?offset=#page=6&amp;viewer=picture&amp;o=info&amp;n=0&amp;q=</v>
      </c>
      <c r="Q570">
        <v>331411</v>
      </c>
      <c r="R570" t="s">
        <v>445</v>
      </c>
      <c r="S570" t="s">
        <v>3014</v>
      </c>
      <c r="T570" t="s">
        <v>1178</v>
      </c>
      <c r="U570" t="s">
        <v>1502</v>
      </c>
      <c r="V570" t="s">
        <v>1192</v>
      </c>
      <c r="W570" t="s">
        <v>1765</v>
      </c>
      <c r="X570" t="s">
        <v>1863</v>
      </c>
      <c r="Y570" t="s">
        <v>599</v>
      </c>
      <c r="Z570" t="s">
        <v>1182</v>
      </c>
      <c r="AA570" t="s">
        <v>3015</v>
      </c>
      <c r="AB570">
        <v>1826</v>
      </c>
      <c r="AC570">
        <v>1826</v>
      </c>
      <c r="AD570" t="s">
        <v>3016</v>
      </c>
      <c r="AE570" t="s">
        <v>1185</v>
      </c>
      <c r="AF570" t="s">
        <v>599</v>
      </c>
      <c r="AG570" t="s">
        <v>599</v>
      </c>
      <c r="AH570" t="s">
        <v>3017</v>
      </c>
      <c r="AI570" t="s">
        <v>599</v>
      </c>
      <c r="AJ570" t="s">
        <v>599</v>
      </c>
      <c r="AK570" t="s">
        <v>3018</v>
      </c>
      <c r="AL570" t="s">
        <v>1188</v>
      </c>
      <c r="AM570" t="s">
        <v>3019</v>
      </c>
      <c r="AN570" t="s">
        <v>1190</v>
      </c>
      <c r="AO570" t="s">
        <v>599</v>
      </c>
      <c r="AP570" t="s">
        <v>599</v>
      </c>
      <c r="AQ570" t="s">
        <v>599</v>
      </c>
      <c r="AR570" t="s">
        <v>599</v>
      </c>
      <c r="AS570" t="s">
        <v>599</v>
      </c>
      <c r="AT570" t="s">
        <v>599</v>
      </c>
      <c r="AU570" t="s">
        <v>599</v>
      </c>
    </row>
    <row r="571" spans="1:47" ht="30" x14ac:dyDescent="0.25">
      <c r="A571" s="2">
        <v>11391</v>
      </c>
      <c r="B571" s="10">
        <v>331411</v>
      </c>
      <c r="C571" s="10">
        <v>1</v>
      </c>
      <c r="D571" s="9">
        <v>12</v>
      </c>
      <c r="E571" s="11" t="s">
        <v>445</v>
      </c>
      <c r="F571" s="11" t="str">
        <f t="shared" si="24"/>
        <v>https://purl.pt/44017</v>
      </c>
      <c r="G571" s="12" t="s">
        <v>446</v>
      </c>
      <c r="H571" s="9" t="s">
        <v>447</v>
      </c>
      <c r="I571" s="34"/>
      <c r="J571" s="55" t="str">
        <f t="shared" si="25"/>
        <v>https://permalinkbnd.bnportugal.gov.pt/viewer/274466/?offset=#page=12&amp;viewer=picture&amp;o=info&amp;n=0&amp;q=</v>
      </c>
      <c r="K571" s="45"/>
      <c r="L571" s="45"/>
      <c r="M571" s="45"/>
      <c r="N571" t="s">
        <v>445</v>
      </c>
      <c r="O571">
        <v>274466</v>
      </c>
      <c r="P571" t="str">
        <f t="shared" si="26"/>
        <v>https://permalinkbnd.bnportugal.gov.pt/viewer/274466/?offset=#page=12&amp;viewer=picture&amp;o=info&amp;n=0&amp;q=</v>
      </c>
      <c r="Q571">
        <v>331411</v>
      </c>
      <c r="R571" t="s">
        <v>445</v>
      </c>
      <c r="S571" t="s">
        <v>3014</v>
      </c>
      <c r="T571" t="s">
        <v>1178</v>
      </c>
      <c r="U571" t="s">
        <v>1502</v>
      </c>
      <c r="V571" t="s">
        <v>1192</v>
      </c>
      <c r="W571" t="s">
        <v>1765</v>
      </c>
      <c r="X571" t="s">
        <v>1863</v>
      </c>
      <c r="Y571" t="s">
        <v>599</v>
      </c>
      <c r="Z571" t="s">
        <v>1182</v>
      </c>
      <c r="AA571" t="s">
        <v>3015</v>
      </c>
      <c r="AB571">
        <v>1826</v>
      </c>
      <c r="AC571">
        <v>1826</v>
      </c>
      <c r="AD571" t="s">
        <v>3016</v>
      </c>
      <c r="AE571" t="s">
        <v>1185</v>
      </c>
      <c r="AF571" t="s">
        <v>599</v>
      </c>
      <c r="AG571" t="s">
        <v>599</v>
      </c>
      <c r="AH571" t="s">
        <v>3017</v>
      </c>
      <c r="AI571" t="s">
        <v>599</v>
      </c>
      <c r="AJ571" t="s">
        <v>599</v>
      </c>
      <c r="AK571" t="s">
        <v>3018</v>
      </c>
      <c r="AL571" t="s">
        <v>1188</v>
      </c>
      <c r="AM571" t="s">
        <v>3019</v>
      </c>
      <c r="AN571" t="s">
        <v>1190</v>
      </c>
      <c r="AO571" t="s">
        <v>599</v>
      </c>
      <c r="AP571" t="s">
        <v>599</v>
      </c>
      <c r="AQ571" t="s">
        <v>599</v>
      </c>
      <c r="AR571" t="s">
        <v>599</v>
      </c>
      <c r="AS571" t="s">
        <v>599</v>
      </c>
      <c r="AT571" t="s">
        <v>599</v>
      </c>
      <c r="AU571" t="s">
        <v>599</v>
      </c>
    </row>
    <row r="572" spans="1:47" ht="30" x14ac:dyDescent="0.25">
      <c r="A572" s="2">
        <v>11440</v>
      </c>
      <c r="B572" s="10">
        <v>380835</v>
      </c>
      <c r="C572" s="10">
        <v>1</v>
      </c>
      <c r="D572" s="9">
        <v>1</v>
      </c>
      <c r="E572" s="11" t="s">
        <v>448</v>
      </c>
      <c r="F572" s="11" t="str">
        <f t="shared" si="24"/>
        <v>https://purl.pt/44632</v>
      </c>
      <c r="G572" s="12" t="s">
        <v>449</v>
      </c>
      <c r="H572" s="9">
        <v>1</v>
      </c>
      <c r="I572" s="34"/>
      <c r="J572" s="55" t="str">
        <f t="shared" si="25"/>
        <v>https://permalinkbnd.bnportugal.gov.pt/viewer/278408/?offset=#page=1&amp;viewer=picture&amp;o=info&amp;n=0&amp;q=</v>
      </c>
      <c r="K572" s="45"/>
      <c r="L572" s="45"/>
      <c r="M572" s="45"/>
      <c r="N572" t="s">
        <v>448</v>
      </c>
      <c r="O572">
        <v>278408</v>
      </c>
      <c r="P572" t="str">
        <f t="shared" si="26"/>
        <v>https://permalinkbnd.bnportugal.gov.pt/viewer/278408/?offset=#page=1&amp;viewer=picture&amp;o=info&amp;n=0&amp;q=</v>
      </c>
      <c r="Q572">
        <v>380835</v>
      </c>
      <c r="R572" t="s">
        <v>448</v>
      </c>
      <c r="S572" t="s">
        <v>3020</v>
      </c>
      <c r="T572" t="s">
        <v>1178</v>
      </c>
      <c r="U572" t="s">
        <v>1502</v>
      </c>
      <c r="V572" t="s">
        <v>599</v>
      </c>
      <c r="W572" t="s">
        <v>3021</v>
      </c>
      <c r="X572" t="s">
        <v>599</v>
      </c>
      <c r="Y572" t="s">
        <v>599</v>
      </c>
      <c r="Z572" t="s">
        <v>1182</v>
      </c>
      <c r="AA572" t="s">
        <v>3022</v>
      </c>
      <c r="AB572">
        <v>1883</v>
      </c>
      <c r="AC572">
        <v>1883</v>
      </c>
      <c r="AD572" t="s">
        <v>3023</v>
      </c>
      <c r="AE572" t="s">
        <v>1185</v>
      </c>
      <c r="AF572" t="s">
        <v>599</v>
      </c>
      <c r="AG572" t="s">
        <v>599</v>
      </c>
      <c r="AH572" t="s">
        <v>3024</v>
      </c>
      <c r="AI572" t="s">
        <v>599</v>
      </c>
      <c r="AJ572" t="s">
        <v>599</v>
      </c>
      <c r="AK572" t="s">
        <v>3025</v>
      </c>
      <c r="AL572" t="s">
        <v>1188</v>
      </c>
      <c r="AM572" t="s">
        <v>3026</v>
      </c>
      <c r="AN572" t="s">
        <v>1190</v>
      </c>
      <c r="AO572" t="s">
        <v>599</v>
      </c>
      <c r="AP572" t="s">
        <v>599</v>
      </c>
      <c r="AQ572" t="s">
        <v>599</v>
      </c>
      <c r="AR572" t="s">
        <v>599</v>
      </c>
      <c r="AS572" t="s">
        <v>599</v>
      </c>
      <c r="AT572" t="s">
        <v>599</v>
      </c>
      <c r="AU572" t="s">
        <v>599</v>
      </c>
    </row>
    <row r="573" spans="1:47" ht="60" x14ac:dyDescent="0.25">
      <c r="A573" s="2">
        <v>11441</v>
      </c>
      <c r="B573" s="10">
        <v>381202</v>
      </c>
      <c r="C573" s="10">
        <v>1</v>
      </c>
      <c r="D573" s="9">
        <v>29</v>
      </c>
      <c r="E573" s="11" t="s">
        <v>450</v>
      </c>
      <c r="F573" s="11" t="str">
        <f t="shared" si="24"/>
        <v>https://purl.pt/23676</v>
      </c>
      <c r="G573" s="12" t="s">
        <v>451</v>
      </c>
      <c r="H573" s="9" t="s">
        <v>452</v>
      </c>
      <c r="I573" s="34"/>
      <c r="J573" s="55" t="str">
        <f t="shared" si="25"/>
        <v>https://permalinkbnd.bnportugal.gov.pt/viewer/14624/?offset=#page=29&amp;viewer=picture&amp;o=info&amp;n=0&amp;q=</v>
      </c>
      <c r="K573" s="45"/>
      <c r="L573" s="45"/>
      <c r="M573" s="45"/>
      <c r="N573" t="s">
        <v>450</v>
      </c>
      <c r="O573">
        <v>14624</v>
      </c>
      <c r="P573" t="str">
        <f t="shared" si="26"/>
        <v>https://permalinkbnd.bnportugal.gov.pt/viewer/14624/?offset=#page=29&amp;viewer=picture&amp;o=info&amp;n=0&amp;q=</v>
      </c>
      <c r="Q573">
        <v>381202</v>
      </c>
      <c r="R573" t="s">
        <v>450</v>
      </c>
      <c r="S573" t="s">
        <v>3027</v>
      </c>
      <c r="T573" t="s">
        <v>1178</v>
      </c>
      <c r="U573" t="s">
        <v>1209</v>
      </c>
      <c r="V573" t="s">
        <v>1192</v>
      </c>
      <c r="W573" t="s">
        <v>3028</v>
      </c>
      <c r="X573" t="s">
        <v>599</v>
      </c>
      <c r="Y573" t="s">
        <v>599</v>
      </c>
      <c r="Z573" t="s">
        <v>1182</v>
      </c>
      <c r="AA573" t="s">
        <v>3029</v>
      </c>
      <c r="AB573">
        <v>1639</v>
      </c>
      <c r="AC573">
        <v>1639</v>
      </c>
      <c r="AD573" t="s">
        <v>3030</v>
      </c>
      <c r="AE573" t="s">
        <v>1185</v>
      </c>
      <c r="AF573" t="s">
        <v>599</v>
      </c>
      <c r="AG573" t="s">
        <v>599</v>
      </c>
      <c r="AH573" t="s">
        <v>3031</v>
      </c>
      <c r="AI573" t="s">
        <v>599</v>
      </c>
      <c r="AJ573" t="s">
        <v>3032</v>
      </c>
      <c r="AK573" t="s">
        <v>3033</v>
      </c>
      <c r="AL573" t="s">
        <v>599</v>
      </c>
      <c r="AM573" t="s">
        <v>3034</v>
      </c>
      <c r="AN573" t="s">
        <v>1190</v>
      </c>
      <c r="AO573" t="s">
        <v>599</v>
      </c>
      <c r="AP573" t="s">
        <v>599</v>
      </c>
      <c r="AQ573" t="s">
        <v>3035</v>
      </c>
      <c r="AR573" t="s">
        <v>599</v>
      </c>
      <c r="AS573" t="s">
        <v>599</v>
      </c>
      <c r="AT573" t="s">
        <v>599</v>
      </c>
      <c r="AU573" t="s">
        <v>599</v>
      </c>
    </row>
    <row r="574" spans="1:47" ht="60" x14ac:dyDescent="0.25">
      <c r="A574" s="2">
        <v>11442</v>
      </c>
      <c r="B574" s="10">
        <v>381202</v>
      </c>
      <c r="C574" s="10">
        <v>1</v>
      </c>
      <c r="D574" s="9">
        <v>100</v>
      </c>
      <c r="E574" s="11" t="s">
        <v>450</v>
      </c>
      <c r="F574" s="11" t="str">
        <f t="shared" si="24"/>
        <v>https://purl.pt/23676</v>
      </c>
      <c r="G574" s="12" t="s">
        <v>451</v>
      </c>
      <c r="H574" s="9" t="s">
        <v>452</v>
      </c>
      <c r="I574" s="34"/>
      <c r="J574" s="55" t="str">
        <f t="shared" si="25"/>
        <v>https://permalinkbnd.bnportugal.gov.pt/viewer/14624/?offset=#page=100&amp;viewer=picture&amp;o=info&amp;n=0&amp;q=</v>
      </c>
      <c r="K574" s="45"/>
      <c r="L574" s="45"/>
      <c r="M574" s="45"/>
      <c r="N574" t="s">
        <v>450</v>
      </c>
      <c r="O574">
        <v>14624</v>
      </c>
      <c r="P574" t="str">
        <f t="shared" si="26"/>
        <v>https://permalinkbnd.bnportugal.gov.pt/viewer/14624/?offset=#page=100&amp;viewer=picture&amp;o=info&amp;n=0&amp;q=</v>
      </c>
      <c r="Q574">
        <v>381202</v>
      </c>
      <c r="R574" t="s">
        <v>450</v>
      </c>
      <c r="S574" t="s">
        <v>3027</v>
      </c>
      <c r="T574" t="s">
        <v>1178</v>
      </c>
      <c r="U574" t="s">
        <v>1209</v>
      </c>
      <c r="V574" t="s">
        <v>1192</v>
      </c>
      <c r="W574" t="s">
        <v>3028</v>
      </c>
      <c r="X574" t="s">
        <v>599</v>
      </c>
      <c r="Y574" t="s">
        <v>599</v>
      </c>
      <c r="Z574" t="s">
        <v>1182</v>
      </c>
      <c r="AA574" t="s">
        <v>3029</v>
      </c>
      <c r="AB574">
        <v>1639</v>
      </c>
      <c r="AC574">
        <v>1639</v>
      </c>
      <c r="AD574" t="s">
        <v>3030</v>
      </c>
      <c r="AE574" t="s">
        <v>1185</v>
      </c>
      <c r="AF574" t="s">
        <v>599</v>
      </c>
      <c r="AG574" t="s">
        <v>599</v>
      </c>
      <c r="AH574" t="s">
        <v>3031</v>
      </c>
      <c r="AI574" t="s">
        <v>599</v>
      </c>
      <c r="AJ574" t="s">
        <v>3032</v>
      </c>
      <c r="AK574" t="s">
        <v>3033</v>
      </c>
      <c r="AL574" t="s">
        <v>599</v>
      </c>
      <c r="AM574" t="s">
        <v>3034</v>
      </c>
      <c r="AN574" t="s">
        <v>1190</v>
      </c>
      <c r="AO574" t="s">
        <v>599</v>
      </c>
      <c r="AP574" t="s">
        <v>599</v>
      </c>
      <c r="AQ574" t="s">
        <v>3035</v>
      </c>
      <c r="AR574" t="s">
        <v>599</v>
      </c>
      <c r="AS574" t="s">
        <v>599</v>
      </c>
      <c r="AT574" t="s">
        <v>599</v>
      </c>
      <c r="AU574" t="s">
        <v>599</v>
      </c>
    </row>
    <row r="575" spans="1:47" ht="60" x14ac:dyDescent="0.25">
      <c r="A575" s="2">
        <v>11443</v>
      </c>
      <c r="B575" s="10">
        <v>381202</v>
      </c>
      <c r="C575" s="10">
        <v>1</v>
      </c>
      <c r="D575" s="9">
        <v>216</v>
      </c>
      <c r="E575" s="11" t="s">
        <v>450</v>
      </c>
      <c r="F575" s="11" t="str">
        <f t="shared" si="24"/>
        <v>https://purl.pt/23676</v>
      </c>
      <c r="G575" s="12" t="s">
        <v>451</v>
      </c>
      <c r="H575" s="9" t="s">
        <v>452</v>
      </c>
      <c r="I575" s="34"/>
      <c r="J575" s="55" t="str">
        <f t="shared" si="25"/>
        <v>https://permalinkbnd.bnportugal.gov.pt/viewer/14624/?offset=#page=216&amp;viewer=picture&amp;o=info&amp;n=0&amp;q=</v>
      </c>
      <c r="K575" s="45"/>
      <c r="L575" s="45"/>
      <c r="M575" s="45"/>
      <c r="N575" t="s">
        <v>450</v>
      </c>
      <c r="O575">
        <v>14624</v>
      </c>
      <c r="P575" t="str">
        <f t="shared" si="26"/>
        <v>https://permalinkbnd.bnportugal.gov.pt/viewer/14624/?offset=#page=216&amp;viewer=picture&amp;o=info&amp;n=0&amp;q=</v>
      </c>
      <c r="Q575">
        <v>381202</v>
      </c>
      <c r="R575" t="s">
        <v>450</v>
      </c>
      <c r="S575" t="s">
        <v>3027</v>
      </c>
      <c r="T575" t="s">
        <v>1178</v>
      </c>
      <c r="U575" t="s">
        <v>1209</v>
      </c>
      <c r="V575" t="s">
        <v>1192</v>
      </c>
      <c r="W575" t="s">
        <v>3028</v>
      </c>
      <c r="X575" t="s">
        <v>599</v>
      </c>
      <c r="Y575" t="s">
        <v>599</v>
      </c>
      <c r="Z575" t="s">
        <v>1182</v>
      </c>
      <c r="AA575" t="s">
        <v>3029</v>
      </c>
      <c r="AB575">
        <v>1639</v>
      </c>
      <c r="AC575">
        <v>1639</v>
      </c>
      <c r="AD575" t="s">
        <v>3030</v>
      </c>
      <c r="AE575" t="s">
        <v>1185</v>
      </c>
      <c r="AF575" t="s">
        <v>599</v>
      </c>
      <c r="AG575" t="s">
        <v>599</v>
      </c>
      <c r="AH575" t="s">
        <v>3031</v>
      </c>
      <c r="AI575" t="s">
        <v>599</v>
      </c>
      <c r="AJ575" t="s">
        <v>3032</v>
      </c>
      <c r="AK575" t="s">
        <v>3033</v>
      </c>
      <c r="AL575" t="s">
        <v>599</v>
      </c>
      <c r="AM575" t="s">
        <v>3034</v>
      </c>
      <c r="AN575" t="s">
        <v>1190</v>
      </c>
      <c r="AO575" t="s">
        <v>599</v>
      </c>
      <c r="AP575" t="s">
        <v>599</v>
      </c>
      <c r="AQ575" t="s">
        <v>3035</v>
      </c>
      <c r="AR575" t="s">
        <v>599</v>
      </c>
      <c r="AS575" t="s">
        <v>599</v>
      </c>
      <c r="AT575" t="s">
        <v>599</v>
      </c>
      <c r="AU575" t="s">
        <v>599</v>
      </c>
    </row>
    <row r="576" spans="1:47" ht="60" x14ac:dyDescent="0.25">
      <c r="A576" s="2">
        <v>11444</v>
      </c>
      <c r="B576" s="10">
        <v>381202</v>
      </c>
      <c r="C576" s="10">
        <v>1</v>
      </c>
      <c r="D576" s="9">
        <v>297</v>
      </c>
      <c r="E576" s="11" t="s">
        <v>450</v>
      </c>
      <c r="F576" s="11" t="str">
        <f t="shared" ref="F576:F639" si="27">HYPERLINK(E576)</f>
        <v>https://purl.pt/23676</v>
      </c>
      <c r="G576" s="12" t="s">
        <v>451</v>
      </c>
      <c r="H576" s="9" t="s">
        <v>452</v>
      </c>
      <c r="I576" s="34"/>
      <c r="J576" s="55" t="str">
        <f t="shared" si="25"/>
        <v>https://permalinkbnd.bnportugal.gov.pt/viewer/14624/?offset=#page=297&amp;viewer=picture&amp;o=info&amp;n=0&amp;q=</v>
      </c>
      <c r="K576" s="45"/>
      <c r="L576" s="45"/>
      <c r="M576" s="45"/>
      <c r="N576" t="s">
        <v>450</v>
      </c>
      <c r="O576">
        <v>14624</v>
      </c>
      <c r="P576" t="str">
        <f t="shared" si="26"/>
        <v>https://permalinkbnd.bnportugal.gov.pt/viewer/14624/?offset=#page=297&amp;viewer=picture&amp;o=info&amp;n=0&amp;q=</v>
      </c>
      <c r="Q576">
        <v>381202</v>
      </c>
      <c r="R576" t="s">
        <v>450</v>
      </c>
      <c r="S576" t="s">
        <v>3027</v>
      </c>
      <c r="T576" t="s">
        <v>1178</v>
      </c>
      <c r="U576" t="s">
        <v>1209</v>
      </c>
      <c r="V576" t="s">
        <v>1192</v>
      </c>
      <c r="W576" t="s">
        <v>3028</v>
      </c>
      <c r="X576" t="s">
        <v>599</v>
      </c>
      <c r="Y576" t="s">
        <v>599</v>
      </c>
      <c r="Z576" t="s">
        <v>1182</v>
      </c>
      <c r="AA576" t="s">
        <v>3029</v>
      </c>
      <c r="AB576">
        <v>1639</v>
      </c>
      <c r="AC576">
        <v>1639</v>
      </c>
      <c r="AD576" t="s">
        <v>3030</v>
      </c>
      <c r="AE576" t="s">
        <v>1185</v>
      </c>
      <c r="AF576" t="s">
        <v>599</v>
      </c>
      <c r="AG576" t="s">
        <v>599</v>
      </c>
      <c r="AH576" t="s">
        <v>3031</v>
      </c>
      <c r="AI576" t="s">
        <v>599</v>
      </c>
      <c r="AJ576" t="s">
        <v>3032</v>
      </c>
      <c r="AK576" t="s">
        <v>3033</v>
      </c>
      <c r="AL576" t="s">
        <v>599</v>
      </c>
      <c r="AM576" t="s">
        <v>3034</v>
      </c>
      <c r="AN576" t="s">
        <v>1190</v>
      </c>
      <c r="AO576" t="s">
        <v>599</v>
      </c>
      <c r="AP576" t="s">
        <v>599</v>
      </c>
      <c r="AQ576" t="s">
        <v>3035</v>
      </c>
      <c r="AR576" t="s">
        <v>599</v>
      </c>
      <c r="AS576" t="s">
        <v>599</v>
      </c>
      <c r="AT576" t="s">
        <v>599</v>
      </c>
      <c r="AU576" t="s">
        <v>599</v>
      </c>
    </row>
    <row r="577" spans="1:47" ht="60" x14ac:dyDescent="0.25">
      <c r="A577" s="2">
        <v>11445</v>
      </c>
      <c r="B577" s="10">
        <v>381202</v>
      </c>
      <c r="C577" s="10">
        <v>1</v>
      </c>
      <c r="D577" s="9">
        <v>308</v>
      </c>
      <c r="E577" s="11" t="s">
        <v>450</v>
      </c>
      <c r="F577" s="11" t="str">
        <f t="shared" si="27"/>
        <v>https://purl.pt/23676</v>
      </c>
      <c r="G577" s="12" t="s">
        <v>451</v>
      </c>
      <c r="H577" s="9" t="s">
        <v>452</v>
      </c>
      <c r="I577" s="34"/>
      <c r="J577" s="55" t="str">
        <f t="shared" si="25"/>
        <v>https://permalinkbnd.bnportugal.gov.pt/viewer/14624/?offset=#page=308&amp;viewer=picture&amp;o=info&amp;n=0&amp;q=</v>
      </c>
      <c r="K577" s="45"/>
      <c r="L577" s="45"/>
      <c r="M577" s="45"/>
      <c r="N577" t="s">
        <v>450</v>
      </c>
      <c r="O577">
        <v>14624</v>
      </c>
      <c r="P577" t="str">
        <f t="shared" si="26"/>
        <v>https://permalinkbnd.bnportugal.gov.pt/viewer/14624/?offset=#page=308&amp;viewer=picture&amp;o=info&amp;n=0&amp;q=</v>
      </c>
      <c r="Q577">
        <v>381202</v>
      </c>
      <c r="R577" t="s">
        <v>450</v>
      </c>
      <c r="S577" t="s">
        <v>3027</v>
      </c>
      <c r="T577" t="s">
        <v>1178</v>
      </c>
      <c r="U577" t="s">
        <v>1209</v>
      </c>
      <c r="V577" t="s">
        <v>1192</v>
      </c>
      <c r="W577" t="s">
        <v>3028</v>
      </c>
      <c r="X577" t="s">
        <v>599</v>
      </c>
      <c r="Y577" t="s">
        <v>599</v>
      </c>
      <c r="Z577" t="s">
        <v>1182</v>
      </c>
      <c r="AA577" t="s">
        <v>3029</v>
      </c>
      <c r="AB577">
        <v>1639</v>
      </c>
      <c r="AC577">
        <v>1639</v>
      </c>
      <c r="AD577" t="s">
        <v>3030</v>
      </c>
      <c r="AE577" t="s">
        <v>1185</v>
      </c>
      <c r="AF577" t="s">
        <v>599</v>
      </c>
      <c r="AG577" t="s">
        <v>599</v>
      </c>
      <c r="AH577" t="s">
        <v>3031</v>
      </c>
      <c r="AI577" t="s">
        <v>599</v>
      </c>
      <c r="AJ577" t="s">
        <v>3032</v>
      </c>
      <c r="AK577" t="s">
        <v>3033</v>
      </c>
      <c r="AL577" t="s">
        <v>599</v>
      </c>
      <c r="AM577" t="s">
        <v>3034</v>
      </c>
      <c r="AN577" t="s">
        <v>1190</v>
      </c>
      <c r="AO577" t="s">
        <v>599</v>
      </c>
      <c r="AP577" t="s">
        <v>599</v>
      </c>
      <c r="AQ577" t="s">
        <v>3035</v>
      </c>
      <c r="AR577" t="s">
        <v>599</v>
      </c>
      <c r="AS577" t="s">
        <v>599</v>
      </c>
      <c r="AT577" t="s">
        <v>599</v>
      </c>
      <c r="AU577" t="s">
        <v>599</v>
      </c>
    </row>
    <row r="578" spans="1:47" ht="60" x14ac:dyDescent="0.25">
      <c r="A578" s="2">
        <v>11446</v>
      </c>
      <c r="B578" s="10">
        <v>381202</v>
      </c>
      <c r="C578" s="10">
        <v>1</v>
      </c>
      <c r="D578" s="9">
        <v>424</v>
      </c>
      <c r="E578" s="11" t="s">
        <v>450</v>
      </c>
      <c r="F578" s="11" t="str">
        <f t="shared" si="27"/>
        <v>https://purl.pt/23676</v>
      </c>
      <c r="G578" s="12" t="s">
        <v>451</v>
      </c>
      <c r="H578" s="9" t="s">
        <v>452</v>
      </c>
      <c r="I578" s="34"/>
      <c r="J578" s="55" t="str">
        <f t="shared" si="25"/>
        <v>https://permalinkbnd.bnportugal.gov.pt/viewer/14624/?offset=#page=424&amp;viewer=picture&amp;o=info&amp;n=0&amp;q=</v>
      </c>
      <c r="K578" s="45"/>
      <c r="L578" s="45"/>
      <c r="M578" s="45"/>
      <c r="N578" t="s">
        <v>450</v>
      </c>
      <c r="O578">
        <v>14624</v>
      </c>
      <c r="P578" t="str">
        <f t="shared" si="26"/>
        <v>https://permalinkbnd.bnportugal.gov.pt/viewer/14624/?offset=#page=424&amp;viewer=picture&amp;o=info&amp;n=0&amp;q=</v>
      </c>
      <c r="Q578">
        <v>381202</v>
      </c>
      <c r="R578" t="s">
        <v>450</v>
      </c>
      <c r="S578" t="s">
        <v>3027</v>
      </c>
      <c r="T578" t="s">
        <v>1178</v>
      </c>
      <c r="U578" t="s">
        <v>1209</v>
      </c>
      <c r="V578" t="s">
        <v>1192</v>
      </c>
      <c r="W578" t="s">
        <v>3028</v>
      </c>
      <c r="X578" t="s">
        <v>599</v>
      </c>
      <c r="Y578" t="s">
        <v>599</v>
      </c>
      <c r="Z578" t="s">
        <v>1182</v>
      </c>
      <c r="AA578" t="s">
        <v>3029</v>
      </c>
      <c r="AB578">
        <v>1639</v>
      </c>
      <c r="AC578">
        <v>1639</v>
      </c>
      <c r="AD578" t="s">
        <v>3030</v>
      </c>
      <c r="AE578" t="s">
        <v>1185</v>
      </c>
      <c r="AF578" t="s">
        <v>599</v>
      </c>
      <c r="AG578" t="s">
        <v>599</v>
      </c>
      <c r="AH578" t="s">
        <v>3031</v>
      </c>
      <c r="AI578" t="s">
        <v>599</v>
      </c>
      <c r="AJ578" t="s">
        <v>3032</v>
      </c>
      <c r="AK578" t="s">
        <v>3033</v>
      </c>
      <c r="AL578" t="s">
        <v>599</v>
      </c>
      <c r="AM578" t="s">
        <v>3034</v>
      </c>
      <c r="AN578" t="s">
        <v>1190</v>
      </c>
      <c r="AO578" t="s">
        <v>599</v>
      </c>
      <c r="AP578" t="s">
        <v>599</v>
      </c>
      <c r="AQ578" t="s">
        <v>3035</v>
      </c>
      <c r="AR578" t="s">
        <v>599</v>
      </c>
      <c r="AS578" t="s">
        <v>599</v>
      </c>
      <c r="AT578" t="s">
        <v>599</v>
      </c>
      <c r="AU578" t="s">
        <v>599</v>
      </c>
    </row>
    <row r="579" spans="1:47" ht="60" x14ac:dyDescent="0.25">
      <c r="A579" s="2">
        <v>11447</v>
      </c>
      <c r="B579" s="10">
        <v>381202</v>
      </c>
      <c r="C579" s="10">
        <v>1</v>
      </c>
      <c r="D579" s="9">
        <v>530</v>
      </c>
      <c r="E579" s="11" t="s">
        <v>450</v>
      </c>
      <c r="F579" s="11" t="str">
        <f t="shared" si="27"/>
        <v>https://purl.pt/23676</v>
      </c>
      <c r="G579" s="12" t="s">
        <v>451</v>
      </c>
      <c r="H579" s="9" t="s">
        <v>452</v>
      </c>
      <c r="I579" s="34"/>
      <c r="J579" s="55" t="str">
        <f t="shared" ref="J579:J642" si="28">HYPERLINK(P579)</f>
        <v>https://permalinkbnd.bnportugal.gov.pt/viewer/14624/?offset=#page=530&amp;viewer=picture&amp;o=info&amp;n=0&amp;q=</v>
      </c>
      <c r="K579" s="45"/>
      <c r="L579" s="45"/>
      <c r="M579" s="45"/>
      <c r="N579" t="s">
        <v>450</v>
      </c>
      <c r="O579">
        <v>14624</v>
      </c>
      <c r="P579" t="str">
        <f t="shared" ref="P579:P642" si="29">CONCATENATE("https://permalinkbnd.bnportugal.gov.pt/viewer/",O579,"/?offset=#page=",D579,"&amp;viewer=picture&amp;o=info&amp;n=0&amp;q=")</f>
        <v>https://permalinkbnd.bnportugal.gov.pt/viewer/14624/?offset=#page=530&amp;viewer=picture&amp;o=info&amp;n=0&amp;q=</v>
      </c>
      <c r="Q579">
        <v>381202</v>
      </c>
      <c r="R579" t="s">
        <v>450</v>
      </c>
      <c r="S579" t="s">
        <v>3027</v>
      </c>
      <c r="T579" t="s">
        <v>1178</v>
      </c>
      <c r="U579" t="s">
        <v>1209</v>
      </c>
      <c r="V579" t="s">
        <v>1192</v>
      </c>
      <c r="W579" t="s">
        <v>3028</v>
      </c>
      <c r="X579" t="s">
        <v>599</v>
      </c>
      <c r="Y579" t="s">
        <v>599</v>
      </c>
      <c r="Z579" t="s">
        <v>1182</v>
      </c>
      <c r="AA579" t="s">
        <v>3029</v>
      </c>
      <c r="AB579">
        <v>1639</v>
      </c>
      <c r="AC579">
        <v>1639</v>
      </c>
      <c r="AD579" t="s">
        <v>3030</v>
      </c>
      <c r="AE579" t="s">
        <v>1185</v>
      </c>
      <c r="AF579" t="s">
        <v>599</v>
      </c>
      <c r="AG579" t="s">
        <v>599</v>
      </c>
      <c r="AH579" t="s">
        <v>3031</v>
      </c>
      <c r="AI579" t="s">
        <v>599</v>
      </c>
      <c r="AJ579" t="s">
        <v>3032</v>
      </c>
      <c r="AK579" t="s">
        <v>3033</v>
      </c>
      <c r="AL579" t="s">
        <v>599</v>
      </c>
      <c r="AM579" t="s">
        <v>3034</v>
      </c>
      <c r="AN579" t="s">
        <v>1190</v>
      </c>
      <c r="AO579" t="s">
        <v>599</v>
      </c>
      <c r="AP579" t="s">
        <v>599</v>
      </c>
      <c r="AQ579" t="s">
        <v>3035</v>
      </c>
      <c r="AR579" t="s">
        <v>599</v>
      </c>
      <c r="AS579" t="s">
        <v>599</v>
      </c>
      <c r="AT579" t="s">
        <v>599</v>
      </c>
      <c r="AU579" t="s">
        <v>599</v>
      </c>
    </row>
    <row r="580" spans="1:47" ht="60" x14ac:dyDescent="0.25">
      <c r="A580" s="2">
        <v>11448</v>
      </c>
      <c r="B580" s="10">
        <v>381202</v>
      </c>
      <c r="C580" s="10">
        <v>2</v>
      </c>
      <c r="D580" s="9">
        <v>7</v>
      </c>
      <c r="E580" s="11" t="s">
        <v>450</v>
      </c>
      <c r="F580" s="11" t="str">
        <f t="shared" si="27"/>
        <v>https://purl.pt/23676</v>
      </c>
      <c r="G580" s="12" t="s">
        <v>451</v>
      </c>
      <c r="H580" s="9" t="s">
        <v>452</v>
      </c>
      <c r="I580" s="34"/>
      <c r="J580" s="55" t="str">
        <f t="shared" si="28"/>
        <v>https://permalinkbnd.bnportugal.gov.pt/viewer/14624/?offset=#page=7&amp;viewer=picture&amp;o=info&amp;n=0&amp;q=</v>
      </c>
      <c r="K580" s="45"/>
      <c r="L580" s="45"/>
      <c r="M580" s="45"/>
      <c r="N580" t="s">
        <v>450</v>
      </c>
      <c r="O580">
        <v>14624</v>
      </c>
      <c r="P580" t="str">
        <f t="shared" si="29"/>
        <v>https://permalinkbnd.bnportugal.gov.pt/viewer/14624/?offset=#page=7&amp;viewer=picture&amp;o=info&amp;n=0&amp;q=</v>
      </c>
      <c r="Q580">
        <v>381202</v>
      </c>
      <c r="R580" t="s">
        <v>450</v>
      </c>
      <c r="S580" t="s">
        <v>3027</v>
      </c>
      <c r="T580" t="s">
        <v>1178</v>
      </c>
      <c r="U580" t="s">
        <v>1209</v>
      </c>
      <c r="V580" t="s">
        <v>1192</v>
      </c>
      <c r="W580" t="s">
        <v>3028</v>
      </c>
      <c r="X580" t="s">
        <v>599</v>
      </c>
      <c r="Y580" t="s">
        <v>599</v>
      </c>
      <c r="Z580" t="s">
        <v>1182</v>
      </c>
      <c r="AA580" t="s">
        <v>3029</v>
      </c>
      <c r="AB580">
        <v>1639</v>
      </c>
      <c r="AC580">
        <v>1639</v>
      </c>
      <c r="AD580" t="s">
        <v>3030</v>
      </c>
      <c r="AE580" t="s">
        <v>1185</v>
      </c>
      <c r="AF580" t="s">
        <v>599</v>
      </c>
      <c r="AG580" t="s">
        <v>599</v>
      </c>
      <c r="AH580" t="s">
        <v>3031</v>
      </c>
      <c r="AI580" t="s">
        <v>599</v>
      </c>
      <c r="AJ580" t="s">
        <v>3032</v>
      </c>
      <c r="AK580" t="s">
        <v>3033</v>
      </c>
      <c r="AL580" t="s">
        <v>599</v>
      </c>
      <c r="AM580" t="s">
        <v>3034</v>
      </c>
      <c r="AN580" t="s">
        <v>1190</v>
      </c>
      <c r="AO580" t="s">
        <v>599</v>
      </c>
      <c r="AP580" t="s">
        <v>599</v>
      </c>
      <c r="AQ580" t="s">
        <v>3035</v>
      </c>
      <c r="AR580" t="s">
        <v>599</v>
      </c>
      <c r="AS580" t="s">
        <v>599</v>
      </c>
      <c r="AT580" t="s">
        <v>599</v>
      </c>
      <c r="AU580" t="s">
        <v>599</v>
      </c>
    </row>
    <row r="581" spans="1:47" ht="60" x14ac:dyDescent="0.25">
      <c r="A581" s="2">
        <v>11449</v>
      </c>
      <c r="B581" s="10">
        <v>381202</v>
      </c>
      <c r="C581" s="10">
        <v>2</v>
      </c>
      <c r="D581" s="9">
        <v>10</v>
      </c>
      <c r="E581" s="11" t="s">
        <v>450</v>
      </c>
      <c r="F581" s="11" t="str">
        <f t="shared" si="27"/>
        <v>https://purl.pt/23676</v>
      </c>
      <c r="G581" s="12" t="s">
        <v>451</v>
      </c>
      <c r="H581" s="9" t="s">
        <v>452</v>
      </c>
      <c r="I581" s="34"/>
      <c r="J581" s="55" t="str">
        <f t="shared" si="28"/>
        <v>https://permalinkbnd.bnportugal.gov.pt/viewer/14624/?offset=#page=10&amp;viewer=picture&amp;o=info&amp;n=0&amp;q=</v>
      </c>
      <c r="K581" s="45"/>
      <c r="L581" s="45"/>
      <c r="M581" s="45"/>
      <c r="N581" t="s">
        <v>450</v>
      </c>
      <c r="O581">
        <v>14624</v>
      </c>
      <c r="P581" t="str">
        <f t="shared" si="29"/>
        <v>https://permalinkbnd.bnportugal.gov.pt/viewer/14624/?offset=#page=10&amp;viewer=picture&amp;o=info&amp;n=0&amp;q=</v>
      </c>
      <c r="Q581">
        <v>381202</v>
      </c>
      <c r="R581" t="s">
        <v>450</v>
      </c>
      <c r="S581" t="s">
        <v>3027</v>
      </c>
      <c r="T581" t="s">
        <v>1178</v>
      </c>
      <c r="U581" t="s">
        <v>1209</v>
      </c>
      <c r="V581" t="s">
        <v>1192</v>
      </c>
      <c r="W581" t="s">
        <v>3028</v>
      </c>
      <c r="X581" t="s">
        <v>599</v>
      </c>
      <c r="Y581" t="s">
        <v>599</v>
      </c>
      <c r="Z581" t="s">
        <v>1182</v>
      </c>
      <c r="AA581" t="s">
        <v>3029</v>
      </c>
      <c r="AB581">
        <v>1639</v>
      </c>
      <c r="AC581">
        <v>1639</v>
      </c>
      <c r="AD581" t="s">
        <v>3030</v>
      </c>
      <c r="AE581" t="s">
        <v>1185</v>
      </c>
      <c r="AF581" t="s">
        <v>599</v>
      </c>
      <c r="AG581" t="s">
        <v>599</v>
      </c>
      <c r="AH581" t="s">
        <v>3031</v>
      </c>
      <c r="AI581" t="s">
        <v>599</v>
      </c>
      <c r="AJ581" t="s">
        <v>3032</v>
      </c>
      <c r="AK581" t="s">
        <v>3033</v>
      </c>
      <c r="AL581" t="s">
        <v>599</v>
      </c>
      <c r="AM581" t="s">
        <v>3034</v>
      </c>
      <c r="AN581" t="s">
        <v>1190</v>
      </c>
      <c r="AO581" t="s">
        <v>599</v>
      </c>
      <c r="AP581" t="s">
        <v>599</v>
      </c>
      <c r="AQ581" t="s">
        <v>3035</v>
      </c>
      <c r="AR581" t="s">
        <v>599</v>
      </c>
      <c r="AS581" t="s">
        <v>599</v>
      </c>
      <c r="AT581" t="s">
        <v>599</v>
      </c>
      <c r="AU581" t="s">
        <v>599</v>
      </c>
    </row>
    <row r="582" spans="1:47" ht="60" x14ac:dyDescent="0.25">
      <c r="A582" s="2">
        <v>11450</v>
      </c>
      <c r="B582" s="10">
        <v>381202</v>
      </c>
      <c r="C582" s="10">
        <v>2</v>
      </c>
      <c r="D582" s="9">
        <v>76</v>
      </c>
      <c r="E582" s="11" t="s">
        <v>450</v>
      </c>
      <c r="F582" s="11" t="str">
        <f t="shared" si="27"/>
        <v>https://purl.pt/23676</v>
      </c>
      <c r="G582" s="12" t="s">
        <v>451</v>
      </c>
      <c r="H582" s="9" t="s">
        <v>452</v>
      </c>
      <c r="I582" s="34"/>
      <c r="J582" s="55" t="str">
        <f t="shared" si="28"/>
        <v>https://permalinkbnd.bnportugal.gov.pt/viewer/14624/?offset=#page=76&amp;viewer=picture&amp;o=info&amp;n=0&amp;q=</v>
      </c>
      <c r="K582" s="45"/>
      <c r="L582" s="45"/>
      <c r="M582" s="45"/>
      <c r="N582" t="s">
        <v>450</v>
      </c>
      <c r="O582">
        <v>14624</v>
      </c>
      <c r="P582" t="str">
        <f t="shared" si="29"/>
        <v>https://permalinkbnd.bnportugal.gov.pt/viewer/14624/?offset=#page=76&amp;viewer=picture&amp;o=info&amp;n=0&amp;q=</v>
      </c>
      <c r="Q582">
        <v>381202</v>
      </c>
      <c r="R582" t="s">
        <v>450</v>
      </c>
      <c r="S582" t="s">
        <v>3027</v>
      </c>
      <c r="T582" t="s">
        <v>1178</v>
      </c>
      <c r="U582" t="s">
        <v>1209</v>
      </c>
      <c r="V582" t="s">
        <v>1192</v>
      </c>
      <c r="W582" t="s">
        <v>3028</v>
      </c>
      <c r="X582" t="s">
        <v>599</v>
      </c>
      <c r="Y582" t="s">
        <v>599</v>
      </c>
      <c r="Z582" t="s">
        <v>1182</v>
      </c>
      <c r="AA582" t="s">
        <v>3029</v>
      </c>
      <c r="AB582">
        <v>1639</v>
      </c>
      <c r="AC582">
        <v>1639</v>
      </c>
      <c r="AD582" t="s">
        <v>3030</v>
      </c>
      <c r="AE582" t="s">
        <v>1185</v>
      </c>
      <c r="AF582" t="s">
        <v>599</v>
      </c>
      <c r="AG582" t="s">
        <v>599</v>
      </c>
      <c r="AH582" t="s">
        <v>3031</v>
      </c>
      <c r="AI582" t="s">
        <v>599</v>
      </c>
      <c r="AJ582" t="s">
        <v>3032</v>
      </c>
      <c r="AK582" t="s">
        <v>3033</v>
      </c>
      <c r="AL582" t="s">
        <v>599</v>
      </c>
      <c r="AM582" t="s">
        <v>3034</v>
      </c>
      <c r="AN582" t="s">
        <v>1190</v>
      </c>
      <c r="AO582" t="s">
        <v>599</v>
      </c>
      <c r="AP582" t="s">
        <v>599</v>
      </c>
      <c r="AQ582" t="s">
        <v>3035</v>
      </c>
      <c r="AR582" t="s">
        <v>599</v>
      </c>
      <c r="AS582" t="s">
        <v>599</v>
      </c>
      <c r="AT582" t="s">
        <v>599</v>
      </c>
      <c r="AU582" t="s">
        <v>599</v>
      </c>
    </row>
    <row r="583" spans="1:47" ht="60" x14ac:dyDescent="0.25">
      <c r="A583" s="2">
        <v>11451</v>
      </c>
      <c r="B583" s="10">
        <v>381202</v>
      </c>
      <c r="C583" s="10">
        <v>2</v>
      </c>
      <c r="D583" s="9">
        <v>114</v>
      </c>
      <c r="E583" s="11" t="s">
        <v>450</v>
      </c>
      <c r="F583" s="11" t="str">
        <f t="shared" si="27"/>
        <v>https://purl.pt/23676</v>
      </c>
      <c r="G583" s="12" t="s">
        <v>451</v>
      </c>
      <c r="H583" s="9" t="s">
        <v>452</v>
      </c>
      <c r="I583" s="34"/>
      <c r="J583" s="55" t="str">
        <f t="shared" si="28"/>
        <v>https://permalinkbnd.bnportugal.gov.pt/viewer/14624/?offset=#page=114&amp;viewer=picture&amp;o=info&amp;n=0&amp;q=</v>
      </c>
      <c r="K583" s="45"/>
      <c r="L583" s="45"/>
      <c r="M583" s="45"/>
      <c r="N583" t="s">
        <v>450</v>
      </c>
      <c r="O583">
        <v>14624</v>
      </c>
      <c r="P583" t="str">
        <f t="shared" si="29"/>
        <v>https://permalinkbnd.bnportugal.gov.pt/viewer/14624/?offset=#page=114&amp;viewer=picture&amp;o=info&amp;n=0&amp;q=</v>
      </c>
      <c r="Q583">
        <v>381202</v>
      </c>
      <c r="R583" t="s">
        <v>450</v>
      </c>
      <c r="S583" t="s">
        <v>3027</v>
      </c>
      <c r="T583" t="s">
        <v>1178</v>
      </c>
      <c r="U583" t="s">
        <v>1209</v>
      </c>
      <c r="V583" t="s">
        <v>1192</v>
      </c>
      <c r="W583" t="s">
        <v>3028</v>
      </c>
      <c r="X583" t="s">
        <v>599</v>
      </c>
      <c r="Y583" t="s">
        <v>599</v>
      </c>
      <c r="Z583" t="s">
        <v>1182</v>
      </c>
      <c r="AA583" t="s">
        <v>3029</v>
      </c>
      <c r="AB583">
        <v>1639</v>
      </c>
      <c r="AC583">
        <v>1639</v>
      </c>
      <c r="AD583" t="s">
        <v>3030</v>
      </c>
      <c r="AE583" t="s">
        <v>1185</v>
      </c>
      <c r="AF583" t="s">
        <v>599</v>
      </c>
      <c r="AG583" t="s">
        <v>599</v>
      </c>
      <c r="AH583" t="s">
        <v>3031</v>
      </c>
      <c r="AI583" t="s">
        <v>599</v>
      </c>
      <c r="AJ583" t="s">
        <v>3032</v>
      </c>
      <c r="AK583" t="s">
        <v>3033</v>
      </c>
      <c r="AL583" t="s">
        <v>599</v>
      </c>
      <c r="AM583" t="s">
        <v>3034</v>
      </c>
      <c r="AN583" t="s">
        <v>1190</v>
      </c>
      <c r="AO583" t="s">
        <v>599</v>
      </c>
      <c r="AP583" t="s">
        <v>599</v>
      </c>
      <c r="AQ583" t="s">
        <v>3035</v>
      </c>
      <c r="AR583" t="s">
        <v>599</v>
      </c>
      <c r="AS583" t="s">
        <v>599</v>
      </c>
      <c r="AT583" t="s">
        <v>599</v>
      </c>
      <c r="AU583" t="s">
        <v>599</v>
      </c>
    </row>
    <row r="584" spans="1:47" ht="60" x14ac:dyDescent="0.25">
      <c r="A584" s="2">
        <v>11452</v>
      </c>
      <c r="B584" s="10">
        <v>381202</v>
      </c>
      <c r="C584" s="10">
        <v>2</v>
      </c>
      <c r="D584" s="9">
        <v>194</v>
      </c>
      <c r="E584" s="11" t="s">
        <v>450</v>
      </c>
      <c r="F584" s="11" t="str">
        <f t="shared" si="27"/>
        <v>https://purl.pt/23676</v>
      </c>
      <c r="G584" s="12" t="s">
        <v>451</v>
      </c>
      <c r="H584" s="9" t="s">
        <v>452</v>
      </c>
      <c r="I584" s="34"/>
      <c r="J584" s="55" t="str">
        <f t="shared" si="28"/>
        <v>https://permalinkbnd.bnportugal.gov.pt/viewer/14624/?offset=#page=194&amp;viewer=picture&amp;o=info&amp;n=0&amp;q=</v>
      </c>
      <c r="K584" s="45"/>
      <c r="L584" s="45"/>
      <c r="M584" s="45"/>
      <c r="N584" t="s">
        <v>450</v>
      </c>
      <c r="O584">
        <v>14624</v>
      </c>
      <c r="P584" t="str">
        <f t="shared" si="29"/>
        <v>https://permalinkbnd.bnportugal.gov.pt/viewer/14624/?offset=#page=194&amp;viewer=picture&amp;o=info&amp;n=0&amp;q=</v>
      </c>
      <c r="Q584">
        <v>381202</v>
      </c>
      <c r="R584" t="s">
        <v>450</v>
      </c>
      <c r="S584" t="s">
        <v>3027</v>
      </c>
      <c r="T584" t="s">
        <v>1178</v>
      </c>
      <c r="U584" t="s">
        <v>1209</v>
      </c>
      <c r="V584" t="s">
        <v>1192</v>
      </c>
      <c r="W584" t="s">
        <v>3028</v>
      </c>
      <c r="X584" t="s">
        <v>599</v>
      </c>
      <c r="Y584" t="s">
        <v>599</v>
      </c>
      <c r="Z584" t="s">
        <v>1182</v>
      </c>
      <c r="AA584" t="s">
        <v>3029</v>
      </c>
      <c r="AB584">
        <v>1639</v>
      </c>
      <c r="AC584">
        <v>1639</v>
      </c>
      <c r="AD584" t="s">
        <v>3030</v>
      </c>
      <c r="AE584" t="s">
        <v>1185</v>
      </c>
      <c r="AF584" t="s">
        <v>599</v>
      </c>
      <c r="AG584" t="s">
        <v>599</v>
      </c>
      <c r="AH584" t="s">
        <v>3031</v>
      </c>
      <c r="AI584" t="s">
        <v>599</v>
      </c>
      <c r="AJ584" t="s">
        <v>3032</v>
      </c>
      <c r="AK584" t="s">
        <v>3033</v>
      </c>
      <c r="AL584" t="s">
        <v>599</v>
      </c>
      <c r="AM584" t="s">
        <v>3034</v>
      </c>
      <c r="AN584" t="s">
        <v>1190</v>
      </c>
      <c r="AO584" t="s">
        <v>599</v>
      </c>
      <c r="AP584" t="s">
        <v>599</v>
      </c>
      <c r="AQ584" t="s">
        <v>3035</v>
      </c>
      <c r="AR584" t="s">
        <v>599</v>
      </c>
      <c r="AS584" t="s">
        <v>599</v>
      </c>
      <c r="AT584" t="s">
        <v>599</v>
      </c>
      <c r="AU584" t="s">
        <v>599</v>
      </c>
    </row>
    <row r="585" spans="1:47" ht="60" x14ac:dyDescent="0.25">
      <c r="A585" s="2">
        <v>11453</v>
      </c>
      <c r="B585" s="10">
        <v>381202</v>
      </c>
      <c r="C585" s="10">
        <v>2</v>
      </c>
      <c r="D585" s="9">
        <v>274</v>
      </c>
      <c r="E585" s="11" t="s">
        <v>450</v>
      </c>
      <c r="F585" s="11" t="str">
        <f t="shared" si="27"/>
        <v>https://purl.pt/23676</v>
      </c>
      <c r="G585" s="12" t="s">
        <v>451</v>
      </c>
      <c r="H585" s="9" t="s">
        <v>452</v>
      </c>
      <c r="I585" s="34"/>
      <c r="J585" s="55" t="str">
        <f t="shared" si="28"/>
        <v>https://permalinkbnd.bnportugal.gov.pt/viewer/14624/?offset=#page=274&amp;viewer=picture&amp;o=info&amp;n=0&amp;q=</v>
      </c>
      <c r="K585" s="45"/>
      <c r="L585" s="45"/>
      <c r="M585" s="45"/>
      <c r="N585" t="s">
        <v>450</v>
      </c>
      <c r="O585">
        <v>14624</v>
      </c>
      <c r="P585" t="str">
        <f t="shared" si="29"/>
        <v>https://permalinkbnd.bnportugal.gov.pt/viewer/14624/?offset=#page=274&amp;viewer=picture&amp;o=info&amp;n=0&amp;q=</v>
      </c>
      <c r="Q585">
        <v>381202</v>
      </c>
      <c r="R585" t="s">
        <v>450</v>
      </c>
      <c r="S585" t="s">
        <v>3027</v>
      </c>
      <c r="T585" t="s">
        <v>1178</v>
      </c>
      <c r="U585" t="s">
        <v>1209</v>
      </c>
      <c r="V585" t="s">
        <v>1192</v>
      </c>
      <c r="W585" t="s">
        <v>3028</v>
      </c>
      <c r="X585" t="s">
        <v>599</v>
      </c>
      <c r="Y585" t="s">
        <v>599</v>
      </c>
      <c r="Z585" t="s">
        <v>1182</v>
      </c>
      <c r="AA585" t="s">
        <v>3029</v>
      </c>
      <c r="AB585">
        <v>1639</v>
      </c>
      <c r="AC585">
        <v>1639</v>
      </c>
      <c r="AD585" t="s">
        <v>3030</v>
      </c>
      <c r="AE585" t="s">
        <v>1185</v>
      </c>
      <c r="AF585" t="s">
        <v>599</v>
      </c>
      <c r="AG585" t="s">
        <v>599</v>
      </c>
      <c r="AH585" t="s">
        <v>3031</v>
      </c>
      <c r="AI585" t="s">
        <v>599</v>
      </c>
      <c r="AJ585" t="s">
        <v>3032</v>
      </c>
      <c r="AK585" t="s">
        <v>3033</v>
      </c>
      <c r="AL585" t="s">
        <v>599</v>
      </c>
      <c r="AM585" t="s">
        <v>3034</v>
      </c>
      <c r="AN585" t="s">
        <v>1190</v>
      </c>
      <c r="AO585" t="s">
        <v>599</v>
      </c>
      <c r="AP585" t="s">
        <v>599</v>
      </c>
      <c r="AQ585" t="s">
        <v>3035</v>
      </c>
      <c r="AR585" t="s">
        <v>599</v>
      </c>
      <c r="AS585" t="s">
        <v>599</v>
      </c>
      <c r="AT585" t="s">
        <v>599</v>
      </c>
      <c r="AU585" t="s">
        <v>599</v>
      </c>
    </row>
    <row r="586" spans="1:47" ht="60" x14ac:dyDescent="0.25">
      <c r="A586" s="2">
        <v>11454</v>
      </c>
      <c r="B586" s="10">
        <v>381202</v>
      </c>
      <c r="C586" s="10">
        <v>2</v>
      </c>
      <c r="D586" s="9">
        <v>418</v>
      </c>
      <c r="E586" s="11" t="s">
        <v>450</v>
      </c>
      <c r="F586" s="11" t="str">
        <f t="shared" si="27"/>
        <v>https://purl.pt/23676</v>
      </c>
      <c r="G586" s="12" t="s">
        <v>451</v>
      </c>
      <c r="H586" s="9" t="s">
        <v>452</v>
      </c>
      <c r="I586" s="34"/>
      <c r="J586" s="55" t="str">
        <f t="shared" si="28"/>
        <v>https://permalinkbnd.bnportugal.gov.pt/viewer/14624/?offset=#page=418&amp;viewer=picture&amp;o=info&amp;n=0&amp;q=</v>
      </c>
      <c r="K586" s="45"/>
      <c r="L586" s="45"/>
      <c r="M586" s="45"/>
      <c r="N586" t="s">
        <v>450</v>
      </c>
      <c r="O586">
        <v>14624</v>
      </c>
      <c r="P586" t="str">
        <f t="shared" si="29"/>
        <v>https://permalinkbnd.bnportugal.gov.pt/viewer/14624/?offset=#page=418&amp;viewer=picture&amp;o=info&amp;n=0&amp;q=</v>
      </c>
      <c r="Q586">
        <v>381202</v>
      </c>
      <c r="R586" t="s">
        <v>450</v>
      </c>
      <c r="S586" t="s">
        <v>3027</v>
      </c>
      <c r="T586" t="s">
        <v>1178</v>
      </c>
      <c r="U586" t="s">
        <v>1209</v>
      </c>
      <c r="V586" t="s">
        <v>1192</v>
      </c>
      <c r="W586" t="s">
        <v>3028</v>
      </c>
      <c r="X586" t="s">
        <v>599</v>
      </c>
      <c r="Y586" t="s">
        <v>599</v>
      </c>
      <c r="Z586" t="s">
        <v>1182</v>
      </c>
      <c r="AA586" t="s">
        <v>3029</v>
      </c>
      <c r="AB586">
        <v>1639</v>
      </c>
      <c r="AC586">
        <v>1639</v>
      </c>
      <c r="AD586" t="s">
        <v>3030</v>
      </c>
      <c r="AE586" t="s">
        <v>1185</v>
      </c>
      <c r="AF586" t="s">
        <v>599</v>
      </c>
      <c r="AG586" t="s">
        <v>599</v>
      </c>
      <c r="AH586" t="s">
        <v>3031</v>
      </c>
      <c r="AI586" t="s">
        <v>599</v>
      </c>
      <c r="AJ586" t="s">
        <v>3032</v>
      </c>
      <c r="AK586" t="s">
        <v>3033</v>
      </c>
      <c r="AL586" t="s">
        <v>599</v>
      </c>
      <c r="AM586" t="s">
        <v>3034</v>
      </c>
      <c r="AN586" t="s">
        <v>1190</v>
      </c>
      <c r="AO586" t="s">
        <v>599</v>
      </c>
      <c r="AP586" t="s">
        <v>599</v>
      </c>
      <c r="AQ586" t="s">
        <v>3035</v>
      </c>
      <c r="AR586" t="s">
        <v>599</v>
      </c>
      <c r="AS586" t="s">
        <v>599</v>
      </c>
      <c r="AT586" t="s">
        <v>599</v>
      </c>
      <c r="AU586" t="s">
        <v>599</v>
      </c>
    </row>
    <row r="587" spans="1:47" ht="60" x14ac:dyDescent="0.25">
      <c r="A587" s="2">
        <v>11455</v>
      </c>
      <c r="B587" s="10">
        <v>381202</v>
      </c>
      <c r="C587" s="10">
        <v>2</v>
      </c>
      <c r="D587" s="9">
        <v>454</v>
      </c>
      <c r="E587" s="11" t="s">
        <v>450</v>
      </c>
      <c r="F587" s="11" t="str">
        <f t="shared" si="27"/>
        <v>https://purl.pt/23676</v>
      </c>
      <c r="G587" s="12" t="s">
        <v>451</v>
      </c>
      <c r="H587" s="9" t="s">
        <v>452</v>
      </c>
      <c r="I587" s="34"/>
      <c r="J587" s="55" t="str">
        <f t="shared" si="28"/>
        <v>https://permalinkbnd.bnportugal.gov.pt/viewer/14624/?offset=#page=454&amp;viewer=picture&amp;o=info&amp;n=0&amp;q=</v>
      </c>
      <c r="K587" s="45"/>
      <c r="L587" s="45"/>
      <c r="M587" s="45"/>
      <c r="N587" t="s">
        <v>450</v>
      </c>
      <c r="O587">
        <v>14624</v>
      </c>
      <c r="P587" t="str">
        <f t="shared" si="29"/>
        <v>https://permalinkbnd.bnportugal.gov.pt/viewer/14624/?offset=#page=454&amp;viewer=picture&amp;o=info&amp;n=0&amp;q=</v>
      </c>
      <c r="Q587">
        <v>381202</v>
      </c>
      <c r="R587" t="s">
        <v>450</v>
      </c>
      <c r="S587" t="s">
        <v>3027</v>
      </c>
      <c r="T587" t="s">
        <v>1178</v>
      </c>
      <c r="U587" t="s">
        <v>1209</v>
      </c>
      <c r="V587" t="s">
        <v>1192</v>
      </c>
      <c r="W587" t="s">
        <v>3028</v>
      </c>
      <c r="X587" t="s">
        <v>599</v>
      </c>
      <c r="Y587" t="s">
        <v>599</v>
      </c>
      <c r="Z587" t="s">
        <v>1182</v>
      </c>
      <c r="AA587" t="s">
        <v>3029</v>
      </c>
      <c r="AB587">
        <v>1639</v>
      </c>
      <c r="AC587">
        <v>1639</v>
      </c>
      <c r="AD587" t="s">
        <v>3030</v>
      </c>
      <c r="AE587" t="s">
        <v>1185</v>
      </c>
      <c r="AF587" t="s">
        <v>599</v>
      </c>
      <c r="AG587" t="s">
        <v>599</v>
      </c>
      <c r="AH587" t="s">
        <v>3031</v>
      </c>
      <c r="AI587" t="s">
        <v>599</v>
      </c>
      <c r="AJ587" t="s">
        <v>3032</v>
      </c>
      <c r="AK587" t="s">
        <v>3033</v>
      </c>
      <c r="AL587" t="s">
        <v>599</v>
      </c>
      <c r="AM587" t="s">
        <v>3034</v>
      </c>
      <c r="AN587" t="s">
        <v>1190</v>
      </c>
      <c r="AO587" t="s">
        <v>599</v>
      </c>
      <c r="AP587" t="s">
        <v>599</v>
      </c>
      <c r="AQ587" t="s">
        <v>3035</v>
      </c>
      <c r="AR587" t="s">
        <v>599</v>
      </c>
      <c r="AS587" t="s">
        <v>599</v>
      </c>
      <c r="AT587" t="s">
        <v>599</v>
      </c>
      <c r="AU587" t="s">
        <v>599</v>
      </c>
    </row>
    <row r="588" spans="1:47" ht="60" x14ac:dyDescent="0.25">
      <c r="A588" s="2">
        <v>11456</v>
      </c>
      <c r="B588" s="10">
        <v>381202</v>
      </c>
      <c r="C588" s="10">
        <v>2</v>
      </c>
      <c r="D588" s="9">
        <v>463</v>
      </c>
      <c r="E588" s="11" t="s">
        <v>450</v>
      </c>
      <c r="F588" s="11" t="str">
        <f t="shared" si="27"/>
        <v>https://purl.pt/23676</v>
      </c>
      <c r="G588" s="12" t="s">
        <v>451</v>
      </c>
      <c r="H588" s="9" t="s">
        <v>452</v>
      </c>
      <c r="I588" s="34"/>
      <c r="J588" s="55" t="str">
        <f t="shared" si="28"/>
        <v>https://permalinkbnd.bnportugal.gov.pt/viewer/14624/?offset=#page=463&amp;viewer=picture&amp;o=info&amp;n=0&amp;q=</v>
      </c>
      <c r="K588" s="45"/>
      <c r="L588" s="45"/>
      <c r="M588" s="45"/>
      <c r="N588" t="s">
        <v>450</v>
      </c>
      <c r="O588">
        <v>14624</v>
      </c>
      <c r="P588" t="str">
        <f t="shared" si="29"/>
        <v>https://permalinkbnd.bnportugal.gov.pt/viewer/14624/?offset=#page=463&amp;viewer=picture&amp;o=info&amp;n=0&amp;q=</v>
      </c>
      <c r="Q588">
        <v>381202</v>
      </c>
      <c r="R588" t="s">
        <v>450</v>
      </c>
      <c r="S588" t="s">
        <v>3027</v>
      </c>
      <c r="T588" t="s">
        <v>1178</v>
      </c>
      <c r="U588" t="s">
        <v>1209</v>
      </c>
      <c r="V588" t="s">
        <v>1192</v>
      </c>
      <c r="W588" t="s">
        <v>3028</v>
      </c>
      <c r="X588" t="s">
        <v>599</v>
      </c>
      <c r="Y588" t="s">
        <v>599</v>
      </c>
      <c r="Z588" t="s">
        <v>1182</v>
      </c>
      <c r="AA588" t="s">
        <v>3029</v>
      </c>
      <c r="AB588">
        <v>1639</v>
      </c>
      <c r="AC588">
        <v>1639</v>
      </c>
      <c r="AD588" t="s">
        <v>3030</v>
      </c>
      <c r="AE588" t="s">
        <v>1185</v>
      </c>
      <c r="AF588" t="s">
        <v>599</v>
      </c>
      <c r="AG588" t="s">
        <v>599</v>
      </c>
      <c r="AH588" t="s">
        <v>3031</v>
      </c>
      <c r="AI588" t="s">
        <v>599</v>
      </c>
      <c r="AJ588" t="s">
        <v>3032</v>
      </c>
      <c r="AK588" t="s">
        <v>3033</v>
      </c>
      <c r="AL588" t="s">
        <v>599</v>
      </c>
      <c r="AM588" t="s">
        <v>3034</v>
      </c>
      <c r="AN588" t="s">
        <v>1190</v>
      </c>
      <c r="AO588" t="s">
        <v>599</v>
      </c>
      <c r="AP588" t="s">
        <v>599</v>
      </c>
      <c r="AQ588" t="s">
        <v>3035</v>
      </c>
      <c r="AR588" t="s">
        <v>599</v>
      </c>
      <c r="AS588" t="s">
        <v>599</v>
      </c>
      <c r="AT588" t="s">
        <v>599</v>
      </c>
      <c r="AU588" t="s">
        <v>599</v>
      </c>
    </row>
    <row r="589" spans="1:47" ht="60" x14ac:dyDescent="0.25">
      <c r="A589" s="2">
        <v>11457</v>
      </c>
      <c r="B589" s="10">
        <v>381202</v>
      </c>
      <c r="C589" s="10">
        <v>2</v>
      </c>
      <c r="D589" s="9">
        <v>465</v>
      </c>
      <c r="E589" s="11" t="s">
        <v>450</v>
      </c>
      <c r="F589" s="11" t="str">
        <f t="shared" si="27"/>
        <v>https://purl.pt/23676</v>
      </c>
      <c r="G589" s="12" t="s">
        <v>451</v>
      </c>
      <c r="H589" s="9" t="s">
        <v>452</v>
      </c>
      <c r="I589" s="34"/>
      <c r="J589" s="55" t="str">
        <f t="shared" si="28"/>
        <v>https://permalinkbnd.bnportugal.gov.pt/viewer/14624/?offset=#page=465&amp;viewer=picture&amp;o=info&amp;n=0&amp;q=</v>
      </c>
      <c r="K589" s="45"/>
      <c r="L589" s="45"/>
      <c r="M589" s="45"/>
      <c r="N589" t="s">
        <v>450</v>
      </c>
      <c r="O589">
        <v>14624</v>
      </c>
      <c r="P589" t="str">
        <f t="shared" si="29"/>
        <v>https://permalinkbnd.bnportugal.gov.pt/viewer/14624/?offset=#page=465&amp;viewer=picture&amp;o=info&amp;n=0&amp;q=</v>
      </c>
      <c r="Q589">
        <v>381202</v>
      </c>
      <c r="R589" t="s">
        <v>450</v>
      </c>
      <c r="S589" t="s">
        <v>3027</v>
      </c>
      <c r="T589" t="s">
        <v>1178</v>
      </c>
      <c r="U589" t="s">
        <v>1209</v>
      </c>
      <c r="V589" t="s">
        <v>1192</v>
      </c>
      <c r="W589" t="s">
        <v>3028</v>
      </c>
      <c r="X589" t="s">
        <v>599</v>
      </c>
      <c r="Y589" t="s">
        <v>599</v>
      </c>
      <c r="Z589" t="s">
        <v>1182</v>
      </c>
      <c r="AA589" t="s">
        <v>3029</v>
      </c>
      <c r="AB589">
        <v>1639</v>
      </c>
      <c r="AC589">
        <v>1639</v>
      </c>
      <c r="AD589" t="s">
        <v>3030</v>
      </c>
      <c r="AE589" t="s">
        <v>1185</v>
      </c>
      <c r="AF589" t="s">
        <v>599</v>
      </c>
      <c r="AG589" t="s">
        <v>599</v>
      </c>
      <c r="AH589" t="s">
        <v>3031</v>
      </c>
      <c r="AI589" t="s">
        <v>599</v>
      </c>
      <c r="AJ589" t="s">
        <v>3032</v>
      </c>
      <c r="AK589" t="s">
        <v>3033</v>
      </c>
      <c r="AL589" t="s">
        <v>599</v>
      </c>
      <c r="AM589" t="s">
        <v>3034</v>
      </c>
      <c r="AN589" t="s">
        <v>1190</v>
      </c>
      <c r="AO589" t="s">
        <v>599</v>
      </c>
      <c r="AP589" t="s">
        <v>599</v>
      </c>
      <c r="AQ589" t="s">
        <v>3035</v>
      </c>
      <c r="AR589" t="s">
        <v>599</v>
      </c>
      <c r="AS589" t="s">
        <v>599</v>
      </c>
      <c r="AT589" t="s">
        <v>599</v>
      </c>
      <c r="AU589" t="s">
        <v>599</v>
      </c>
    </row>
    <row r="590" spans="1:47" ht="60" x14ac:dyDescent="0.25">
      <c r="A590" s="2">
        <v>11458</v>
      </c>
      <c r="B590" s="10">
        <v>381202</v>
      </c>
      <c r="C590" s="10">
        <v>2</v>
      </c>
      <c r="D590" s="9">
        <v>466</v>
      </c>
      <c r="E590" s="11" t="s">
        <v>450</v>
      </c>
      <c r="F590" s="11" t="str">
        <f t="shared" si="27"/>
        <v>https://purl.pt/23676</v>
      </c>
      <c r="G590" s="12" t="s">
        <v>451</v>
      </c>
      <c r="H590" s="9" t="s">
        <v>452</v>
      </c>
      <c r="I590" s="34"/>
      <c r="J590" s="55" t="str">
        <f t="shared" si="28"/>
        <v>https://permalinkbnd.bnportugal.gov.pt/viewer/14624/?offset=#page=466&amp;viewer=picture&amp;o=info&amp;n=0&amp;q=</v>
      </c>
      <c r="K590" s="45"/>
      <c r="L590" s="45"/>
      <c r="M590" s="45"/>
      <c r="N590" t="s">
        <v>450</v>
      </c>
      <c r="O590">
        <v>14624</v>
      </c>
      <c r="P590" t="str">
        <f t="shared" si="29"/>
        <v>https://permalinkbnd.bnportugal.gov.pt/viewer/14624/?offset=#page=466&amp;viewer=picture&amp;o=info&amp;n=0&amp;q=</v>
      </c>
      <c r="Q590">
        <v>381202</v>
      </c>
      <c r="R590" t="s">
        <v>450</v>
      </c>
      <c r="S590" t="s">
        <v>3027</v>
      </c>
      <c r="T590" t="s">
        <v>1178</v>
      </c>
      <c r="U590" t="s">
        <v>1209</v>
      </c>
      <c r="V590" t="s">
        <v>1192</v>
      </c>
      <c r="W590" t="s">
        <v>3028</v>
      </c>
      <c r="X590" t="s">
        <v>599</v>
      </c>
      <c r="Y590" t="s">
        <v>599</v>
      </c>
      <c r="Z590" t="s">
        <v>1182</v>
      </c>
      <c r="AA590" t="s">
        <v>3029</v>
      </c>
      <c r="AB590">
        <v>1639</v>
      </c>
      <c r="AC590">
        <v>1639</v>
      </c>
      <c r="AD590" t="s">
        <v>3030</v>
      </c>
      <c r="AE590" t="s">
        <v>1185</v>
      </c>
      <c r="AF590" t="s">
        <v>599</v>
      </c>
      <c r="AG590" t="s">
        <v>599</v>
      </c>
      <c r="AH590" t="s">
        <v>3031</v>
      </c>
      <c r="AI590" t="s">
        <v>599</v>
      </c>
      <c r="AJ590" t="s">
        <v>3032</v>
      </c>
      <c r="AK590" t="s">
        <v>3033</v>
      </c>
      <c r="AL590" t="s">
        <v>599</v>
      </c>
      <c r="AM590" t="s">
        <v>3034</v>
      </c>
      <c r="AN590" t="s">
        <v>1190</v>
      </c>
      <c r="AO590" t="s">
        <v>599</v>
      </c>
      <c r="AP590" t="s">
        <v>599</v>
      </c>
      <c r="AQ590" t="s">
        <v>3035</v>
      </c>
      <c r="AR590" t="s">
        <v>599</v>
      </c>
      <c r="AS590" t="s">
        <v>599</v>
      </c>
      <c r="AT590" t="s">
        <v>599</v>
      </c>
      <c r="AU590" t="s">
        <v>599</v>
      </c>
    </row>
    <row r="591" spans="1:47" ht="60" x14ac:dyDescent="0.25">
      <c r="A591" s="2">
        <v>11459</v>
      </c>
      <c r="B591" s="10">
        <v>381202</v>
      </c>
      <c r="C591" s="10">
        <v>2</v>
      </c>
      <c r="D591" s="9">
        <v>468</v>
      </c>
      <c r="E591" s="11" t="s">
        <v>450</v>
      </c>
      <c r="F591" s="11" t="str">
        <f t="shared" si="27"/>
        <v>https://purl.pt/23676</v>
      </c>
      <c r="G591" s="12" t="s">
        <v>451</v>
      </c>
      <c r="H591" s="9" t="s">
        <v>452</v>
      </c>
      <c r="I591" s="34"/>
      <c r="J591" s="55" t="str">
        <f t="shared" si="28"/>
        <v>https://permalinkbnd.bnportugal.gov.pt/viewer/14624/?offset=#page=468&amp;viewer=picture&amp;o=info&amp;n=0&amp;q=</v>
      </c>
      <c r="K591" s="45"/>
      <c r="L591" s="45"/>
      <c r="M591" s="45"/>
      <c r="N591" t="s">
        <v>450</v>
      </c>
      <c r="O591">
        <v>14624</v>
      </c>
      <c r="P591" t="str">
        <f t="shared" si="29"/>
        <v>https://permalinkbnd.bnportugal.gov.pt/viewer/14624/?offset=#page=468&amp;viewer=picture&amp;o=info&amp;n=0&amp;q=</v>
      </c>
      <c r="Q591">
        <v>381202</v>
      </c>
      <c r="R591" t="s">
        <v>450</v>
      </c>
      <c r="S591" t="s">
        <v>3027</v>
      </c>
      <c r="T591" t="s">
        <v>1178</v>
      </c>
      <c r="U591" t="s">
        <v>1209</v>
      </c>
      <c r="V591" t="s">
        <v>1192</v>
      </c>
      <c r="W591" t="s">
        <v>3028</v>
      </c>
      <c r="X591" t="s">
        <v>599</v>
      </c>
      <c r="Y591" t="s">
        <v>599</v>
      </c>
      <c r="Z591" t="s">
        <v>1182</v>
      </c>
      <c r="AA591" t="s">
        <v>3029</v>
      </c>
      <c r="AB591">
        <v>1639</v>
      </c>
      <c r="AC591">
        <v>1639</v>
      </c>
      <c r="AD591" t="s">
        <v>3030</v>
      </c>
      <c r="AE591" t="s">
        <v>1185</v>
      </c>
      <c r="AF591" t="s">
        <v>599</v>
      </c>
      <c r="AG591" t="s">
        <v>599</v>
      </c>
      <c r="AH591" t="s">
        <v>3031</v>
      </c>
      <c r="AI591" t="s">
        <v>599</v>
      </c>
      <c r="AJ591" t="s">
        <v>3032</v>
      </c>
      <c r="AK591" t="s">
        <v>3033</v>
      </c>
      <c r="AL591" t="s">
        <v>599</v>
      </c>
      <c r="AM591" t="s">
        <v>3034</v>
      </c>
      <c r="AN591" t="s">
        <v>1190</v>
      </c>
      <c r="AO591" t="s">
        <v>599</v>
      </c>
      <c r="AP591" t="s">
        <v>599</v>
      </c>
      <c r="AQ591" t="s">
        <v>3035</v>
      </c>
      <c r="AR591" t="s">
        <v>599</v>
      </c>
      <c r="AS591" t="s">
        <v>599</v>
      </c>
      <c r="AT591" t="s">
        <v>599</v>
      </c>
      <c r="AU591" t="s">
        <v>599</v>
      </c>
    </row>
    <row r="592" spans="1:47" ht="60" x14ac:dyDescent="0.25">
      <c r="A592" s="2">
        <v>11460</v>
      </c>
      <c r="B592" s="10">
        <v>381202</v>
      </c>
      <c r="C592" s="10">
        <v>2</v>
      </c>
      <c r="D592" s="9">
        <v>472</v>
      </c>
      <c r="E592" s="11" t="s">
        <v>450</v>
      </c>
      <c r="F592" s="11" t="str">
        <f t="shared" si="27"/>
        <v>https://purl.pt/23676</v>
      </c>
      <c r="G592" s="12" t="s">
        <v>451</v>
      </c>
      <c r="H592" s="9" t="s">
        <v>452</v>
      </c>
      <c r="I592" s="34"/>
      <c r="J592" s="55" t="str">
        <f t="shared" si="28"/>
        <v>https://permalinkbnd.bnportugal.gov.pt/viewer/14624/?offset=#page=472&amp;viewer=picture&amp;o=info&amp;n=0&amp;q=</v>
      </c>
      <c r="K592" s="45"/>
      <c r="L592" s="45"/>
      <c r="M592" s="45"/>
      <c r="N592" t="s">
        <v>450</v>
      </c>
      <c r="O592">
        <v>14624</v>
      </c>
      <c r="P592" t="str">
        <f t="shared" si="29"/>
        <v>https://permalinkbnd.bnportugal.gov.pt/viewer/14624/?offset=#page=472&amp;viewer=picture&amp;o=info&amp;n=0&amp;q=</v>
      </c>
      <c r="Q592">
        <v>381202</v>
      </c>
      <c r="R592" t="s">
        <v>450</v>
      </c>
      <c r="S592" t="s">
        <v>3027</v>
      </c>
      <c r="T592" t="s">
        <v>1178</v>
      </c>
      <c r="U592" t="s">
        <v>1209</v>
      </c>
      <c r="V592" t="s">
        <v>1192</v>
      </c>
      <c r="W592" t="s">
        <v>3028</v>
      </c>
      <c r="X592" t="s">
        <v>599</v>
      </c>
      <c r="Y592" t="s">
        <v>599</v>
      </c>
      <c r="Z592" t="s">
        <v>1182</v>
      </c>
      <c r="AA592" t="s">
        <v>3029</v>
      </c>
      <c r="AB592">
        <v>1639</v>
      </c>
      <c r="AC592">
        <v>1639</v>
      </c>
      <c r="AD592" t="s">
        <v>3030</v>
      </c>
      <c r="AE592" t="s">
        <v>1185</v>
      </c>
      <c r="AF592" t="s">
        <v>599</v>
      </c>
      <c r="AG592" t="s">
        <v>599</v>
      </c>
      <c r="AH592" t="s">
        <v>3031</v>
      </c>
      <c r="AI592" t="s">
        <v>599</v>
      </c>
      <c r="AJ592" t="s">
        <v>3032</v>
      </c>
      <c r="AK592" t="s">
        <v>3033</v>
      </c>
      <c r="AL592" t="s">
        <v>599</v>
      </c>
      <c r="AM592" t="s">
        <v>3034</v>
      </c>
      <c r="AN592" t="s">
        <v>1190</v>
      </c>
      <c r="AO592" t="s">
        <v>599</v>
      </c>
      <c r="AP592" t="s">
        <v>599</v>
      </c>
      <c r="AQ592" t="s">
        <v>3035</v>
      </c>
      <c r="AR592" t="s">
        <v>599</v>
      </c>
      <c r="AS592" t="s">
        <v>599</v>
      </c>
      <c r="AT592" t="s">
        <v>599</v>
      </c>
      <c r="AU592" t="s">
        <v>599</v>
      </c>
    </row>
    <row r="593" spans="1:47" ht="60" x14ac:dyDescent="0.25">
      <c r="A593" s="2">
        <v>11461</v>
      </c>
      <c r="B593" s="10">
        <v>381202</v>
      </c>
      <c r="C593" s="10">
        <v>2</v>
      </c>
      <c r="D593" s="9">
        <v>473</v>
      </c>
      <c r="E593" s="11" t="s">
        <v>450</v>
      </c>
      <c r="F593" s="11" t="str">
        <f t="shared" si="27"/>
        <v>https://purl.pt/23676</v>
      </c>
      <c r="G593" s="12" t="s">
        <v>451</v>
      </c>
      <c r="H593" s="9" t="s">
        <v>452</v>
      </c>
      <c r="I593" s="34"/>
      <c r="J593" s="55" t="str">
        <f t="shared" si="28"/>
        <v>https://permalinkbnd.bnportugal.gov.pt/viewer/14624/?offset=#page=473&amp;viewer=picture&amp;o=info&amp;n=0&amp;q=</v>
      </c>
      <c r="K593" s="45"/>
      <c r="L593" s="45"/>
      <c r="M593" s="45"/>
      <c r="N593" t="s">
        <v>450</v>
      </c>
      <c r="O593">
        <v>14624</v>
      </c>
      <c r="P593" t="str">
        <f t="shared" si="29"/>
        <v>https://permalinkbnd.bnportugal.gov.pt/viewer/14624/?offset=#page=473&amp;viewer=picture&amp;o=info&amp;n=0&amp;q=</v>
      </c>
      <c r="Q593">
        <v>381202</v>
      </c>
      <c r="R593" t="s">
        <v>450</v>
      </c>
      <c r="S593" t="s">
        <v>3027</v>
      </c>
      <c r="T593" t="s">
        <v>1178</v>
      </c>
      <c r="U593" t="s">
        <v>1209</v>
      </c>
      <c r="V593" t="s">
        <v>1192</v>
      </c>
      <c r="W593" t="s">
        <v>3028</v>
      </c>
      <c r="X593" t="s">
        <v>599</v>
      </c>
      <c r="Y593" t="s">
        <v>599</v>
      </c>
      <c r="Z593" t="s">
        <v>1182</v>
      </c>
      <c r="AA593" t="s">
        <v>3029</v>
      </c>
      <c r="AB593">
        <v>1639</v>
      </c>
      <c r="AC593">
        <v>1639</v>
      </c>
      <c r="AD593" t="s">
        <v>3030</v>
      </c>
      <c r="AE593" t="s">
        <v>1185</v>
      </c>
      <c r="AF593" t="s">
        <v>599</v>
      </c>
      <c r="AG593" t="s">
        <v>599</v>
      </c>
      <c r="AH593" t="s">
        <v>3031</v>
      </c>
      <c r="AI593" t="s">
        <v>599</v>
      </c>
      <c r="AJ593" t="s">
        <v>3032</v>
      </c>
      <c r="AK593" t="s">
        <v>3033</v>
      </c>
      <c r="AL593" t="s">
        <v>599</v>
      </c>
      <c r="AM593" t="s">
        <v>3034</v>
      </c>
      <c r="AN593" t="s">
        <v>1190</v>
      </c>
      <c r="AO593" t="s">
        <v>599</v>
      </c>
      <c r="AP593" t="s">
        <v>599</v>
      </c>
      <c r="AQ593" t="s">
        <v>3035</v>
      </c>
      <c r="AR593" t="s">
        <v>599</v>
      </c>
      <c r="AS593" t="s">
        <v>599</v>
      </c>
      <c r="AT593" t="s">
        <v>599</v>
      </c>
      <c r="AU593" t="s">
        <v>599</v>
      </c>
    </row>
    <row r="594" spans="1:47" ht="60" x14ac:dyDescent="0.25">
      <c r="A594" s="2">
        <v>11462</v>
      </c>
      <c r="B594" s="10">
        <v>381202</v>
      </c>
      <c r="C594" s="10">
        <v>2</v>
      </c>
      <c r="D594" s="9">
        <v>474</v>
      </c>
      <c r="E594" s="11" t="s">
        <v>450</v>
      </c>
      <c r="F594" s="11" t="str">
        <f t="shared" si="27"/>
        <v>https://purl.pt/23676</v>
      </c>
      <c r="G594" s="12" t="s">
        <v>451</v>
      </c>
      <c r="H594" s="9" t="s">
        <v>452</v>
      </c>
      <c r="I594" s="34"/>
      <c r="J594" s="55" t="str">
        <f t="shared" si="28"/>
        <v>https://permalinkbnd.bnportugal.gov.pt/viewer/14624/?offset=#page=474&amp;viewer=picture&amp;o=info&amp;n=0&amp;q=</v>
      </c>
      <c r="K594" s="45"/>
      <c r="L594" s="45"/>
      <c r="M594" s="45"/>
      <c r="N594" t="s">
        <v>450</v>
      </c>
      <c r="O594">
        <v>14624</v>
      </c>
      <c r="P594" t="str">
        <f t="shared" si="29"/>
        <v>https://permalinkbnd.bnportugal.gov.pt/viewer/14624/?offset=#page=474&amp;viewer=picture&amp;o=info&amp;n=0&amp;q=</v>
      </c>
      <c r="Q594">
        <v>381202</v>
      </c>
      <c r="R594" t="s">
        <v>450</v>
      </c>
      <c r="S594" t="s">
        <v>3027</v>
      </c>
      <c r="T594" t="s">
        <v>1178</v>
      </c>
      <c r="U594" t="s">
        <v>1209</v>
      </c>
      <c r="V594" t="s">
        <v>1192</v>
      </c>
      <c r="W594" t="s">
        <v>3028</v>
      </c>
      <c r="X594" t="s">
        <v>599</v>
      </c>
      <c r="Y594" t="s">
        <v>599</v>
      </c>
      <c r="Z594" t="s">
        <v>1182</v>
      </c>
      <c r="AA594" t="s">
        <v>3029</v>
      </c>
      <c r="AB594">
        <v>1639</v>
      </c>
      <c r="AC594">
        <v>1639</v>
      </c>
      <c r="AD594" t="s">
        <v>3030</v>
      </c>
      <c r="AE594" t="s">
        <v>1185</v>
      </c>
      <c r="AF594" t="s">
        <v>599</v>
      </c>
      <c r="AG594" t="s">
        <v>599</v>
      </c>
      <c r="AH594" t="s">
        <v>3031</v>
      </c>
      <c r="AI594" t="s">
        <v>599</v>
      </c>
      <c r="AJ594" t="s">
        <v>3032</v>
      </c>
      <c r="AK594" t="s">
        <v>3033</v>
      </c>
      <c r="AL594" t="s">
        <v>599</v>
      </c>
      <c r="AM594" t="s">
        <v>3034</v>
      </c>
      <c r="AN594" t="s">
        <v>1190</v>
      </c>
      <c r="AO594" t="s">
        <v>599</v>
      </c>
      <c r="AP594" t="s">
        <v>599</v>
      </c>
      <c r="AQ594" t="s">
        <v>3035</v>
      </c>
      <c r="AR594" t="s">
        <v>599</v>
      </c>
      <c r="AS594" t="s">
        <v>599</v>
      </c>
      <c r="AT594" t="s">
        <v>599</v>
      </c>
      <c r="AU594" t="s">
        <v>599</v>
      </c>
    </row>
    <row r="595" spans="1:47" ht="60" x14ac:dyDescent="0.25">
      <c r="A595" s="2">
        <v>11463</v>
      </c>
      <c r="B595" s="10">
        <v>381202</v>
      </c>
      <c r="C595" s="10">
        <v>2</v>
      </c>
      <c r="D595" s="9">
        <v>476</v>
      </c>
      <c r="E595" s="11" t="s">
        <v>450</v>
      </c>
      <c r="F595" s="11" t="str">
        <f t="shared" si="27"/>
        <v>https://purl.pt/23676</v>
      </c>
      <c r="G595" s="12" t="s">
        <v>451</v>
      </c>
      <c r="H595" s="9" t="s">
        <v>452</v>
      </c>
      <c r="I595" s="34"/>
      <c r="J595" s="55" t="str">
        <f t="shared" si="28"/>
        <v>https://permalinkbnd.bnportugal.gov.pt/viewer/14624/?offset=#page=476&amp;viewer=picture&amp;o=info&amp;n=0&amp;q=</v>
      </c>
      <c r="K595" s="45"/>
      <c r="L595" s="45"/>
      <c r="M595" s="45"/>
      <c r="N595" t="s">
        <v>450</v>
      </c>
      <c r="O595">
        <v>14624</v>
      </c>
      <c r="P595" t="str">
        <f t="shared" si="29"/>
        <v>https://permalinkbnd.bnportugal.gov.pt/viewer/14624/?offset=#page=476&amp;viewer=picture&amp;o=info&amp;n=0&amp;q=</v>
      </c>
      <c r="Q595">
        <v>381202</v>
      </c>
      <c r="R595" t="s">
        <v>450</v>
      </c>
      <c r="S595" t="s">
        <v>3027</v>
      </c>
      <c r="T595" t="s">
        <v>1178</v>
      </c>
      <c r="U595" t="s">
        <v>1209</v>
      </c>
      <c r="V595" t="s">
        <v>1192</v>
      </c>
      <c r="W595" t="s">
        <v>3028</v>
      </c>
      <c r="X595" t="s">
        <v>599</v>
      </c>
      <c r="Y595" t="s">
        <v>599</v>
      </c>
      <c r="Z595" t="s">
        <v>1182</v>
      </c>
      <c r="AA595" t="s">
        <v>3029</v>
      </c>
      <c r="AB595">
        <v>1639</v>
      </c>
      <c r="AC595">
        <v>1639</v>
      </c>
      <c r="AD595" t="s">
        <v>3030</v>
      </c>
      <c r="AE595" t="s">
        <v>1185</v>
      </c>
      <c r="AF595" t="s">
        <v>599</v>
      </c>
      <c r="AG595" t="s">
        <v>599</v>
      </c>
      <c r="AH595" t="s">
        <v>3031</v>
      </c>
      <c r="AI595" t="s">
        <v>599</v>
      </c>
      <c r="AJ595" t="s">
        <v>3032</v>
      </c>
      <c r="AK595" t="s">
        <v>3033</v>
      </c>
      <c r="AL595" t="s">
        <v>599</v>
      </c>
      <c r="AM595" t="s">
        <v>3034</v>
      </c>
      <c r="AN595" t="s">
        <v>1190</v>
      </c>
      <c r="AO595" t="s">
        <v>599</v>
      </c>
      <c r="AP595" t="s">
        <v>599</v>
      </c>
      <c r="AQ595" t="s">
        <v>3035</v>
      </c>
      <c r="AR595" t="s">
        <v>599</v>
      </c>
      <c r="AS595" t="s">
        <v>599</v>
      </c>
      <c r="AT595" t="s">
        <v>599</v>
      </c>
      <c r="AU595" t="s">
        <v>599</v>
      </c>
    </row>
    <row r="596" spans="1:47" ht="60" x14ac:dyDescent="0.25">
      <c r="A596" s="2">
        <v>11464</v>
      </c>
      <c r="B596" s="10">
        <v>381202</v>
      </c>
      <c r="C596" s="10">
        <v>2</v>
      </c>
      <c r="D596" s="9">
        <v>480</v>
      </c>
      <c r="E596" s="11" t="s">
        <v>450</v>
      </c>
      <c r="F596" s="11" t="str">
        <f t="shared" si="27"/>
        <v>https://purl.pt/23676</v>
      </c>
      <c r="G596" s="12" t="s">
        <v>451</v>
      </c>
      <c r="H596" s="9" t="s">
        <v>452</v>
      </c>
      <c r="I596" s="34"/>
      <c r="J596" s="55" t="str">
        <f t="shared" si="28"/>
        <v>https://permalinkbnd.bnportugal.gov.pt/viewer/14624/?offset=#page=480&amp;viewer=picture&amp;o=info&amp;n=0&amp;q=</v>
      </c>
      <c r="K596" s="45"/>
      <c r="L596" s="45"/>
      <c r="M596" s="45"/>
      <c r="N596" t="s">
        <v>450</v>
      </c>
      <c r="O596">
        <v>14624</v>
      </c>
      <c r="P596" t="str">
        <f t="shared" si="29"/>
        <v>https://permalinkbnd.bnportugal.gov.pt/viewer/14624/?offset=#page=480&amp;viewer=picture&amp;o=info&amp;n=0&amp;q=</v>
      </c>
      <c r="Q596">
        <v>381202</v>
      </c>
      <c r="R596" t="s">
        <v>450</v>
      </c>
      <c r="S596" t="s">
        <v>3027</v>
      </c>
      <c r="T596" t="s">
        <v>1178</v>
      </c>
      <c r="U596" t="s">
        <v>1209</v>
      </c>
      <c r="V596" t="s">
        <v>1192</v>
      </c>
      <c r="W596" t="s">
        <v>3028</v>
      </c>
      <c r="X596" t="s">
        <v>599</v>
      </c>
      <c r="Y596" t="s">
        <v>599</v>
      </c>
      <c r="Z596" t="s">
        <v>1182</v>
      </c>
      <c r="AA596" t="s">
        <v>3029</v>
      </c>
      <c r="AB596">
        <v>1639</v>
      </c>
      <c r="AC596">
        <v>1639</v>
      </c>
      <c r="AD596" t="s">
        <v>3030</v>
      </c>
      <c r="AE596" t="s">
        <v>1185</v>
      </c>
      <c r="AF596" t="s">
        <v>599</v>
      </c>
      <c r="AG596" t="s">
        <v>599</v>
      </c>
      <c r="AH596" t="s">
        <v>3031</v>
      </c>
      <c r="AI596" t="s">
        <v>599</v>
      </c>
      <c r="AJ596" t="s">
        <v>3032</v>
      </c>
      <c r="AK596" t="s">
        <v>3033</v>
      </c>
      <c r="AL596" t="s">
        <v>599</v>
      </c>
      <c r="AM596" t="s">
        <v>3034</v>
      </c>
      <c r="AN596" t="s">
        <v>1190</v>
      </c>
      <c r="AO596" t="s">
        <v>599</v>
      </c>
      <c r="AP596" t="s">
        <v>599</v>
      </c>
      <c r="AQ596" t="s">
        <v>3035</v>
      </c>
      <c r="AR596" t="s">
        <v>599</v>
      </c>
      <c r="AS596" t="s">
        <v>599</v>
      </c>
      <c r="AT596" t="s">
        <v>599</v>
      </c>
      <c r="AU596" t="s">
        <v>599</v>
      </c>
    </row>
    <row r="597" spans="1:47" ht="60" x14ac:dyDescent="0.25">
      <c r="A597" s="2">
        <v>11465</v>
      </c>
      <c r="B597" s="10">
        <v>381202</v>
      </c>
      <c r="C597" s="10">
        <v>2</v>
      </c>
      <c r="D597" s="9">
        <v>514</v>
      </c>
      <c r="E597" s="11" t="s">
        <v>450</v>
      </c>
      <c r="F597" s="11" t="str">
        <f t="shared" si="27"/>
        <v>https://purl.pt/23676</v>
      </c>
      <c r="G597" s="12" t="s">
        <v>451</v>
      </c>
      <c r="H597" s="9" t="s">
        <v>452</v>
      </c>
      <c r="I597" s="34"/>
      <c r="J597" s="55" t="str">
        <f t="shared" si="28"/>
        <v>https://permalinkbnd.bnportugal.gov.pt/viewer/14624/?offset=#page=514&amp;viewer=picture&amp;o=info&amp;n=0&amp;q=</v>
      </c>
      <c r="K597" s="45"/>
      <c r="L597" s="45"/>
      <c r="M597" s="45"/>
      <c r="N597" t="s">
        <v>450</v>
      </c>
      <c r="O597">
        <v>14624</v>
      </c>
      <c r="P597" t="str">
        <f t="shared" si="29"/>
        <v>https://permalinkbnd.bnportugal.gov.pt/viewer/14624/?offset=#page=514&amp;viewer=picture&amp;o=info&amp;n=0&amp;q=</v>
      </c>
      <c r="Q597">
        <v>381202</v>
      </c>
      <c r="R597" t="s">
        <v>450</v>
      </c>
      <c r="S597" t="s">
        <v>3027</v>
      </c>
      <c r="T597" t="s">
        <v>1178</v>
      </c>
      <c r="U597" t="s">
        <v>1209</v>
      </c>
      <c r="V597" t="s">
        <v>1192</v>
      </c>
      <c r="W597" t="s">
        <v>3028</v>
      </c>
      <c r="X597" t="s">
        <v>599</v>
      </c>
      <c r="Y597" t="s">
        <v>599</v>
      </c>
      <c r="Z597" t="s">
        <v>1182</v>
      </c>
      <c r="AA597" t="s">
        <v>3029</v>
      </c>
      <c r="AB597">
        <v>1639</v>
      </c>
      <c r="AC597">
        <v>1639</v>
      </c>
      <c r="AD597" t="s">
        <v>3030</v>
      </c>
      <c r="AE597" t="s">
        <v>1185</v>
      </c>
      <c r="AF597" t="s">
        <v>599</v>
      </c>
      <c r="AG597" t="s">
        <v>599</v>
      </c>
      <c r="AH597" t="s">
        <v>3031</v>
      </c>
      <c r="AI597" t="s">
        <v>599</v>
      </c>
      <c r="AJ597" t="s">
        <v>3032</v>
      </c>
      <c r="AK597" t="s">
        <v>3033</v>
      </c>
      <c r="AL597" t="s">
        <v>599</v>
      </c>
      <c r="AM597" t="s">
        <v>3034</v>
      </c>
      <c r="AN597" t="s">
        <v>1190</v>
      </c>
      <c r="AO597" t="s">
        <v>599</v>
      </c>
      <c r="AP597" t="s">
        <v>599</v>
      </c>
      <c r="AQ597" t="s">
        <v>3035</v>
      </c>
      <c r="AR597" t="s">
        <v>599</v>
      </c>
      <c r="AS597" t="s">
        <v>599</v>
      </c>
      <c r="AT597" t="s">
        <v>599</v>
      </c>
      <c r="AU597" t="s">
        <v>599</v>
      </c>
    </row>
    <row r="598" spans="1:47" ht="60" x14ac:dyDescent="0.25">
      <c r="A598" s="2">
        <v>11466</v>
      </c>
      <c r="B598" s="10">
        <v>381202</v>
      </c>
      <c r="C598" s="10">
        <v>2</v>
      </c>
      <c r="D598" s="9">
        <v>520</v>
      </c>
      <c r="E598" s="11" t="s">
        <v>450</v>
      </c>
      <c r="F598" s="11" t="str">
        <f t="shared" si="27"/>
        <v>https://purl.pt/23676</v>
      </c>
      <c r="G598" s="12" t="s">
        <v>451</v>
      </c>
      <c r="H598" s="9" t="s">
        <v>452</v>
      </c>
      <c r="I598" s="34"/>
      <c r="J598" s="55" t="str">
        <f t="shared" si="28"/>
        <v>https://permalinkbnd.bnportugal.gov.pt/viewer/14624/?offset=#page=520&amp;viewer=picture&amp;o=info&amp;n=0&amp;q=</v>
      </c>
      <c r="K598" s="45"/>
      <c r="L598" s="45"/>
      <c r="M598" s="45"/>
      <c r="N598" t="s">
        <v>450</v>
      </c>
      <c r="O598">
        <v>14624</v>
      </c>
      <c r="P598" t="str">
        <f t="shared" si="29"/>
        <v>https://permalinkbnd.bnportugal.gov.pt/viewer/14624/?offset=#page=520&amp;viewer=picture&amp;o=info&amp;n=0&amp;q=</v>
      </c>
      <c r="Q598">
        <v>381202</v>
      </c>
      <c r="R598" t="s">
        <v>450</v>
      </c>
      <c r="S598" t="s">
        <v>3027</v>
      </c>
      <c r="T598" t="s">
        <v>1178</v>
      </c>
      <c r="U598" t="s">
        <v>1209</v>
      </c>
      <c r="V598" t="s">
        <v>1192</v>
      </c>
      <c r="W598" t="s">
        <v>3028</v>
      </c>
      <c r="X598" t="s">
        <v>599</v>
      </c>
      <c r="Y598" t="s">
        <v>599</v>
      </c>
      <c r="Z598" t="s">
        <v>1182</v>
      </c>
      <c r="AA598" t="s">
        <v>3029</v>
      </c>
      <c r="AB598">
        <v>1639</v>
      </c>
      <c r="AC598">
        <v>1639</v>
      </c>
      <c r="AD598" t="s">
        <v>3030</v>
      </c>
      <c r="AE598" t="s">
        <v>1185</v>
      </c>
      <c r="AF598" t="s">
        <v>599</v>
      </c>
      <c r="AG598" t="s">
        <v>599</v>
      </c>
      <c r="AH598" t="s">
        <v>3031</v>
      </c>
      <c r="AI598" t="s">
        <v>599</v>
      </c>
      <c r="AJ598" t="s">
        <v>3032</v>
      </c>
      <c r="AK598" t="s">
        <v>3033</v>
      </c>
      <c r="AL598" t="s">
        <v>599</v>
      </c>
      <c r="AM598" t="s">
        <v>3034</v>
      </c>
      <c r="AN598" t="s">
        <v>1190</v>
      </c>
      <c r="AO598" t="s">
        <v>599</v>
      </c>
      <c r="AP598" t="s">
        <v>599</v>
      </c>
      <c r="AQ598" t="s">
        <v>3035</v>
      </c>
      <c r="AR598" t="s">
        <v>599</v>
      </c>
      <c r="AS598" t="s">
        <v>599</v>
      </c>
      <c r="AT598" t="s">
        <v>599</v>
      </c>
      <c r="AU598" t="s">
        <v>599</v>
      </c>
    </row>
    <row r="599" spans="1:47" ht="60" x14ac:dyDescent="0.25">
      <c r="A599" s="2">
        <v>11467</v>
      </c>
      <c r="B599" s="10">
        <v>381202</v>
      </c>
      <c r="C599" s="10">
        <v>2</v>
      </c>
      <c r="D599" s="9">
        <v>521</v>
      </c>
      <c r="E599" s="11" t="s">
        <v>450</v>
      </c>
      <c r="F599" s="11" t="str">
        <f t="shared" si="27"/>
        <v>https://purl.pt/23676</v>
      </c>
      <c r="G599" s="12" t="s">
        <v>451</v>
      </c>
      <c r="H599" s="9" t="s">
        <v>452</v>
      </c>
      <c r="I599" s="34"/>
      <c r="J599" s="55" t="str">
        <f t="shared" si="28"/>
        <v>https://permalinkbnd.bnportugal.gov.pt/viewer/14624/?offset=#page=521&amp;viewer=picture&amp;o=info&amp;n=0&amp;q=</v>
      </c>
      <c r="K599" s="45"/>
      <c r="L599" s="45"/>
      <c r="M599" s="45"/>
      <c r="N599" t="s">
        <v>450</v>
      </c>
      <c r="O599">
        <v>14624</v>
      </c>
      <c r="P599" t="str">
        <f t="shared" si="29"/>
        <v>https://permalinkbnd.bnportugal.gov.pt/viewer/14624/?offset=#page=521&amp;viewer=picture&amp;o=info&amp;n=0&amp;q=</v>
      </c>
      <c r="Q599">
        <v>381202</v>
      </c>
      <c r="R599" t="s">
        <v>450</v>
      </c>
      <c r="S599" t="s">
        <v>3027</v>
      </c>
      <c r="T599" t="s">
        <v>1178</v>
      </c>
      <c r="U599" t="s">
        <v>1209</v>
      </c>
      <c r="V599" t="s">
        <v>1192</v>
      </c>
      <c r="W599" t="s">
        <v>3028</v>
      </c>
      <c r="X599" t="s">
        <v>599</v>
      </c>
      <c r="Y599" t="s">
        <v>599</v>
      </c>
      <c r="Z599" t="s">
        <v>1182</v>
      </c>
      <c r="AA599" t="s">
        <v>3029</v>
      </c>
      <c r="AB599">
        <v>1639</v>
      </c>
      <c r="AC599">
        <v>1639</v>
      </c>
      <c r="AD599" t="s">
        <v>3030</v>
      </c>
      <c r="AE599" t="s">
        <v>1185</v>
      </c>
      <c r="AF599" t="s">
        <v>599</v>
      </c>
      <c r="AG599" t="s">
        <v>599</v>
      </c>
      <c r="AH599" t="s">
        <v>3031</v>
      </c>
      <c r="AI599" t="s">
        <v>599</v>
      </c>
      <c r="AJ599" t="s">
        <v>3032</v>
      </c>
      <c r="AK599" t="s">
        <v>3033</v>
      </c>
      <c r="AL599" t="s">
        <v>599</v>
      </c>
      <c r="AM599" t="s">
        <v>3034</v>
      </c>
      <c r="AN599" t="s">
        <v>1190</v>
      </c>
      <c r="AO599" t="s">
        <v>599</v>
      </c>
      <c r="AP599" t="s">
        <v>599</v>
      </c>
      <c r="AQ599" t="s">
        <v>3035</v>
      </c>
      <c r="AR599" t="s">
        <v>599</v>
      </c>
      <c r="AS599" t="s">
        <v>599</v>
      </c>
      <c r="AT599" t="s">
        <v>599</v>
      </c>
      <c r="AU599" t="s">
        <v>599</v>
      </c>
    </row>
    <row r="600" spans="1:47" ht="45" x14ac:dyDescent="0.25">
      <c r="A600" s="2">
        <v>11468</v>
      </c>
      <c r="B600" s="10">
        <v>381444</v>
      </c>
      <c r="C600" s="10">
        <v>1</v>
      </c>
      <c r="D600" s="9">
        <v>9</v>
      </c>
      <c r="E600" s="11" t="s">
        <v>453</v>
      </c>
      <c r="F600" s="11" t="str">
        <f t="shared" si="27"/>
        <v>https://purl.pt/37883</v>
      </c>
      <c r="G600" s="12" t="s">
        <v>454</v>
      </c>
      <c r="H600" s="9" t="s">
        <v>455</v>
      </c>
      <c r="I600" s="34"/>
      <c r="J600" s="55" t="str">
        <f t="shared" si="28"/>
        <v>https://permalinkbnd.bnportugal.gov.pt/viewer/14587/?offset=#page=9&amp;viewer=picture&amp;o=info&amp;n=0&amp;q=</v>
      </c>
      <c r="K600" s="45"/>
      <c r="L600" s="45"/>
      <c r="M600" s="45"/>
      <c r="N600" t="s">
        <v>453</v>
      </c>
      <c r="O600">
        <v>14587</v>
      </c>
      <c r="P600" t="str">
        <f t="shared" si="29"/>
        <v>https://permalinkbnd.bnportugal.gov.pt/viewer/14587/?offset=#page=9&amp;viewer=picture&amp;o=info&amp;n=0&amp;q=</v>
      </c>
      <c r="Q600">
        <v>381444</v>
      </c>
      <c r="R600" t="s">
        <v>453</v>
      </c>
      <c r="S600" t="s">
        <v>3036</v>
      </c>
      <c r="T600" t="s">
        <v>1178</v>
      </c>
      <c r="U600" t="s">
        <v>1192</v>
      </c>
      <c r="V600" t="s">
        <v>599</v>
      </c>
      <c r="W600" t="s">
        <v>1551</v>
      </c>
      <c r="X600" t="s">
        <v>599</v>
      </c>
      <c r="Y600" t="s">
        <v>599</v>
      </c>
      <c r="Z600" t="s">
        <v>1182</v>
      </c>
      <c r="AA600" t="s">
        <v>3037</v>
      </c>
      <c r="AB600">
        <v>1890</v>
      </c>
      <c r="AC600">
        <v>1890</v>
      </c>
      <c r="AD600" t="s">
        <v>3038</v>
      </c>
      <c r="AE600" t="s">
        <v>1185</v>
      </c>
      <c r="AF600" t="s">
        <v>599</v>
      </c>
      <c r="AG600" t="s">
        <v>599</v>
      </c>
      <c r="AH600" t="s">
        <v>3039</v>
      </c>
      <c r="AI600" t="s">
        <v>599</v>
      </c>
      <c r="AJ600" t="s">
        <v>599</v>
      </c>
      <c r="AK600" t="s">
        <v>3040</v>
      </c>
      <c r="AL600" t="s">
        <v>599</v>
      </c>
      <c r="AM600" t="s">
        <v>3041</v>
      </c>
      <c r="AN600" t="s">
        <v>1190</v>
      </c>
      <c r="AO600" t="s">
        <v>599</v>
      </c>
      <c r="AP600" t="s">
        <v>599</v>
      </c>
      <c r="AQ600" t="s">
        <v>599</v>
      </c>
      <c r="AR600" t="s">
        <v>599</v>
      </c>
      <c r="AS600" t="s">
        <v>599</v>
      </c>
      <c r="AT600" t="s">
        <v>599</v>
      </c>
      <c r="AU600" t="s">
        <v>599</v>
      </c>
    </row>
    <row r="601" spans="1:47" ht="45" x14ac:dyDescent="0.25">
      <c r="A601" s="2">
        <v>11469</v>
      </c>
      <c r="B601" s="10">
        <v>381444</v>
      </c>
      <c r="C601" s="10">
        <v>1</v>
      </c>
      <c r="D601" s="9">
        <v>23</v>
      </c>
      <c r="E601" s="11" t="s">
        <v>453</v>
      </c>
      <c r="F601" s="11" t="str">
        <f t="shared" si="27"/>
        <v>https://purl.pt/37883</v>
      </c>
      <c r="G601" s="12" t="s">
        <v>454</v>
      </c>
      <c r="H601" s="9" t="s">
        <v>455</v>
      </c>
      <c r="I601" s="34"/>
      <c r="J601" s="55" t="str">
        <f t="shared" si="28"/>
        <v>https://permalinkbnd.bnportugal.gov.pt/viewer/14587/?offset=#page=23&amp;viewer=picture&amp;o=info&amp;n=0&amp;q=</v>
      </c>
      <c r="K601" s="45"/>
      <c r="L601" s="45"/>
      <c r="M601" s="45"/>
      <c r="N601" t="s">
        <v>453</v>
      </c>
      <c r="O601">
        <v>14587</v>
      </c>
      <c r="P601" t="str">
        <f t="shared" si="29"/>
        <v>https://permalinkbnd.bnportugal.gov.pt/viewer/14587/?offset=#page=23&amp;viewer=picture&amp;o=info&amp;n=0&amp;q=</v>
      </c>
      <c r="Q601">
        <v>381444</v>
      </c>
      <c r="R601" t="s">
        <v>453</v>
      </c>
      <c r="S601" t="s">
        <v>3036</v>
      </c>
      <c r="T601" t="s">
        <v>1178</v>
      </c>
      <c r="U601" t="s">
        <v>1192</v>
      </c>
      <c r="V601" t="s">
        <v>599</v>
      </c>
      <c r="W601" t="s">
        <v>1551</v>
      </c>
      <c r="X601" t="s">
        <v>599</v>
      </c>
      <c r="Y601" t="s">
        <v>599</v>
      </c>
      <c r="Z601" t="s">
        <v>1182</v>
      </c>
      <c r="AA601" t="s">
        <v>3037</v>
      </c>
      <c r="AB601">
        <v>1890</v>
      </c>
      <c r="AC601">
        <v>1890</v>
      </c>
      <c r="AD601" t="s">
        <v>3038</v>
      </c>
      <c r="AE601" t="s">
        <v>1185</v>
      </c>
      <c r="AF601" t="s">
        <v>599</v>
      </c>
      <c r="AG601" t="s">
        <v>599</v>
      </c>
      <c r="AH601" t="s">
        <v>3039</v>
      </c>
      <c r="AI601" t="s">
        <v>599</v>
      </c>
      <c r="AJ601" t="s">
        <v>599</v>
      </c>
      <c r="AK601" t="s">
        <v>3040</v>
      </c>
      <c r="AL601" t="s">
        <v>599</v>
      </c>
      <c r="AM601" t="s">
        <v>3041</v>
      </c>
      <c r="AN601" t="s">
        <v>1190</v>
      </c>
      <c r="AO601" t="s">
        <v>599</v>
      </c>
      <c r="AP601" t="s">
        <v>599</v>
      </c>
      <c r="AQ601" t="s">
        <v>599</v>
      </c>
      <c r="AR601" t="s">
        <v>599</v>
      </c>
      <c r="AS601" t="s">
        <v>599</v>
      </c>
      <c r="AT601" t="s">
        <v>599</v>
      </c>
      <c r="AU601" t="s">
        <v>599</v>
      </c>
    </row>
    <row r="602" spans="1:47" ht="45" x14ac:dyDescent="0.25">
      <c r="A602" s="2">
        <v>11470</v>
      </c>
      <c r="B602" s="10">
        <v>381444</v>
      </c>
      <c r="C602" s="10">
        <v>1</v>
      </c>
      <c r="D602" s="9">
        <v>33</v>
      </c>
      <c r="E602" s="11" t="s">
        <v>453</v>
      </c>
      <c r="F602" s="11" t="str">
        <f t="shared" si="27"/>
        <v>https://purl.pt/37883</v>
      </c>
      <c r="G602" s="12" t="s">
        <v>454</v>
      </c>
      <c r="H602" s="9" t="s">
        <v>455</v>
      </c>
      <c r="I602" s="34"/>
      <c r="J602" s="55" t="str">
        <f t="shared" si="28"/>
        <v>https://permalinkbnd.bnportugal.gov.pt/viewer/14587/?offset=#page=33&amp;viewer=picture&amp;o=info&amp;n=0&amp;q=</v>
      </c>
      <c r="K602" s="45"/>
      <c r="L602" s="45"/>
      <c r="M602" s="45"/>
      <c r="N602" t="s">
        <v>453</v>
      </c>
      <c r="O602">
        <v>14587</v>
      </c>
      <c r="P602" t="str">
        <f t="shared" si="29"/>
        <v>https://permalinkbnd.bnportugal.gov.pt/viewer/14587/?offset=#page=33&amp;viewer=picture&amp;o=info&amp;n=0&amp;q=</v>
      </c>
      <c r="Q602">
        <v>381444</v>
      </c>
      <c r="R602" t="s">
        <v>453</v>
      </c>
      <c r="S602" t="s">
        <v>3036</v>
      </c>
      <c r="T602" t="s">
        <v>1178</v>
      </c>
      <c r="U602" t="s">
        <v>1192</v>
      </c>
      <c r="V602" t="s">
        <v>599</v>
      </c>
      <c r="W602" t="s">
        <v>1551</v>
      </c>
      <c r="X602" t="s">
        <v>599</v>
      </c>
      <c r="Y602" t="s">
        <v>599</v>
      </c>
      <c r="Z602" t="s">
        <v>1182</v>
      </c>
      <c r="AA602" t="s">
        <v>3037</v>
      </c>
      <c r="AB602">
        <v>1890</v>
      </c>
      <c r="AC602">
        <v>1890</v>
      </c>
      <c r="AD602" t="s">
        <v>3038</v>
      </c>
      <c r="AE602" t="s">
        <v>1185</v>
      </c>
      <c r="AF602" t="s">
        <v>599</v>
      </c>
      <c r="AG602" t="s">
        <v>599</v>
      </c>
      <c r="AH602" t="s">
        <v>3039</v>
      </c>
      <c r="AI602" t="s">
        <v>599</v>
      </c>
      <c r="AJ602" t="s">
        <v>599</v>
      </c>
      <c r="AK602" t="s">
        <v>3040</v>
      </c>
      <c r="AL602" t="s">
        <v>599</v>
      </c>
      <c r="AM602" t="s">
        <v>3041</v>
      </c>
      <c r="AN602" t="s">
        <v>1190</v>
      </c>
      <c r="AO602" t="s">
        <v>599</v>
      </c>
      <c r="AP602" t="s">
        <v>599</v>
      </c>
      <c r="AQ602" t="s">
        <v>599</v>
      </c>
      <c r="AR602" t="s">
        <v>599</v>
      </c>
      <c r="AS602" t="s">
        <v>599</v>
      </c>
      <c r="AT602" t="s">
        <v>599</v>
      </c>
      <c r="AU602" t="s">
        <v>599</v>
      </c>
    </row>
    <row r="603" spans="1:47" ht="45" x14ac:dyDescent="0.25">
      <c r="A603" s="2">
        <v>11471</v>
      </c>
      <c r="B603" s="10">
        <v>381444</v>
      </c>
      <c r="C603" s="10">
        <v>1</v>
      </c>
      <c r="D603" s="9">
        <v>57</v>
      </c>
      <c r="E603" s="11" t="s">
        <v>453</v>
      </c>
      <c r="F603" s="11" t="str">
        <f t="shared" si="27"/>
        <v>https://purl.pt/37883</v>
      </c>
      <c r="G603" s="12" t="s">
        <v>454</v>
      </c>
      <c r="H603" s="9" t="s">
        <v>455</v>
      </c>
      <c r="I603" s="34"/>
      <c r="J603" s="55" t="str">
        <f t="shared" si="28"/>
        <v>https://permalinkbnd.bnportugal.gov.pt/viewer/14587/?offset=#page=57&amp;viewer=picture&amp;o=info&amp;n=0&amp;q=</v>
      </c>
      <c r="K603" s="45"/>
      <c r="L603" s="45"/>
      <c r="M603" s="45"/>
      <c r="N603" t="s">
        <v>453</v>
      </c>
      <c r="O603">
        <v>14587</v>
      </c>
      <c r="P603" t="str">
        <f t="shared" si="29"/>
        <v>https://permalinkbnd.bnportugal.gov.pt/viewer/14587/?offset=#page=57&amp;viewer=picture&amp;o=info&amp;n=0&amp;q=</v>
      </c>
      <c r="Q603">
        <v>381444</v>
      </c>
      <c r="R603" t="s">
        <v>453</v>
      </c>
      <c r="S603" t="s">
        <v>3036</v>
      </c>
      <c r="T603" t="s">
        <v>1178</v>
      </c>
      <c r="U603" t="s">
        <v>1192</v>
      </c>
      <c r="V603" t="s">
        <v>599</v>
      </c>
      <c r="W603" t="s">
        <v>1551</v>
      </c>
      <c r="X603" t="s">
        <v>599</v>
      </c>
      <c r="Y603" t="s">
        <v>599</v>
      </c>
      <c r="Z603" t="s">
        <v>1182</v>
      </c>
      <c r="AA603" t="s">
        <v>3037</v>
      </c>
      <c r="AB603">
        <v>1890</v>
      </c>
      <c r="AC603">
        <v>1890</v>
      </c>
      <c r="AD603" t="s">
        <v>3038</v>
      </c>
      <c r="AE603" t="s">
        <v>1185</v>
      </c>
      <c r="AF603" t="s">
        <v>599</v>
      </c>
      <c r="AG603" t="s">
        <v>599</v>
      </c>
      <c r="AH603" t="s">
        <v>3039</v>
      </c>
      <c r="AI603" t="s">
        <v>599</v>
      </c>
      <c r="AJ603" t="s">
        <v>599</v>
      </c>
      <c r="AK603" t="s">
        <v>3040</v>
      </c>
      <c r="AL603" t="s">
        <v>599</v>
      </c>
      <c r="AM603" t="s">
        <v>3041</v>
      </c>
      <c r="AN603" t="s">
        <v>1190</v>
      </c>
      <c r="AO603" t="s">
        <v>599</v>
      </c>
      <c r="AP603" t="s">
        <v>599</v>
      </c>
      <c r="AQ603" t="s">
        <v>599</v>
      </c>
      <c r="AR603" t="s">
        <v>599</v>
      </c>
      <c r="AS603" t="s">
        <v>599</v>
      </c>
      <c r="AT603" t="s">
        <v>599</v>
      </c>
      <c r="AU603" t="s">
        <v>599</v>
      </c>
    </row>
    <row r="604" spans="1:47" ht="45" x14ac:dyDescent="0.25">
      <c r="A604" s="2">
        <v>11472</v>
      </c>
      <c r="B604" s="10">
        <v>381444</v>
      </c>
      <c r="C604" s="10">
        <v>1</v>
      </c>
      <c r="D604" s="9">
        <v>77</v>
      </c>
      <c r="E604" s="11" t="s">
        <v>453</v>
      </c>
      <c r="F604" s="11" t="str">
        <f t="shared" si="27"/>
        <v>https://purl.pt/37883</v>
      </c>
      <c r="G604" s="12" t="s">
        <v>454</v>
      </c>
      <c r="H604" s="9" t="s">
        <v>455</v>
      </c>
      <c r="I604" s="34"/>
      <c r="J604" s="55" t="str">
        <f t="shared" si="28"/>
        <v>https://permalinkbnd.bnportugal.gov.pt/viewer/14587/?offset=#page=77&amp;viewer=picture&amp;o=info&amp;n=0&amp;q=</v>
      </c>
      <c r="K604" s="45"/>
      <c r="L604" s="45"/>
      <c r="M604" s="45"/>
      <c r="N604" t="s">
        <v>453</v>
      </c>
      <c r="O604">
        <v>14587</v>
      </c>
      <c r="P604" t="str">
        <f t="shared" si="29"/>
        <v>https://permalinkbnd.bnportugal.gov.pt/viewer/14587/?offset=#page=77&amp;viewer=picture&amp;o=info&amp;n=0&amp;q=</v>
      </c>
      <c r="Q604">
        <v>381444</v>
      </c>
      <c r="R604" t="s">
        <v>453</v>
      </c>
      <c r="S604" t="s">
        <v>3036</v>
      </c>
      <c r="T604" t="s">
        <v>1178</v>
      </c>
      <c r="U604" t="s">
        <v>1192</v>
      </c>
      <c r="V604" t="s">
        <v>599</v>
      </c>
      <c r="W604" t="s">
        <v>1551</v>
      </c>
      <c r="X604" t="s">
        <v>599</v>
      </c>
      <c r="Y604" t="s">
        <v>599</v>
      </c>
      <c r="Z604" t="s">
        <v>1182</v>
      </c>
      <c r="AA604" t="s">
        <v>3037</v>
      </c>
      <c r="AB604">
        <v>1890</v>
      </c>
      <c r="AC604">
        <v>1890</v>
      </c>
      <c r="AD604" t="s">
        <v>3038</v>
      </c>
      <c r="AE604" t="s">
        <v>1185</v>
      </c>
      <c r="AF604" t="s">
        <v>599</v>
      </c>
      <c r="AG604" t="s">
        <v>599</v>
      </c>
      <c r="AH604" t="s">
        <v>3039</v>
      </c>
      <c r="AI604" t="s">
        <v>599</v>
      </c>
      <c r="AJ604" t="s">
        <v>599</v>
      </c>
      <c r="AK604" t="s">
        <v>3040</v>
      </c>
      <c r="AL604" t="s">
        <v>599</v>
      </c>
      <c r="AM604" t="s">
        <v>3041</v>
      </c>
      <c r="AN604" t="s">
        <v>1190</v>
      </c>
      <c r="AO604" t="s">
        <v>599</v>
      </c>
      <c r="AP604" t="s">
        <v>599</v>
      </c>
      <c r="AQ604" t="s">
        <v>599</v>
      </c>
      <c r="AR604" t="s">
        <v>599</v>
      </c>
      <c r="AS604" t="s">
        <v>599</v>
      </c>
      <c r="AT604" t="s">
        <v>599</v>
      </c>
      <c r="AU604" t="s">
        <v>599</v>
      </c>
    </row>
    <row r="605" spans="1:47" ht="45" x14ac:dyDescent="0.25">
      <c r="A605" s="2">
        <v>11473</v>
      </c>
      <c r="B605" s="10">
        <v>381444</v>
      </c>
      <c r="C605" s="10">
        <v>1</v>
      </c>
      <c r="D605" s="9">
        <v>99</v>
      </c>
      <c r="E605" s="11" t="s">
        <v>453</v>
      </c>
      <c r="F605" s="11" t="str">
        <f t="shared" si="27"/>
        <v>https://purl.pt/37883</v>
      </c>
      <c r="G605" s="12" t="s">
        <v>454</v>
      </c>
      <c r="H605" s="9" t="s">
        <v>455</v>
      </c>
      <c r="I605" s="34"/>
      <c r="J605" s="55" t="str">
        <f t="shared" si="28"/>
        <v>https://permalinkbnd.bnportugal.gov.pt/viewer/14587/?offset=#page=99&amp;viewer=picture&amp;o=info&amp;n=0&amp;q=</v>
      </c>
      <c r="K605" s="45"/>
      <c r="L605" s="45"/>
      <c r="M605" s="45"/>
      <c r="N605" t="s">
        <v>453</v>
      </c>
      <c r="O605">
        <v>14587</v>
      </c>
      <c r="P605" t="str">
        <f t="shared" si="29"/>
        <v>https://permalinkbnd.bnportugal.gov.pt/viewer/14587/?offset=#page=99&amp;viewer=picture&amp;o=info&amp;n=0&amp;q=</v>
      </c>
      <c r="Q605">
        <v>381444</v>
      </c>
      <c r="R605" t="s">
        <v>453</v>
      </c>
      <c r="S605" t="s">
        <v>3036</v>
      </c>
      <c r="T605" t="s">
        <v>1178</v>
      </c>
      <c r="U605" t="s">
        <v>1192</v>
      </c>
      <c r="V605" t="s">
        <v>599</v>
      </c>
      <c r="W605" t="s">
        <v>1551</v>
      </c>
      <c r="X605" t="s">
        <v>599</v>
      </c>
      <c r="Y605" t="s">
        <v>599</v>
      </c>
      <c r="Z605" t="s">
        <v>1182</v>
      </c>
      <c r="AA605" t="s">
        <v>3037</v>
      </c>
      <c r="AB605">
        <v>1890</v>
      </c>
      <c r="AC605">
        <v>1890</v>
      </c>
      <c r="AD605" t="s">
        <v>3038</v>
      </c>
      <c r="AE605" t="s">
        <v>1185</v>
      </c>
      <c r="AF605" t="s">
        <v>599</v>
      </c>
      <c r="AG605" t="s">
        <v>599</v>
      </c>
      <c r="AH605" t="s">
        <v>3039</v>
      </c>
      <c r="AI605" t="s">
        <v>599</v>
      </c>
      <c r="AJ605" t="s">
        <v>599</v>
      </c>
      <c r="AK605" t="s">
        <v>3040</v>
      </c>
      <c r="AL605" t="s">
        <v>599</v>
      </c>
      <c r="AM605" t="s">
        <v>3041</v>
      </c>
      <c r="AN605" t="s">
        <v>1190</v>
      </c>
      <c r="AO605" t="s">
        <v>599</v>
      </c>
      <c r="AP605" t="s">
        <v>599</v>
      </c>
      <c r="AQ605" t="s">
        <v>599</v>
      </c>
      <c r="AR605" t="s">
        <v>599</v>
      </c>
      <c r="AS605" t="s">
        <v>599</v>
      </c>
      <c r="AT605" t="s">
        <v>599</v>
      </c>
      <c r="AU605" t="s">
        <v>599</v>
      </c>
    </row>
    <row r="606" spans="1:47" ht="45" x14ac:dyDescent="0.25">
      <c r="A606" s="2">
        <v>11474</v>
      </c>
      <c r="B606" s="10">
        <v>381444</v>
      </c>
      <c r="C606" s="10">
        <v>1</v>
      </c>
      <c r="D606" s="9">
        <v>125</v>
      </c>
      <c r="E606" s="11" t="s">
        <v>453</v>
      </c>
      <c r="F606" s="11" t="str">
        <f t="shared" si="27"/>
        <v>https://purl.pt/37883</v>
      </c>
      <c r="G606" s="12" t="s">
        <v>454</v>
      </c>
      <c r="H606" s="9" t="s">
        <v>455</v>
      </c>
      <c r="I606" s="34"/>
      <c r="J606" s="55" t="str">
        <f t="shared" si="28"/>
        <v>https://permalinkbnd.bnportugal.gov.pt/viewer/14587/?offset=#page=125&amp;viewer=picture&amp;o=info&amp;n=0&amp;q=</v>
      </c>
      <c r="K606" s="45"/>
      <c r="L606" s="45"/>
      <c r="M606" s="45"/>
      <c r="N606" t="s">
        <v>453</v>
      </c>
      <c r="O606">
        <v>14587</v>
      </c>
      <c r="P606" t="str">
        <f t="shared" si="29"/>
        <v>https://permalinkbnd.bnportugal.gov.pt/viewer/14587/?offset=#page=125&amp;viewer=picture&amp;o=info&amp;n=0&amp;q=</v>
      </c>
      <c r="Q606">
        <v>381444</v>
      </c>
      <c r="R606" t="s">
        <v>453</v>
      </c>
      <c r="S606" t="s">
        <v>3036</v>
      </c>
      <c r="T606" t="s">
        <v>1178</v>
      </c>
      <c r="U606" t="s">
        <v>1192</v>
      </c>
      <c r="V606" t="s">
        <v>599</v>
      </c>
      <c r="W606" t="s">
        <v>1551</v>
      </c>
      <c r="X606" t="s">
        <v>599</v>
      </c>
      <c r="Y606" t="s">
        <v>599</v>
      </c>
      <c r="Z606" t="s">
        <v>1182</v>
      </c>
      <c r="AA606" t="s">
        <v>3037</v>
      </c>
      <c r="AB606">
        <v>1890</v>
      </c>
      <c r="AC606">
        <v>1890</v>
      </c>
      <c r="AD606" t="s">
        <v>3038</v>
      </c>
      <c r="AE606" t="s">
        <v>1185</v>
      </c>
      <c r="AF606" t="s">
        <v>599</v>
      </c>
      <c r="AG606" t="s">
        <v>599</v>
      </c>
      <c r="AH606" t="s">
        <v>3039</v>
      </c>
      <c r="AI606" t="s">
        <v>599</v>
      </c>
      <c r="AJ606" t="s">
        <v>599</v>
      </c>
      <c r="AK606" t="s">
        <v>3040</v>
      </c>
      <c r="AL606" t="s">
        <v>599</v>
      </c>
      <c r="AM606" t="s">
        <v>3041</v>
      </c>
      <c r="AN606" t="s">
        <v>1190</v>
      </c>
      <c r="AO606" t="s">
        <v>599</v>
      </c>
      <c r="AP606" t="s">
        <v>599</v>
      </c>
      <c r="AQ606" t="s">
        <v>599</v>
      </c>
      <c r="AR606" t="s">
        <v>599</v>
      </c>
      <c r="AS606" t="s">
        <v>599</v>
      </c>
      <c r="AT606" t="s">
        <v>599</v>
      </c>
      <c r="AU606" t="s">
        <v>599</v>
      </c>
    </row>
    <row r="607" spans="1:47" ht="45" x14ac:dyDescent="0.25">
      <c r="A607" s="2">
        <v>11475</v>
      </c>
      <c r="B607" s="10">
        <v>381444</v>
      </c>
      <c r="C607" s="10">
        <v>1</v>
      </c>
      <c r="D607" s="9">
        <v>147</v>
      </c>
      <c r="E607" s="11" t="s">
        <v>453</v>
      </c>
      <c r="F607" s="11" t="str">
        <f t="shared" si="27"/>
        <v>https://purl.pt/37883</v>
      </c>
      <c r="G607" s="12" t="s">
        <v>454</v>
      </c>
      <c r="H607" s="9" t="s">
        <v>455</v>
      </c>
      <c r="I607" s="34"/>
      <c r="J607" s="55" t="str">
        <f t="shared" si="28"/>
        <v>https://permalinkbnd.bnportugal.gov.pt/viewer/14587/?offset=#page=147&amp;viewer=picture&amp;o=info&amp;n=0&amp;q=</v>
      </c>
      <c r="K607" s="45"/>
      <c r="L607" s="45"/>
      <c r="M607" s="45"/>
      <c r="N607" t="s">
        <v>453</v>
      </c>
      <c r="O607">
        <v>14587</v>
      </c>
      <c r="P607" t="str">
        <f t="shared" si="29"/>
        <v>https://permalinkbnd.bnportugal.gov.pt/viewer/14587/?offset=#page=147&amp;viewer=picture&amp;o=info&amp;n=0&amp;q=</v>
      </c>
      <c r="Q607">
        <v>381444</v>
      </c>
      <c r="R607" t="s">
        <v>453</v>
      </c>
      <c r="S607" t="s">
        <v>3036</v>
      </c>
      <c r="T607" t="s">
        <v>1178</v>
      </c>
      <c r="U607" t="s">
        <v>1192</v>
      </c>
      <c r="V607" t="s">
        <v>599</v>
      </c>
      <c r="W607" t="s">
        <v>1551</v>
      </c>
      <c r="X607" t="s">
        <v>599</v>
      </c>
      <c r="Y607" t="s">
        <v>599</v>
      </c>
      <c r="Z607" t="s">
        <v>1182</v>
      </c>
      <c r="AA607" t="s">
        <v>3037</v>
      </c>
      <c r="AB607">
        <v>1890</v>
      </c>
      <c r="AC607">
        <v>1890</v>
      </c>
      <c r="AD607" t="s">
        <v>3038</v>
      </c>
      <c r="AE607" t="s">
        <v>1185</v>
      </c>
      <c r="AF607" t="s">
        <v>599</v>
      </c>
      <c r="AG607" t="s">
        <v>599</v>
      </c>
      <c r="AH607" t="s">
        <v>3039</v>
      </c>
      <c r="AI607" t="s">
        <v>599</v>
      </c>
      <c r="AJ607" t="s">
        <v>599</v>
      </c>
      <c r="AK607" t="s">
        <v>3040</v>
      </c>
      <c r="AL607" t="s">
        <v>599</v>
      </c>
      <c r="AM607" t="s">
        <v>3041</v>
      </c>
      <c r="AN607" t="s">
        <v>1190</v>
      </c>
      <c r="AO607" t="s">
        <v>599</v>
      </c>
      <c r="AP607" t="s">
        <v>599</v>
      </c>
      <c r="AQ607" t="s">
        <v>599</v>
      </c>
      <c r="AR607" t="s">
        <v>599</v>
      </c>
      <c r="AS607" t="s">
        <v>599</v>
      </c>
      <c r="AT607" t="s">
        <v>599</v>
      </c>
      <c r="AU607" t="s">
        <v>599</v>
      </c>
    </row>
    <row r="608" spans="1:47" ht="45" x14ac:dyDescent="0.25">
      <c r="A608" s="2">
        <v>11476</v>
      </c>
      <c r="B608" s="10">
        <v>381444</v>
      </c>
      <c r="C608" s="10">
        <v>1</v>
      </c>
      <c r="D608" s="9">
        <v>157</v>
      </c>
      <c r="E608" s="11" t="s">
        <v>453</v>
      </c>
      <c r="F608" s="11" t="str">
        <f t="shared" si="27"/>
        <v>https://purl.pt/37883</v>
      </c>
      <c r="G608" s="12" t="s">
        <v>454</v>
      </c>
      <c r="H608" s="9" t="s">
        <v>455</v>
      </c>
      <c r="I608" s="34"/>
      <c r="J608" s="55" t="str">
        <f t="shared" si="28"/>
        <v>https://permalinkbnd.bnportugal.gov.pt/viewer/14587/?offset=#page=157&amp;viewer=picture&amp;o=info&amp;n=0&amp;q=</v>
      </c>
      <c r="K608" s="45"/>
      <c r="L608" s="45"/>
      <c r="M608" s="45"/>
      <c r="N608" t="s">
        <v>453</v>
      </c>
      <c r="O608">
        <v>14587</v>
      </c>
      <c r="P608" t="str">
        <f t="shared" si="29"/>
        <v>https://permalinkbnd.bnportugal.gov.pt/viewer/14587/?offset=#page=157&amp;viewer=picture&amp;o=info&amp;n=0&amp;q=</v>
      </c>
      <c r="Q608">
        <v>381444</v>
      </c>
      <c r="R608" t="s">
        <v>453</v>
      </c>
      <c r="S608" t="s">
        <v>3036</v>
      </c>
      <c r="T608" t="s">
        <v>1178</v>
      </c>
      <c r="U608" t="s">
        <v>1192</v>
      </c>
      <c r="V608" t="s">
        <v>599</v>
      </c>
      <c r="W608" t="s">
        <v>1551</v>
      </c>
      <c r="X608" t="s">
        <v>599</v>
      </c>
      <c r="Y608" t="s">
        <v>599</v>
      </c>
      <c r="Z608" t="s">
        <v>1182</v>
      </c>
      <c r="AA608" t="s">
        <v>3037</v>
      </c>
      <c r="AB608">
        <v>1890</v>
      </c>
      <c r="AC608">
        <v>1890</v>
      </c>
      <c r="AD608" t="s">
        <v>3038</v>
      </c>
      <c r="AE608" t="s">
        <v>1185</v>
      </c>
      <c r="AF608" t="s">
        <v>599</v>
      </c>
      <c r="AG608" t="s">
        <v>599</v>
      </c>
      <c r="AH608" t="s">
        <v>3039</v>
      </c>
      <c r="AI608" t="s">
        <v>599</v>
      </c>
      <c r="AJ608" t="s">
        <v>599</v>
      </c>
      <c r="AK608" t="s">
        <v>3040</v>
      </c>
      <c r="AL608" t="s">
        <v>599</v>
      </c>
      <c r="AM608" t="s">
        <v>3041</v>
      </c>
      <c r="AN608" t="s">
        <v>1190</v>
      </c>
      <c r="AO608" t="s">
        <v>599</v>
      </c>
      <c r="AP608" t="s">
        <v>599</v>
      </c>
      <c r="AQ608" t="s">
        <v>599</v>
      </c>
      <c r="AR608" t="s">
        <v>599</v>
      </c>
      <c r="AS608" t="s">
        <v>599</v>
      </c>
      <c r="AT608" t="s">
        <v>599</v>
      </c>
      <c r="AU608" t="s">
        <v>599</v>
      </c>
    </row>
    <row r="609" spans="1:47" ht="45" x14ac:dyDescent="0.25">
      <c r="A609" s="2">
        <v>11477</v>
      </c>
      <c r="B609" s="10">
        <v>381444</v>
      </c>
      <c r="C609" s="10">
        <v>1</v>
      </c>
      <c r="D609" s="9">
        <v>173</v>
      </c>
      <c r="E609" s="11" t="s">
        <v>453</v>
      </c>
      <c r="F609" s="11" t="str">
        <f t="shared" si="27"/>
        <v>https://purl.pt/37883</v>
      </c>
      <c r="G609" s="12" t="s">
        <v>454</v>
      </c>
      <c r="H609" s="9" t="s">
        <v>455</v>
      </c>
      <c r="I609" s="34"/>
      <c r="J609" s="55" t="str">
        <f t="shared" si="28"/>
        <v>https://permalinkbnd.bnportugal.gov.pt/viewer/14587/?offset=#page=173&amp;viewer=picture&amp;o=info&amp;n=0&amp;q=</v>
      </c>
      <c r="K609" s="45"/>
      <c r="L609" s="45"/>
      <c r="M609" s="45"/>
      <c r="N609" t="s">
        <v>453</v>
      </c>
      <c r="O609">
        <v>14587</v>
      </c>
      <c r="P609" t="str">
        <f t="shared" si="29"/>
        <v>https://permalinkbnd.bnportugal.gov.pt/viewer/14587/?offset=#page=173&amp;viewer=picture&amp;o=info&amp;n=0&amp;q=</v>
      </c>
      <c r="Q609">
        <v>381444</v>
      </c>
      <c r="R609" t="s">
        <v>453</v>
      </c>
      <c r="S609" t="s">
        <v>3036</v>
      </c>
      <c r="T609" t="s">
        <v>1178</v>
      </c>
      <c r="U609" t="s">
        <v>1192</v>
      </c>
      <c r="V609" t="s">
        <v>599</v>
      </c>
      <c r="W609" t="s">
        <v>1551</v>
      </c>
      <c r="X609" t="s">
        <v>599</v>
      </c>
      <c r="Y609" t="s">
        <v>599</v>
      </c>
      <c r="Z609" t="s">
        <v>1182</v>
      </c>
      <c r="AA609" t="s">
        <v>3037</v>
      </c>
      <c r="AB609">
        <v>1890</v>
      </c>
      <c r="AC609">
        <v>1890</v>
      </c>
      <c r="AD609" t="s">
        <v>3038</v>
      </c>
      <c r="AE609" t="s">
        <v>1185</v>
      </c>
      <c r="AF609" t="s">
        <v>599</v>
      </c>
      <c r="AG609" t="s">
        <v>599</v>
      </c>
      <c r="AH609" t="s">
        <v>3039</v>
      </c>
      <c r="AI609" t="s">
        <v>599</v>
      </c>
      <c r="AJ609" t="s">
        <v>599</v>
      </c>
      <c r="AK609" t="s">
        <v>3040</v>
      </c>
      <c r="AL609" t="s">
        <v>599</v>
      </c>
      <c r="AM609" t="s">
        <v>3041</v>
      </c>
      <c r="AN609" t="s">
        <v>1190</v>
      </c>
      <c r="AO609" t="s">
        <v>599</v>
      </c>
      <c r="AP609" t="s">
        <v>599</v>
      </c>
      <c r="AQ609" t="s">
        <v>599</v>
      </c>
      <c r="AR609" t="s">
        <v>599</v>
      </c>
      <c r="AS609" t="s">
        <v>599</v>
      </c>
      <c r="AT609" t="s">
        <v>599</v>
      </c>
      <c r="AU609" t="s">
        <v>599</v>
      </c>
    </row>
    <row r="610" spans="1:47" ht="45" x14ac:dyDescent="0.25">
      <c r="A610" s="2">
        <v>11478</v>
      </c>
      <c r="B610" s="10">
        <v>381444</v>
      </c>
      <c r="C610" s="10">
        <v>1</v>
      </c>
      <c r="D610" s="9">
        <v>185</v>
      </c>
      <c r="E610" s="11" t="s">
        <v>453</v>
      </c>
      <c r="F610" s="11" t="str">
        <f t="shared" si="27"/>
        <v>https://purl.pt/37883</v>
      </c>
      <c r="G610" s="12" t="s">
        <v>454</v>
      </c>
      <c r="H610" s="9" t="s">
        <v>455</v>
      </c>
      <c r="I610" s="34"/>
      <c r="J610" s="55" t="str">
        <f t="shared" si="28"/>
        <v>https://permalinkbnd.bnportugal.gov.pt/viewer/14587/?offset=#page=185&amp;viewer=picture&amp;o=info&amp;n=0&amp;q=</v>
      </c>
      <c r="K610" s="45"/>
      <c r="L610" s="45"/>
      <c r="M610" s="45"/>
      <c r="N610" t="s">
        <v>453</v>
      </c>
      <c r="O610">
        <v>14587</v>
      </c>
      <c r="P610" t="str">
        <f t="shared" si="29"/>
        <v>https://permalinkbnd.bnportugal.gov.pt/viewer/14587/?offset=#page=185&amp;viewer=picture&amp;o=info&amp;n=0&amp;q=</v>
      </c>
      <c r="Q610">
        <v>381444</v>
      </c>
      <c r="R610" t="s">
        <v>453</v>
      </c>
      <c r="S610" t="s">
        <v>3036</v>
      </c>
      <c r="T610" t="s">
        <v>1178</v>
      </c>
      <c r="U610" t="s">
        <v>1192</v>
      </c>
      <c r="V610" t="s">
        <v>599</v>
      </c>
      <c r="W610" t="s">
        <v>1551</v>
      </c>
      <c r="X610" t="s">
        <v>599</v>
      </c>
      <c r="Y610" t="s">
        <v>599</v>
      </c>
      <c r="Z610" t="s">
        <v>1182</v>
      </c>
      <c r="AA610" t="s">
        <v>3037</v>
      </c>
      <c r="AB610">
        <v>1890</v>
      </c>
      <c r="AC610">
        <v>1890</v>
      </c>
      <c r="AD610" t="s">
        <v>3038</v>
      </c>
      <c r="AE610" t="s">
        <v>1185</v>
      </c>
      <c r="AF610" t="s">
        <v>599</v>
      </c>
      <c r="AG610" t="s">
        <v>599</v>
      </c>
      <c r="AH610" t="s">
        <v>3039</v>
      </c>
      <c r="AI610" t="s">
        <v>599</v>
      </c>
      <c r="AJ610" t="s">
        <v>599</v>
      </c>
      <c r="AK610" t="s">
        <v>3040</v>
      </c>
      <c r="AL610" t="s">
        <v>599</v>
      </c>
      <c r="AM610" t="s">
        <v>3041</v>
      </c>
      <c r="AN610" t="s">
        <v>1190</v>
      </c>
      <c r="AO610" t="s">
        <v>599</v>
      </c>
      <c r="AP610" t="s">
        <v>599</v>
      </c>
      <c r="AQ610" t="s">
        <v>599</v>
      </c>
      <c r="AR610" t="s">
        <v>599</v>
      </c>
      <c r="AS610" t="s">
        <v>599</v>
      </c>
      <c r="AT610" t="s">
        <v>599</v>
      </c>
      <c r="AU610" t="s">
        <v>599</v>
      </c>
    </row>
    <row r="611" spans="1:47" ht="45" x14ac:dyDescent="0.25">
      <c r="A611" s="2">
        <v>11479</v>
      </c>
      <c r="B611" s="10">
        <v>381444</v>
      </c>
      <c r="C611" s="10">
        <v>1</v>
      </c>
      <c r="D611" s="9">
        <v>223</v>
      </c>
      <c r="E611" s="11" t="s">
        <v>453</v>
      </c>
      <c r="F611" s="11" t="str">
        <f t="shared" si="27"/>
        <v>https://purl.pt/37883</v>
      </c>
      <c r="G611" s="12" t="s">
        <v>454</v>
      </c>
      <c r="H611" s="9" t="s">
        <v>455</v>
      </c>
      <c r="I611" s="34"/>
      <c r="J611" s="55" t="str">
        <f t="shared" si="28"/>
        <v>https://permalinkbnd.bnportugal.gov.pt/viewer/14587/?offset=#page=223&amp;viewer=picture&amp;o=info&amp;n=0&amp;q=</v>
      </c>
      <c r="K611" s="45"/>
      <c r="L611" s="45"/>
      <c r="M611" s="45"/>
      <c r="N611" t="s">
        <v>453</v>
      </c>
      <c r="O611">
        <v>14587</v>
      </c>
      <c r="P611" t="str">
        <f t="shared" si="29"/>
        <v>https://permalinkbnd.bnportugal.gov.pt/viewer/14587/?offset=#page=223&amp;viewer=picture&amp;o=info&amp;n=0&amp;q=</v>
      </c>
      <c r="Q611">
        <v>381444</v>
      </c>
      <c r="R611" t="s">
        <v>453</v>
      </c>
      <c r="S611" t="s">
        <v>3036</v>
      </c>
      <c r="T611" t="s">
        <v>1178</v>
      </c>
      <c r="U611" t="s">
        <v>1192</v>
      </c>
      <c r="V611" t="s">
        <v>599</v>
      </c>
      <c r="W611" t="s">
        <v>1551</v>
      </c>
      <c r="X611" t="s">
        <v>599</v>
      </c>
      <c r="Y611" t="s">
        <v>599</v>
      </c>
      <c r="Z611" t="s">
        <v>1182</v>
      </c>
      <c r="AA611" t="s">
        <v>3037</v>
      </c>
      <c r="AB611">
        <v>1890</v>
      </c>
      <c r="AC611">
        <v>1890</v>
      </c>
      <c r="AD611" t="s">
        <v>3038</v>
      </c>
      <c r="AE611" t="s">
        <v>1185</v>
      </c>
      <c r="AF611" t="s">
        <v>599</v>
      </c>
      <c r="AG611" t="s">
        <v>599</v>
      </c>
      <c r="AH611" t="s">
        <v>3039</v>
      </c>
      <c r="AI611" t="s">
        <v>599</v>
      </c>
      <c r="AJ611" t="s">
        <v>599</v>
      </c>
      <c r="AK611" t="s">
        <v>3040</v>
      </c>
      <c r="AL611" t="s">
        <v>599</v>
      </c>
      <c r="AM611" t="s">
        <v>3041</v>
      </c>
      <c r="AN611" t="s">
        <v>1190</v>
      </c>
      <c r="AO611" t="s">
        <v>599</v>
      </c>
      <c r="AP611" t="s">
        <v>599</v>
      </c>
      <c r="AQ611" t="s">
        <v>599</v>
      </c>
      <c r="AR611" t="s">
        <v>599</v>
      </c>
      <c r="AS611" t="s">
        <v>599</v>
      </c>
      <c r="AT611" t="s">
        <v>599</v>
      </c>
      <c r="AU611" t="s">
        <v>599</v>
      </c>
    </row>
    <row r="612" spans="1:47" ht="45" x14ac:dyDescent="0.25">
      <c r="A612" s="2">
        <v>11480</v>
      </c>
      <c r="B612" s="10">
        <v>381444</v>
      </c>
      <c r="C612" s="10">
        <v>1</v>
      </c>
      <c r="D612" s="9">
        <v>231</v>
      </c>
      <c r="E612" s="11" t="s">
        <v>453</v>
      </c>
      <c r="F612" s="11" t="str">
        <f t="shared" si="27"/>
        <v>https://purl.pt/37883</v>
      </c>
      <c r="G612" s="12" t="s">
        <v>454</v>
      </c>
      <c r="H612" s="9" t="s">
        <v>455</v>
      </c>
      <c r="I612" s="34"/>
      <c r="J612" s="55" t="str">
        <f t="shared" si="28"/>
        <v>https://permalinkbnd.bnportugal.gov.pt/viewer/14587/?offset=#page=231&amp;viewer=picture&amp;o=info&amp;n=0&amp;q=</v>
      </c>
      <c r="K612" s="45"/>
      <c r="L612" s="45"/>
      <c r="M612" s="45"/>
      <c r="N612" t="s">
        <v>453</v>
      </c>
      <c r="O612">
        <v>14587</v>
      </c>
      <c r="P612" t="str">
        <f t="shared" si="29"/>
        <v>https://permalinkbnd.bnportugal.gov.pt/viewer/14587/?offset=#page=231&amp;viewer=picture&amp;o=info&amp;n=0&amp;q=</v>
      </c>
      <c r="Q612">
        <v>381444</v>
      </c>
      <c r="R612" t="s">
        <v>453</v>
      </c>
      <c r="S612" t="s">
        <v>3036</v>
      </c>
      <c r="T612" t="s">
        <v>1178</v>
      </c>
      <c r="U612" t="s">
        <v>1192</v>
      </c>
      <c r="V612" t="s">
        <v>599</v>
      </c>
      <c r="W612" t="s">
        <v>1551</v>
      </c>
      <c r="X612" t="s">
        <v>599</v>
      </c>
      <c r="Y612" t="s">
        <v>599</v>
      </c>
      <c r="Z612" t="s">
        <v>1182</v>
      </c>
      <c r="AA612" t="s">
        <v>3037</v>
      </c>
      <c r="AB612">
        <v>1890</v>
      </c>
      <c r="AC612">
        <v>1890</v>
      </c>
      <c r="AD612" t="s">
        <v>3038</v>
      </c>
      <c r="AE612" t="s">
        <v>1185</v>
      </c>
      <c r="AF612" t="s">
        <v>599</v>
      </c>
      <c r="AG612" t="s">
        <v>599</v>
      </c>
      <c r="AH612" t="s">
        <v>3039</v>
      </c>
      <c r="AI612" t="s">
        <v>599</v>
      </c>
      <c r="AJ612" t="s">
        <v>599</v>
      </c>
      <c r="AK612" t="s">
        <v>3040</v>
      </c>
      <c r="AL612" t="s">
        <v>599</v>
      </c>
      <c r="AM612" t="s">
        <v>3041</v>
      </c>
      <c r="AN612" t="s">
        <v>1190</v>
      </c>
      <c r="AO612" t="s">
        <v>599</v>
      </c>
      <c r="AP612" t="s">
        <v>599</v>
      </c>
      <c r="AQ612" t="s">
        <v>599</v>
      </c>
      <c r="AR612" t="s">
        <v>599</v>
      </c>
      <c r="AS612" t="s">
        <v>599</v>
      </c>
      <c r="AT612" t="s">
        <v>599</v>
      </c>
      <c r="AU612" t="s">
        <v>599</v>
      </c>
    </row>
    <row r="613" spans="1:47" ht="45" x14ac:dyDescent="0.25">
      <c r="A613" s="2">
        <v>11481</v>
      </c>
      <c r="B613" s="10">
        <v>381444</v>
      </c>
      <c r="C613" s="10">
        <v>1</v>
      </c>
      <c r="D613" s="9">
        <v>255</v>
      </c>
      <c r="E613" s="11" t="s">
        <v>453</v>
      </c>
      <c r="F613" s="11" t="str">
        <f t="shared" si="27"/>
        <v>https://purl.pt/37883</v>
      </c>
      <c r="G613" s="12" t="s">
        <v>454</v>
      </c>
      <c r="H613" s="9" t="s">
        <v>455</v>
      </c>
      <c r="I613" s="34"/>
      <c r="J613" s="55" t="str">
        <f t="shared" si="28"/>
        <v>https://permalinkbnd.bnportugal.gov.pt/viewer/14587/?offset=#page=255&amp;viewer=picture&amp;o=info&amp;n=0&amp;q=</v>
      </c>
      <c r="K613" s="45"/>
      <c r="L613" s="45"/>
      <c r="M613" s="45"/>
      <c r="N613" t="s">
        <v>453</v>
      </c>
      <c r="O613">
        <v>14587</v>
      </c>
      <c r="P613" t="str">
        <f t="shared" si="29"/>
        <v>https://permalinkbnd.bnportugal.gov.pt/viewer/14587/?offset=#page=255&amp;viewer=picture&amp;o=info&amp;n=0&amp;q=</v>
      </c>
      <c r="Q613">
        <v>381444</v>
      </c>
      <c r="R613" t="s">
        <v>453</v>
      </c>
      <c r="S613" t="s">
        <v>3036</v>
      </c>
      <c r="T613" t="s">
        <v>1178</v>
      </c>
      <c r="U613" t="s">
        <v>1192</v>
      </c>
      <c r="V613" t="s">
        <v>599</v>
      </c>
      <c r="W613" t="s">
        <v>1551</v>
      </c>
      <c r="X613" t="s">
        <v>599</v>
      </c>
      <c r="Y613" t="s">
        <v>599</v>
      </c>
      <c r="Z613" t="s">
        <v>1182</v>
      </c>
      <c r="AA613" t="s">
        <v>3037</v>
      </c>
      <c r="AB613">
        <v>1890</v>
      </c>
      <c r="AC613">
        <v>1890</v>
      </c>
      <c r="AD613" t="s">
        <v>3038</v>
      </c>
      <c r="AE613" t="s">
        <v>1185</v>
      </c>
      <c r="AF613" t="s">
        <v>599</v>
      </c>
      <c r="AG613" t="s">
        <v>599</v>
      </c>
      <c r="AH613" t="s">
        <v>3039</v>
      </c>
      <c r="AI613" t="s">
        <v>599</v>
      </c>
      <c r="AJ613" t="s">
        <v>599</v>
      </c>
      <c r="AK613" t="s">
        <v>3040</v>
      </c>
      <c r="AL613" t="s">
        <v>599</v>
      </c>
      <c r="AM613" t="s">
        <v>3041</v>
      </c>
      <c r="AN613" t="s">
        <v>1190</v>
      </c>
      <c r="AO613" t="s">
        <v>599</v>
      </c>
      <c r="AP613" t="s">
        <v>599</v>
      </c>
      <c r="AQ613" t="s">
        <v>599</v>
      </c>
      <c r="AR613" t="s">
        <v>599</v>
      </c>
      <c r="AS613" t="s">
        <v>599</v>
      </c>
      <c r="AT613" t="s">
        <v>599</v>
      </c>
      <c r="AU613" t="s">
        <v>599</v>
      </c>
    </row>
    <row r="614" spans="1:47" ht="45" x14ac:dyDescent="0.25">
      <c r="A614" s="2">
        <v>11482</v>
      </c>
      <c r="B614" s="10">
        <v>381444</v>
      </c>
      <c r="C614" s="10">
        <v>1</v>
      </c>
      <c r="D614" s="9">
        <v>265</v>
      </c>
      <c r="E614" s="11" t="s">
        <v>453</v>
      </c>
      <c r="F614" s="11" t="str">
        <f t="shared" si="27"/>
        <v>https://purl.pt/37883</v>
      </c>
      <c r="G614" s="12" t="s">
        <v>454</v>
      </c>
      <c r="H614" s="9" t="s">
        <v>455</v>
      </c>
      <c r="I614" s="34"/>
      <c r="J614" s="55" t="str">
        <f t="shared" si="28"/>
        <v>https://permalinkbnd.bnportugal.gov.pt/viewer/14587/?offset=#page=265&amp;viewer=picture&amp;o=info&amp;n=0&amp;q=</v>
      </c>
      <c r="K614" s="45"/>
      <c r="L614" s="45"/>
      <c r="M614" s="45"/>
      <c r="N614" t="s">
        <v>453</v>
      </c>
      <c r="O614">
        <v>14587</v>
      </c>
      <c r="P614" t="str">
        <f t="shared" si="29"/>
        <v>https://permalinkbnd.bnportugal.gov.pt/viewer/14587/?offset=#page=265&amp;viewer=picture&amp;o=info&amp;n=0&amp;q=</v>
      </c>
      <c r="Q614">
        <v>381444</v>
      </c>
      <c r="R614" t="s">
        <v>453</v>
      </c>
      <c r="S614" t="s">
        <v>3036</v>
      </c>
      <c r="T614" t="s">
        <v>1178</v>
      </c>
      <c r="U614" t="s">
        <v>1192</v>
      </c>
      <c r="V614" t="s">
        <v>599</v>
      </c>
      <c r="W614" t="s">
        <v>1551</v>
      </c>
      <c r="X614" t="s">
        <v>599</v>
      </c>
      <c r="Y614" t="s">
        <v>599</v>
      </c>
      <c r="Z614" t="s">
        <v>1182</v>
      </c>
      <c r="AA614" t="s">
        <v>3037</v>
      </c>
      <c r="AB614">
        <v>1890</v>
      </c>
      <c r="AC614">
        <v>1890</v>
      </c>
      <c r="AD614" t="s">
        <v>3038</v>
      </c>
      <c r="AE614" t="s">
        <v>1185</v>
      </c>
      <c r="AF614" t="s">
        <v>599</v>
      </c>
      <c r="AG614" t="s">
        <v>599</v>
      </c>
      <c r="AH614" t="s">
        <v>3039</v>
      </c>
      <c r="AI614" t="s">
        <v>599</v>
      </c>
      <c r="AJ614" t="s">
        <v>599</v>
      </c>
      <c r="AK614" t="s">
        <v>3040</v>
      </c>
      <c r="AL614" t="s">
        <v>599</v>
      </c>
      <c r="AM614" t="s">
        <v>3041</v>
      </c>
      <c r="AN614" t="s">
        <v>1190</v>
      </c>
      <c r="AO614" t="s">
        <v>599</v>
      </c>
      <c r="AP614" t="s">
        <v>599</v>
      </c>
      <c r="AQ614" t="s">
        <v>599</v>
      </c>
      <c r="AR614" t="s">
        <v>599</v>
      </c>
      <c r="AS614" t="s">
        <v>599</v>
      </c>
      <c r="AT614" t="s">
        <v>599</v>
      </c>
      <c r="AU614" t="s">
        <v>599</v>
      </c>
    </row>
    <row r="615" spans="1:47" ht="45" x14ac:dyDescent="0.25">
      <c r="A615" s="2">
        <v>11483</v>
      </c>
      <c r="B615" s="10">
        <v>381444</v>
      </c>
      <c r="C615" s="10">
        <v>1</v>
      </c>
      <c r="D615" s="9">
        <v>289</v>
      </c>
      <c r="E615" s="11" t="s">
        <v>453</v>
      </c>
      <c r="F615" s="11" t="str">
        <f t="shared" si="27"/>
        <v>https://purl.pt/37883</v>
      </c>
      <c r="G615" s="12" t="s">
        <v>454</v>
      </c>
      <c r="H615" s="9" t="s">
        <v>455</v>
      </c>
      <c r="I615" s="34"/>
      <c r="J615" s="55" t="str">
        <f t="shared" si="28"/>
        <v>https://permalinkbnd.bnportugal.gov.pt/viewer/14587/?offset=#page=289&amp;viewer=picture&amp;o=info&amp;n=0&amp;q=</v>
      </c>
      <c r="K615" s="45"/>
      <c r="L615" s="45"/>
      <c r="M615" s="45"/>
      <c r="N615" t="s">
        <v>453</v>
      </c>
      <c r="O615">
        <v>14587</v>
      </c>
      <c r="P615" t="str">
        <f t="shared" si="29"/>
        <v>https://permalinkbnd.bnportugal.gov.pt/viewer/14587/?offset=#page=289&amp;viewer=picture&amp;o=info&amp;n=0&amp;q=</v>
      </c>
      <c r="Q615">
        <v>381444</v>
      </c>
      <c r="R615" t="s">
        <v>453</v>
      </c>
      <c r="S615" t="s">
        <v>3036</v>
      </c>
      <c r="T615" t="s">
        <v>1178</v>
      </c>
      <c r="U615" t="s">
        <v>1192</v>
      </c>
      <c r="V615" t="s">
        <v>599</v>
      </c>
      <c r="W615" t="s">
        <v>1551</v>
      </c>
      <c r="X615" t="s">
        <v>599</v>
      </c>
      <c r="Y615" t="s">
        <v>599</v>
      </c>
      <c r="Z615" t="s">
        <v>1182</v>
      </c>
      <c r="AA615" t="s">
        <v>3037</v>
      </c>
      <c r="AB615">
        <v>1890</v>
      </c>
      <c r="AC615">
        <v>1890</v>
      </c>
      <c r="AD615" t="s">
        <v>3038</v>
      </c>
      <c r="AE615" t="s">
        <v>1185</v>
      </c>
      <c r="AF615" t="s">
        <v>599</v>
      </c>
      <c r="AG615" t="s">
        <v>599</v>
      </c>
      <c r="AH615" t="s">
        <v>3039</v>
      </c>
      <c r="AI615" t="s">
        <v>599</v>
      </c>
      <c r="AJ615" t="s">
        <v>599</v>
      </c>
      <c r="AK615" t="s">
        <v>3040</v>
      </c>
      <c r="AL615" t="s">
        <v>599</v>
      </c>
      <c r="AM615" t="s">
        <v>3041</v>
      </c>
      <c r="AN615" t="s">
        <v>1190</v>
      </c>
      <c r="AO615" t="s">
        <v>599</v>
      </c>
      <c r="AP615" t="s">
        <v>599</v>
      </c>
      <c r="AQ615" t="s">
        <v>599</v>
      </c>
      <c r="AR615" t="s">
        <v>599</v>
      </c>
      <c r="AS615" t="s">
        <v>599</v>
      </c>
      <c r="AT615" t="s">
        <v>599</v>
      </c>
      <c r="AU615" t="s">
        <v>599</v>
      </c>
    </row>
    <row r="616" spans="1:47" ht="45" x14ac:dyDescent="0.25">
      <c r="A616" s="2">
        <v>11484</v>
      </c>
      <c r="B616" s="10">
        <v>381444</v>
      </c>
      <c r="C616" s="10">
        <v>1</v>
      </c>
      <c r="D616" s="9">
        <v>295</v>
      </c>
      <c r="E616" s="11" t="s">
        <v>453</v>
      </c>
      <c r="F616" s="11" t="str">
        <f t="shared" si="27"/>
        <v>https://purl.pt/37883</v>
      </c>
      <c r="G616" s="12" t="s">
        <v>454</v>
      </c>
      <c r="H616" s="9" t="s">
        <v>455</v>
      </c>
      <c r="I616" s="34"/>
      <c r="J616" s="55" t="str">
        <f t="shared" si="28"/>
        <v>https://permalinkbnd.bnportugal.gov.pt/viewer/14587/?offset=#page=295&amp;viewer=picture&amp;o=info&amp;n=0&amp;q=</v>
      </c>
      <c r="K616" s="45"/>
      <c r="L616" s="45"/>
      <c r="M616" s="45"/>
      <c r="N616" t="s">
        <v>453</v>
      </c>
      <c r="O616">
        <v>14587</v>
      </c>
      <c r="P616" t="str">
        <f t="shared" si="29"/>
        <v>https://permalinkbnd.bnportugal.gov.pt/viewer/14587/?offset=#page=295&amp;viewer=picture&amp;o=info&amp;n=0&amp;q=</v>
      </c>
      <c r="Q616">
        <v>381444</v>
      </c>
      <c r="R616" t="s">
        <v>453</v>
      </c>
      <c r="S616" t="s">
        <v>3036</v>
      </c>
      <c r="T616" t="s">
        <v>1178</v>
      </c>
      <c r="U616" t="s">
        <v>1192</v>
      </c>
      <c r="V616" t="s">
        <v>599</v>
      </c>
      <c r="W616" t="s">
        <v>1551</v>
      </c>
      <c r="X616" t="s">
        <v>599</v>
      </c>
      <c r="Y616" t="s">
        <v>599</v>
      </c>
      <c r="Z616" t="s">
        <v>1182</v>
      </c>
      <c r="AA616" t="s">
        <v>3037</v>
      </c>
      <c r="AB616">
        <v>1890</v>
      </c>
      <c r="AC616">
        <v>1890</v>
      </c>
      <c r="AD616" t="s">
        <v>3038</v>
      </c>
      <c r="AE616" t="s">
        <v>1185</v>
      </c>
      <c r="AF616" t="s">
        <v>599</v>
      </c>
      <c r="AG616" t="s">
        <v>599</v>
      </c>
      <c r="AH616" t="s">
        <v>3039</v>
      </c>
      <c r="AI616" t="s">
        <v>599</v>
      </c>
      <c r="AJ616" t="s">
        <v>599</v>
      </c>
      <c r="AK616" t="s">
        <v>3040</v>
      </c>
      <c r="AL616" t="s">
        <v>599</v>
      </c>
      <c r="AM616" t="s">
        <v>3041</v>
      </c>
      <c r="AN616" t="s">
        <v>1190</v>
      </c>
      <c r="AO616" t="s">
        <v>599</v>
      </c>
      <c r="AP616" t="s">
        <v>599</v>
      </c>
      <c r="AQ616" t="s">
        <v>599</v>
      </c>
      <c r="AR616" t="s">
        <v>599</v>
      </c>
      <c r="AS616" t="s">
        <v>599</v>
      </c>
      <c r="AT616" t="s">
        <v>599</v>
      </c>
      <c r="AU616" t="s">
        <v>599</v>
      </c>
    </row>
    <row r="617" spans="1:47" ht="45" x14ac:dyDescent="0.25">
      <c r="A617" s="2">
        <v>11485</v>
      </c>
      <c r="B617" s="10">
        <v>381444</v>
      </c>
      <c r="C617" s="10">
        <v>1</v>
      </c>
      <c r="D617" s="9">
        <v>323</v>
      </c>
      <c r="E617" s="11" t="s">
        <v>453</v>
      </c>
      <c r="F617" s="11" t="str">
        <f t="shared" si="27"/>
        <v>https://purl.pt/37883</v>
      </c>
      <c r="G617" s="12" t="s">
        <v>454</v>
      </c>
      <c r="H617" s="9" t="s">
        <v>455</v>
      </c>
      <c r="I617" s="34"/>
      <c r="J617" s="55" t="str">
        <f t="shared" si="28"/>
        <v>https://permalinkbnd.bnportugal.gov.pt/viewer/14587/?offset=#page=323&amp;viewer=picture&amp;o=info&amp;n=0&amp;q=</v>
      </c>
      <c r="K617" s="45"/>
      <c r="L617" s="45"/>
      <c r="M617" s="45"/>
      <c r="N617" t="s">
        <v>453</v>
      </c>
      <c r="O617">
        <v>14587</v>
      </c>
      <c r="P617" t="str">
        <f t="shared" si="29"/>
        <v>https://permalinkbnd.bnportugal.gov.pt/viewer/14587/?offset=#page=323&amp;viewer=picture&amp;o=info&amp;n=0&amp;q=</v>
      </c>
      <c r="Q617">
        <v>381444</v>
      </c>
      <c r="R617" t="s">
        <v>453</v>
      </c>
      <c r="S617" t="s">
        <v>3036</v>
      </c>
      <c r="T617" t="s">
        <v>1178</v>
      </c>
      <c r="U617" t="s">
        <v>1192</v>
      </c>
      <c r="V617" t="s">
        <v>599</v>
      </c>
      <c r="W617" t="s">
        <v>1551</v>
      </c>
      <c r="X617" t="s">
        <v>599</v>
      </c>
      <c r="Y617" t="s">
        <v>599</v>
      </c>
      <c r="Z617" t="s">
        <v>1182</v>
      </c>
      <c r="AA617" t="s">
        <v>3037</v>
      </c>
      <c r="AB617">
        <v>1890</v>
      </c>
      <c r="AC617">
        <v>1890</v>
      </c>
      <c r="AD617" t="s">
        <v>3038</v>
      </c>
      <c r="AE617" t="s">
        <v>1185</v>
      </c>
      <c r="AF617" t="s">
        <v>599</v>
      </c>
      <c r="AG617" t="s">
        <v>599</v>
      </c>
      <c r="AH617" t="s">
        <v>3039</v>
      </c>
      <c r="AI617" t="s">
        <v>599</v>
      </c>
      <c r="AJ617" t="s">
        <v>599</v>
      </c>
      <c r="AK617" t="s">
        <v>3040</v>
      </c>
      <c r="AL617" t="s">
        <v>599</v>
      </c>
      <c r="AM617" t="s">
        <v>3041</v>
      </c>
      <c r="AN617" t="s">
        <v>1190</v>
      </c>
      <c r="AO617" t="s">
        <v>599</v>
      </c>
      <c r="AP617" t="s">
        <v>599</v>
      </c>
      <c r="AQ617" t="s">
        <v>599</v>
      </c>
      <c r="AR617" t="s">
        <v>599</v>
      </c>
      <c r="AS617" t="s">
        <v>599</v>
      </c>
      <c r="AT617" t="s">
        <v>599</v>
      </c>
      <c r="AU617" t="s">
        <v>599</v>
      </c>
    </row>
    <row r="618" spans="1:47" ht="45" x14ac:dyDescent="0.25">
      <c r="A618" s="2">
        <v>11486</v>
      </c>
      <c r="B618" s="10">
        <v>381444</v>
      </c>
      <c r="C618" s="10">
        <v>1</v>
      </c>
      <c r="D618" s="9">
        <v>331</v>
      </c>
      <c r="E618" s="11" t="s">
        <v>453</v>
      </c>
      <c r="F618" s="11" t="str">
        <f t="shared" si="27"/>
        <v>https://purl.pt/37883</v>
      </c>
      <c r="G618" s="12" t="s">
        <v>454</v>
      </c>
      <c r="H618" s="9" t="s">
        <v>455</v>
      </c>
      <c r="I618" s="34"/>
      <c r="J618" s="55" t="str">
        <f t="shared" si="28"/>
        <v>https://permalinkbnd.bnportugal.gov.pt/viewer/14587/?offset=#page=331&amp;viewer=picture&amp;o=info&amp;n=0&amp;q=</v>
      </c>
      <c r="K618" s="45"/>
      <c r="L618" s="45"/>
      <c r="M618" s="45"/>
      <c r="N618" t="s">
        <v>453</v>
      </c>
      <c r="O618">
        <v>14587</v>
      </c>
      <c r="P618" t="str">
        <f t="shared" si="29"/>
        <v>https://permalinkbnd.bnportugal.gov.pt/viewer/14587/?offset=#page=331&amp;viewer=picture&amp;o=info&amp;n=0&amp;q=</v>
      </c>
      <c r="Q618">
        <v>381444</v>
      </c>
      <c r="R618" t="s">
        <v>453</v>
      </c>
      <c r="S618" t="s">
        <v>3036</v>
      </c>
      <c r="T618" t="s">
        <v>1178</v>
      </c>
      <c r="U618" t="s">
        <v>1192</v>
      </c>
      <c r="V618" t="s">
        <v>599</v>
      </c>
      <c r="W618" t="s">
        <v>1551</v>
      </c>
      <c r="X618" t="s">
        <v>599</v>
      </c>
      <c r="Y618" t="s">
        <v>599</v>
      </c>
      <c r="Z618" t="s">
        <v>1182</v>
      </c>
      <c r="AA618" t="s">
        <v>3037</v>
      </c>
      <c r="AB618">
        <v>1890</v>
      </c>
      <c r="AC618">
        <v>1890</v>
      </c>
      <c r="AD618" t="s">
        <v>3038</v>
      </c>
      <c r="AE618" t="s">
        <v>1185</v>
      </c>
      <c r="AF618" t="s">
        <v>599</v>
      </c>
      <c r="AG618" t="s">
        <v>599</v>
      </c>
      <c r="AH618" t="s">
        <v>3039</v>
      </c>
      <c r="AI618" t="s">
        <v>599</v>
      </c>
      <c r="AJ618" t="s">
        <v>599</v>
      </c>
      <c r="AK618" t="s">
        <v>3040</v>
      </c>
      <c r="AL618" t="s">
        <v>599</v>
      </c>
      <c r="AM618" t="s">
        <v>3041</v>
      </c>
      <c r="AN618" t="s">
        <v>1190</v>
      </c>
      <c r="AO618" t="s">
        <v>599</v>
      </c>
      <c r="AP618" t="s">
        <v>599</v>
      </c>
      <c r="AQ618" t="s">
        <v>599</v>
      </c>
      <c r="AR618" t="s">
        <v>599</v>
      </c>
      <c r="AS618" t="s">
        <v>599</v>
      </c>
      <c r="AT618" t="s">
        <v>599</v>
      </c>
      <c r="AU618" t="s">
        <v>599</v>
      </c>
    </row>
    <row r="619" spans="1:47" ht="45" x14ac:dyDescent="0.25">
      <c r="A619" s="2">
        <v>11487</v>
      </c>
      <c r="B619" s="10">
        <v>381444</v>
      </c>
      <c r="C619" s="10">
        <v>1</v>
      </c>
      <c r="D619" s="9">
        <v>365</v>
      </c>
      <c r="E619" s="11" t="s">
        <v>453</v>
      </c>
      <c r="F619" s="11" t="str">
        <f t="shared" si="27"/>
        <v>https://purl.pt/37883</v>
      </c>
      <c r="G619" s="12" t="s">
        <v>454</v>
      </c>
      <c r="H619" s="9" t="s">
        <v>455</v>
      </c>
      <c r="I619" s="34"/>
      <c r="J619" s="55" t="str">
        <f t="shared" si="28"/>
        <v>https://permalinkbnd.bnportugal.gov.pt/viewer/14587/?offset=#page=365&amp;viewer=picture&amp;o=info&amp;n=0&amp;q=</v>
      </c>
      <c r="K619" s="45"/>
      <c r="L619" s="45"/>
      <c r="M619" s="45"/>
      <c r="N619" t="s">
        <v>453</v>
      </c>
      <c r="O619">
        <v>14587</v>
      </c>
      <c r="P619" t="str">
        <f t="shared" si="29"/>
        <v>https://permalinkbnd.bnportugal.gov.pt/viewer/14587/?offset=#page=365&amp;viewer=picture&amp;o=info&amp;n=0&amp;q=</v>
      </c>
      <c r="Q619">
        <v>381444</v>
      </c>
      <c r="R619" t="s">
        <v>453</v>
      </c>
      <c r="S619" t="s">
        <v>3036</v>
      </c>
      <c r="T619" t="s">
        <v>1178</v>
      </c>
      <c r="U619" t="s">
        <v>1192</v>
      </c>
      <c r="V619" t="s">
        <v>599</v>
      </c>
      <c r="W619" t="s">
        <v>1551</v>
      </c>
      <c r="X619" t="s">
        <v>599</v>
      </c>
      <c r="Y619" t="s">
        <v>599</v>
      </c>
      <c r="Z619" t="s">
        <v>1182</v>
      </c>
      <c r="AA619" t="s">
        <v>3037</v>
      </c>
      <c r="AB619">
        <v>1890</v>
      </c>
      <c r="AC619">
        <v>1890</v>
      </c>
      <c r="AD619" t="s">
        <v>3038</v>
      </c>
      <c r="AE619" t="s">
        <v>1185</v>
      </c>
      <c r="AF619" t="s">
        <v>599</v>
      </c>
      <c r="AG619" t="s">
        <v>599</v>
      </c>
      <c r="AH619" t="s">
        <v>3039</v>
      </c>
      <c r="AI619" t="s">
        <v>599</v>
      </c>
      <c r="AJ619" t="s">
        <v>599</v>
      </c>
      <c r="AK619" t="s">
        <v>3040</v>
      </c>
      <c r="AL619" t="s">
        <v>599</v>
      </c>
      <c r="AM619" t="s">
        <v>3041</v>
      </c>
      <c r="AN619" t="s">
        <v>1190</v>
      </c>
      <c r="AO619" t="s">
        <v>599</v>
      </c>
      <c r="AP619" t="s">
        <v>599</v>
      </c>
      <c r="AQ619" t="s">
        <v>599</v>
      </c>
      <c r="AR619" t="s">
        <v>599</v>
      </c>
      <c r="AS619" t="s">
        <v>599</v>
      </c>
      <c r="AT619" t="s">
        <v>599</v>
      </c>
      <c r="AU619" t="s">
        <v>599</v>
      </c>
    </row>
    <row r="620" spans="1:47" ht="45" x14ac:dyDescent="0.25">
      <c r="A620" s="2">
        <v>11488</v>
      </c>
      <c r="B620" s="10">
        <v>381444</v>
      </c>
      <c r="C620" s="10">
        <v>1</v>
      </c>
      <c r="D620" s="9">
        <v>385</v>
      </c>
      <c r="E620" s="11" t="s">
        <v>453</v>
      </c>
      <c r="F620" s="11" t="str">
        <f t="shared" si="27"/>
        <v>https://purl.pt/37883</v>
      </c>
      <c r="G620" s="12" t="s">
        <v>454</v>
      </c>
      <c r="H620" s="9" t="s">
        <v>455</v>
      </c>
      <c r="I620" s="34"/>
      <c r="J620" s="55" t="str">
        <f t="shared" si="28"/>
        <v>https://permalinkbnd.bnportugal.gov.pt/viewer/14587/?offset=#page=385&amp;viewer=picture&amp;o=info&amp;n=0&amp;q=</v>
      </c>
      <c r="K620" s="45"/>
      <c r="L620" s="45"/>
      <c r="M620" s="45"/>
      <c r="N620" t="s">
        <v>453</v>
      </c>
      <c r="O620">
        <v>14587</v>
      </c>
      <c r="P620" t="str">
        <f t="shared" si="29"/>
        <v>https://permalinkbnd.bnportugal.gov.pt/viewer/14587/?offset=#page=385&amp;viewer=picture&amp;o=info&amp;n=0&amp;q=</v>
      </c>
      <c r="Q620">
        <v>381444</v>
      </c>
      <c r="R620" t="s">
        <v>453</v>
      </c>
      <c r="S620" t="s">
        <v>3036</v>
      </c>
      <c r="T620" t="s">
        <v>1178</v>
      </c>
      <c r="U620" t="s">
        <v>1192</v>
      </c>
      <c r="V620" t="s">
        <v>599</v>
      </c>
      <c r="W620" t="s">
        <v>1551</v>
      </c>
      <c r="X620" t="s">
        <v>599</v>
      </c>
      <c r="Y620" t="s">
        <v>599</v>
      </c>
      <c r="Z620" t="s">
        <v>1182</v>
      </c>
      <c r="AA620" t="s">
        <v>3037</v>
      </c>
      <c r="AB620">
        <v>1890</v>
      </c>
      <c r="AC620">
        <v>1890</v>
      </c>
      <c r="AD620" t="s">
        <v>3038</v>
      </c>
      <c r="AE620" t="s">
        <v>1185</v>
      </c>
      <c r="AF620" t="s">
        <v>599</v>
      </c>
      <c r="AG620" t="s">
        <v>599</v>
      </c>
      <c r="AH620" t="s">
        <v>3039</v>
      </c>
      <c r="AI620" t="s">
        <v>599</v>
      </c>
      <c r="AJ620" t="s">
        <v>599</v>
      </c>
      <c r="AK620" t="s">
        <v>3040</v>
      </c>
      <c r="AL620" t="s">
        <v>599</v>
      </c>
      <c r="AM620" t="s">
        <v>3041</v>
      </c>
      <c r="AN620" t="s">
        <v>1190</v>
      </c>
      <c r="AO620" t="s">
        <v>599</v>
      </c>
      <c r="AP620" t="s">
        <v>599</v>
      </c>
      <c r="AQ620" t="s">
        <v>599</v>
      </c>
      <c r="AR620" t="s">
        <v>599</v>
      </c>
      <c r="AS620" t="s">
        <v>599</v>
      </c>
      <c r="AT620" t="s">
        <v>599</v>
      </c>
      <c r="AU620" t="s">
        <v>599</v>
      </c>
    </row>
    <row r="621" spans="1:47" ht="30" x14ac:dyDescent="0.25">
      <c r="A621" s="2">
        <v>11489</v>
      </c>
      <c r="B621" s="10">
        <v>381504</v>
      </c>
      <c r="C621" s="10">
        <v>1</v>
      </c>
      <c r="D621" s="9">
        <v>8</v>
      </c>
      <c r="E621" s="11" t="s">
        <v>456</v>
      </c>
      <c r="F621" s="11" t="str">
        <f t="shared" si="27"/>
        <v>https://purl.pt/14655</v>
      </c>
      <c r="G621" s="12" t="s">
        <v>457</v>
      </c>
      <c r="H621" s="9" t="s">
        <v>458</v>
      </c>
      <c r="I621" s="34"/>
      <c r="J621" s="55" t="str">
        <f t="shared" si="28"/>
        <v>https://permalinkbnd.bnportugal.gov.pt/viewer/14650/?offset=#page=8&amp;viewer=picture&amp;o=info&amp;n=0&amp;q=</v>
      </c>
      <c r="K621" s="45"/>
      <c r="L621" s="45"/>
      <c r="M621" s="45"/>
      <c r="N621" t="s">
        <v>456</v>
      </c>
      <c r="O621">
        <v>14650</v>
      </c>
      <c r="P621" t="str">
        <f t="shared" si="29"/>
        <v>https://permalinkbnd.bnportugal.gov.pt/viewer/14650/?offset=#page=8&amp;viewer=picture&amp;o=info&amp;n=0&amp;q=</v>
      </c>
      <c r="Q621">
        <v>381504</v>
      </c>
      <c r="R621" t="s">
        <v>456</v>
      </c>
      <c r="S621" t="s">
        <v>3042</v>
      </c>
      <c r="T621" t="s">
        <v>1178</v>
      </c>
      <c r="U621" t="s">
        <v>1502</v>
      </c>
      <c r="V621" t="s">
        <v>1192</v>
      </c>
      <c r="W621" t="s">
        <v>3043</v>
      </c>
      <c r="X621" t="s">
        <v>3044</v>
      </c>
      <c r="Y621" t="s">
        <v>599</v>
      </c>
      <c r="Z621" t="s">
        <v>1182</v>
      </c>
      <c r="AA621" t="s">
        <v>3045</v>
      </c>
      <c r="AB621">
        <v>1655</v>
      </c>
      <c r="AC621">
        <v>1655</v>
      </c>
      <c r="AD621" t="s">
        <v>3046</v>
      </c>
      <c r="AE621" t="s">
        <v>1185</v>
      </c>
      <c r="AF621" t="s">
        <v>599</v>
      </c>
      <c r="AG621" t="s">
        <v>599</v>
      </c>
      <c r="AH621" t="s">
        <v>3047</v>
      </c>
      <c r="AI621" t="s">
        <v>599</v>
      </c>
      <c r="AJ621" t="s">
        <v>599</v>
      </c>
      <c r="AK621" t="s">
        <v>3048</v>
      </c>
      <c r="AL621" t="s">
        <v>1702</v>
      </c>
      <c r="AM621" t="s">
        <v>3049</v>
      </c>
      <c r="AN621" t="s">
        <v>1190</v>
      </c>
      <c r="AO621" t="s">
        <v>599</v>
      </c>
      <c r="AP621" t="s">
        <v>599</v>
      </c>
      <c r="AQ621" t="s">
        <v>599</v>
      </c>
      <c r="AR621" t="s">
        <v>599</v>
      </c>
      <c r="AS621" t="s">
        <v>599</v>
      </c>
      <c r="AT621" t="s">
        <v>599</v>
      </c>
      <c r="AU621" t="s">
        <v>599</v>
      </c>
    </row>
    <row r="622" spans="1:47" ht="30" x14ac:dyDescent="0.25">
      <c r="A622" s="2">
        <v>11490</v>
      </c>
      <c r="B622" s="10">
        <v>381504</v>
      </c>
      <c r="C622" s="10">
        <v>1</v>
      </c>
      <c r="D622" s="9">
        <v>30</v>
      </c>
      <c r="E622" s="11" t="s">
        <v>456</v>
      </c>
      <c r="F622" s="11" t="str">
        <f t="shared" si="27"/>
        <v>https://purl.pt/14655</v>
      </c>
      <c r="G622" s="12" t="s">
        <v>457</v>
      </c>
      <c r="H622" s="9" t="s">
        <v>458</v>
      </c>
      <c r="I622" s="34"/>
      <c r="J622" s="55" t="str">
        <f t="shared" si="28"/>
        <v>https://permalinkbnd.bnportugal.gov.pt/viewer/14650/?offset=#page=30&amp;viewer=picture&amp;o=info&amp;n=0&amp;q=</v>
      </c>
      <c r="K622" s="45"/>
      <c r="L622" s="45"/>
      <c r="M622" s="45"/>
      <c r="N622" t="s">
        <v>456</v>
      </c>
      <c r="O622">
        <v>14650</v>
      </c>
      <c r="P622" t="str">
        <f t="shared" si="29"/>
        <v>https://permalinkbnd.bnportugal.gov.pt/viewer/14650/?offset=#page=30&amp;viewer=picture&amp;o=info&amp;n=0&amp;q=</v>
      </c>
      <c r="Q622">
        <v>381504</v>
      </c>
      <c r="R622" t="s">
        <v>456</v>
      </c>
      <c r="S622" t="s">
        <v>3042</v>
      </c>
      <c r="T622" t="s">
        <v>1178</v>
      </c>
      <c r="U622" t="s">
        <v>1502</v>
      </c>
      <c r="V622" t="s">
        <v>1192</v>
      </c>
      <c r="W622" t="s">
        <v>3043</v>
      </c>
      <c r="X622" t="s">
        <v>3044</v>
      </c>
      <c r="Y622" t="s">
        <v>599</v>
      </c>
      <c r="Z622" t="s">
        <v>1182</v>
      </c>
      <c r="AA622" t="s">
        <v>3045</v>
      </c>
      <c r="AB622">
        <v>1655</v>
      </c>
      <c r="AC622">
        <v>1655</v>
      </c>
      <c r="AD622" t="s">
        <v>3046</v>
      </c>
      <c r="AE622" t="s">
        <v>1185</v>
      </c>
      <c r="AF622" t="s">
        <v>599</v>
      </c>
      <c r="AG622" t="s">
        <v>599</v>
      </c>
      <c r="AH622" t="s">
        <v>3047</v>
      </c>
      <c r="AI622" t="s">
        <v>599</v>
      </c>
      <c r="AJ622" t="s">
        <v>599</v>
      </c>
      <c r="AK622" t="s">
        <v>3048</v>
      </c>
      <c r="AL622" t="s">
        <v>1702</v>
      </c>
      <c r="AM622" t="s">
        <v>3049</v>
      </c>
      <c r="AN622" t="s">
        <v>1190</v>
      </c>
      <c r="AO622" t="s">
        <v>599</v>
      </c>
      <c r="AP622" t="s">
        <v>599</v>
      </c>
      <c r="AQ622" t="s">
        <v>599</v>
      </c>
      <c r="AR622" t="s">
        <v>599</v>
      </c>
      <c r="AS622" t="s">
        <v>599</v>
      </c>
      <c r="AT622" t="s">
        <v>599</v>
      </c>
      <c r="AU622" t="s">
        <v>599</v>
      </c>
    </row>
    <row r="623" spans="1:47" ht="30" x14ac:dyDescent="0.25">
      <c r="A623" s="2">
        <v>11491</v>
      </c>
      <c r="B623" s="10">
        <v>381504</v>
      </c>
      <c r="C623" s="10">
        <v>1</v>
      </c>
      <c r="D623" s="9">
        <v>31</v>
      </c>
      <c r="E623" s="11" t="s">
        <v>456</v>
      </c>
      <c r="F623" s="11" t="str">
        <f t="shared" si="27"/>
        <v>https://purl.pt/14655</v>
      </c>
      <c r="G623" s="12" t="s">
        <v>457</v>
      </c>
      <c r="H623" s="9" t="s">
        <v>458</v>
      </c>
      <c r="I623" s="34"/>
      <c r="J623" s="55" t="str">
        <f t="shared" si="28"/>
        <v>https://permalinkbnd.bnportugal.gov.pt/viewer/14650/?offset=#page=31&amp;viewer=picture&amp;o=info&amp;n=0&amp;q=</v>
      </c>
      <c r="K623" s="45"/>
      <c r="L623" s="45"/>
      <c r="M623" s="45"/>
      <c r="N623" t="s">
        <v>456</v>
      </c>
      <c r="O623">
        <v>14650</v>
      </c>
      <c r="P623" t="str">
        <f t="shared" si="29"/>
        <v>https://permalinkbnd.bnportugal.gov.pt/viewer/14650/?offset=#page=31&amp;viewer=picture&amp;o=info&amp;n=0&amp;q=</v>
      </c>
      <c r="Q623">
        <v>381504</v>
      </c>
      <c r="R623" t="s">
        <v>456</v>
      </c>
      <c r="S623" t="s">
        <v>3042</v>
      </c>
      <c r="T623" t="s">
        <v>1178</v>
      </c>
      <c r="U623" t="s">
        <v>1502</v>
      </c>
      <c r="V623" t="s">
        <v>1192</v>
      </c>
      <c r="W623" t="s">
        <v>3043</v>
      </c>
      <c r="X623" t="s">
        <v>3044</v>
      </c>
      <c r="Y623" t="s">
        <v>599</v>
      </c>
      <c r="Z623" t="s">
        <v>1182</v>
      </c>
      <c r="AA623" t="s">
        <v>3045</v>
      </c>
      <c r="AB623">
        <v>1655</v>
      </c>
      <c r="AC623">
        <v>1655</v>
      </c>
      <c r="AD623" t="s">
        <v>3046</v>
      </c>
      <c r="AE623" t="s">
        <v>1185</v>
      </c>
      <c r="AF623" t="s">
        <v>599</v>
      </c>
      <c r="AG623" t="s">
        <v>599</v>
      </c>
      <c r="AH623" t="s">
        <v>3047</v>
      </c>
      <c r="AI623" t="s">
        <v>599</v>
      </c>
      <c r="AJ623" t="s">
        <v>599</v>
      </c>
      <c r="AK623" t="s">
        <v>3048</v>
      </c>
      <c r="AL623" t="s">
        <v>1702</v>
      </c>
      <c r="AM623" t="s">
        <v>3049</v>
      </c>
      <c r="AN623" t="s">
        <v>1190</v>
      </c>
      <c r="AO623" t="s">
        <v>599</v>
      </c>
      <c r="AP623" t="s">
        <v>599</v>
      </c>
      <c r="AQ623" t="s">
        <v>599</v>
      </c>
      <c r="AR623" t="s">
        <v>599</v>
      </c>
      <c r="AS623" t="s">
        <v>599</v>
      </c>
      <c r="AT623" t="s">
        <v>599</v>
      </c>
      <c r="AU623" t="s">
        <v>599</v>
      </c>
    </row>
    <row r="624" spans="1:47" ht="30" x14ac:dyDescent="0.25">
      <c r="A624" s="2">
        <v>11493</v>
      </c>
      <c r="B624" s="10">
        <v>381588</v>
      </c>
      <c r="C624" s="10">
        <v>1</v>
      </c>
      <c r="D624" s="9">
        <v>6</v>
      </c>
      <c r="E624" s="11" t="s">
        <v>459</v>
      </c>
      <c r="F624" s="11" t="str">
        <f t="shared" si="27"/>
        <v>https://purl.pt/19853</v>
      </c>
      <c r="G624" s="12" t="s">
        <v>460</v>
      </c>
      <c r="H624" s="9" t="s">
        <v>461</v>
      </c>
      <c r="I624" s="34"/>
      <c r="J624" s="55" t="str">
        <f t="shared" si="28"/>
        <v>https://permalinkbnd.bnportugal.gov.pt/viewer/14604/?offset=#page=6&amp;viewer=picture&amp;o=info&amp;n=0&amp;q=</v>
      </c>
      <c r="K624" s="45"/>
      <c r="L624" s="45"/>
      <c r="M624" s="45"/>
      <c r="N624" t="s">
        <v>459</v>
      </c>
      <c r="O624">
        <v>14604</v>
      </c>
      <c r="P624" t="str">
        <f t="shared" si="29"/>
        <v>https://permalinkbnd.bnportugal.gov.pt/viewer/14604/?offset=#page=6&amp;viewer=picture&amp;o=info&amp;n=0&amp;q=</v>
      </c>
      <c r="Q624">
        <v>381588</v>
      </c>
      <c r="R624" t="s">
        <v>459</v>
      </c>
      <c r="S624" t="s">
        <v>3050</v>
      </c>
      <c r="T624" t="s">
        <v>1178</v>
      </c>
      <c r="U624" t="s">
        <v>1502</v>
      </c>
      <c r="V624" t="s">
        <v>1192</v>
      </c>
      <c r="W624" t="s">
        <v>3051</v>
      </c>
      <c r="X624" t="s">
        <v>1863</v>
      </c>
      <c r="Y624" t="s">
        <v>599</v>
      </c>
      <c r="Z624" t="s">
        <v>3052</v>
      </c>
      <c r="AA624" t="s">
        <v>3053</v>
      </c>
      <c r="AB624">
        <v>1778</v>
      </c>
      <c r="AC624">
        <v>1778</v>
      </c>
      <c r="AD624" t="s">
        <v>3054</v>
      </c>
      <c r="AE624" t="s">
        <v>1185</v>
      </c>
      <c r="AF624" t="s">
        <v>599</v>
      </c>
      <c r="AG624" t="s">
        <v>599</v>
      </c>
      <c r="AH624" t="s">
        <v>3055</v>
      </c>
      <c r="AI624" t="s">
        <v>599</v>
      </c>
      <c r="AJ624" t="s">
        <v>3056</v>
      </c>
      <c r="AK624" t="s">
        <v>3057</v>
      </c>
      <c r="AL624" t="s">
        <v>1702</v>
      </c>
      <c r="AM624" t="s">
        <v>3058</v>
      </c>
      <c r="AN624" t="s">
        <v>1190</v>
      </c>
      <c r="AO624" t="s">
        <v>599</v>
      </c>
      <c r="AP624" t="s">
        <v>599</v>
      </c>
      <c r="AQ624" t="s">
        <v>599</v>
      </c>
      <c r="AR624" t="s">
        <v>599</v>
      </c>
      <c r="AS624" t="s">
        <v>599</v>
      </c>
      <c r="AT624" t="s">
        <v>599</v>
      </c>
      <c r="AU624" t="s">
        <v>599</v>
      </c>
    </row>
    <row r="625" spans="1:47" ht="30" x14ac:dyDescent="0.25">
      <c r="A625" s="2">
        <v>11494</v>
      </c>
      <c r="B625" s="10">
        <v>381588</v>
      </c>
      <c r="C625" s="10">
        <v>1</v>
      </c>
      <c r="D625" s="9">
        <v>35</v>
      </c>
      <c r="E625" s="11" t="s">
        <v>459</v>
      </c>
      <c r="F625" s="11" t="str">
        <f t="shared" si="27"/>
        <v>https://purl.pt/19853</v>
      </c>
      <c r="G625" s="12" t="s">
        <v>460</v>
      </c>
      <c r="H625" s="9" t="s">
        <v>461</v>
      </c>
      <c r="I625" s="34"/>
      <c r="J625" s="55" t="str">
        <f t="shared" si="28"/>
        <v>https://permalinkbnd.bnportugal.gov.pt/viewer/14604/?offset=#page=35&amp;viewer=picture&amp;o=info&amp;n=0&amp;q=</v>
      </c>
      <c r="K625" s="45"/>
      <c r="L625" s="45"/>
      <c r="M625" s="45"/>
      <c r="N625" t="s">
        <v>459</v>
      </c>
      <c r="O625">
        <v>14604</v>
      </c>
      <c r="P625" t="str">
        <f t="shared" si="29"/>
        <v>https://permalinkbnd.bnportugal.gov.pt/viewer/14604/?offset=#page=35&amp;viewer=picture&amp;o=info&amp;n=0&amp;q=</v>
      </c>
      <c r="Q625">
        <v>381588</v>
      </c>
      <c r="R625" t="s">
        <v>459</v>
      </c>
      <c r="S625" t="s">
        <v>3050</v>
      </c>
      <c r="T625" t="s">
        <v>1178</v>
      </c>
      <c r="U625" t="s">
        <v>1502</v>
      </c>
      <c r="V625" t="s">
        <v>1192</v>
      </c>
      <c r="W625" t="s">
        <v>3051</v>
      </c>
      <c r="X625" t="s">
        <v>1863</v>
      </c>
      <c r="Y625" t="s">
        <v>599</v>
      </c>
      <c r="Z625" t="s">
        <v>3052</v>
      </c>
      <c r="AA625" t="s">
        <v>3053</v>
      </c>
      <c r="AB625">
        <v>1778</v>
      </c>
      <c r="AC625">
        <v>1778</v>
      </c>
      <c r="AD625" t="s">
        <v>3054</v>
      </c>
      <c r="AE625" t="s">
        <v>1185</v>
      </c>
      <c r="AF625" t="s">
        <v>599</v>
      </c>
      <c r="AG625" t="s">
        <v>599</v>
      </c>
      <c r="AH625" t="s">
        <v>3055</v>
      </c>
      <c r="AI625" t="s">
        <v>599</v>
      </c>
      <c r="AJ625" t="s">
        <v>3056</v>
      </c>
      <c r="AK625" t="s">
        <v>3057</v>
      </c>
      <c r="AL625" t="s">
        <v>1702</v>
      </c>
      <c r="AM625" t="s">
        <v>3058</v>
      </c>
      <c r="AN625" t="s">
        <v>1190</v>
      </c>
      <c r="AO625" t="s">
        <v>599</v>
      </c>
      <c r="AP625" t="s">
        <v>599</v>
      </c>
      <c r="AQ625" t="s">
        <v>599</v>
      </c>
      <c r="AR625" t="s">
        <v>599</v>
      </c>
      <c r="AS625" t="s">
        <v>599</v>
      </c>
      <c r="AT625" t="s">
        <v>599</v>
      </c>
      <c r="AU625" t="s">
        <v>599</v>
      </c>
    </row>
    <row r="626" spans="1:47" ht="30" x14ac:dyDescent="0.25">
      <c r="A626" s="2">
        <v>11499</v>
      </c>
      <c r="B626" s="10">
        <v>397754</v>
      </c>
      <c r="C626" s="10">
        <v>1</v>
      </c>
      <c r="D626" s="9">
        <v>13</v>
      </c>
      <c r="E626" s="11" t="s">
        <v>462</v>
      </c>
      <c r="F626" s="11" t="str">
        <f t="shared" si="27"/>
        <v>https://purl.pt/44665</v>
      </c>
      <c r="G626" s="12" t="s">
        <v>463</v>
      </c>
      <c r="H626" s="9">
        <v>13</v>
      </c>
      <c r="I626" s="34"/>
      <c r="J626" s="55" t="str">
        <f t="shared" si="28"/>
        <v>https://permalinkbnd.bnportugal.gov.pt/viewer/278482/?offset=#page=13&amp;viewer=picture&amp;o=info&amp;n=0&amp;q=</v>
      </c>
      <c r="K626" s="45"/>
      <c r="L626" s="45"/>
      <c r="M626" s="45"/>
      <c r="N626" t="s">
        <v>462</v>
      </c>
      <c r="O626">
        <v>278482</v>
      </c>
      <c r="P626" t="str">
        <f t="shared" si="29"/>
        <v>https://permalinkbnd.bnportugal.gov.pt/viewer/278482/?offset=#page=13&amp;viewer=picture&amp;o=info&amp;n=0&amp;q=</v>
      </c>
      <c r="Q626">
        <v>397754</v>
      </c>
      <c r="R626" t="s">
        <v>462</v>
      </c>
      <c r="S626" t="s">
        <v>3059</v>
      </c>
      <c r="T626" t="s">
        <v>1178</v>
      </c>
      <c r="U626" t="s">
        <v>1192</v>
      </c>
      <c r="V626" t="s">
        <v>599</v>
      </c>
      <c r="W626" t="s">
        <v>3060</v>
      </c>
      <c r="X626" t="s">
        <v>599</v>
      </c>
      <c r="Y626" t="s">
        <v>599</v>
      </c>
      <c r="Z626" t="s">
        <v>1182</v>
      </c>
      <c r="AA626" t="s">
        <v>3061</v>
      </c>
      <c r="AB626">
        <v>1887</v>
      </c>
      <c r="AC626">
        <v>1887</v>
      </c>
      <c r="AD626" t="s">
        <v>3062</v>
      </c>
      <c r="AE626" t="s">
        <v>1185</v>
      </c>
      <c r="AF626" t="s">
        <v>599</v>
      </c>
      <c r="AG626" t="s">
        <v>599</v>
      </c>
      <c r="AH626" t="s">
        <v>3063</v>
      </c>
      <c r="AI626" t="s">
        <v>599</v>
      </c>
      <c r="AJ626" t="s">
        <v>599</v>
      </c>
      <c r="AK626" t="s">
        <v>3064</v>
      </c>
      <c r="AL626" t="s">
        <v>1188</v>
      </c>
      <c r="AM626" t="s">
        <v>3065</v>
      </c>
      <c r="AN626" t="s">
        <v>1190</v>
      </c>
      <c r="AO626" t="s">
        <v>3066</v>
      </c>
      <c r="AP626" t="s">
        <v>599</v>
      </c>
      <c r="AQ626" t="s">
        <v>599</v>
      </c>
      <c r="AR626" t="s">
        <v>599</v>
      </c>
      <c r="AS626" t="s">
        <v>599</v>
      </c>
      <c r="AT626" t="s">
        <v>599</v>
      </c>
      <c r="AU626" t="s">
        <v>599</v>
      </c>
    </row>
    <row r="627" spans="1:47" ht="30" x14ac:dyDescent="0.25">
      <c r="A627" s="2">
        <v>11511</v>
      </c>
      <c r="B627" s="10">
        <v>452326</v>
      </c>
      <c r="C627" s="10">
        <v>1</v>
      </c>
      <c r="D627" s="9">
        <v>12</v>
      </c>
      <c r="E627" s="11" t="s">
        <v>464</v>
      </c>
      <c r="F627" s="11" t="str">
        <f t="shared" si="27"/>
        <v>https://purl.pt/39041</v>
      </c>
      <c r="G627" s="12" t="s">
        <v>465</v>
      </c>
      <c r="H627" s="9" t="s">
        <v>466</v>
      </c>
      <c r="I627" s="34"/>
      <c r="J627" s="55" t="str">
        <f t="shared" si="28"/>
        <v>https://permalinkbnd.bnportugal.gov.pt/viewer/14622/?offset=#page=12&amp;viewer=picture&amp;o=info&amp;n=0&amp;q=</v>
      </c>
      <c r="K627" s="45"/>
      <c r="L627" s="45"/>
      <c r="M627" s="45"/>
      <c r="N627" t="s">
        <v>464</v>
      </c>
      <c r="O627">
        <v>14622</v>
      </c>
      <c r="P627" t="str">
        <f t="shared" si="29"/>
        <v>https://permalinkbnd.bnportugal.gov.pt/viewer/14622/?offset=#page=12&amp;viewer=picture&amp;o=info&amp;n=0&amp;q=</v>
      </c>
      <c r="Q627">
        <v>452326</v>
      </c>
      <c r="R627" t="s">
        <v>464</v>
      </c>
      <c r="S627" t="s">
        <v>3067</v>
      </c>
      <c r="T627" t="s">
        <v>1178</v>
      </c>
      <c r="U627" t="s">
        <v>1362</v>
      </c>
      <c r="V627" t="s">
        <v>599</v>
      </c>
      <c r="W627" t="s">
        <v>3068</v>
      </c>
      <c r="X627" t="s">
        <v>3069</v>
      </c>
      <c r="Y627" t="s">
        <v>599</v>
      </c>
      <c r="Z627" t="s">
        <v>1182</v>
      </c>
      <c r="AA627" t="s">
        <v>3070</v>
      </c>
      <c r="AB627">
        <v>1935</v>
      </c>
      <c r="AC627">
        <v>1935</v>
      </c>
      <c r="AD627" t="s">
        <v>3071</v>
      </c>
      <c r="AE627" t="s">
        <v>3072</v>
      </c>
      <c r="AF627" t="s">
        <v>599</v>
      </c>
      <c r="AG627" t="s">
        <v>599</v>
      </c>
      <c r="AH627" t="s">
        <v>3073</v>
      </c>
      <c r="AI627" t="s">
        <v>599</v>
      </c>
      <c r="AJ627" t="s">
        <v>599</v>
      </c>
      <c r="AK627" t="s">
        <v>3074</v>
      </c>
      <c r="AL627" t="s">
        <v>3075</v>
      </c>
      <c r="AM627" t="s">
        <v>3076</v>
      </c>
      <c r="AN627" t="s">
        <v>1190</v>
      </c>
      <c r="AO627" t="s">
        <v>599</v>
      </c>
      <c r="AP627" t="s">
        <v>599</v>
      </c>
      <c r="AQ627" t="s">
        <v>599</v>
      </c>
      <c r="AR627" t="s">
        <v>599</v>
      </c>
      <c r="AS627" t="s">
        <v>599</v>
      </c>
      <c r="AT627" t="s">
        <v>599</v>
      </c>
      <c r="AU627" t="s">
        <v>599</v>
      </c>
    </row>
    <row r="628" spans="1:47" ht="30" x14ac:dyDescent="0.25">
      <c r="A628" s="2">
        <v>11512</v>
      </c>
      <c r="B628" s="10">
        <v>452326</v>
      </c>
      <c r="C628" s="10">
        <v>1</v>
      </c>
      <c r="D628" s="9">
        <v>21</v>
      </c>
      <c r="E628" s="11" t="s">
        <v>464</v>
      </c>
      <c r="F628" s="11" t="str">
        <f t="shared" si="27"/>
        <v>https://purl.pt/39041</v>
      </c>
      <c r="G628" s="12" t="s">
        <v>465</v>
      </c>
      <c r="H628" s="9" t="s">
        <v>466</v>
      </c>
      <c r="I628" s="34"/>
      <c r="J628" s="55" t="str">
        <f t="shared" si="28"/>
        <v>https://permalinkbnd.bnportugal.gov.pt/viewer/14622/?offset=#page=21&amp;viewer=picture&amp;o=info&amp;n=0&amp;q=</v>
      </c>
      <c r="K628" s="45"/>
      <c r="L628" s="45"/>
      <c r="M628" s="45"/>
      <c r="N628" t="s">
        <v>464</v>
      </c>
      <c r="O628">
        <v>14622</v>
      </c>
      <c r="P628" t="str">
        <f t="shared" si="29"/>
        <v>https://permalinkbnd.bnportugal.gov.pt/viewer/14622/?offset=#page=21&amp;viewer=picture&amp;o=info&amp;n=0&amp;q=</v>
      </c>
      <c r="Q628">
        <v>452326</v>
      </c>
      <c r="R628" t="s">
        <v>464</v>
      </c>
      <c r="S628" t="s">
        <v>3067</v>
      </c>
      <c r="T628" t="s">
        <v>1178</v>
      </c>
      <c r="U628" t="s">
        <v>1362</v>
      </c>
      <c r="V628" t="s">
        <v>599</v>
      </c>
      <c r="W628" t="s">
        <v>3068</v>
      </c>
      <c r="X628" t="s">
        <v>3069</v>
      </c>
      <c r="Y628" t="s">
        <v>599</v>
      </c>
      <c r="Z628" t="s">
        <v>1182</v>
      </c>
      <c r="AA628" t="s">
        <v>3070</v>
      </c>
      <c r="AB628">
        <v>1935</v>
      </c>
      <c r="AC628">
        <v>1935</v>
      </c>
      <c r="AD628" t="s">
        <v>3071</v>
      </c>
      <c r="AE628" t="s">
        <v>3072</v>
      </c>
      <c r="AF628" t="s">
        <v>599</v>
      </c>
      <c r="AG628" t="s">
        <v>599</v>
      </c>
      <c r="AH628" t="s">
        <v>3073</v>
      </c>
      <c r="AI628" t="s">
        <v>599</v>
      </c>
      <c r="AJ628" t="s">
        <v>599</v>
      </c>
      <c r="AK628" t="s">
        <v>3074</v>
      </c>
      <c r="AL628" t="s">
        <v>3075</v>
      </c>
      <c r="AM628" t="s">
        <v>3076</v>
      </c>
      <c r="AN628" t="s">
        <v>1190</v>
      </c>
      <c r="AO628" t="s">
        <v>599</v>
      </c>
      <c r="AP628" t="s">
        <v>599</v>
      </c>
      <c r="AQ628" t="s">
        <v>599</v>
      </c>
      <c r="AR628" t="s">
        <v>599</v>
      </c>
      <c r="AS628" t="s">
        <v>599</v>
      </c>
      <c r="AT628" t="s">
        <v>599</v>
      </c>
      <c r="AU628" t="s">
        <v>599</v>
      </c>
    </row>
    <row r="629" spans="1:47" ht="30" x14ac:dyDescent="0.25">
      <c r="A629" s="2">
        <v>11513</v>
      </c>
      <c r="B629" s="10">
        <v>452326</v>
      </c>
      <c r="C629" s="10">
        <v>1</v>
      </c>
      <c r="D629" s="9">
        <v>108</v>
      </c>
      <c r="E629" s="11" t="s">
        <v>464</v>
      </c>
      <c r="F629" s="11" t="str">
        <f t="shared" si="27"/>
        <v>https://purl.pt/39041</v>
      </c>
      <c r="G629" s="12" t="s">
        <v>465</v>
      </c>
      <c r="H629" s="9" t="s">
        <v>466</v>
      </c>
      <c r="I629" s="34"/>
      <c r="J629" s="55" t="str">
        <f t="shared" si="28"/>
        <v>https://permalinkbnd.bnportugal.gov.pt/viewer/14622/?offset=#page=108&amp;viewer=picture&amp;o=info&amp;n=0&amp;q=</v>
      </c>
      <c r="K629" s="45"/>
      <c r="L629" s="45"/>
      <c r="M629" s="45"/>
      <c r="N629" t="s">
        <v>464</v>
      </c>
      <c r="O629">
        <v>14622</v>
      </c>
      <c r="P629" t="str">
        <f t="shared" si="29"/>
        <v>https://permalinkbnd.bnportugal.gov.pt/viewer/14622/?offset=#page=108&amp;viewer=picture&amp;o=info&amp;n=0&amp;q=</v>
      </c>
      <c r="Q629">
        <v>452326</v>
      </c>
      <c r="R629" t="s">
        <v>464</v>
      </c>
      <c r="S629" t="s">
        <v>3067</v>
      </c>
      <c r="T629" t="s">
        <v>1178</v>
      </c>
      <c r="U629" t="s">
        <v>1362</v>
      </c>
      <c r="V629" t="s">
        <v>599</v>
      </c>
      <c r="W629" t="s">
        <v>3068</v>
      </c>
      <c r="X629" t="s">
        <v>3069</v>
      </c>
      <c r="Y629" t="s">
        <v>599</v>
      </c>
      <c r="Z629" t="s">
        <v>1182</v>
      </c>
      <c r="AA629" t="s">
        <v>3070</v>
      </c>
      <c r="AB629">
        <v>1935</v>
      </c>
      <c r="AC629">
        <v>1935</v>
      </c>
      <c r="AD629" t="s">
        <v>3071</v>
      </c>
      <c r="AE629" t="s">
        <v>3072</v>
      </c>
      <c r="AF629" t="s">
        <v>599</v>
      </c>
      <c r="AG629" t="s">
        <v>599</v>
      </c>
      <c r="AH629" t="s">
        <v>3073</v>
      </c>
      <c r="AI629" t="s">
        <v>599</v>
      </c>
      <c r="AJ629" t="s">
        <v>599</v>
      </c>
      <c r="AK629" t="s">
        <v>3074</v>
      </c>
      <c r="AL629" t="s">
        <v>3075</v>
      </c>
      <c r="AM629" t="s">
        <v>3076</v>
      </c>
      <c r="AN629" t="s">
        <v>1190</v>
      </c>
      <c r="AO629" t="s">
        <v>599</v>
      </c>
      <c r="AP629" t="s">
        <v>599</v>
      </c>
      <c r="AQ629" t="s">
        <v>599</v>
      </c>
      <c r="AR629" t="s">
        <v>599</v>
      </c>
      <c r="AS629" t="s">
        <v>599</v>
      </c>
      <c r="AT629" t="s">
        <v>599</v>
      </c>
      <c r="AU629" t="s">
        <v>599</v>
      </c>
    </row>
    <row r="630" spans="1:47" ht="30" x14ac:dyDescent="0.25">
      <c r="A630" s="2">
        <v>11514</v>
      </c>
      <c r="B630" s="10">
        <v>452326</v>
      </c>
      <c r="C630" s="10">
        <v>1</v>
      </c>
      <c r="D630" s="9">
        <v>125</v>
      </c>
      <c r="E630" s="11" t="s">
        <v>464</v>
      </c>
      <c r="F630" s="11" t="str">
        <f t="shared" si="27"/>
        <v>https://purl.pt/39041</v>
      </c>
      <c r="G630" s="12" t="s">
        <v>465</v>
      </c>
      <c r="H630" s="9" t="s">
        <v>466</v>
      </c>
      <c r="I630" s="34"/>
      <c r="J630" s="55" t="str">
        <f t="shared" si="28"/>
        <v>https://permalinkbnd.bnportugal.gov.pt/viewer/14622/?offset=#page=125&amp;viewer=picture&amp;o=info&amp;n=0&amp;q=</v>
      </c>
      <c r="K630" s="45"/>
      <c r="L630" s="45"/>
      <c r="M630" s="45"/>
      <c r="N630" t="s">
        <v>464</v>
      </c>
      <c r="O630">
        <v>14622</v>
      </c>
      <c r="P630" t="str">
        <f t="shared" si="29"/>
        <v>https://permalinkbnd.bnportugal.gov.pt/viewer/14622/?offset=#page=125&amp;viewer=picture&amp;o=info&amp;n=0&amp;q=</v>
      </c>
      <c r="Q630">
        <v>452326</v>
      </c>
      <c r="R630" t="s">
        <v>464</v>
      </c>
      <c r="S630" t="s">
        <v>3067</v>
      </c>
      <c r="T630" t="s">
        <v>1178</v>
      </c>
      <c r="U630" t="s">
        <v>1362</v>
      </c>
      <c r="V630" t="s">
        <v>599</v>
      </c>
      <c r="W630" t="s">
        <v>3068</v>
      </c>
      <c r="X630" t="s">
        <v>3069</v>
      </c>
      <c r="Y630" t="s">
        <v>599</v>
      </c>
      <c r="Z630" t="s">
        <v>1182</v>
      </c>
      <c r="AA630" t="s">
        <v>3070</v>
      </c>
      <c r="AB630">
        <v>1935</v>
      </c>
      <c r="AC630">
        <v>1935</v>
      </c>
      <c r="AD630" t="s">
        <v>3071</v>
      </c>
      <c r="AE630" t="s">
        <v>3072</v>
      </c>
      <c r="AF630" t="s">
        <v>599</v>
      </c>
      <c r="AG630" t="s">
        <v>599</v>
      </c>
      <c r="AH630" t="s">
        <v>3073</v>
      </c>
      <c r="AI630" t="s">
        <v>599</v>
      </c>
      <c r="AJ630" t="s">
        <v>599</v>
      </c>
      <c r="AK630" t="s">
        <v>3074</v>
      </c>
      <c r="AL630" t="s">
        <v>3075</v>
      </c>
      <c r="AM630" t="s">
        <v>3076</v>
      </c>
      <c r="AN630" t="s">
        <v>1190</v>
      </c>
      <c r="AO630" t="s">
        <v>599</v>
      </c>
      <c r="AP630" t="s">
        <v>599</v>
      </c>
      <c r="AQ630" t="s">
        <v>599</v>
      </c>
      <c r="AR630" t="s">
        <v>599</v>
      </c>
      <c r="AS630" t="s">
        <v>599</v>
      </c>
      <c r="AT630" t="s">
        <v>599</v>
      </c>
      <c r="AU630" t="s">
        <v>599</v>
      </c>
    </row>
    <row r="631" spans="1:47" ht="30" x14ac:dyDescent="0.25">
      <c r="A631" s="2">
        <v>11515</v>
      </c>
      <c r="B631" s="10">
        <v>452510</v>
      </c>
      <c r="C631" s="10">
        <v>1</v>
      </c>
      <c r="D631" s="9">
        <v>6</v>
      </c>
      <c r="E631" s="11" t="s">
        <v>467</v>
      </c>
      <c r="F631" s="11" t="str">
        <f t="shared" si="27"/>
        <v>https://purl.pt/25641</v>
      </c>
      <c r="G631" s="12" t="s">
        <v>468</v>
      </c>
      <c r="H631" s="9" t="s">
        <v>469</v>
      </c>
      <c r="I631" s="34"/>
      <c r="J631" s="55" t="str">
        <f t="shared" si="28"/>
        <v>https://permalinkbnd.bnportugal.gov.pt/viewer/86723/?offset=#page=6&amp;viewer=picture&amp;o=info&amp;n=0&amp;q=</v>
      </c>
      <c r="K631" s="45"/>
      <c r="L631" s="45"/>
      <c r="M631" s="45"/>
      <c r="N631" t="s">
        <v>467</v>
      </c>
      <c r="O631">
        <v>86723</v>
      </c>
      <c r="P631" t="str">
        <f t="shared" si="29"/>
        <v>https://permalinkbnd.bnportugal.gov.pt/viewer/86723/?offset=#page=6&amp;viewer=picture&amp;o=info&amp;n=0&amp;q=</v>
      </c>
      <c r="Q631">
        <v>452510</v>
      </c>
      <c r="R631" t="s">
        <v>467</v>
      </c>
      <c r="S631" t="s">
        <v>3077</v>
      </c>
      <c r="T631" t="s">
        <v>1178</v>
      </c>
      <c r="U631" t="s">
        <v>1192</v>
      </c>
      <c r="V631" t="s">
        <v>599</v>
      </c>
      <c r="W631" t="s">
        <v>3078</v>
      </c>
      <c r="X631" t="s">
        <v>599</v>
      </c>
      <c r="Y631" t="s">
        <v>599</v>
      </c>
      <c r="Z631" t="s">
        <v>1182</v>
      </c>
      <c r="AA631" t="s">
        <v>3079</v>
      </c>
      <c r="AB631">
        <v>1897</v>
      </c>
      <c r="AC631">
        <v>1897</v>
      </c>
      <c r="AD631" t="s">
        <v>3080</v>
      </c>
      <c r="AE631" t="s">
        <v>2691</v>
      </c>
      <c r="AF631" t="s">
        <v>599</v>
      </c>
      <c r="AG631" t="s">
        <v>599</v>
      </c>
      <c r="AH631" t="s">
        <v>599</v>
      </c>
      <c r="AI631" t="s">
        <v>599</v>
      </c>
      <c r="AJ631" t="s">
        <v>599</v>
      </c>
      <c r="AK631" t="s">
        <v>3081</v>
      </c>
      <c r="AL631" t="s">
        <v>599</v>
      </c>
      <c r="AM631" t="s">
        <v>3082</v>
      </c>
      <c r="AN631" t="s">
        <v>1190</v>
      </c>
      <c r="AO631" t="s">
        <v>599</v>
      </c>
      <c r="AP631" t="s">
        <v>599</v>
      </c>
      <c r="AQ631" t="s">
        <v>599</v>
      </c>
      <c r="AR631" t="s">
        <v>599</v>
      </c>
      <c r="AS631" t="s">
        <v>599</v>
      </c>
      <c r="AT631" t="s">
        <v>599</v>
      </c>
      <c r="AU631" t="s">
        <v>599</v>
      </c>
    </row>
    <row r="632" spans="1:47" ht="30" x14ac:dyDescent="0.25">
      <c r="A632" s="2">
        <v>11516</v>
      </c>
      <c r="B632" s="10">
        <v>452510</v>
      </c>
      <c r="C632" s="10">
        <v>1</v>
      </c>
      <c r="D632" s="9">
        <v>11</v>
      </c>
      <c r="E632" s="11" t="s">
        <v>467</v>
      </c>
      <c r="F632" s="11" t="str">
        <f t="shared" si="27"/>
        <v>https://purl.pt/25641</v>
      </c>
      <c r="G632" s="12" t="s">
        <v>468</v>
      </c>
      <c r="H632" s="9" t="s">
        <v>469</v>
      </c>
      <c r="I632" s="34"/>
      <c r="J632" s="55" t="str">
        <f t="shared" si="28"/>
        <v>https://permalinkbnd.bnportugal.gov.pt/viewer/86723/?offset=#page=11&amp;viewer=picture&amp;o=info&amp;n=0&amp;q=</v>
      </c>
      <c r="K632" s="45"/>
      <c r="L632" s="45"/>
      <c r="M632" s="45"/>
      <c r="N632" t="s">
        <v>467</v>
      </c>
      <c r="O632">
        <v>86723</v>
      </c>
      <c r="P632" t="str">
        <f t="shared" si="29"/>
        <v>https://permalinkbnd.bnportugal.gov.pt/viewer/86723/?offset=#page=11&amp;viewer=picture&amp;o=info&amp;n=0&amp;q=</v>
      </c>
      <c r="Q632">
        <v>452510</v>
      </c>
      <c r="R632" t="s">
        <v>467</v>
      </c>
      <c r="S632" t="s">
        <v>3077</v>
      </c>
      <c r="T632" t="s">
        <v>1178</v>
      </c>
      <c r="U632" t="s">
        <v>1192</v>
      </c>
      <c r="V632" t="s">
        <v>599</v>
      </c>
      <c r="W632" t="s">
        <v>3078</v>
      </c>
      <c r="X632" t="s">
        <v>599</v>
      </c>
      <c r="Y632" t="s">
        <v>599</v>
      </c>
      <c r="Z632" t="s">
        <v>1182</v>
      </c>
      <c r="AA632" t="s">
        <v>3079</v>
      </c>
      <c r="AB632">
        <v>1897</v>
      </c>
      <c r="AC632">
        <v>1897</v>
      </c>
      <c r="AD632" t="s">
        <v>3080</v>
      </c>
      <c r="AE632" t="s">
        <v>2691</v>
      </c>
      <c r="AF632" t="s">
        <v>599</v>
      </c>
      <c r="AG632" t="s">
        <v>599</v>
      </c>
      <c r="AH632" t="s">
        <v>599</v>
      </c>
      <c r="AI632" t="s">
        <v>599</v>
      </c>
      <c r="AJ632" t="s">
        <v>599</v>
      </c>
      <c r="AK632" t="s">
        <v>3081</v>
      </c>
      <c r="AL632" t="s">
        <v>599</v>
      </c>
      <c r="AM632" t="s">
        <v>3082</v>
      </c>
      <c r="AN632" t="s">
        <v>1190</v>
      </c>
      <c r="AO632" t="s">
        <v>599</v>
      </c>
      <c r="AP632" t="s">
        <v>599</v>
      </c>
      <c r="AQ632" t="s">
        <v>599</v>
      </c>
      <c r="AR632" t="s">
        <v>599</v>
      </c>
      <c r="AS632" t="s">
        <v>599</v>
      </c>
      <c r="AT632" t="s">
        <v>599</v>
      </c>
      <c r="AU632" t="s">
        <v>599</v>
      </c>
    </row>
    <row r="633" spans="1:47" ht="30" x14ac:dyDescent="0.25">
      <c r="A633" s="2">
        <v>11545</v>
      </c>
      <c r="B633" s="10">
        <v>464971</v>
      </c>
      <c r="C633" s="10">
        <v>1</v>
      </c>
      <c r="D633" s="9">
        <v>17</v>
      </c>
      <c r="E633" s="11" t="s">
        <v>470</v>
      </c>
      <c r="F633" s="11" t="str">
        <f t="shared" si="27"/>
        <v>https://purl.pt/44696</v>
      </c>
      <c r="G633" s="12" t="s">
        <v>471</v>
      </c>
      <c r="H633" s="9">
        <v>17</v>
      </c>
      <c r="I633" s="34"/>
      <c r="J633" s="55" t="str">
        <f t="shared" si="28"/>
        <v>https://permalinkbnd.bnportugal.gov.pt/viewer/278583/?offset=#page=17&amp;viewer=picture&amp;o=info&amp;n=0&amp;q=</v>
      </c>
      <c r="K633" s="45"/>
      <c r="L633" s="45"/>
      <c r="M633" s="45"/>
      <c r="N633" t="s">
        <v>470</v>
      </c>
      <c r="O633">
        <v>278583</v>
      </c>
      <c r="P633" t="str">
        <f t="shared" si="29"/>
        <v>https://permalinkbnd.bnportugal.gov.pt/viewer/278583/?offset=#page=17&amp;viewer=picture&amp;o=info&amp;n=0&amp;q=</v>
      </c>
      <c r="Q633">
        <v>464971</v>
      </c>
      <c r="R633" t="s">
        <v>470</v>
      </c>
      <c r="S633" t="s">
        <v>3083</v>
      </c>
      <c r="T633" t="s">
        <v>1178</v>
      </c>
      <c r="U633" t="s">
        <v>1192</v>
      </c>
      <c r="V633" t="s">
        <v>599</v>
      </c>
      <c r="W633" t="s">
        <v>3084</v>
      </c>
      <c r="X633" t="s">
        <v>599</v>
      </c>
      <c r="Y633" t="s">
        <v>599</v>
      </c>
      <c r="Z633" t="s">
        <v>1182</v>
      </c>
      <c r="AA633" t="s">
        <v>1437</v>
      </c>
      <c r="AB633">
        <v>1879</v>
      </c>
      <c r="AC633">
        <v>1879</v>
      </c>
      <c r="AD633" t="s">
        <v>3085</v>
      </c>
      <c r="AE633" t="s">
        <v>1185</v>
      </c>
      <c r="AF633" t="s">
        <v>599</v>
      </c>
      <c r="AG633" t="s">
        <v>599</v>
      </c>
      <c r="AH633" t="s">
        <v>599</v>
      </c>
      <c r="AI633" t="s">
        <v>599</v>
      </c>
      <c r="AJ633" t="s">
        <v>599</v>
      </c>
      <c r="AK633" t="s">
        <v>3086</v>
      </c>
      <c r="AL633" t="s">
        <v>1188</v>
      </c>
      <c r="AM633" t="s">
        <v>3087</v>
      </c>
      <c r="AN633" t="s">
        <v>1190</v>
      </c>
      <c r="AO633" t="s">
        <v>599</v>
      </c>
      <c r="AP633" t="s">
        <v>599</v>
      </c>
      <c r="AQ633" t="s">
        <v>599</v>
      </c>
      <c r="AR633" t="s">
        <v>599</v>
      </c>
      <c r="AS633" t="s">
        <v>3088</v>
      </c>
      <c r="AT633" t="s">
        <v>599</v>
      </c>
      <c r="AU633" t="s">
        <v>599</v>
      </c>
    </row>
    <row r="634" spans="1:47" ht="60" x14ac:dyDescent="0.25">
      <c r="A634" s="2">
        <v>11551</v>
      </c>
      <c r="B634" s="10">
        <v>465618</v>
      </c>
      <c r="C634" s="10">
        <v>1</v>
      </c>
      <c r="D634" s="9">
        <v>8</v>
      </c>
      <c r="E634" s="11" t="s">
        <v>472</v>
      </c>
      <c r="F634" s="11" t="str">
        <f t="shared" si="27"/>
        <v>https://purl.pt/43948</v>
      </c>
      <c r="G634" s="12" t="s">
        <v>473</v>
      </c>
      <c r="H634" s="9" t="s">
        <v>474</v>
      </c>
      <c r="I634" s="34"/>
      <c r="J634" s="55" t="str">
        <f t="shared" si="28"/>
        <v>https://permalinkbnd.bnportugal.gov.pt/viewer/274032/?offset=#page=8&amp;viewer=picture&amp;o=info&amp;n=0&amp;q=</v>
      </c>
      <c r="K634" s="45"/>
      <c r="L634" s="45"/>
      <c r="M634" s="45"/>
      <c r="N634" t="s">
        <v>472</v>
      </c>
      <c r="O634">
        <v>274032</v>
      </c>
      <c r="P634" t="str">
        <f t="shared" si="29"/>
        <v>https://permalinkbnd.bnportugal.gov.pt/viewer/274032/?offset=#page=8&amp;viewer=picture&amp;o=info&amp;n=0&amp;q=</v>
      </c>
      <c r="Q634">
        <v>465618</v>
      </c>
      <c r="R634" t="s">
        <v>472</v>
      </c>
      <c r="S634" t="s">
        <v>3089</v>
      </c>
      <c r="T634" t="s">
        <v>1178</v>
      </c>
      <c r="U634" t="s">
        <v>1192</v>
      </c>
      <c r="V634" t="s">
        <v>599</v>
      </c>
      <c r="W634" t="s">
        <v>3090</v>
      </c>
      <c r="X634" t="s">
        <v>599</v>
      </c>
      <c r="Y634" t="s">
        <v>599</v>
      </c>
      <c r="Z634" t="s">
        <v>1182</v>
      </c>
      <c r="AA634" t="s">
        <v>3091</v>
      </c>
      <c r="AB634">
        <v>1860</v>
      </c>
      <c r="AC634">
        <v>1860</v>
      </c>
      <c r="AD634" t="s">
        <v>3092</v>
      </c>
      <c r="AE634" t="s">
        <v>3093</v>
      </c>
      <c r="AF634" t="s">
        <v>599</v>
      </c>
      <c r="AG634" t="s">
        <v>599</v>
      </c>
      <c r="AH634" t="s">
        <v>3094</v>
      </c>
      <c r="AI634" t="s">
        <v>599</v>
      </c>
      <c r="AJ634" t="s">
        <v>599</v>
      </c>
      <c r="AK634" t="s">
        <v>3095</v>
      </c>
      <c r="AL634" t="s">
        <v>1188</v>
      </c>
      <c r="AM634" t="s">
        <v>3096</v>
      </c>
      <c r="AN634" t="s">
        <v>1190</v>
      </c>
      <c r="AO634" t="s">
        <v>599</v>
      </c>
      <c r="AP634" t="s">
        <v>599</v>
      </c>
      <c r="AQ634" t="s">
        <v>3097</v>
      </c>
      <c r="AR634" t="s">
        <v>599</v>
      </c>
      <c r="AS634" t="s">
        <v>599</v>
      </c>
      <c r="AT634" t="s">
        <v>599</v>
      </c>
      <c r="AU634" t="s">
        <v>599</v>
      </c>
    </row>
    <row r="635" spans="1:47" ht="60" x14ac:dyDescent="0.25">
      <c r="A635" s="2">
        <v>11552</v>
      </c>
      <c r="B635" s="10">
        <v>465618</v>
      </c>
      <c r="C635" s="10">
        <v>1</v>
      </c>
      <c r="D635" s="9">
        <v>55</v>
      </c>
      <c r="E635" s="11" t="s">
        <v>472</v>
      </c>
      <c r="F635" s="11" t="str">
        <f t="shared" si="27"/>
        <v>https://purl.pt/43948</v>
      </c>
      <c r="G635" s="12" t="s">
        <v>473</v>
      </c>
      <c r="H635" s="9" t="s">
        <v>474</v>
      </c>
      <c r="I635" s="34"/>
      <c r="J635" s="55" t="str">
        <f t="shared" si="28"/>
        <v>https://permalinkbnd.bnportugal.gov.pt/viewer/274032/?offset=#page=55&amp;viewer=picture&amp;o=info&amp;n=0&amp;q=</v>
      </c>
      <c r="K635" s="45"/>
      <c r="L635" s="45"/>
      <c r="M635" s="45"/>
      <c r="N635" t="s">
        <v>472</v>
      </c>
      <c r="O635">
        <v>274032</v>
      </c>
      <c r="P635" t="str">
        <f t="shared" si="29"/>
        <v>https://permalinkbnd.bnportugal.gov.pt/viewer/274032/?offset=#page=55&amp;viewer=picture&amp;o=info&amp;n=0&amp;q=</v>
      </c>
      <c r="Q635">
        <v>465618</v>
      </c>
      <c r="R635" t="s">
        <v>472</v>
      </c>
      <c r="S635" t="s">
        <v>3089</v>
      </c>
      <c r="T635" t="s">
        <v>1178</v>
      </c>
      <c r="U635" t="s">
        <v>1192</v>
      </c>
      <c r="V635" t="s">
        <v>599</v>
      </c>
      <c r="W635" t="s">
        <v>3090</v>
      </c>
      <c r="X635" t="s">
        <v>599</v>
      </c>
      <c r="Y635" t="s">
        <v>599</v>
      </c>
      <c r="Z635" t="s">
        <v>1182</v>
      </c>
      <c r="AA635" t="s">
        <v>3091</v>
      </c>
      <c r="AB635">
        <v>1860</v>
      </c>
      <c r="AC635">
        <v>1860</v>
      </c>
      <c r="AD635" t="s">
        <v>3092</v>
      </c>
      <c r="AE635" t="s">
        <v>3093</v>
      </c>
      <c r="AF635" t="s">
        <v>599</v>
      </c>
      <c r="AG635" t="s">
        <v>599</v>
      </c>
      <c r="AH635" t="s">
        <v>3094</v>
      </c>
      <c r="AI635" t="s">
        <v>599</v>
      </c>
      <c r="AJ635" t="s">
        <v>599</v>
      </c>
      <c r="AK635" t="s">
        <v>3095</v>
      </c>
      <c r="AL635" t="s">
        <v>1188</v>
      </c>
      <c r="AM635" t="s">
        <v>3096</v>
      </c>
      <c r="AN635" t="s">
        <v>1190</v>
      </c>
      <c r="AO635" t="s">
        <v>599</v>
      </c>
      <c r="AP635" t="s">
        <v>599</v>
      </c>
      <c r="AQ635" t="s">
        <v>3097</v>
      </c>
      <c r="AR635" t="s">
        <v>599</v>
      </c>
      <c r="AS635" t="s">
        <v>599</v>
      </c>
      <c r="AT635" t="s">
        <v>599</v>
      </c>
      <c r="AU635" t="s">
        <v>599</v>
      </c>
    </row>
    <row r="636" spans="1:47" ht="60" x14ac:dyDescent="0.25">
      <c r="A636" s="2">
        <v>11553</v>
      </c>
      <c r="B636" s="10">
        <v>465618</v>
      </c>
      <c r="C636" s="10">
        <v>1</v>
      </c>
      <c r="D636" s="9">
        <v>81</v>
      </c>
      <c r="E636" s="11" t="s">
        <v>472</v>
      </c>
      <c r="F636" s="11" t="str">
        <f t="shared" si="27"/>
        <v>https://purl.pt/43948</v>
      </c>
      <c r="G636" s="12" t="s">
        <v>473</v>
      </c>
      <c r="H636" s="9" t="s">
        <v>474</v>
      </c>
      <c r="I636" s="34"/>
      <c r="J636" s="55" t="str">
        <f t="shared" si="28"/>
        <v>https://permalinkbnd.bnportugal.gov.pt/viewer/274032/?offset=#page=81&amp;viewer=picture&amp;o=info&amp;n=0&amp;q=</v>
      </c>
      <c r="K636" s="45"/>
      <c r="L636" s="45"/>
      <c r="M636" s="45"/>
      <c r="N636" t="s">
        <v>472</v>
      </c>
      <c r="O636">
        <v>274032</v>
      </c>
      <c r="P636" t="str">
        <f t="shared" si="29"/>
        <v>https://permalinkbnd.bnportugal.gov.pt/viewer/274032/?offset=#page=81&amp;viewer=picture&amp;o=info&amp;n=0&amp;q=</v>
      </c>
      <c r="Q636">
        <v>465618</v>
      </c>
      <c r="R636" t="s">
        <v>472</v>
      </c>
      <c r="S636" t="s">
        <v>3089</v>
      </c>
      <c r="T636" t="s">
        <v>1178</v>
      </c>
      <c r="U636" t="s">
        <v>1192</v>
      </c>
      <c r="V636" t="s">
        <v>599</v>
      </c>
      <c r="W636" t="s">
        <v>3090</v>
      </c>
      <c r="X636" t="s">
        <v>599</v>
      </c>
      <c r="Y636" t="s">
        <v>599</v>
      </c>
      <c r="Z636" t="s">
        <v>1182</v>
      </c>
      <c r="AA636" t="s">
        <v>3091</v>
      </c>
      <c r="AB636">
        <v>1860</v>
      </c>
      <c r="AC636">
        <v>1860</v>
      </c>
      <c r="AD636" t="s">
        <v>3092</v>
      </c>
      <c r="AE636" t="s">
        <v>3093</v>
      </c>
      <c r="AF636" t="s">
        <v>599</v>
      </c>
      <c r="AG636" t="s">
        <v>599</v>
      </c>
      <c r="AH636" t="s">
        <v>3094</v>
      </c>
      <c r="AI636" t="s">
        <v>599</v>
      </c>
      <c r="AJ636" t="s">
        <v>599</v>
      </c>
      <c r="AK636" t="s">
        <v>3095</v>
      </c>
      <c r="AL636" t="s">
        <v>1188</v>
      </c>
      <c r="AM636" t="s">
        <v>3096</v>
      </c>
      <c r="AN636" t="s">
        <v>1190</v>
      </c>
      <c r="AO636" t="s">
        <v>599</v>
      </c>
      <c r="AP636" t="s">
        <v>599</v>
      </c>
      <c r="AQ636" t="s">
        <v>3097</v>
      </c>
      <c r="AR636" t="s">
        <v>599</v>
      </c>
      <c r="AS636" t="s">
        <v>599</v>
      </c>
      <c r="AT636" t="s">
        <v>599</v>
      </c>
      <c r="AU636" t="s">
        <v>599</v>
      </c>
    </row>
    <row r="637" spans="1:47" ht="60" x14ac:dyDescent="0.25">
      <c r="A637" s="2">
        <v>11554</v>
      </c>
      <c r="B637" s="10">
        <v>465618</v>
      </c>
      <c r="C637" s="10">
        <v>1</v>
      </c>
      <c r="D637" s="9">
        <v>198</v>
      </c>
      <c r="E637" s="11" t="s">
        <v>472</v>
      </c>
      <c r="F637" s="11" t="str">
        <f t="shared" si="27"/>
        <v>https://purl.pt/43948</v>
      </c>
      <c r="G637" s="12" t="s">
        <v>473</v>
      </c>
      <c r="H637" s="9" t="s">
        <v>474</v>
      </c>
      <c r="I637" s="34"/>
      <c r="J637" s="55" t="str">
        <f t="shared" si="28"/>
        <v>https://permalinkbnd.bnportugal.gov.pt/viewer/274032/?offset=#page=198&amp;viewer=picture&amp;o=info&amp;n=0&amp;q=</v>
      </c>
      <c r="K637" s="45"/>
      <c r="L637" s="45"/>
      <c r="M637" s="45"/>
      <c r="N637" t="s">
        <v>472</v>
      </c>
      <c r="O637">
        <v>274032</v>
      </c>
      <c r="P637" t="str">
        <f t="shared" si="29"/>
        <v>https://permalinkbnd.bnportugal.gov.pt/viewer/274032/?offset=#page=198&amp;viewer=picture&amp;o=info&amp;n=0&amp;q=</v>
      </c>
      <c r="Q637">
        <v>465618</v>
      </c>
      <c r="R637" t="s">
        <v>472</v>
      </c>
      <c r="S637" t="s">
        <v>3089</v>
      </c>
      <c r="T637" t="s">
        <v>1178</v>
      </c>
      <c r="U637" t="s">
        <v>1192</v>
      </c>
      <c r="V637" t="s">
        <v>599</v>
      </c>
      <c r="W637" t="s">
        <v>3090</v>
      </c>
      <c r="X637" t="s">
        <v>599</v>
      </c>
      <c r="Y637" t="s">
        <v>599</v>
      </c>
      <c r="Z637" t="s">
        <v>1182</v>
      </c>
      <c r="AA637" t="s">
        <v>3091</v>
      </c>
      <c r="AB637">
        <v>1860</v>
      </c>
      <c r="AC637">
        <v>1860</v>
      </c>
      <c r="AD637" t="s">
        <v>3092</v>
      </c>
      <c r="AE637" t="s">
        <v>3093</v>
      </c>
      <c r="AF637" t="s">
        <v>599</v>
      </c>
      <c r="AG637" t="s">
        <v>599</v>
      </c>
      <c r="AH637" t="s">
        <v>3094</v>
      </c>
      <c r="AI637" t="s">
        <v>599</v>
      </c>
      <c r="AJ637" t="s">
        <v>599</v>
      </c>
      <c r="AK637" t="s">
        <v>3095</v>
      </c>
      <c r="AL637" t="s">
        <v>1188</v>
      </c>
      <c r="AM637" t="s">
        <v>3096</v>
      </c>
      <c r="AN637" t="s">
        <v>1190</v>
      </c>
      <c r="AO637" t="s">
        <v>599</v>
      </c>
      <c r="AP637" t="s">
        <v>599</v>
      </c>
      <c r="AQ637" t="s">
        <v>3097</v>
      </c>
      <c r="AR637" t="s">
        <v>599</v>
      </c>
      <c r="AS637" t="s">
        <v>599</v>
      </c>
      <c r="AT637" t="s">
        <v>599</v>
      </c>
      <c r="AU637" t="s">
        <v>599</v>
      </c>
    </row>
    <row r="638" spans="1:47" ht="60" x14ac:dyDescent="0.25">
      <c r="A638" s="2">
        <v>11555</v>
      </c>
      <c r="B638" s="10">
        <v>465618</v>
      </c>
      <c r="C638" s="10">
        <v>1</v>
      </c>
      <c r="D638" s="9">
        <v>307</v>
      </c>
      <c r="E638" s="11" t="s">
        <v>472</v>
      </c>
      <c r="F638" s="11" t="str">
        <f t="shared" si="27"/>
        <v>https://purl.pt/43948</v>
      </c>
      <c r="G638" s="12" t="s">
        <v>473</v>
      </c>
      <c r="H638" s="9" t="s">
        <v>474</v>
      </c>
      <c r="I638" s="34"/>
      <c r="J638" s="55" t="str">
        <f t="shared" si="28"/>
        <v>https://permalinkbnd.bnportugal.gov.pt/viewer/274032/?offset=#page=307&amp;viewer=picture&amp;o=info&amp;n=0&amp;q=</v>
      </c>
      <c r="K638" s="45"/>
      <c r="L638" s="45"/>
      <c r="M638" s="45"/>
      <c r="N638" t="s">
        <v>472</v>
      </c>
      <c r="O638">
        <v>274032</v>
      </c>
      <c r="P638" t="str">
        <f t="shared" si="29"/>
        <v>https://permalinkbnd.bnportugal.gov.pt/viewer/274032/?offset=#page=307&amp;viewer=picture&amp;o=info&amp;n=0&amp;q=</v>
      </c>
      <c r="Q638">
        <v>465618</v>
      </c>
      <c r="R638" t="s">
        <v>472</v>
      </c>
      <c r="S638" t="s">
        <v>3089</v>
      </c>
      <c r="T638" t="s">
        <v>1178</v>
      </c>
      <c r="U638" t="s">
        <v>1192</v>
      </c>
      <c r="V638" t="s">
        <v>599</v>
      </c>
      <c r="W638" t="s">
        <v>3090</v>
      </c>
      <c r="X638" t="s">
        <v>599</v>
      </c>
      <c r="Y638" t="s">
        <v>599</v>
      </c>
      <c r="Z638" t="s">
        <v>1182</v>
      </c>
      <c r="AA638" t="s">
        <v>3091</v>
      </c>
      <c r="AB638">
        <v>1860</v>
      </c>
      <c r="AC638">
        <v>1860</v>
      </c>
      <c r="AD638" t="s">
        <v>3092</v>
      </c>
      <c r="AE638" t="s">
        <v>3093</v>
      </c>
      <c r="AF638" t="s">
        <v>599</v>
      </c>
      <c r="AG638" t="s">
        <v>599</v>
      </c>
      <c r="AH638" t="s">
        <v>3094</v>
      </c>
      <c r="AI638" t="s">
        <v>599</v>
      </c>
      <c r="AJ638" t="s">
        <v>599</v>
      </c>
      <c r="AK638" t="s">
        <v>3095</v>
      </c>
      <c r="AL638" t="s">
        <v>1188</v>
      </c>
      <c r="AM638" t="s">
        <v>3096</v>
      </c>
      <c r="AN638" t="s">
        <v>1190</v>
      </c>
      <c r="AO638" t="s">
        <v>599</v>
      </c>
      <c r="AP638" t="s">
        <v>599</v>
      </c>
      <c r="AQ638" t="s">
        <v>3097</v>
      </c>
      <c r="AR638" t="s">
        <v>599</v>
      </c>
      <c r="AS638" t="s">
        <v>599</v>
      </c>
      <c r="AT638" t="s">
        <v>599</v>
      </c>
      <c r="AU638" t="s">
        <v>599</v>
      </c>
    </row>
    <row r="639" spans="1:47" ht="60" x14ac:dyDescent="0.25">
      <c r="A639" s="2">
        <v>11556</v>
      </c>
      <c r="B639" s="10">
        <v>465618</v>
      </c>
      <c r="C639" s="10">
        <v>1</v>
      </c>
      <c r="D639" s="9">
        <v>369</v>
      </c>
      <c r="E639" s="11" t="s">
        <v>472</v>
      </c>
      <c r="F639" s="11" t="str">
        <f t="shared" si="27"/>
        <v>https://purl.pt/43948</v>
      </c>
      <c r="G639" s="12" t="s">
        <v>473</v>
      </c>
      <c r="H639" s="9" t="s">
        <v>474</v>
      </c>
      <c r="I639" s="34"/>
      <c r="J639" s="55" t="str">
        <f t="shared" si="28"/>
        <v>https://permalinkbnd.bnportugal.gov.pt/viewer/274032/?offset=#page=369&amp;viewer=picture&amp;o=info&amp;n=0&amp;q=</v>
      </c>
      <c r="K639" s="45"/>
      <c r="L639" s="45"/>
      <c r="M639" s="45"/>
      <c r="N639" t="s">
        <v>472</v>
      </c>
      <c r="O639">
        <v>274032</v>
      </c>
      <c r="P639" t="str">
        <f t="shared" si="29"/>
        <v>https://permalinkbnd.bnportugal.gov.pt/viewer/274032/?offset=#page=369&amp;viewer=picture&amp;o=info&amp;n=0&amp;q=</v>
      </c>
      <c r="Q639">
        <v>465618</v>
      </c>
      <c r="R639" t="s">
        <v>472</v>
      </c>
      <c r="S639" t="s">
        <v>3089</v>
      </c>
      <c r="T639" t="s">
        <v>1178</v>
      </c>
      <c r="U639" t="s">
        <v>1192</v>
      </c>
      <c r="V639" t="s">
        <v>599</v>
      </c>
      <c r="W639" t="s">
        <v>3090</v>
      </c>
      <c r="X639" t="s">
        <v>599</v>
      </c>
      <c r="Y639" t="s">
        <v>599</v>
      </c>
      <c r="Z639" t="s">
        <v>1182</v>
      </c>
      <c r="AA639" t="s">
        <v>3091</v>
      </c>
      <c r="AB639">
        <v>1860</v>
      </c>
      <c r="AC639">
        <v>1860</v>
      </c>
      <c r="AD639" t="s">
        <v>3092</v>
      </c>
      <c r="AE639" t="s">
        <v>3093</v>
      </c>
      <c r="AF639" t="s">
        <v>599</v>
      </c>
      <c r="AG639" t="s">
        <v>599</v>
      </c>
      <c r="AH639" t="s">
        <v>3094</v>
      </c>
      <c r="AI639" t="s">
        <v>599</v>
      </c>
      <c r="AJ639" t="s">
        <v>599</v>
      </c>
      <c r="AK639" t="s">
        <v>3095</v>
      </c>
      <c r="AL639" t="s">
        <v>1188</v>
      </c>
      <c r="AM639" t="s">
        <v>3096</v>
      </c>
      <c r="AN639" t="s">
        <v>1190</v>
      </c>
      <c r="AO639" t="s">
        <v>599</v>
      </c>
      <c r="AP639" t="s">
        <v>599</v>
      </c>
      <c r="AQ639" t="s">
        <v>3097</v>
      </c>
      <c r="AR639" t="s">
        <v>599</v>
      </c>
      <c r="AS639" t="s">
        <v>599</v>
      </c>
      <c r="AT639" t="s">
        <v>599</v>
      </c>
      <c r="AU639" t="s">
        <v>599</v>
      </c>
    </row>
    <row r="640" spans="1:47" ht="75" x14ac:dyDescent="0.25">
      <c r="A640" s="2">
        <v>11589</v>
      </c>
      <c r="B640" s="10">
        <v>478277</v>
      </c>
      <c r="C640" s="10">
        <v>1</v>
      </c>
      <c r="D640" s="9">
        <v>1</v>
      </c>
      <c r="E640" s="11" t="s">
        <v>475</v>
      </c>
      <c r="F640" s="11" t="str">
        <f t="shared" ref="F640:F703" si="30">HYPERLINK(E640)</f>
        <v>https://purl.pt/16331</v>
      </c>
      <c r="G640" s="12" t="s">
        <v>476</v>
      </c>
      <c r="H640" s="9" t="s">
        <v>477</v>
      </c>
      <c r="I640" s="34"/>
      <c r="J640" s="55" t="str">
        <f t="shared" si="28"/>
        <v>https://permalinkbnd.bnportugal.gov.pt/viewer/6839/?offset=#page=1&amp;viewer=picture&amp;o=info&amp;n=0&amp;q=</v>
      </c>
      <c r="K640" s="45"/>
      <c r="L640" s="45"/>
      <c r="M640" s="45"/>
      <c r="N640" t="s">
        <v>475</v>
      </c>
      <c r="O640">
        <v>6839</v>
      </c>
      <c r="P640" t="str">
        <f t="shared" si="29"/>
        <v>https://permalinkbnd.bnportugal.gov.pt/viewer/6839/?offset=#page=1&amp;viewer=picture&amp;o=info&amp;n=0&amp;q=</v>
      </c>
      <c r="Q640">
        <v>478277</v>
      </c>
      <c r="R640" t="s">
        <v>475</v>
      </c>
      <c r="S640" t="s">
        <v>3098</v>
      </c>
      <c r="T640" t="s">
        <v>1226</v>
      </c>
      <c r="U640" t="s">
        <v>1192</v>
      </c>
      <c r="V640" t="s">
        <v>599</v>
      </c>
      <c r="W640" t="s">
        <v>3099</v>
      </c>
      <c r="X640" t="s">
        <v>3100</v>
      </c>
      <c r="Y640" t="s">
        <v>599</v>
      </c>
      <c r="Z640" t="s">
        <v>1182</v>
      </c>
      <c r="AA640" t="s">
        <v>3101</v>
      </c>
      <c r="AB640">
        <v>1880</v>
      </c>
      <c r="AC640">
        <v>1880</v>
      </c>
      <c r="AD640" t="s">
        <v>599</v>
      </c>
      <c r="AE640" t="s">
        <v>599</v>
      </c>
      <c r="AF640" t="s">
        <v>599</v>
      </c>
      <c r="AG640" t="s">
        <v>599</v>
      </c>
      <c r="AH640" t="s">
        <v>3102</v>
      </c>
      <c r="AI640" t="s">
        <v>599</v>
      </c>
      <c r="AJ640" t="s">
        <v>599</v>
      </c>
      <c r="AK640" t="s">
        <v>3103</v>
      </c>
      <c r="AL640" t="s">
        <v>599</v>
      </c>
      <c r="AM640" t="s">
        <v>3104</v>
      </c>
      <c r="AN640" t="s">
        <v>1190</v>
      </c>
      <c r="AO640" t="s">
        <v>599</v>
      </c>
      <c r="AP640" t="s">
        <v>599</v>
      </c>
      <c r="AQ640" t="s">
        <v>599</v>
      </c>
      <c r="AR640" t="s">
        <v>599</v>
      </c>
      <c r="AS640" t="s">
        <v>599</v>
      </c>
      <c r="AT640" t="s">
        <v>599</v>
      </c>
      <c r="AU640" t="s">
        <v>599</v>
      </c>
    </row>
    <row r="641" spans="1:47" ht="75" x14ac:dyDescent="0.25">
      <c r="A641" s="2">
        <v>11590</v>
      </c>
      <c r="B641" s="10">
        <v>478277</v>
      </c>
      <c r="C641" s="10">
        <v>1</v>
      </c>
      <c r="D641" s="9">
        <v>10</v>
      </c>
      <c r="E641" s="11" t="s">
        <v>475</v>
      </c>
      <c r="F641" s="11" t="str">
        <f t="shared" si="30"/>
        <v>https://purl.pt/16331</v>
      </c>
      <c r="G641" s="12" t="s">
        <v>476</v>
      </c>
      <c r="H641" s="9" t="s">
        <v>477</v>
      </c>
      <c r="I641" s="34"/>
      <c r="J641" s="55" t="str">
        <f t="shared" si="28"/>
        <v>https://permalinkbnd.bnportugal.gov.pt/viewer/6839/?offset=#page=10&amp;viewer=picture&amp;o=info&amp;n=0&amp;q=</v>
      </c>
      <c r="K641" s="45"/>
      <c r="L641" s="45"/>
      <c r="M641" s="45"/>
      <c r="N641" t="s">
        <v>475</v>
      </c>
      <c r="O641">
        <v>6839</v>
      </c>
      <c r="P641" t="str">
        <f t="shared" si="29"/>
        <v>https://permalinkbnd.bnportugal.gov.pt/viewer/6839/?offset=#page=10&amp;viewer=picture&amp;o=info&amp;n=0&amp;q=</v>
      </c>
      <c r="Q641">
        <v>478277</v>
      </c>
      <c r="R641" t="s">
        <v>475</v>
      </c>
      <c r="S641" t="s">
        <v>3098</v>
      </c>
      <c r="T641" t="s">
        <v>1226</v>
      </c>
      <c r="U641" t="s">
        <v>1192</v>
      </c>
      <c r="V641" t="s">
        <v>599</v>
      </c>
      <c r="W641" t="s">
        <v>3099</v>
      </c>
      <c r="X641" t="s">
        <v>3100</v>
      </c>
      <c r="Y641" t="s">
        <v>599</v>
      </c>
      <c r="Z641" t="s">
        <v>1182</v>
      </c>
      <c r="AA641" t="s">
        <v>3101</v>
      </c>
      <c r="AB641">
        <v>1880</v>
      </c>
      <c r="AC641">
        <v>1880</v>
      </c>
      <c r="AD641" t="s">
        <v>599</v>
      </c>
      <c r="AE641" t="s">
        <v>599</v>
      </c>
      <c r="AF641" t="s">
        <v>599</v>
      </c>
      <c r="AG641" t="s">
        <v>599</v>
      </c>
      <c r="AH641" t="s">
        <v>3102</v>
      </c>
      <c r="AI641" t="s">
        <v>599</v>
      </c>
      <c r="AJ641" t="s">
        <v>599</v>
      </c>
      <c r="AK641" t="s">
        <v>3103</v>
      </c>
      <c r="AL641" t="s">
        <v>599</v>
      </c>
      <c r="AM641" t="s">
        <v>3104</v>
      </c>
      <c r="AN641" t="s">
        <v>1190</v>
      </c>
      <c r="AO641" t="s">
        <v>599</v>
      </c>
      <c r="AP641" t="s">
        <v>599</v>
      </c>
      <c r="AQ641" t="s">
        <v>599</v>
      </c>
      <c r="AR641" t="s">
        <v>599</v>
      </c>
      <c r="AS641" t="s">
        <v>599</v>
      </c>
      <c r="AT641" t="s">
        <v>599</v>
      </c>
      <c r="AU641" t="s">
        <v>599</v>
      </c>
    </row>
    <row r="642" spans="1:47" ht="75" x14ac:dyDescent="0.25">
      <c r="A642" s="2">
        <v>11591</v>
      </c>
      <c r="B642" s="10">
        <v>478277</v>
      </c>
      <c r="C642" s="10">
        <v>1</v>
      </c>
      <c r="D642" s="9">
        <v>11</v>
      </c>
      <c r="E642" s="11" t="s">
        <v>475</v>
      </c>
      <c r="F642" s="11" t="str">
        <f t="shared" si="30"/>
        <v>https://purl.pt/16331</v>
      </c>
      <c r="G642" s="12" t="s">
        <v>476</v>
      </c>
      <c r="H642" s="9" t="s">
        <v>477</v>
      </c>
      <c r="I642" s="34"/>
      <c r="J642" s="55" t="str">
        <f t="shared" si="28"/>
        <v>https://permalinkbnd.bnportugal.gov.pt/viewer/6839/?offset=#page=11&amp;viewer=picture&amp;o=info&amp;n=0&amp;q=</v>
      </c>
      <c r="K642" s="45"/>
      <c r="L642" s="45"/>
      <c r="M642" s="45"/>
      <c r="N642" t="s">
        <v>475</v>
      </c>
      <c r="O642">
        <v>6839</v>
      </c>
      <c r="P642" t="str">
        <f t="shared" si="29"/>
        <v>https://permalinkbnd.bnportugal.gov.pt/viewer/6839/?offset=#page=11&amp;viewer=picture&amp;o=info&amp;n=0&amp;q=</v>
      </c>
      <c r="Q642">
        <v>478277</v>
      </c>
      <c r="R642" t="s">
        <v>475</v>
      </c>
      <c r="S642" t="s">
        <v>3098</v>
      </c>
      <c r="T642" t="s">
        <v>1226</v>
      </c>
      <c r="U642" t="s">
        <v>1192</v>
      </c>
      <c r="V642" t="s">
        <v>599</v>
      </c>
      <c r="W642" t="s">
        <v>3099</v>
      </c>
      <c r="X642" t="s">
        <v>3100</v>
      </c>
      <c r="Y642" t="s">
        <v>599</v>
      </c>
      <c r="Z642" t="s">
        <v>1182</v>
      </c>
      <c r="AA642" t="s">
        <v>3101</v>
      </c>
      <c r="AB642">
        <v>1880</v>
      </c>
      <c r="AC642">
        <v>1880</v>
      </c>
      <c r="AD642" t="s">
        <v>599</v>
      </c>
      <c r="AE642" t="s">
        <v>599</v>
      </c>
      <c r="AF642" t="s">
        <v>599</v>
      </c>
      <c r="AG642" t="s">
        <v>599</v>
      </c>
      <c r="AH642" t="s">
        <v>3102</v>
      </c>
      <c r="AI642" t="s">
        <v>599</v>
      </c>
      <c r="AJ642" t="s">
        <v>599</v>
      </c>
      <c r="AK642" t="s">
        <v>3103</v>
      </c>
      <c r="AL642" t="s">
        <v>599</v>
      </c>
      <c r="AM642" t="s">
        <v>3104</v>
      </c>
      <c r="AN642" t="s">
        <v>1190</v>
      </c>
      <c r="AO642" t="s">
        <v>599</v>
      </c>
      <c r="AP642" t="s">
        <v>599</v>
      </c>
      <c r="AQ642" t="s">
        <v>599</v>
      </c>
      <c r="AR642" t="s">
        <v>599</v>
      </c>
      <c r="AS642" t="s">
        <v>599</v>
      </c>
      <c r="AT642" t="s">
        <v>599</v>
      </c>
      <c r="AU642" t="s">
        <v>599</v>
      </c>
    </row>
    <row r="643" spans="1:47" ht="75" x14ac:dyDescent="0.25">
      <c r="A643" s="2">
        <v>11592</v>
      </c>
      <c r="B643" s="10">
        <v>478277</v>
      </c>
      <c r="C643" s="10">
        <v>1</v>
      </c>
      <c r="D643" s="9">
        <v>14</v>
      </c>
      <c r="E643" s="11" t="s">
        <v>475</v>
      </c>
      <c r="F643" s="11" t="str">
        <f t="shared" si="30"/>
        <v>https://purl.pt/16331</v>
      </c>
      <c r="G643" s="12" t="s">
        <v>476</v>
      </c>
      <c r="H643" s="9" t="s">
        <v>477</v>
      </c>
      <c r="I643" s="34"/>
      <c r="J643" s="55" t="str">
        <f t="shared" ref="J643:J706" si="31">HYPERLINK(P643)</f>
        <v>https://permalinkbnd.bnportugal.gov.pt/viewer/6839/?offset=#page=14&amp;viewer=picture&amp;o=info&amp;n=0&amp;q=</v>
      </c>
      <c r="K643" s="45"/>
      <c r="L643" s="45"/>
      <c r="M643" s="45"/>
      <c r="N643" t="s">
        <v>475</v>
      </c>
      <c r="O643">
        <v>6839</v>
      </c>
      <c r="P643" t="str">
        <f t="shared" ref="P643:P706" si="32">CONCATENATE("https://permalinkbnd.bnportugal.gov.pt/viewer/",O643,"/?offset=#page=",D643,"&amp;viewer=picture&amp;o=info&amp;n=0&amp;q=")</f>
        <v>https://permalinkbnd.bnportugal.gov.pt/viewer/6839/?offset=#page=14&amp;viewer=picture&amp;o=info&amp;n=0&amp;q=</v>
      </c>
      <c r="Q643">
        <v>478277</v>
      </c>
      <c r="R643" t="s">
        <v>475</v>
      </c>
      <c r="S643" t="s">
        <v>3098</v>
      </c>
      <c r="T643" t="s">
        <v>1226</v>
      </c>
      <c r="U643" t="s">
        <v>1192</v>
      </c>
      <c r="V643" t="s">
        <v>599</v>
      </c>
      <c r="W643" t="s">
        <v>3099</v>
      </c>
      <c r="X643" t="s">
        <v>3100</v>
      </c>
      <c r="Y643" t="s">
        <v>599</v>
      </c>
      <c r="Z643" t="s">
        <v>1182</v>
      </c>
      <c r="AA643" t="s">
        <v>3101</v>
      </c>
      <c r="AB643">
        <v>1880</v>
      </c>
      <c r="AC643">
        <v>1880</v>
      </c>
      <c r="AD643" t="s">
        <v>599</v>
      </c>
      <c r="AE643" t="s">
        <v>599</v>
      </c>
      <c r="AF643" t="s">
        <v>599</v>
      </c>
      <c r="AG643" t="s">
        <v>599</v>
      </c>
      <c r="AH643" t="s">
        <v>3102</v>
      </c>
      <c r="AI643" t="s">
        <v>599</v>
      </c>
      <c r="AJ643" t="s">
        <v>599</v>
      </c>
      <c r="AK643" t="s">
        <v>3103</v>
      </c>
      <c r="AL643" t="s">
        <v>599</v>
      </c>
      <c r="AM643" t="s">
        <v>3104</v>
      </c>
      <c r="AN643" t="s">
        <v>1190</v>
      </c>
      <c r="AO643" t="s">
        <v>599</v>
      </c>
      <c r="AP643" t="s">
        <v>599</v>
      </c>
      <c r="AQ643" t="s">
        <v>599</v>
      </c>
      <c r="AR643" t="s">
        <v>599</v>
      </c>
      <c r="AS643" t="s">
        <v>599</v>
      </c>
      <c r="AT643" t="s">
        <v>599</v>
      </c>
      <c r="AU643" t="s">
        <v>599</v>
      </c>
    </row>
    <row r="644" spans="1:47" ht="75" x14ac:dyDescent="0.25">
      <c r="A644" s="2">
        <v>11593</v>
      </c>
      <c r="B644" s="10">
        <v>478277</v>
      </c>
      <c r="C644" s="10">
        <v>1</v>
      </c>
      <c r="D644" s="9">
        <v>16</v>
      </c>
      <c r="E644" s="11" t="s">
        <v>475</v>
      </c>
      <c r="F644" s="11" t="str">
        <f t="shared" si="30"/>
        <v>https://purl.pt/16331</v>
      </c>
      <c r="G644" s="12" t="s">
        <v>476</v>
      </c>
      <c r="H644" s="9" t="s">
        <v>477</v>
      </c>
      <c r="I644" s="34"/>
      <c r="J644" s="55" t="str">
        <f t="shared" si="31"/>
        <v>https://permalinkbnd.bnportugal.gov.pt/viewer/6839/?offset=#page=16&amp;viewer=picture&amp;o=info&amp;n=0&amp;q=</v>
      </c>
      <c r="K644" s="45"/>
      <c r="L644" s="45"/>
      <c r="M644" s="45"/>
      <c r="N644" t="s">
        <v>475</v>
      </c>
      <c r="O644">
        <v>6839</v>
      </c>
      <c r="P644" t="str">
        <f t="shared" si="32"/>
        <v>https://permalinkbnd.bnportugal.gov.pt/viewer/6839/?offset=#page=16&amp;viewer=picture&amp;o=info&amp;n=0&amp;q=</v>
      </c>
      <c r="Q644">
        <v>478277</v>
      </c>
      <c r="R644" t="s">
        <v>475</v>
      </c>
      <c r="S644" t="s">
        <v>3098</v>
      </c>
      <c r="T644" t="s">
        <v>1226</v>
      </c>
      <c r="U644" t="s">
        <v>1192</v>
      </c>
      <c r="V644" t="s">
        <v>599</v>
      </c>
      <c r="W644" t="s">
        <v>3099</v>
      </c>
      <c r="X644" t="s">
        <v>3100</v>
      </c>
      <c r="Y644" t="s">
        <v>599</v>
      </c>
      <c r="Z644" t="s">
        <v>1182</v>
      </c>
      <c r="AA644" t="s">
        <v>3101</v>
      </c>
      <c r="AB644">
        <v>1880</v>
      </c>
      <c r="AC644">
        <v>1880</v>
      </c>
      <c r="AD644" t="s">
        <v>599</v>
      </c>
      <c r="AE644" t="s">
        <v>599</v>
      </c>
      <c r="AF644" t="s">
        <v>599</v>
      </c>
      <c r="AG644" t="s">
        <v>599</v>
      </c>
      <c r="AH644" t="s">
        <v>3102</v>
      </c>
      <c r="AI644" t="s">
        <v>599</v>
      </c>
      <c r="AJ644" t="s">
        <v>599</v>
      </c>
      <c r="AK644" t="s">
        <v>3103</v>
      </c>
      <c r="AL644" t="s">
        <v>599</v>
      </c>
      <c r="AM644" t="s">
        <v>3104</v>
      </c>
      <c r="AN644" t="s">
        <v>1190</v>
      </c>
      <c r="AO644" t="s">
        <v>599</v>
      </c>
      <c r="AP644" t="s">
        <v>599</v>
      </c>
      <c r="AQ644" t="s">
        <v>599</v>
      </c>
      <c r="AR644" t="s">
        <v>599</v>
      </c>
      <c r="AS644" t="s">
        <v>599</v>
      </c>
      <c r="AT644" t="s">
        <v>599</v>
      </c>
      <c r="AU644" t="s">
        <v>599</v>
      </c>
    </row>
    <row r="645" spans="1:47" ht="75" x14ac:dyDescent="0.25">
      <c r="A645" s="2">
        <v>11594</v>
      </c>
      <c r="B645" s="10">
        <v>478277</v>
      </c>
      <c r="C645" s="10">
        <v>1</v>
      </c>
      <c r="D645" s="9">
        <v>20</v>
      </c>
      <c r="E645" s="11" t="s">
        <v>475</v>
      </c>
      <c r="F645" s="11" t="str">
        <f t="shared" si="30"/>
        <v>https://purl.pt/16331</v>
      </c>
      <c r="G645" s="12" t="s">
        <v>476</v>
      </c>
      <c r="H645" s="9" t="s">
        <v>477</v>
      </c>
      <c r="I645" s="34"/>
      <c r="J645" s="55" t="str">
        <f t="shared" si="31"/>
        <v>https://permalinkbnd.bnportugal.gov.pt/viewer/6839/?offset=#page=20&amp;viewer=picture&amp;o=info&amp;n=0&amp;q=</v>
      </c>
      <c r="K645" s="45"/>
      <c r="L645" s="45"/>
      <c r="M645" s="45"/>
      <c r="N645" t="s">
        <v>475</v>
      </c>
      <c r="O645">
        <v>6839</v>
      </c>
      <c r="P645" t="str">
        <f t="shared" si="32"/>
        <v>https://permalinkbnd.bnportugal.gov.pt/viewer/6839/?offset=#page=20&amp;viewer=picture&amp;o=info&amp;n=0&amp;q=</v>
      </c>
      <c r="Q645">
        <v>478277</v>
      </c>
      <c r="R645" t="s">
        <v>475</v>
      </c>
      <c r="S645" t="s">
        <v>3098</v>
      </c>
      <c r="T645" t="s">
        <v>1226</v>
      </c>
      <c r="U645" t="s">
        <v>1192</v>
      </c>
      <c r="V645" t="s">
        <v>599</v>
      </c>
      <c r="W645" t="s">
        <v>3099</v>
      </c>
      <c r="X645" t="s">
        <v>3100</v>
      </c>
      <c r="Y645" t="s">
        <v>599</v>
      </c>
      <c r="Z645" t="s">
        <v>1182</v>
      </c>
      <c r="AA645" t="s">
        <v>3101</v>
      </c>
      <c r="AB645">
        <v>1880</v>
      </c>
      <c r="AC645">
        <v>1880</v>
      </c>
      <c r="AD645" t="s">
        <v>599</v>
      </c>
      <c r="AE645" t="s">
        <v>599</v>
      </c>
      <c r="AF645" t="s">
        <v>599</v>
      </c>
      <c r="AG645" t="s">
        <v>599</v>
      </c>
      <c r="AH645" t="s">
        <v>3102</v>
      </c>
      <c r="AI645" t="s">
        <v>599</v>
      </c>
      <c r="AJ645" t="s">
        <v>599</v>
      </c>
      <c r="AK645" t="s">
        <v>3103</v>
      </c>
      <c r="AL645" t="s">
        <v>599</v>
      </c>
      <c r="AM645" t="s">
        <v>3104</v>
      </c>
      <c r="AN645" t="s">
        <v>1190</v>
      </c>
      <c r="AO645" t="s">
        <v>599</v>
      </c>
      <c r="AP645" t="s">
        <v>599</v>
      </c>
      <c r="AQ645" t="s">
        <v>599</v>
      </c>
      <c r="AR645" t="s">
        <v>599</v>
      </c>
      <c r="AS645" t="s">
        <v>599</v>
      </c>
      <c r="AT645" t="s">
        <v>599</v>
      </c>
      <c r="AU645" t="s">
        <v>599</v>
      </c>
    </row>
    <row r="646" spans="1:47" ht="30" x14ac:dyDescent="0.25">
      <c r="A646" s="2">
        <v>11622</v>
      </c>
      <c r="B646" s="10">
        <v>709123</v>
      </c>
      <c r="C646" s="10">
        <v>1</v>
      </c>
      <c r="D646" s="9">
        <v>1</v>
      </c>
      <c r="E646" s="11" t="s">
        <v>478</v>
      </c>
      <c r="F646" s="11" t="str">
        <f t="shared" si="30"/>
        <v>https://purl.pt/6946</v>
      </c>
      <c r="G646" s="12">
        <v>1</v>
      </c>
      <c r="H646" s="9">
        <v>1</v>
      </c>
      <c r="I646" s="34"/>
      <c r="J646" s="55" t="str">
        <f t="shared" si="31"/>
        <v>https://permalinkbnd.bnportugal.gov.pt/viewer/36391/?offset=#page=1&amp;viewer=picture&amp;o=info&amp;n=0&amp;q=</v>
      </c>
      <c r="K646" s="45"/>
      <c r="L646" s="45"/>
      <c r="M646" s="45"/>
      <c r="N646" t="s">
        <v>478</v>
      </c>
      <c r="O646">
        <v>36391</v>
      </c>
      <c r="P646" t="str">
        <f t="shared" si="32"/>
        <v>https://permalinkbnd.bnportugal.gov.pt/viewer/36391/?offset=#page=1&amp;viewer=picture&amp;o=info&amp;n=0&amp;q=</v>
      </c>
      <c r="Q646">
        <v>709123</v>
      </c>
      <c r="R646" t="s">
        <v>478</v>
      </c>
      <c r="S646" t="s">
        <v>3105</v>
      </c>
      <c r="T646" t="s">
        <v>1312</v>
      </c>
      <c r="U646" t="s">
        <v>1192</v>
      </c>
      <c r="V646" t="s">
        <v>599</v>
      </c>
      <c r="W646" t="s">
        <v>3106</v>
      </c>
      <c r="X646" t="s">
        <v>3107</v>
      </c>
      <c r="Y646" t="s">
        <v>599</v>
      </c>
      <c r="Z646" t="s">
        <v>1182</v>
      </c>
      <c r="AA646" t="s">
        <v>3108</v>
      </c>
      <c r="AB646">
        <v>1890</v>
      </c>
      <c r="AC646">
        <v>1890</v>
      </c>
      <c r="AD646" t="s">
        <v>1315</v>
      </c>
      <c r="AE646" t="s">
        <v>599</v>
      </c>
      <c r="AF646" t="s">
        <v>599</v>
      </c>
      <c r="AG646" t="s">
        <v>599</v>
      </c>
      <c r="AH646" t="s">
        <v>1683</v>
      </c>
      <c r="AI646" t="s">
        <v>599</v>
      </c>
      <c r="AJ646" t="s">
        <v>599</v>
      </c>
      <c r="AK646" t="s">
        <v>3109</v>
      </c>
      <c r="AL646" t="s">
        <v>599</v>
      </c>
      <c r="AM646" t="s">
        <v>3110</v>
      </c>
      <c r="AN646" t="s">
        <v>1190</v>
      </c>
      <c r="AO646" t="s">
        <v>3111</v>
      </c>
      <c r="AP646" t="s">
        <v>599</v>
      </c>
      <c r="AQ646" t="s">
        <v>599</v>
      </c>
      <c r="AR646" t="s">
        <v>599</v>
      </c>
      <c r="AS646" t="s">
        <v>599</v>
      </c>
      <c r="AT646" t="s">
        <v>599</v>
      </c>
      <c r="AU646" t="s">
        <v>599</v>
      </c>
    </row>
    <row r="647" spans="1:47" ht="30" x14ac:dyDescent="0.25">
      <c r="A647" s="2">
        <v>11646</v>
      </c>
      <c r="B647" s="29">
        <v>766189</v>
      </c>
      <c r="C647" s="29">
        <v>1</v>
      </c>
      <c r="D647" s="28">
        <v>1</v>
      </c>
      <c r="E647" s="30" t="s">
        <v>479</v>
      </c>
      <c r="F647" s="30" t="str">
        <f t="shared" si="30"/>
        <v>https://purl.pt/14100</v>
      </c>
      <c r="G647" s="31" t="s">
        <v>480</v>
      </c>
      <c r="H647" s="28"/>
      <c r="I647" s="35" t="s">
        <v>1138</v>
      </c>
      <c r="J647" s="55" t="str">
        <f t="shared" si="31"/>
        <v>https://permalinkbnd.bnportugal.gov.pt/viewer/14630/?offset=#page=1&amp;viewer=picture&amp;o=info&amp;n=0&amp;q=</v>
      </c>
      <c r="K647" s="45"/>
      <c r="L647" s="45"/>
      <c r="M647" s="45"/>
      <c r="N647" t="s">
        <v>479</v>
      </c>
      <c r="O647">
        <v>14630</v>
      </c>
      <c r="P647" t="str">
        <f t="shared" si="32"/>
        <v>https://permalinkbnd.bnportugal.gov.pt/viewer/14630/?offset=#page=1&amp;viewer=picture&amp;o=info&amp;n=0&amp;q=</v>
      </c>
      <c r="Q647">
        <v>766189</v>
      </c>
      <c r="R647" t="s">
        <v>479</v>
      </c>
      <c r="S647" t="s">
        <v>3112</v>
      </c>
      <c r="T647" t="s">
        <v>1178</v>
      </c>
      <c r="U647" t="s">
        <v>1192</v>
      </c>
      <c r="V647" t="s">
        <v>599</v>
      </c>
      <c r="W647" t="s">
        <v>1551</v>
      </c>
      <c r="X647" t="s">
        <v>599</v>
      </c>
      <c r="Y647" t="s">
        <v>599</v>
      </c>
      <c r="Z647" t="s">
        <v>1182</v>
      </c>
      <c r="AA647" t="s">
        <v>3113</v>
      </c>
      <c r="AB647">
        <v>1644</v>
      </c>
      <c r="AC647">
        <v>1644</v>
      </c>
      <c r="AD647" t="s">
        <v>3114</v>
      </c>
      <c r="AE647" t="s">
        <v>1185</v>
      </c>
      <c r="AF647" t="s">
        <v>599</v>
      </c>
      <c r="AG647" t="s">
        <v>599</v>
      </c>
      <c r="AH647" t="s">
        <v>3115</v>
      </c>
      <c r="AI647" t="s">
        <v>599</v>
      </c>
      <c r="AJ647" t="s">
        <v>599</v>
      </c>
      <c r="AK647" t="s">
        <v>3116</v>
      </c>
      <c r="AL647" t="s">
        <v>2967</v>
      </c>
      <c r="AM647" t="s">
        <v>3117</v>
      </c>
      <c r="AN647" t="s">
        <v>1190</v>
      </c>
      <c r="AO647" t="s">
        <v>3118</v>
      </c>
      <c r="AP647" t="s">
        <v>599</v>
      </c>
      <c r="AQ647" t="s">
        <v>3119</v>
      </c>
      <c r="AR647" t="s">
        <v>599</v>
      </c>
      <c r="AS647" t="s">
        <v>599</v>
      </c>
      <c r="AT647" t="s">
        <v>599</v>
      </c>
      <c r="AU647" t="s">
        <v>599</v>
      </c>
    </row>
    <row r="648" spans="1:47" ht="30" x14ac:dyDescent="0.25">
      <c r="A648" s="2">
        <v>11669</v>
      </c>
      <c r="B648" s="10">
        <v>782735</v>
      </c>
      <c r="C648" s="10">
        <v>1</v>
      </c>
      <c r="D648" s="9">
        <v>10</v>
      </c>
      <c r="E648" s="11" t="s">
        <v>481</v>
      </c>
      <c r="F648" s="11" t="str">
        <f t="shared" si="30"/>
        <v>https://purl.pt/44728</v>
      </c>
      <c r="G648" s="12" t="s">
        <v>482</v>
      </c>
      <c r="H648" s="9">
        <v>10</v>
      </c>
      <c r="I648" s="34"/>
      <c r="J648" s="55" t="str">
        <f t="shared" si="31"/>
        <v>https://permalinkbnd.bnportugal.gov.pt/viewer/278664/?offset=#page=10&amp;viewer=picture&amp;o=info&amp;n=0&amp;q=</v>
      </c>
      <c r="K648" s="45"/>
      <c r="L648" s="45"/>
      <c r="M648" s="45"/>
      <c r="N648" t="s">
        <v>481</v>
      </c>
      <c r="O648">
        <v>278664</v>
      </c>
      <c r="P648" t="str">
        <f t="shared" si="32"/>
        <v>https://permalinkbnd.bnportugal.gov.pt/viewer/278664/?offset=#page=10&amp;viewer=picture&amp;o=info&amp;n=0&amp;q=</v>
      </c>
      <c r="Q648">
        <v>782735</v>
      </c>
      <c r="R648" t="s">
        <v>481</v>
      </c>
      <c r="S648" t="s">
        <v>3120</v>
      </c>
      <c r="T648" t="s">
        <v>1178</v>
      </c>
      <c r="U648" t="s">
        <v>1192</v>
      </c>
      <c r="V648" t="s">
        <v>599</v>
      </c>
      <c r="W648" t="s">
        <v>3121</v>
      </c>
      <c r="X648" t="s">
        <v>599</v>
      </c>
      <c r="Y648" t="s">
        <v>599</v>
      </c>
      <c r="Z648" t="s">
        <v>1182</v>
      </c>
      <c r="AA648" t="s">
        <v>2268</v>
      </c>
      <c r="AB648">
        <v>1860</v>
      </c>
      <c r="AC648">
        <v>1860</v>
      </c>
      <c r="AD648" t="s">
        <v>3122</v>
      </c>
      <c r="AE648" t="s">
        <v>3123</v>
      </c>
      <c r="AF648" t="s">
        <v>599</v>
      </c>
      <c r="AG648" t="s">
        <v>599</v>
      </c>
      <c r="AH648" t="s">
        <v>599</v>
      </c>
      <c r="AI648" t="s">
        <v>599</v>
      </c>
      <c r="AJ648" t="s">
        <v>599</v>
      </c>
      <c r="AK648" t="s">
        <v>3124</v>
      </c>
      <c r="AL648" t="s">
        <v>1188</v>
      </c>
      <c r="AM648" t="s">
        <v>3125</v>
      </c>
      <c r="AN648" t="s">
        <v>1190</v>
      </c>
      <c r="AO648" t="s">
        <v>599</v>
      </c>
      <c r="AP648" t="s">
        <v>599</v>
      </c>
      <c r="AQ648" t="s">
        <v>599</v>
      </c>
      <c r="AR648" t="s">
        <v>599</v>
      </c>
      <c r="AS648" t="s">
        <v>599</v>
      </c>
      <c r="AT648" t="s">
        <v>599</v>
      </c>
      <c r="AU648" t="s">
        <v>599</v>
      </c>
    </row>
    <row r="649" spans="1:47" ht="30" x14ac:dyDescent="0.25">
      <c r="A649" s="2">
        <v>11670</v>
      </c>
      <c r="B649" s="10">
        <v>782740</v>
      </c>
      <c r="C649" s="10">
        <v>1</v>
      </c>
      <c r="D649" s="9">
        <v>8</v>
      </c>
      <c r="E649" s="11" t="s">
        <v>483</v>
      </c>
      <c r="F649" s="11" t="str">
        <f t="shared" si="30"/>
        <v>https://purl.pt/44737</v>
      </c>
      <c r="G649" s="12" t="s">
        <v>484</v>
      </c>
      <c r="H649" s="9">
        <v>8</v>
      </c>
      <c r="I649" s="34"/>
      <c r="J649" s="55" t="str">
        <f t="shared" si="31"/>
        <v>https://permalinkbnd.bnportugal.gov.pt/viewer/278660/?offset=#page=8&amp;viewer=picture&amp;o=info&amp;n=0&amp;q=</v>
      </c>
      <c r="K649" s="45"/>
      <c r="L649" s="45"/>
      <c r="M649" s="45"/>
      <c r="N649" t="s">
        <v>483</v>
      </c>
      <c r="O649">
        <v>278660</v>
      </c>
      <c r="P649" t="str">
        <f t="shared" si="32"/>
        <v>https://permalinkbnd.bnportugal.gov.pt/viewer/278660/?offset=#page=8&amp;viewer=picture&amp;o=info&amp;n=0&amp;q=</v>
      </c>
      <c r="Q649">
        <v>782740</v>
      </c>
      <c r="R649" t="s">
        <v>483</v>
      </c>
      <c r="S649" t="s">
        <v>3126</v>
      </c>
      <c r="T649" t="s">
        <v>1178</v>
      </c>
      <c r="U649" t="s">
        <v>1192</v>
      </c>
      <c r="V649" t="s">
        <v>599</v>
      </c>
      <c r="W649" t="s">
        <v>1551</v>
      </c>
      <c r="X649" t="s">
        <v>1330</v>
      </c>
      <c r="Y649" t="s">
        <v>599</v>
      </c>
      <c r="Z649" t="s">
        <v>3127</v>
      </c>
      <c r="AA649" t="s">
        <v>3128</v>
      </c>
      <c r="AB649">
        <v>1871</v>
      </c>
      <c r="AC649">
        <v>1871</v>
      </c>
      <c r="AD649" t="s">
        <v>3129</v>
      </c>
      <c r="AE649" t="s">
        <v>1185</v>
      </c>
      <c r="AF649" t="s">
        <v>599</v>
      </c>
      <c r="AG649" t="s">
        <v>599</v>
      </c>
      <c r="AH649" t="s">
        <v>599</v>
      </c>
      <c r="AI649" t="s">
        <v>599</v>
      </c>
      <c r="AJ649" t="s">
        <v>599</v>
      </c>
      <c r="AK649" t="s">
        <v>3130</v>
      </c>
      <c r="AL649" t="s">
        <v>1188</v>
      </c>
      <c r="AM649" t="s">
        <v>3131</v>
      </c>
      <c r="AN649" t="s">
        <v>1190</v>
      </c>
      <c r="AO649" t="s">
        <v>599</v>
      </c>
      <c r="AP649" t="s">
        <v>599</v>
      </c>
      <c r="AQ649" t="s">
        <v>599</v>
      </c>
      <c r="AR649" t="s">
        <v>599</v>
      </c>
      <c r="AS649" t="s">
        <v>599</v>
      </c>
      <c r="AT649" t="s">
        <v>599</v>
      </c>
      <c r="AU649" t="s">
        <v>599</v>
      </c>
    </row>
    <row r="650" spans="1:47" ht="30" x14ac:dyDescent="0.25">
      <c r="A650" s="2">
        <v>11671</v>
      </c>
      <c r="B650" s="10">
        <v>782742</v>
      </c>
      <c r="C650" s="10">
        <v>1</v>
      </c>
      <c r="D650" s="9">
        <v>6</v>
      </c>
      <c r="E650" s="11" t="s">
        <v>485</v>
      </c>
      <c r="F650" s="11" t="str">
        <f t="shared" si="30"/>
        <v>https://purl.pt/44738</v>
      </c>
      <c r="G650" s="12" t="s">
        <v>408</v>
      </c>
      <c r="H650" s="9">
        <v>6</v>
      </c>
      <c r="I650" s="34"/>
      <c r="J650" s="55" t="str">
        <f t="shared" si="31"/>
        <v>https://permalinkbnd.bnportugal.gov.pt/viewer/278669/?offset=#page=6&amp;viewer=picture&amp;o=info&amp;n=0&amp;q=</v>
      </c>
      <c r="K650" s="45"/>
      <c r="L650" s="45"/>
      <c r="M650" s="45"/>
      <c r="N650" t="s">
        <v>485</v>
      </c>
      <c r="O650">
        <v>278669</v>
      </c>
      <c r="P650" t="str">
        <f t="shared" si="32"/>
        <v>https://permalinkbnd.bnportugal.gov.pt/viewer/278669/?offset=#page=6&amp;viewer=picture&amp;o=info&amp;n=0&amp;q=</v>
      </c>
      <c r="Q650">
        <v>782742</v>
      </c>
      <c r="R650" t="s">
        <v>485</v>
      </c>
      <c r="S650" t="s">
        <v>3132</v>
      </c>
      <c r="T650" t="s">
        <v>1178</v>
      </c>
      <c r="U650" t="s">
        <v>1192</v>
      </c>
      <c r="V650" t="s">
        <v>599</v>
      </c>
      <c r="W650" t="s">
        <v>1551</v>
      </c>
      <c r="X650" t="s">
        <v>1330</v>
      </c>
      <c r="Y650" t="s">
        <v>599</v>
      </c>
      <c r="Z650" t="s">
        <v>3133</v>
      </c>
      <c r="AA650" t="s">
        <v>3134</v>
      </c>
      <c r="AB650">
        <v>1874</v>
      </c>
      <c r="AC650">
        <v>1874</v>
      </c>
      <c r="AD650" t="s">
        <v>3135</v>
      </c>
      <c r="AE650" t="s">
        <v>1185</v>
      </c>
      <c r="AF650" t="s">
        <v>599</v>
      </c>
      <c r="AG650" t="s">
        <v>599</v>
      </c>
      <c r="AH650" t="s">
        <v>599</v>
      </c>
      <c r="AI650" t="s">
        <v>599</v>
      </c>
      <c r="AJ650" t="s">
        <v>599</v>
      </c>
      <c r="AK650" t="s">
        <v>3136</v>
      </c>
      <c r="AL650" t="s">
        <v>1188</v>
      </c>
      <c r="AM650" t="s">
        <v>3137</v>
      </c>
      <c r="AN650" t="s">
        <v>1190</v>
      </c>
      <c r="AO650" t="s">
        <v>599</v>
      </c>
      <c r="AP650" t="s">
        <v>599</v>
      </c>
      <c r="AQ650" t="s">
        <v>599</v>
      </c>
      <c r="AR650" t="s">
        <v>599</v>
      </c>
      <c r="AS650" t="s">
        <v>599</v>
      </c>
      <c r="AT650" t="s">
        <v>599</v>
      </c>
      <c r="AU650" t="s">
        <v>599</v>
      </c>
    </row>
    <row r="651" spans="1:47" ht="30" x14ac:dyDescent="0.25">
      <c r="A651" s="2">
        <v>11672</v>
      </c>
      <c r="B651" s="10">
        <v>782743</v>
      </c>
      <c r="C651" s="10">
        <v>1</v>
      </c>
      <c r="D651" s="9">
        <v>6</v>
      </c>
      <c r="E651" s="11" t="s">
        <v>486</v>
      </c>
      <c r="F651" s="11" t="str">
        <f t="shared" si="30"/>
        <v>https://purl.pt/44788</v>
      </c>
      <c r="G651" s="12" t="s">
        <v>408</v>
      </c>
      <c r="H651" s="9">
        <v>6</v>
      </c>
      <c r="I651" s="34"/>
      <c r="J651" s="55" t="str">
        <f t="shared" si="31"/>
        <v>https://permalinkbnd.bnportugal.gov.pt/viewer/278783/?offset=#page=6&amp;viewer=picture&amp;o=info&amp;n=0&amp;q=</v>
      </c>
      <c r="K651" s="45"/>
      <c r="L651" s="45"/>
      <c r="M651" s="45"/>
      <c r="N651" t="s">
        <v>486</v>
      </c>
      <c r="O651">
        <v>278783</v>
      </c>
      <c r="P651" t="str">
        <f t="shared" si="32"/>
        <v>https://permalinkbnd.bnportugal.gov.pt/viewer/278783/?offset=#page=6&amp;viewer=picture&amp;o=info&amp;n=0&amp;q=</v>
      </c>
      <c r="Q651">
        <v>782743</v>
      </c>
      <c r="R651" t="s">
        <v>486</v>
      </c>
      <c r="S651" t="s">
        <v>3138</v>
      </c>
      <c r="T651" t="s">
        <v>1178</v>
      </c>
      <c r="U651" t="s">
        <v>1192</v>
      </c>
      <c r="V651" t="s">
        <v>599</v>
      </c>
      <c r="W651" t="s">
        <v>1551</v>
      </c>
      <c r="X651" t="s">
        <v>1330</v>
      </c>
      <c r="Y651" t="s">
        <v>599</v>
      </c>
      <c r="Z651" t="s">
        <v>1731</v>
      </c>
      <c r="AA651" t="s">
        <v>3139</v>
      </c>
      <c r="AB651">
        <v>1897</v>
      </c>
      <c r="AC651">
        <v>1897</v>
      </c>
      <c r="AD651" t="s">
        <v>3140</v>
      </c>
      <c r="AE651" t="s">
        <v>1185</v>
      </c>
      <c r="AF651" t="s">
        <v>599</v>
      </c>
      <c r="AG651" t="s">
        <v>599</v>
      </c>
      <c r="AH651" t="s">
        <v>599</v>
      </c>
      <c r="AI651" t="s">
        <v>599</v>
      </c>
      <c r="AJ651" t="s">
        <v>599</v>
      </c>
      <c r="AK651" t="s">
        <v>3141</v>
      </c>
      <c r="AL651" t="s">
        <v>1188</v>
      </c>
      <c r="AM651" t="s">
        <v>3142</v>
      </c>
      <c r="AN651" t="s">
        <v>1190</v>
      </c>
      <c r="AO651" t="s">
        <v>599</v>
      </c>
      <c r="AP651" t="s">
        <v>599</v>
      </c>
      <c r="AQ651" t="s">
        <v>599</v>
      </c>
      <c r="AR651" t="s">
        <v>599</v>
      </c>
      <c r="AS651" t="s">
        <v>599</v>
      </c>
      <c r="AT651" t="s">
        <v>599</v>
      </c>
      <c r="AU651" t="s">
        <v>599</v>
      </c>
    </row>
    <row r="652" spans="1:47" ht="30" x14ac:dyDescent="0.25">
      <c r="A652" s="2">
        <v>11674</v>
      </c>
      <c r="B652" s="10">
        <v>783484</v>
      </c>
      <c r="C652" s="10">
        <v>1</v>
      </c>
      <c r="D652" s="9">
        <v>10</v>
      </c>
      <c r="E652" s="11" t="s">
        <v>487</v>
      </c>
      <c r="F652" s="11" t="str">
        <f t="shared" si="30"/>
        <v>https://purl.pt/44793</v>
      </c>
      <c r="G652" s="12" t="s">
        <v>178</v>
      </c>
      <c r="H652" s="9">
        <v>10</v>
      </c>
      <c r="I652" s="34"/>
      <c r="J652" s="55" t="str">
        <f t="shared" si="31"/>
        <v>https://permalinkbnd.bnportugal.gov.pt/viewer/278786/?offset=#page=10&amp;viewer=picture&amp;o=info&amp;n=0&amp;q=</v>
      </c>
      <c r="K652" s="45"/>
      <c r="L652" s="45"/>
      <c r="M652" s="45"/>
      <c r="N652" t="s">
        <v>487</v>
      </c>
      <c r="O652">
        <v>278786</v>
      </c>
      <c r="P652" t="str">
        <f t="shared" si="32"/>
        <v>https://permalinkbnd.bnportugal.gov.pt/viewer/278786/?offset=#page=10&amp;viewer=picture&amp;o=info&amp;n=0&amp;q=</v>
      </c>
      <c r="Q652">
        <v>783484</v>
      </c>
      <c r="R652" t="s">
        <v>487</v>
      </c>
      <c r="S652" t="s">
        <v>3143</v>
      </c>
      <c r="T652" t="s">
        <v>1178</v>
      </c>
      <c r="U652" t="s">
        <v>1502</v>
      </c>
      <c r="V652" t="s">
        <v>1192</v>
      </c>
      <c r="W652" t="s">
        <v>1742</v>
      </c>
      <c r="X652" t="s">
        <v>599</v>
      </c>
      <c r="Y652" t="s">
        <v>599</v>
      </c>
      <c r="Z652" t="s">
        <v>3144</v>
      </c>
      <c r="AA652" t="s">
        <v>2680</v>
      </c>
      <c r="AB652">
        <v>1805</v>
      </c>
      <c r="AC652">
        <v>1805</v>
      </c>
      <c r="AD652" t="s">
        <v>3145</v>
      </c>
      <c r="AE652" t="s">
        <v>1185</v>
      </c>
      <c r="AF652" t="s">
        <v>599</v>
      </c>
      <c r="AG652" t="s">
        <v>599</v>
      </c>
      <c r="AH652" t="s">
        <v>3146</v>
      </c>
      <c r="AI652" t="s">
        <v>599</v>
      </c>
      <c r="AJ652" t="s">
        <v>599</v>
      </c>
      <c r="AK652" t="s">
        <v>3147</v>
      </c>
      <c r="AL652" t="s">
        <v>1188</v>
      </c>
      <c r="AM652" t="s">
        <v>3148</v>
      </c>
      <c r="AN652" t="s">
        <v>1190</v>
      </c>
      <c r="AO652" t="s">
        <v>599</v>
      </c>
      <c r="AP652" t="s">
        <v>599</v>
      </c>
      <c r="AQ652" t="s">
        <v>599</v>
      </c>
      <c r="AR652" t="s">
        <v>599</v>
      </c>
      <c r="AS652" t="s">
        <v>599</v>
      </c>
      <c r="AT652" t="s">
        <v>599</v>
      </c>
      <c r="AU652" t="s">
        <v>599</v>
      </c>
    </row>
    <row r="653" spans="1:47" ht="30" x14ac:dyDescent="0.25">
      <c r="A653" s="2">
        <v>11675</v>
      </c>
      <c r="B653" s="10">
        <v>783488</v>
      </c>
      <c r="C653" s="10">
        <v>1</v>
      </c>
      <c r="D653" s="9">
        <v>8</v>
      </c>
      <c r="E653" s="11" t="s">
        <v>488</v>
      </c>
      <c r="F653" s="11" t="str">
        <f t="shared" si="30"/>
        <v>https://purl.pt/44792</v>
      </c>
      <c r="G653" s="12" t="s">
        <v>484</v>
      </c>
      <c r="H653" s="9">
        <v>8</v>
      </c>
      <c r="I653" s="34"/>
      <c r="J653" s="55" t="str">
        <f t="shared" si="31"/>
        <v>https://permalinkbnd.bnportugal.gov.pt/viewer/278784/?offset=#page=8&amp;viewer=picture&amp;o=info&amp;n=0&amp;q=</v>
      </c>
      <c r="K653" s="45"/>
      <c r="L653" s="45"/>
      <c r="M653" s="45"/>
      <c r="N653" t="s">
        <v>488</v>
      </c>
      <c r="O653">
        <v>278784</v>
      </c>
      <c r="P653" t="str">
        <f t="shared" si="32"/>
        <v>https://permalinkbnd.bnportugal.gov.pt/viewer/278784/?offset=#page=8&amp;viewer=picture&amp;o=info&amp;n=0&amp;q=</v>
      </c>
      <c r="Q653">
        <v>783488</v>
      </c>
      <c r="R653" t="s">
        <v>488</v>
      </c>
      <c r="S653" t="s">
        <v>3149</v>
      </c>
      <c r="T653" t="s">
        <v>1178</v>
      </c>
      <c r="U653" t="s">
        <v>1502</v>
      </c>
      <c r="V653" t="s">
        <v>1192</v>
      </c>
      <c r="W653" t="s">
        <v>3150</v>
      </c>
      <c r="X653" t="s">
        <v>599</v>
      </c>
      <c r="Y653" t="s">
        <v>599</v>
      </c>
      <c r="Z653" t="s">
        <v>3151</v>
      </c>
      <c r="AA653" t="s">
        <v>2680</v>
      </c>
      <c r="AB653">
        <v>1804</v>
      </c>
      <c r="AC653">
        <v>1804</v>
      </c>
      <c r="AD653" t="s">
        <v>3152</v>
      </c>
      <c r="AE653" t="s">
        <v>1185</v>
      </c>
      <c r="AF653" t="s">
        <v>599</v>
      </c>
      <c r="AG653" t="s">
        <v>599</v>
      </c>
      <c r="AH653" t="s">
        <v>3146</v>
      </c>
      <c r="AI653" t="s">
        <v>599</v>
      </c>
      <c r="AJ653" t="s">
        <v>599</v>
      </c>
      <c r="AK653" t="s">
        <v>3153</v>
      </c>
      <c r="AL653" t="s">
        <v>1188</v>
      </c>
      <c r="AM653" t="s">
        <v>3154</v>
      </c>
      <c r="AN653" t="s">
        <v>1190</v>
      </c>
      <c r="AO653" t="s">
        <v>599</v>
      </c>
      <c r="AP653" t="s">
        <v>599</v>
      </c>
      <c r="AQ653" t="s">
        <v>599</v>
      </c>
      <c r="AR653" t="s">
        <v>599</v>
      </c>
      <c r="AS653" t="s">
        <v>599</v>
      </c>
      <c r="AT653" t="s">
        <v>599</v>
      </c>
      <c r="AU653" t="s">
        <v>599</v>
      </c>
    </row>
    <row r="654" spans="1:47" ht="30" x14ac:dyDescent="0.25">
      <c r="A654" s="2">
        <v>11676</v>
      </c>
      <c r="B654" s="10">
        <v>784526</v>
      </c>
      <c r="C654" s="10">
        <v>1</v>
      </c>
      <c r="D654" s="9">
        <v>6</v>
      </c>
      <c r="E654" s="11" t="s">
        <v>489</v>
      </c>
      <c r="F654" s="11" t="str">
        <f t="shared" si="30"/>
        <v>https://purl.pt/44804</v>
      </c>
      <c r="G654" s="12" t="s">
        <v>408</v>
      </c>
      <c r="H654" s="9">
        <v>6</v>
      </c>
      <c r="I654" s="34"/>
      <c r="J654" s="55" t="str">
        <f t="shared" si="31"/>
        <v>https://permalinkbnd.bnportugal.gov.pt/viewer/278793/?offset=#page=6&amp;viewer=picture&amp;o=info&amp;n=0&amp;q=</v>
      </c>
      <c r="K654" s="45"/>
      <c r="L654" s="45"/>
      <c r="M654" s="45"/>
      <c r="N654" t="s">
        <v>489</v>
      </c>
      <c r="O654">
        <v>278793</v>
      </c>
      <c r="P654" t="str">
        <f t="shared" si="32"/>
        <v>https://permalinkbnd.bnportugal.gov.pt/viewer/278793/?offset=#page=6&amp;viewer=picture&amp;o=info&amp;n=0&amp;q=</v>
      </c>
      <c r="Q654">
        <v>784526</v>
      </c>
      <c r="R654" t="s">
        <v>489</v>
      </c>
      <c r="S654" t="s">
        <v>3155</v>
      </c>
      <c r="T654" t="s">
        <v>1178</v>
      </c>
      <c r="U654" t="s">
        <v>1502</v>
      </c>
      <c r="V654" t="s">
        <v>1192</v>
      </c>
      <c r="W654" t="s">
        <v>1742</v>
      </c>
      <c r="X654" t="s">
        <v>599</v>
      </c>
      <c r="Y654" t="s">
        <v>599</v>
      </c>
      <c r="Z654" t="s">
        <v>2370</v>
      </c>
      <c r="AA654" t="s">
        <v>2680</v>
      </c>
      <c r="AB654">
        <v>1808</v>
      </c>
      <c r="AC654">
        <v>1808</v>
      </c>
      <c r="AD654" t="s">
        <v>3156</v>
      </c>
      <c r="AE654" t="s">
        <v>1185</v>
      </c>
      <c r="AF654" t="s">
        <v>599</v>
      </c>
      <c r="AG654" t="s">
        <v>599</v>
      </c>
      <c r="AH654" t="s">
        <v>3146</v>
      </c>
      <c r="AI654" t="s">
        <v>599</v>
      </c>
      <c r="AJ654" t="s">
        <v>599</v>
      </c>
      <c r="AK654" t="s">
        <v>3157</v>
      </c>
      <c r="AL654" t="s">
        <v>1188</v>
      </c>
      <c r="AM654" t="s">
        <v>3158</v>
      </c>
      <c r="AN654" t="s">
        <v>1190</v>
      </c>
      <c r="AO654" t="s">
        <v>599</v>
      </c>
      <c r="AP654" t="s">
        <v>599</v>
      </c>
      <c r="AQ654" t="s">
        <v>599</v>
      </c>
      <c r="AR654" t="s">
        <v>599</v>
      </c>
      <c r="AS654" t="s">
        <v>599</v>
      </c>
      <c r="AT654" t="s">
        <v>599</v>
      </c>
      <c r="AU654" t="s">
        <v>599</v>
      </c>
    </row>
    <row r="655" spans="1:47" ht="30" x14ac:dyDescent="0.25">
      <c r="A655" s="2">
        <v>11678</v>
      </c>
      <c r="B655" s="10">
        <v>784628</v>
      </c>
      <c r="C655" s="10">
        <v>1</v>
      </c>
      <c r="D655" s="9">
        <v>6</v>
      </c>
      <c r="E655" s="11" t="s">
        <v>490</v>
      </c>
      <c r="F655" s="11" t="str">
        <f t="shared" si="30"/>
        <v>https://purl.pt/44796</v>
      </c>
      <c r="G655" s="12" t="s">
        <v>491</v>
      </c>
      <c r="H655" s="9">
        <v>6</v>
      </c>
      <c r="I655" s="34"/>
      <c r="J655" s="55" t="str">
        <f t="shared" si="31"/>
        <v>https://permalinkbnd.bnportugal.gov.pt/viewer/278782/?offset=#page=6&amp;viewer=picture&amp;o=info&amp;n=0&amp;q=</v>
      </c>
      <c r="K655" s="45"/>
      <c r="L655" s="45"/>
      <c r="M655" s="45"/>
      <c r="N655" t="s">
        <v>490</v>
      </c>
      <c r="O655">
        <v>278782</v>
      </c>
      <c r="P655" t="str">
        <f t="shared" si="32"/>
        <v>https://permalinkbnd.bnportugal.gov.pt/viewer/278782/?offset=#page=6&amp;viewer=picture&amp;o=info&amp;n=0&amp;q=</v>
      </c>
      <c r="Q655">
        <v>784628</v>
      </c>
      <c r="R655" t="s">
        <v>490</v>
      </c>
      <c r="S655" t="s">
        <v>3159</v>
      </c>
      <c r="T655" t="s">
        <v>1178</v>
      </c>
      <c r="U655" t="s">
        <v>1403</v>
      </c>
      <c r="V655" t="s">
        <v>1192</v>
      </c>
      <c r="W655" t="s">
        <v>2638</v>
      </c>
      <c r="X655" t="s">
        <v>599</v>
      </c>
      <c r="Y655" t="s">
        <v>599</v>
      </c>
      <c r="Z655" t="s">
        <v>1182</v>
      </c>
      <c r="AA655" t="s">
        <v>3160</v>
      </c>
      <c r="AB655">
        <v>1800</v>
      </c>
      <c r="AC655">
        <v>1800</v>
      </c>
      <c r="AD655" t="s">
        <v>3161</v>
      </c>
      <c r="AE655" t="s">
        <v>1185</v>
      </c>
      <c r="AF655" t="s">
        <v>599</v>
      </c>
      <c r="AG655" t="s">
        <v>599</v>
      </c>
      <c r="AH655" t="s">
        <v>3162</v>
      </c>
      <c r="AI655" t="s">
        <v>599</v>
      </c>
      <c r="AJ655" t="s">
        <v>599</v>
      </c>
      <c r="AK655" t="s">
        <v>3163</v>
      </c>
      <c r="AL655" t="s">
        <v>1188</v>
      </c>
      <c r="AM655" t="s">
        <v>3164</v>
      </c>
      <c r="AN655" t="s">
        <v>1190</v>
      </c>
      <c r="AO655" t="s">
        <v>599</v>
      </c>
      <c r="AP655" t="s">
        <v>599</v>
      </c>
      <c r="AQ655" t="s">
        <v>599</v>
      </c>
      <c r="AR655" t="s">
        <v>599</v>
      </c>
      <c r="AS655" t="s">
        <v>599</v>
      </c>
      <c r="AT655" t="s">
        <v>599</v>
      </c>
      <c r="AU655" t="s">
        <v>599</v>
      </c>
    </row>
    <row r="656" spans="1:47" ht="150" x14ac:dyDescent="0.25">
      <c r="A656" s="2">
        <v>11704</v>
      </c>
      <c r="B656" s="10">
        <v>788999</v>
      </c>
      <c r="C656" s="10">
        <v>1</v>
      </c>
      <c r="D656" s="9">
        <v>1</v>
      </c>
      <c r="E656" s="11" t="s">
        <v>492</v>
      </c>
      <c r="F656" s="11" t="str">
        <f t="shared" si="30"/>
        <v>https://purl.pt/43959</v>
      </c>
      <c r="G656" s="12" t="s">
        <v>493</v>
      </c>
      <c r="H656" s="9" t="s">
        <v>494</v>
      </c>
      <c r="I656" s="34"/>
      <c r="J656" s="55" t="str">
        <f t="shared" si="31"/>
        <v>https://permalinkbnd.bnportugal.gov.pt/viewer/272640/?offset=#page=1&amp;viewer=picture&amp;o=info&amp;n=0&amp;q=</v>
      </c>
      <c r="K656" s="45"/>
      <c r="L656" s="45"/>
      <c r="M656" s="45"/>
      <c r="N656" t="s">
        <v>492</v>
      </c>
      <c r="O656">
        <v>272640</v>
      </c>
      <c r="P656" t="str">
        <f t="shared" si="32"/>
        <v>https://permalinkbnd.bnportugal.gov.pt/viewer/272640/?offset=#page=1&amp;viewer=picture&amp;o=info&amp;n=0&amp;q=</v>
      </c>
      <c r="Q656">
        <v>788999</v>
      </c>
      <c r="R656" t="s">
        <v>492</v>
      </c>
      <c r="S656" t="s">
        <v>3165</v>
      </c>
      <c r="T656" t="s">
        <v>1178</v>
      </c>
      <c r="U656" t="s">
        <v>1192</v>
      </c>
      <c r="V656" t="s">
        <v>599</v>
      </c>
      <c r="W656" t="s">
        <v>3166</v>
      </c>
      <c r="X656" t="s">
        <v>3167</v>
      </c>
      <c r="Y656" t="s">
        <v>599</v>
      </c>
      <c r="Z656" t="s">
        <v>1182</v>
      </c>
      <c r="AA656" t="s">
        <v>3168</v>
      </c>
      <c r="AB656">
        <v>1916</v>
      </c>
      <c r="AC656">
        <v>1916</v>
      </c>
      <c r="AD656" t="s">
        <v>3169</v>
      </c>
      <c r="AE656" t="s">
        <v>1185</v>
      </c>
      <c r="AF656" t="s">
        <v>599</v>
      </c>
      <c r="AG656" t="s">
        <v>599</v>
      </c>
      <c r="AH656" t="s">
        <v>3170</v>
      </c>
      <c r="AI656" t="s">
        <v>599</v>
      </c>
      <c r="AJ656" t="s">
        <v>599</v>
      </c>
      <c r="AK656" t="s">
        <v>3171</v>
      </c>
      <c r="AL656" t="s">
        <v>1188</v>
      </c>
      <c r="AM656" t="s">
        <v>3172</v>
      </c>
      <c r="AN656" t="s">
        <v>1190</v>
      </c>
      <c r="AO656" t="s">
        <v>599</v>
      </c>
      <c r="AP656" t="s">
        <v>599</v>
      </c>
      <c r="AQ656" t="s">
        <v>599</v>
      </c>
      <c r="AR656" t="s">
        <v>599</v>
      </c>
      <c r="AS656" t="s">
        <v>1193</v>
      </c>
      <c r="AT656" t="s">
        <v>599</v>
      </c>
      <c r="AU656" t="s">
        <v>599</v>
      </c>
    </row>
    <row r="657" spans="1:47" ht="150" x14ac:dyDescent="0.25">
      <c r="A657" s="2">
        <v>11705</v>
      </c>
      <c r="B657" s="10">
        <v>788999</v>
      </c>
      <c r="C657" s="10">
        <v>1</v>
      </c>
      <c r="D657" s="9">
        <v>8</v>
      </c>
      <c r="E657" s="11" t="s">
        <v>492</v>
      </c>
      <c r="F657" s="11" t="str">
        <f t="shared" si="30"/>
        <v>https://purl.pt/43959</v>
      </c>
      <c r="G657" s="12" t="s">
        <v>493</v>
      </c>
      <c r="H657" s="9" t="s">
        <v>494</v>
      </c>
      <c r="I657" s="34"/>
      <c r="J657" s="55" t="str">
        <f t="shared" si="31"/>
        <v>https://permalinkbnd.bnportugal.gov.pt/viewer/272640/?offset=#page=8&amp;viewer=picture&amp;o=info&amp;n=0&amp;q=</v>
      </c>
      <c r="K657" s="45"/>
      <c r="L657" s="45"/>
      <c r="M657" s="45"/>
      <c r="N657" t="s">
        <v>492</v>
      </c>
      <c r="O657">
        <v>272640</v>
      </c>
      <c r="P657" t="str">
        <f t="shared" si="32"/>
        <v>https://permalinkbnd.bnportugal.gov.pt/viewer/272640/?offset=#page=8&amp;viewer=picture&amp;o=info&amp;n=0&amp;q=</v>
      </c>
      <c r="Q657">
        <v>788999</v>
      </c>
      <c r="R657" t="s">
        <v>492</v>
      </c>
      <c r="S657" t="s">
        <v>3165</v>
      </c>
      <c r="T657" t="s">
        <v>1178</v>
      </c>
      <c r="U657" t="s">
        <v>1192</v>
      </c>
      <c r="V657" t="s">
        <v>599</v>
      </c>
      <c r="W657" t="s">
        <v>3166</v>
      </c>
      <c r="X657" t="s">
        <v>3167</v>
      </c>
      <c r="Y657" t="s">
        <v>599</v>
      </c>
      <c r="Z657" t="s">
        <v>1182</v>
      </c>
      <c r="AA657" t="s">
        <v>3168</v>
      </c>
      <c r="AB657">
        <v>1916</v>
      </c>
      <c r="AC657">
        <v>1916</v>
      </c>
      <c r="AD657" t="s">
        <v>3169</v>
      </c>
      <c r="AE657" t="s">
        <v>1185</v>
      </c>
      <c r="AF657" t="s">
        <v>599</v>
      </c>
      <c r="AG657" t="s">
        <v>599</v>
      </c>
      <c r="AH657" t="s">
        <v>3170</v>
      </c>
      <c r="AI657" t="s">
        <v>599</v>
      </c>
      <c r="AJ657" t="s">
        <v>599</v>
      </c>
      <c r="AK657" t="s">
        <v>3171</v>
      </c>
      <c r="AL657" t="s">
        <v>1188</v>
      </c>
      <c r="AM657" t="s">
        <v>3172</v>
      </c>
      <c r="AN657" t="s">
        <v>1190</v>
      </c>
      <c r="AO657" t="s">
        <v>599</v>
      </c>
      <c r="AP657" t="s">
        <v>599</v>
      </c>
      <c r="AQ657" t="s">
        <v>599</v>
      </c>
      <c r="AR657" t="s">
        <v>599</v>
      </c>
      <c r="AS657" t="s">
        <v>1193</v>
      </c>
      <c r="AT657" t="s">
        <v>599</v>
      </c>
      <c r="AU657" t="s">
        <v>599</v>
      </c>
    </row>
    <row r="658" spans="1:47" ht="150" x14ac:dyDescent="0.25">
      <c r="A658" s="2">
        <v>11706</v>
      </c>
      <c r="B658" s="10">
        <v>788999</v>
      </c>
      <c r="C658" s="10">
        <v>1</v>
      </c>
      <c r="D658" s="9">
        <v>9</v>
      </c>
      <c r="E658" s="11" t="s">
        <v>492</v>
      </c>
      <c r="F658" s="11" t="str">
        <f t="shared" si="30"/>
        <v>https://purl.pt/43959</v>
      </c>
      <c r="G658" s="12" t="s">
        <v>493</v>
      </c>
      <c r="H658" s="9" t="s">
        <v>494</v>
      </c>
      <c r="I658" s="34"/>
      <c r="J658" s="55" t="str">
        <f t="shared" si="31"/>
        <v>https://permalinkbnd.bnportugal.gov.pt/viewer/272640/?offset=#page=9&amp;viewer=picture&amp;o=info&amp;n=0&amp;q=</v>
      </c>
      <c r="K658" s="45"/>
      <c r="L658" s="45"/>
      <c r="M658" s="45"/>
      <c r="N658" t="s">
        <v>492</v>
      </c>
      <c r="O658">
        <v>272640</v>
      </c>
      <c r="P658" t="str">
        <f t="shared" si="32"/>
        <v>https://permalinkbnd.bnportugal.gov.pt/viewer/272640/?offset=#page=9&amp;viewer=picture&amp;o=info&amp;n=0&amp;q=</v>
      </c>
      <c r="Q658">
        <v>788999</v>
      </c>
      <c r="R658" t="s">
        <v>492</v>
      </c>
      <c r="S658" t="s">
        <v>3165</v>
      </c>
      <c r="T658" t="s">
        <v>1178</v>
      </c>
      <c r="U658" t="s">
        <v>1192</v>
      </c>
      <c r="V658" t="s">
        <v>599</v>
      </c>
      <c r="W658" t="s">
        <v>3166</v>
      </c>
      <c r="X658" t="s">
        <v>3167</v>
      </c>
      <c r="Y658" t="s">
        <v>599</v>
      </c>
      <c r="Z658" t="s">
        <v>1182</v>
      </c>
      <c r="AA658" t="s">
        <v>3168</v>
      </c>
      <c r="AB658">
        <v>1916</v>
      </c>
      <c r="AC658">
        <v>1916</v>
      </c>
      <c r="AD658" t="s">
        <v>3169</v>
      </c>
      <c r="AE658" t="s">
        <v>1185</v>
      </c>
      <c r="AF658" t="s">
        <v>599</v>
      </c>
      <c r="AG658" t="s">
        <v>599</v>
      </c>
      <c r="AH658" t="s">
        <v>3170</v>
      </c>
      <c r="AI658" t="s">
        <v>599</v>
      </c>
      <c r="AJ658" t="s">
        <v>599</v>
      </c>
      <c r="AK658" t="s">
        <v>3171</v>
      </c>
      <c r="AL658" t="s">
        <v>1188</v>
      </c>
      <c r="AM658" t="s">
        <v>3172</v>
      </c>
      <c r="AN658" t="s">
        <v>1190</v>
      </c>
      <c r="AO658" t="s">
        <v>599</v>
      </c>
      <c r="AP658" t="s">
        <v>599</v>
      </c>
      <c r="AQ658" t="s">
        <v>599</v>
      </c>
      <c r="AR658" t="s">
        <v>599</v>
      </c>
      <c r="AS658" t="s">
        <v>1193</v>
      </c>
      <c r="AT658" t="s">
        <v>599</v>
      </c>
      <c r="AU658" t="s">
        <v>599</v>
      </c>
    </row>
    <row r="659" spans="1:47" ht="150" x14ac:dyDescent="0.25">
      <c r="A659" s="2">
        <v>11707</v>
      </c>
      <c r="B659" s="10">
        <v>788999</v>
      </c>
      <c r="C659" s="10">
        <v>1</v>
      </c>
      <c r="D659" s="9">
        <v>25</v>
      </c>
      <c r="E659" s="11" t="s">
        <v>492</v>
      </c>
      <c r="F659" s="11" t="str">
        <f t="shared" si="30"/>
        <v>https://purl.pt/43959</v>
      </c>
      <c r="G659" s="12" t="s">
        <v>493</v>
      </c>
      <c r="H659" s="9" t="s">
        <v>494</v>
      </c>
      <c r="I659" s="34"/>
      <c r="J659" s="55" t="str">
        <f t="shared" si="31"/>
        <v>https://permalinkbnd.bnportugal.gov.pt/viewer/272640/?offset=#page=25&amp;viewer=picture&amp;o=info&amp;n=0&amp;q=</v>
      </c>
      <c r="K659" s="45"/>
      <c r="L659" s="45"/>
      <c r="M659" s="45"/>
      <c r="N659" t="s">
        <v>492</v>
      </c>
      <c r="O659">
        <v>272640</v>
      </c>
      <c r="P659" t="str">
        <f t="shared" si="32"/>
        <v>https://permalinkbnd.bnportugal.gov.pt/viewer/272640/?offset=#page=25&amp;viewer=picture&amp;o=info&amp;n=0&amp;q=</v>
      </c>
      <c r="Q659">
        <v>788999</v>
      </c>
      <c r="R659" t="s">
        <v>492</v>
      </c>
      <c r="S659" t="s">
        <v>3165</v>
      </c>
      <c r="T659" t="s">
        <v>1178</v>
      </c>
      <c r="U659" t="s">
        <v>1192</v>
      </c>
      <c r="V659" t="s">
        <v>599</v>
      </c>
      <c r="W659" t="s">
        <v>3166</v>
      </c>
      <c r="X659" t="s">
        <v>3167</v>
      </c>
      <c r="Y659" t="s">
        <v>599</v>
      </c>
      <c r="Z659" t="s">
        <v>1182</v>
      </c>
      <c r="AA659" t="s">
        <v>3168</v>
      </c>
      <c r="AB659">
        <v>1916</v>
      </c>
      <c r="AC659">
        <v>1916</v>
      </c>
      <c r="AD659" t="s">
        <v>3169</v>
      </c>
      <c r="AE659" t="s">
        <v>1185</v>
      </c>
      <c r="AF659" t="s">
        <v>599</v>
      </c>
      <c r="AG659" t="s">
        <v>599</v>
      </c>
      <c r="AH659" t="s">
        <v>3170</v>
      </c>
      <c r="AI659" t="s">
        <v>599</v>
      </c>
      <c r="AJ659" t="s">
        <v>599</v>
      </c>
      <c r="AK659" t="s">
        <v>3171</v>
      </c>
      <c r="AL659" t="s">
        <v>1188</v>
      </c>
      <c r="AM659" t="s">
        <v>3172</v>
      </c>
      <c r="AN659" t="s">
        <v>1190</v>
      </c>
      <c r="AO659" t="s">
        <v>599</v>
      </c>
      <c r="AP659" t="s">
        <v>599</v>
      </c>
      <c r="AQ659" t="s">
        <v>599</v>
      </c>
      <c r="AR659" t="s">
        <v>599</v>
      </c>
      <c r="AS659" t="s">
        <v>1193</v>
      </c>
      <c r="AT659" t="s">
        <v>599</v>
      </c>
      <c r="AU659" t="s">
        <v>599</v>
      </c>
    </row>
    <row r="660" spans="1:47" ht="150" x14ac:dyDescent="0.25">
      <c r="A660" s="2">
        <v>11708</v>
      </c>
      <c r="B660" s="10">
        <v>788999</v>
      </c>
      <c r="C660" s="10">
        <v>1</v>
      </c>
      <c r="D660" s="9">
        <v>27</v>
      </c>
      <c r="E660" s="11" t="s">
        <v>492</v>
      </c>
      <c r="F660" s="11" t="str">
        <f t="shared" si="30"/>
        <v>https://purl.pt/43959</v>
      </c>
      <c r="G660" s="12" t="s">
        <v>493</v>
      </c>
      <c r="H660" s="9" t="s">
        <v>494</v>
      </c>
      <c r="I660" s="34"/>
      <c r="J660" s="55" t="str">
        <f t="shared" si="31"/>
        <v>https://permalinkbnd.bnportugal.gov.pt/viewer/272640/?offset=#page=27&amp;viewer=picture&amp;o=info&amp;n=0&amp;q=</v>
      </c>
      <c r="K660" s="45"/>
      <c r="L660" s="45"/>
      <c r="M660" s="45"/>
      <c r="N660" t="s">
        <v>492</v>
      </c>
      <c r="O660">
        <v>272640</v>
      </c>
      <c r="P660" t="str">
        <f t="shared" si="32"/>
        <v>https://permalinkbnd.bnportugal.gov.pt/viewer/272640/?offset=#page=27&amp;viewer=picture&amp;o=info&amp;n=0&amp;q=</v>
      </c>
      <c r="Q660">
        <v>788999</v>
      </c>
      <c r="R660" t="s">
        <v>492</v>
      </c>
      <c r="S660" t="s">
        <v>3165</v>
      </c>
      <c r="T660" t="s">
        <v>1178</v>
      </c>
      <c r="U660" t="s">
        <v>1192</v>
      </c>
      <c r="V660" t="s">
        <v>599</v>
      </c>
      <c r="W660" t="s">
        <v>3166</v>
      </c>
      <c r="X660" t="s">
        <v>3167</v>
      </c>
      <c r="Y660" t="s">
        <v>599</v>
      </c>
      <c r="Z660" t="s">
        <v>1182</v>
      </c>
      <c r="AA660" t="s">
        <v>3168</v>
      </c>
      <c r="AB660">
        <v>1916</v>
      </c>
      <c r="AC660">
        <v>1916</v>
      </c>
      <c r="AD660" t="s">
        <v>3169</v>
      </c>
      <c r="AE660" t="s">
        <v>1185</v>
      </c>
      <c r="AF660" t="s">
        <v>599</v>
      </c>
      <c r="AG660" t="s">
        <v>599</v>
      </c>
      <c r="AH660" t="s">
        <v>3170</v>
      </c>
      <c r="AI660" t="s">
        <v>599</v>
      </c>
      <c r="AJ660" t="s">
        <v>599</v>
      </c>
      <c r="AK660" t="s">
        <v>3171</v>
      </c>
      <c r="AL660" t="s">
        <v>1188</v>
      </c>
      <c r="AM660" t="s">
        <v>3172</v>
      </c>
      <c r="AN660" t="s">
        <v>1190</v>
      </c>
      <c r="AO660" t="s">
        <v>599</v>
      </c>
      <c r="AP660" t="s">
        <v>599</v>
      </c>
      <c r="AQ660" t="s">
        <v>599</v>
      </c>
      <c r="AR660" t="s">
        <v>599</v>
      </c>
      <c r="AS660" t="s">
        <v>1193</v>
      </c>
      <c r="AT660" t="s">
        <v>599</v>
      </c>
      <c r="AU660" t="s">
        <v>599</v>
      </c>
    </row>
    <row r="661" spans="1:47" ht="150" x14ac:dyDescent="0.25">
      <c r="A661" s="2">
        <v>11709</v>
      </c>
      <c r="B661" s="10">
        <v>788999</v>
      </c>
      <c r="C661" s="10">
        <v>1</v>
      </c>
      <c r="D661" s="9">
        <v>29</v>
      </c>
      <c r="E661" s="11" t="s">
        <v>492</v>
      </c>
      <c r="F661" s="11" t="str">
        <f t="shared" si="30"/>
        <v>https://purl.pt/43959</v>
      </c>
      <c r="G661" s="12" t="s">
        <v>493</v>
      </c>
      <c r="H661" s="9" t="s">
        <v>494</v>
      </c>
      <c r="I661" s="34"/>
      <c r="J661" s="55" t="str">
        <f t="shared" si="31"/>
        <v>https://permalinkbnd.bnportugal.gov.pt/viewer/272640/?offset=#page=29&amp;viewer=picture&amp;o=info&amp;n=0&amp;q=</v>
      </c>
      <c r="K661" s="45"/>
      <c r="L661" s="45"/>
      <c r="M661" s="45"/>
      <c r="N661" t="s">
        <v>492</v>
      </c>
      <c r="O661">
        <v>272640</v>
      </c>
      <c r="P661" t="str">
        <f t="shared" si="32"/>
        <v>https://permalinkbnd.bnportugal.gov.pt/viewer/272640/?offset=#page=29&amp;viewer=picture&amp;o=info&amp;n=0&amp;q=</v>
      </c>
      <c r="Q661">
        <v>788999</v>
      </c>
      <c r="R661" t="s">
        <v>492</v>
      </c>
      <c r="S661" t="s">
        <v>3165</v>
      </c>
      <c r="T661" t="s">
        <v>1178</v>
      </c>
      <c r="U661" t="s">
        <v>1192</v>
      </c>
      <c r="V661" t="s">
        <v>599</v>
      </c>
      <c r="W661" t="s">
        <v>3166</v>
      </c>
      <c r="X661" t="s">
        <v>3167</v>
      </c>
      <c r="Y661" t="s">
        <v>599</v>
      </c>
      <c r="Z661" t="s">
        <v>1182</v>
      </c>
      <c r="AA661" t="s">
        <v>3168</v>
      </c>
      <c r="AB661">
        <v>1916</v>
      </c>
      <c r="AC661">
        <v>1916</v>
      </c>
      <c r="AD661" t="s">
        <v>3169</v>
      </c>
      <c r="AE661" t="s">
        <v>1185</v>
      </c>
      <c r="AF661" t="s">
        <v>599</v>
      </c>
      <c r="AG661" t="s">
        <v>599</v>
      </c>
      <c r="AH661" t="s">
        <v>3170</v>
      </c>
      <c r="AI661" t="s">
        <v>599</v>
      </c>
      <c r="AJ661" t="s">
        <v>599</v>
      </c>
      <c r="AK661" t="s">
        <v>3171</v>
      </c>
      <c r="AL661" t="s">
        <v>1188</v>
      </c>
      <c r="AM661" t="s">
        <v>3172</v>
      </c>
      <c r="AN661" t="s">
        <v>1190</v>
      </c>
      <c r="AO661" t="s">
        <v>599</v>
      </c>
      <c r="AP661" t="s">
        <v>599</v>
      </c>
      <c r="AQ661" t="s">
        <v>599</v>
      </c>
      <c r="AR661" t="s">
        <v>599</v>
      </c>
      <c r="AS661" t="s">
        <v>1193</v>
      </c>
      <c r="AT661" t="s">
        <v>599</v>
      </c>
      <c r="AU661" t="s">
        <v>599</v>
      </c>
    </row>
    <row r="662" spans="1:47" ht="150" x14ac:dyDescent="0.25">
      <c r="A662" s="2">
        <v>11710</v>
      </c>
      <c r="B662" s="10">
        <v>788999</v>
      </c>
      <c r="C662" s="10">
        <v>1</v>
      </c>
      <c r="D662" s="9">
        <v>31</v>
      </c>
      <c r="E662" s="11" t="s">
        <v>492</v>
      </c>
      <c r="F662" s="11" t="str">
        <f t="shared" si="30"/>
        <v>https://purl.pt/43959</v>
      </c>
      <c r="G662" s="12" t="s">
        <v>493</v>
      </c>
      <c r="H662" s="9" t="s">
        <v>494</v>
      </c>
      <c r="I662" s="34"/>
      <c r="J662" s="55" t="str">
        <f t="shared" si="31"/>
        <v>https://permalinkbnd.bnportugal.gov.pt/viewer/272640/?offset=#page=31&amp;viewer=picture&amp;o=info&amp;n=0&amp;q=</v>
      </c>
      <c r="K662" s="45"/>
      <c r="L662" s="45"/>
      <c r="M662" s="45"/>
      <c r="N662" t="s">
        <v>492</v>
      </c>
      <c r="O662">
        <v>272640</v>
      </c>
      <c r="P662" t="str">
        <f t="shared" si="32"/>
        <v>https://permalinkbnd.bnportugal.gov.pt/viewer/272640/?offset=#page=31&amp;viewer=picture&amp;o=info&amp;n=0&amp;q=</v>
      </c>
      <c r="Q662">
        <v>788999</v>
      </c>
      <c r="R662" t="s">
        <v>492</v>
      </c>
      <c r="S662" t="s">
        <v>3165</v>
      </c>
      <c r="T662" t="s">
        <v>1178</v>
      </c>
      <c r="U662" t="s">
        <v>1192</v>
      </c>
      <c r="V662" t="s">
        <v>599</v>
      </c>
      <c r="W662" t="s">
        <v>3166</v>
      </c>
      <c r="X662" t="s">
        <v>3167</v>
      </c>
      <c r="Y662" t="s">
        <v>599</v>
      </c>
      <c r="Z662" t="s">
        <v>1182</v>
      </c>
      <c r="AA662" t="s">
        <v>3168</v>
      </c>
      <c r="AB662">
        <v>1916</v>
      </c>
      <c r="AC662">
        <v>1916</v>
      </c>
      <c r="AD662" t="s">
        <v>3169</v>
      </c>
      <c r="AE662" t="s">
        <v>1185</v>
      </c>
      <c r="AF662" t="s">
        <v>599</v>
      </c>
      <c r="AG662" t="s">
        <v>599</v>
      </c>
      <c r="AH662" t="s">
        <v>3170</v>
      </c>
      <c r="AI662" t="s">
        <v>599</v>
      </c>
      <c r="AJ662" t="s">
        <v>599</v>
      </c>
      <c r="AK662" t="s">
        <v>3171</v>
      </c>
      <c r="AL662" t="s">
        <v>1188</v>
      </c>
      <c r="AM662" t="s">
        <v>3172</v>
      </c>
      <c r="AN662" t="s">
        <v>1190</v>
      </c>
      <c r="AO662" t="s">
        <v>599</v>
      </c>
      <c r="AP662" t="s">
        <v>599</v>
      </c>
      <c r="AQ662" t="s">
        <v>599</v>
      </c>
      <c r="AR662" t="s">
        <v>599</v>
      </c>
      <c r="AS662" t="s">
        <v>1193</v>
      </c>
      <c r="AT662" t="s">
        <v>599</v>
      </c>
      <c r="AU662" t="s">
        <v>599</v>
      </c>
    </row>
    <row r="663" spans="1:47" ht="150" x14ac:dyDescent="0.25">
      <c r="A663" s="2">
        <v>11711</v>
      </c>
      <c r="B663" s="10">
        <v>788999</v>
      </c>
      <c r="C663" s="10">
        <v>1</v>
      </c>
      <c r="D663" s="9">
        <v>59</v>
      </c>
      <c r="E663" s="11" t="s">
        <v>492</v>
      </c>
      <c r="F663" s="11" t="str">
        <f t="shared" si="30"/>
        <v>https://purl.pt/43959</v>
      </c>
      <c r="G663" s="12" t="s">
        <v>493</v>
      </c>
      <c r="H663" s="9" t="s">
        <v>494</v>
      </c>
      <c r="I663" s="34"/>
      <c r="J663" s="55" t="str">
        <f t="shared" si="31"/>
        <v>https://permalinkbnd.bnportugal.gov.pt/viewer/272640/?offset=#page=59&amp;viewer=picture&amp;o=info&amp;n=0&amp;q=</v>
      </c>
      <c r="K663" s="45"/>
      <c r="L663" s="45"/>
      <c r="M663" s="45"/>
      <c r="N663" t="s">
        <v>492</v>
      </c>
      <c r="O663">
        <v>272640</v>
      </c>
      <c r="P663" t="str">
        <f t="shared" si="32"/>
        <v>https://permalinkbnd.bnportugal.gov.pt/viewer/272640/?offset=#page=59&amp;viewer=picture&amp;o=info&amp;n=0&amp;q=</v>
      </c>
      <c r="Q663">
        <v>788999</v>
      </c>
      <c r="R663" t="s">
        <v>492</v>
      </c>
      <c r="S663" t="s">
        <v>3165</v>
      </c>
      <c r="T663" t="s">
        <v>1178</v>
      </c>
      <c r="U663" t="s">
        <v>1192</v>
      </c>
      <c r="V663" t="s">
        <v>599</v>
      </c>
      <c r="W663" t="s">
        <v>3166</v>
      </c>
      <c r="X663" t="s">
        <v>3167</v>
      </c>
      <c r="Y663" t="s">
        <v>599</v>
      </c>
      <c r="Z663" t="s">
        <v>1182</v>
      </c>
      <c r="AA663" t="s">
        <v>3168</v>
      </c>
      <c r="AB663">
        <v>1916</v>
      </c>
      <c r="AC663">
        <v>1916</v>
      </c>
      <c r="AD663" t="s">
        <v>3169</v>
      </c>
      <c r="AE663" t="s">
        <v>1185</v>
      </c>
      <c r="AF663" t="s">
        <v>599</v>
      </c>
      <c r="AG663" t="s">
        <v>599</v>
      </c>
      <c r="AH663" t="s">
        <v>3170</v>
      </c>
      <c r="AI663" t="s">
        <v>599</v>
      </c>
      <c r="AJ663" t="s">
        <v>599</v>
      </c>
      <c r="AK663" t="s">
        <v>3171</v>
      </c>
      <c r="AL663" t="s">
        <v>1188</v>
      </c>
      <c r="AM663" t="s">
        <v>3172</v>
      </c>
      <c r="AN663" t="s">
        <v>1190</v>
      </c>
      <c r="AO663" t="s">
        <v>599</v>
      </c>
      <c r="AP663" t="s">
        <v>599</v>
      </c>
      <c r="AQ663" t="s">
        <v>599</v>
      </c>
      <c r="AR663" t="s">
        <v>599</v>
      </c>
      <c r="AS663" t="s">
        <v>1193</v>
      </c>
      <c r="AT663" t="s">
        <v>599</v>
      </c>
      <c r="AU663" t="s">
        <v>599</v>
      </c>
    </row>
    <row r="664" spans="1:47" ht="150" x14ac:dyDescent="0.25">
      <c r="A664" s="2">
        <v>11712</v>
      </c>
      <c r="B664" s="10">
        <v>788999</v>
      </c>
      <c r="C664" s="10">
        <v>1</v>
      </c>
      <c r="D664" s="9">
        <v>71</v>
      </c>
      <c r="E664" s="11" t="s">
        <v>492</v>
      </c>
      <c r="F664" s="11" t="str">
        <f t="shared" si="30"/>
        <v>https://purl.pt/43959</v>
      </c>
      <c r="G664" s="12" t="s">
        <v>493</v>
      </c>
      <c r="H664" s="9" t="s">
        <v>494</v>
      </c>
      <c r="I664" s="34"/>
      <c r="J664" s="55" t="str">
        <f t="shared" si="31"/>
        <v>https://permalinkbnd.bnportugal.gov.pt/viewer/272640/?offset=#page=71&amp;viewer=picture&amp;o=info&amp;n=0&amp;q=</v>
      </c>
      <c r="K664" s="45"/>
      <c r="L664" s="45"/>
      <c r="M664" s="45"/>
      <c r="N664" t="s">
        <v>492</v>
      </c>
      <c r="O664">
        <v>272640</v>
      </c>
      <c r="P664" t="str">
        <f t="shared" si="32"/>
        <v>https://permalinkbnd.bnportugal.gov.pt/viewer/272640/?offset=#page=71&amp;viewer=picture&amp;o=info&amp;n=0&amp;q=</v>
      </c>
      <c r="Q664">
        <v>788999</v>
      </c>
      <c r="R664" t="s">
        <v>492</v>
      </c>
      <c r="S664" t="s">
        <v>3165</v>
      </c>
      <c r="T664" t="s">
        <v>1178</v>
      </c>
      <c r="U664" t="s">
        <v>1192</v>
      </c>
      <c r="V664" t="s">
        <v>599</v>
      </c>
      <c r="W664" t="s">
        <v>3166</v>
      </c>
      <c r="X664" t="s">
        <v>3167</v>
      </c>
      <c r="Y664" t="s">
        <v>599</v>
      </c>
      <c r="Z664" t="s">
        <v>1182</v>
      </c>
      <c r="AA664" t="s">
        <v>3168</v>
      </c>
      <c r="AB664">
        <v>1916</v>
      </c>
      <c r="AC664">
        <v>1916</v>
      </c>
      <c r="AD664" t="s">
        <v>3169</v>
      </c>
      <c r="AE664" t="s">
        <v>1185</v>
      </c>
      <c r="AF664" t="s">
        <v>599</v>
      </c>
      <c r="AG664" t="s">
        <v>599</v>
      </c>
      <c r="AH664" t="s">
        <v>3170</v>
      </c>
      <c r="AI664" t="s">
        <v>599</v>
      </c>
      <c r="AJ664" t="s">
        <v>599</v>
      </c>
      <c r="AK664" t="s">
        <v>3171</v>
      </c>
      <c r="AL664" t="s">
        <v>1188</v>
      </c>
      <c r="AM664" t="s">
        <v>3172</v>
      </c>
      <c r="AN664" t="s">
        <v>1190</v>
      </c>
      <c r="AO664" t="s">
        <v>599</v>
      </c>
      <c r="AP664" t="s">
        <v>599</v>
      </c>
      <c r="AQ664" t="s">
        <v>599</v>
      </c>
      <c r="AR664" t="s">
        <v>599</v>
      </c>
      <c r="AS664" t="s">
        <v>1193</v>
      </c>
      <c r="AT664" t="s">
        <v>599</v>
      </c>
      <c r="AU664" t="s">
        <v>599</v>
      </c>
    </row>
    <row r="665" spans="1:47" ht="150" x14ac:dyDescent="0.25">
      <c r="A665" s="2">
        <v>11713</v>
      </c>
      <c r="B665" s="10">
        <v>788999</v>
      </c>
      <c r="C665" s="10">
        <v>1</v>
      </c>
      <c r="D665" s="9">
        <v>89</v>
      </c>
      <c r="E665" s="11" t="s">
        <v>492</v>
      </c>
      <c r="F665" s="11" t="str">
        <f t="shared" si="30"/>
        <v>https://purl.pt/43959</v>
      </c>
      <c r="G665" s="12" t="s">
        <v>493</v>
      </c>
      <c r="H665" s="9" t="s">
        <v>494</v>
      </c>
      <c r="I665" s="34"/>
      <c r="J665" s="55" t="str">
        <f t="shared" si="31"/>
        <v>https://permalinkbnd.bnportugal.gov.pt/viewer/272640/?offset=#page=89&amp;viewer=picture&amp;o=info&amp;n=0&amp;q=</v>
      </c>
      <c r="K665" s="45"/>
      <c r="L665" s="45"/>
      <c r="M665" s="45"/>
      <c r="N665" t="s">
        <v>492</v>
      </c>
      <c r="O665">
        <v>272640</v>
      </c>
      <c r="P665" t="str">
        <f t="shared" si="32"/>
        <v>https://permalinkbnd.bnportugal.gov.pt/viewer/272640/?offset=#page=89&amp;viewer=picture&amp;o=info&amp;n=0&amp;q=</v>
      </c>
      <c r="Q665">
        <v>788999</v>
      </c>
      <c r="R665" t="s">
        <v>492</v>
      </c>
      <c r="S665" t="s">
        <v>3165</v>
      </c>
      <c r="T665" t="s">
        <v>1178</v>
      </c>
      <c r="U665" t="s">
        <v>1192</v>
      </c>
      <c r="V665" t="s">
        <v>599</v>
      </c>
      <c r="W665" t="s">
        <v>3166</v>
      </c>
      <c r="X665" t="s">
        <v>3167</v>
      </c>
      <c r="Y665" t="s">
        <v>599</v>
      </c>
      <c r="Z665" t="s">
        <v>1182</v>
      </c>
      <c r="AA665" t="s">
        <v>3168</v>
      </c>
      <c r="AB665">
        <v>1916</v>
      </c>
      <c r="AC665">
        <v>1916</v>
      </c>
      <c r="AD665" t="s">
        <v>3169</v>
      </c>
      <c r="AE665" t="s">
        <v>1185</v>
      </c>
      <c r="AF665" t="s">
        <v>599</v>
      </c>
      <c r="AG665" t="s">
        <v>599</v>
      </c>
      <c r="AH665" t="s">
        <v>3170</v>
      </c>
      <c r="AI665" t="s">
        <v>599</v>
      </c>
      <c r="AJ665" t="s">
        <v>599</v>
      </c>
      <c r="AK665" t="s">
        <v>3171</v>
      </c>
      <c r="AL665" t="s">
        <v>1188</v>
      </c>
      <c r="AM665" t="s">
        <v>3172</v>
      </c>
      <c r="AN665" t="s">
        <v>1190</v>
      </c>
      <c r="AO665" t="s">
        <v>599</v>
      </c>
      <c r="AP665" t="s">
        <v>599</v>
      </c>
      <c r="AQ665" t="s">
        <v>599</v>
      </c>
      <c r="AR665" t="s">
        <v>599</v>
      </c>
      <c r="AS665" t="s">
        <v>1193</v>
      </c>
      <c r="AT665" t="s">
        <v>599</v>
      </c>
      <c r="AU665" t="s">
        <v>599</v>
      </c>
    </row>
    <row r="666" spans="1:47" ht="150" x14ac:dyDescent="0.25">
      <c r="A666" s="2">
        <v>11714</v>
      </c>
      <c r="B666" s="10">
        <v>788999</v>
      </c>
      <c r="C666" s="10">
        <v>1</v>
      </c>
      <c r="D666" s="9">
        <v>95</v>
      </c>
      <c r="E666" s="11" t="s">
        <v>492</v>
      </c>
      <c r="F666" s="11" t="str">
        <f t="shared" si="30"/>
        <v>https://purl.pt/43959</v>
      </c>
      <c r="G666" s="12" t="s">
        <v>493</v>
      </c>
      <c r="H666" s="9" t="s">
        <v>494</v>
      </c>
      <c r="I666" s="34"/>
      <c r="J666" s="55" t="str">
        <f t="shared" si="31"/>
        <v>https://permalinkbnd.bnportugal.gov.pt/viewer/272640/?offset=#page=95&amp;viewer=picture&amp;o=info&amp;n=0&amp;q=</v>
      </c>
      <c r="K666" s="45"/>
      <c r="L666" s="45"/>
      <c r="M666" s="45"/>
      <c r="N666" t="s">
        <v>492</v>
      </c>
      <c r="O666">
        <v>272640</v>
      </c>
      <c r="P666" t="str">
        <f t="shared" si="32"/>
        <v>https://permalinkbnd.bnportugal.gov.pt/viewer/272640/?offset=#page=95&amp;viewer=picture&amp;o=info&amp;n=0&amp;q=</v>
      </c>
      <c r="Q666">
        <v>788999</v>
      </c>
      <c r="R666" t="s">
        <v>492</v>
      </c>
      <c r="S666" t="s">
        <v>3165</v>
      </c>
      <c r="T666" t="s">
        <v>1178</v>
      </c>
      <c r="U666" t="s">
        <v>1192</v>
      </c>
      <c r="V666" t="s">
        <v>599</v>
      </c>
      <c r="W666" t="s">
        <v>3166</v>
      </c>
      <c r="X666" t="s">
        <v>3167</v>
      </c>
      <c r="Y666" t="s">
        <v>599</v>
      </c>
      <c r="Z666" t="s">
        <v>1182</v>
      </c>
      <c r="AA666" t="s">
        <v>3168</v>
      </c>
      <c r="AB666">
        <v>1916</v>
      </c>
      <c r="AC666">
        <v>1916</v>
      </c>
      <c r="AD666" t="s">
        <v>3169</v>
      </c>
      <c r="AE666" t="s">
        <v>1185</v>
      </c>
      <c r="AF666" t="s">
        <v>599</v>
      </c>
      <c r="AG666" t="s">
        <v>599</v>
      </c>
      <c r="AH666" t="s">
        <v>3170</v>
      </c>
      <c r="AI666" t="s">
        <v>599</v>
      </c>
      <c r="AJ666" t="s">
        <v>599</v>
      </c>
      <c r="AK666" t="s">
        <v>3171</v>
      </c>
      <c r="AL666" t="s">
        <v>1188</v>
      </c>
      <c r="AM666" t="s">
        <v>3172</v>
      </c>
      <c r="AN666" t="s">
        <v>1190</v>
      </c>
      <c r="AO666" t="s">
        <v>599</v>
      </c>
      <c r="AP666" t="s">
        <v>599</v>
      </c>
      <c r="AQ666" t="s">
        <v>599</v>
      </c>
      <c r="AR666" t="s">
        <v>599</v>
      </c>
      <c r="AS666" t="s">
        <v>1193</v>
      </c>
      <c r="AT666" t="s">
        <v>599</v>
      </c>
      <c r="AU666" t="s">
        <v>599</v>
      </c>
    </row>
    <row r="667" spans="1:47" ht="150" x14ac:dyDescent="0.25">
      <c r="A667" s="2">
        <v>11715</v>
      </c>
      <c r="B667" s="10">
        <v>788999</v>
      </c>
      <c r="C667" s="10">
        <v>1</v>
      </c>
      <c r="D667" s="9">
        <v>127</v>
      </c>
      <c r="E667" s="11" t="s">
        <v>492</v>
      </c>
      <c r="F667" s="11" t="str">
        <f t="shared" si="30"/>
        <v>https://purl.pt/43959</v>
      </c>
      <c r="G667" s="12" t="s">
        <v>493</v>
      </c>
      <c r="H667" s="9" t="s">
        <v>494</v>
      </c>
      <c r="I667" s="34"/>
      <c r="J667" s="55" t="str">
        <f t="shared" si="31"/>
        <v>https://permalinkbnd.bnportugal.gov.pt/viewer/272640/?offset=#page=127&amp;viewer=picture&amp;o=info&amp;n=0&amp;q=</v>
      </c>
      <c r="K667" s="45"/>
      <c r="L667" s="45"/>
      <c r="M667" s="45"/>
      <c r="N667" t="s">
        <v>492</v>
      </c>
      <c r="O667">
        <v>272640</v>
      </c>
      <c r="P667" t="str">
        <f t="shared" si="32"/>
        <v>https://permalinkbnd.bnportugal.gov.pt/viewer/272640/?offset=#page=127&amp;viewer=picture&amp;o=info&amp;n=0&amp;q=</v>
      </c>
      <c r="Q667">
        <v>788999</v>
      </c>
      <c r="R667" t="s">
        <v>492</v>
      </c>
      <c r="S667" t="s">
        <v>3165</v>
      </c>
      <c r="T667" t="s">
        <v>1178</v>
      </c>
      <c r="U667" t="s">
        <v>1192</v>
      </c>
      <c r="V667" t="s">
        <v>599</v>
      </c>
      <c r="W667" t="s">
        <v>3166</v>
      </c>
      <c r="X667" t="s">
        <v>3167</v>
      </c>
      <c r="Y667" t="s">
        <v>599</v>
      </c>
      <c r="Z667" t="s">
        <v>1182</v>
      </c>
      <c r="AA667" t="s">
        <v>3168</v>
      </c>
      <c r="AB667">
        <v>1916</v>
      </c>
      <c r="AC667">
        <v>1916</v>
      </c>
      <c r="AD667" t="s">
        <v>3169</v>
      </c>
      <c r="AE667" t="s">
        <v>1185</v>
      </c>
      <c r="AF667" t="s">
        <v>599</v>
      </c>
      <c r="AG667" t="s">
        <v>599</v>
      </c>
      <c r="AH667" t="s">
        <v>3170</v>
      </c>
      <c r="AI667" t="s">
        <v>599</v>
      </c>
      <c r="AJ667" t="s">
        <v>599</v>
      </c>
      <c r="AK667" t="s">
        <v>3171</v>
      </c>
      <c r="AL667" t="s">
        <v>1188</v>
      </c>
      <c r="AM667" t="s">
        <v>3172</v>
      </c>
      <c r="AN667" t="s">
        <v>1190</v>
      </c>
      <c r="AO667" t="s">
        <v>599</v>
      </c>
      <c r="AP667" t="s">
        <v>599</v>
      </c>
      <c r="AQ667" t="s">
        <v>599</v>
      </c>
      <c r="AR667" t="s">
        <v>599</v>
      </c>
      <c r="AS667" t="s">
        <v>1193</v>
      </c>
      <c r="AT667" t="s">
        <v>599</v>
      </c>
      <c r="AU667" t="s">
        <v>599</v>
      </c>
    </row>
    <row r="668" spans="1:47" ht="150" x14ac:dyDescent="0.25">
      <c r="A668" s="2">
        <v>11716</v>
      </c>
      <c r="B668" s="10">
        <v>788999</v>
      </c>
      <c r="C668" s="10">
        <v>1</v>
      </c>
      <c r="D668" s="9">
        <v>135</v>
      </c>
      <c r="E668" s="11" t="s">
        <v>492</v>
      </c>
      <c r="F668" s="11" t="str">
        <f t="shared" si="30"/>
        <v>https://purl.pt/43959</v>
      </c>
      <c r="G668" s="12" t="s">
        <v>493</v>
      </c>
      <c r="H668" s="9" t="s">
        <v>494</v>
      </c>
      <c r="I668" s="34"/>
      <c r="J668" s="55" t="str">
        <f t="shared" si="31"/>
        <v>https://permalinkbnd.bnportugal.gov.pt/viewer/272640/?offset=#page=135&amp;viewer=picture&amp;o=info&amp;n=0&amp;q=</v>
      </c>
      <c r="K668" s="45"/>
      <c r="L668" s="45"/>
      <c r="M668" s="45"/>
      <c r="N668" t="s">
        <v>492</v>
      </c>
      <c r="O668">
        <v>272640</v>
      </c>
      <c r="P668" t="str">
        <f t="shared" si="32"/>
        <v>https://permalinkbnd.bnportugal.gov.pt/viewer/272640/?offset=#page=135&amp;viewer=picture&amp;o=info&amp;n=0&amp;q=</v>
      </c>
      <c r="Q668">
        <v>788999</v>
      </c>
      <c r="R668" t="s">
        <v>492</v>
      </c>
      <c r="S668" t="s">
        <v>3165</v>
      </c>
      <c r="T668" t="s">
        <v>1178</v>
      </c>
      <c r="U668" t="s">
        <v>1192</v>
      </c>
      <c r="V668" t="s">
        <v>599</v>
      </c>
      <c r="W668" t="s">
        <v>3166</v>
      </c>
      <c r="X668" t="s">
        <v>3167</v>
      </c>
      <c r="Y668" t="s">
        <v>599</v>
      </c>
      <c r="Z668" t="s">
        <v>1182</v>
      </c>
      <c r="AA668" t="s">
        <v>3168</v>
      </c>
      <c r="AB668">
        <v>1916</v>
      </c>
      <c r="AC668">
        <v>1916</v>
      </c>
      <c r="AD668" t="s">
        <v>3169</v>
      </c>
      <c r="AE668" t="s">
        <v>1185</v>
      </c>
      <c r="AF668" t="s">
        <v>599</v>
      </c>
      <c r="AG668" t="s">
        <v>599</v>
      </c>
      <c r="AH668" t="s">
        <v>3170</v>
      </c>
      <c r="AI668" t="s">
        <v>599</v>
      </c>
      <c r="AJ668" t="s">
        <v>599</v>
      </c>
      <c r="AK668" t="s">
        <v>3171</v>
      </c>
      <c r="AL668" t="s">
        <v>1188</v>
      </c>
      <c r="AM668" t="s">
        <v>3172</v>
      </c>
      <c r="AN668" t="s">
        <v>1190</v>
      </c>
      <c r="AO668" t="s">
        <v>599</v>
      </c>
      <c r="AP668" t="s">
        <v>599</v>
      </c>
      <c r="AQ668" t="s">
        <v>599</v>
      </c>
      <c r="AR668" t="s">
        <v>599</v>
      </c>
      <c r="AS668" t="s">
        <v>1193</v>
      </c>
      <c r="AT668" t="s">
        <v>599</v>
      </c>
      <c r="AU668" t="s">
        <v>599</v>
      </c>
    </row>
    <row r="669" spans="1:47" ht="150" x14ac:dyDescent="0.25">
      <c r="A669" s="2">
        <v>11717</v>
      </c>
      <c r="B669" s="10">
        <v>788999</v>
      </c>
      <c r="C669" s="10">
        <v>1</v>
      </c>
      <c r="D669" s="9">
        <v>161</v>
      </c>
      <c r="E669" s="11" t="s">
        <v>492</v>
      </c>
      <c r="F669" s="11" t="str">
        <f t="shared" si="30"/>
        <v>https://purl.pt/43959</v>
      </c>
      <c r="G669" s="12" t="s">
        <v>493</v>
      </c>
      <c r="H669" s="9" t="s">
        <v>494</v>
      </c>
      <c r="I669" s="34"/>
      <c r="J669" s="55" t="str">
        <f t="shared" si="31"/>
        <v>https://permalinkbnd.bnportugal.gov.pt/viewer/272640/?offset=#page=161&amp;viewer=picture&amp;o=info&amp;n=0&amp;q=</v>
      </c>
      <c r="K669" s="45"/>
      <c r="L669" s="45"/>
      <c r="M669" s="45"/>
      <c r="N669" t="s">
        <v>492</v>
      </c>
      <c r="O669">
        <v>272640</v>
      </c>
      <c r="P669" t="str">
        <f t="shared" si="32"/>
        <v>https://permalinkbnd.bnportugal.gov.pt/viewer/272640/?offset=#page=161&amp;viewer=picture&amp;o=info&amp;n=0&amp;q=</v>
      </c>
      <c r="Q669">
        <v>788999</v>
      </c>
      <c r="R669" t="s">
        <v>492</v>
      </c>
      <c r="S669" t="s">
        <v>3165</v>
      </c>
      <c r="T669" t="s">
        <v>1178</v>
      </c>
      <c r="U669" t="s">
        <v>1192</v>
      </c>
      <c r="V669" t="s">
        <v>599</v>
      </c>
      <c r="W669" t="s">
        <v>3166</v>
      </c>
      <c r="X669" t="s">
        <v>3167</v>
      </c>
      <c r="Y669" t="s">
        <v>599</v>
      </c>
      <c r="Z669" t="s">
        <v>1182</v>
      </c>
      <c r="AA669" t="s">
        <v>3168</v>
      </c>
      <c r="AB669">
        <v>1916</v>
      </c>
      <c r="AC669">
        <v>1916</v>
      </c>
      <c r="AD669" t="s">
        <v>3169</v>
      </c>
      <c r="AE669" t="s">
        <v>1185</v>
      </c>
      <c r="AF669" t="s">
        <v>599</v>
      </c>
      <c r="AG669" t="s">
        <v>599</v>
      </c>
      <c r="AH669" t="s">
        <v>3170</v>
      </c>
      <c r="AI669" t="s">
        <v>599</v>
      </c>
      <c r="AJ669" t="s">
        <v>599</v>
      </c>
      <c r="AK669" t="s">
        <v>3171</v>
      </c>
      <c r="AL669" t="s">
        <v>1188</v>
      </c>
      <c r="AM669" t="s">
        <v>3172</v>
      </c>
      <c r="AN669" t="s">
        <v>1190</v>
      </c>
      <c r="AO669" t="s">
        <v>599</v>
      </c>
      <c r="AP669" t="s">
        <v>599</v>
      </c>
      <c r="AQ669" t="s">
        <v>599</v>
      </c>
      <c r="AR669" t="s">
        <v>599</v>
      </c>
      <c r="AS669" t="s">
        <v>1193</v>
      </c>
      <c r="AT669" t="s">
        <v>599</v>
      </c>
      <c r="AU669" t="s">
        <v>599</v>
      </c>
    </row>
    <row r="670" spans="1:47" ht="150" x14ac:dyDescent="0.25">
      <c r="A670" s="2">
        <v>11718</v>
      </c>
      <c r="B670" s="10">
        <v>788999</v>
      </c>
      <c r="C670" s="10">
        <v>1</v>
      </c>
      <c r="D670" s="9">
        <v>167</v>
      </c>
      <c r="E670" s="11" t="s">
        <v>492</v>
      </c>
      <c r="F670" s="11" t="str">
        <f t="shared" si="30"/>
        <v>https://purl.pt/43959</v>
      </c>
      <c r="G670" s="12" t="s">
        <v>493</v>
      </c>
      <c r="H670" s="9" t="s">
        <v>494</v>
      </c>
      <c r="I670" s="34"/>
      <c r="J670" s="55" t="str">
        <f t="shared" si="31"/>
        <v>https://permalinkbnd.bnportugal.gov.pt/viewer/272640/?offset=#page=167&amp;viewer=picture&amp;o=info&amp;n=0&amp;q=</v>
      </c>
      <c r="K670" s="45"/>
      <c r="L670" s="45"/>
      <c r="M670" s="45"/>
      <c r="N670" t="s">
        <v>492</v>
      </c>
      <c r="O670">
        <v>272640</v>
      </c>
      <c r="P670" t="str">
        <f t="shared" si="32"/>
        <v>https://permalinkbnd.bnportugal.gov.pt/viewer/272640/?offset=#page=167&amp;viewer=picture&amp;o=info&amp;n=0&amp;q=</v>
      </c>
      <c r="Q670">
        <v>788999</v>
      </c>
      <c r="R670" t="s">
        <v>492</v>
      </c>
      <c r="S670" t="s">
        <v>3165</v>
      </c>
      <c r="T670" t="s">
        <v>1178</v>
      </c>
      <c r="U670" t="s">
        <v>1192</v>
      </c>
      <c r="V670" t="s">
        <v>599</v>
      </c>
      <c r="W670" t="s">
        <v>3166</v>
      </c>
      <c r="X670" t="s">
        <v>3167</v>
      </c>
      <c r="Y670" t="s">
        <v>599</v>
      </c>
      <c r="Z670" t="s">
        <v>1182</v>
      </c>
      <c r="AA670" t="s">
        <v>3168</v>
      </c>
      <c r="AB670">
        <v>1916</v>
      </c>
      <c r="AC670">
        <v>1916</v>
      </c>
      <c r="AD670" t="s">
        <v>3169</v>
      </c>
      <c r="AE670" t="s">
        <v>1185</v>
      </c>
      <c r="AF670" t="s">
        <v>599</v>
      </c>
      <c r="AG670" t="s">
        <v>599</v>
      </c>
      <c r="AH670" t="s">
        <v>3170</v>
      </c>
      <c r="AI670" t="s">
        <v>599</v>
      </c>
      <c r="AJ670" t="s">
        <v>599</v>
      </c>
      <c r="AK670" t="s">
        <v>3171</v>
      </c>
      <c r="AL670" t="s">
        <v>1188</v>
      </c>
      <c r="AM670" t="s">
        <v>3172</v>
      </c>
      <c r="AN670" t="s">
        <v>1190</v>
      </c>
      <c r="AO670" t="s">
        <v>599</v>
      </c>
      <c r="AP670" t="s">
        <v>599</v>
      </c>
      <c r="AQ670" t="s">
        <v>599</v>
      </c>
      <c r="AR670" t="s">
        <v>599</v>
      </c>
      <c r="AS670" t="s">
        <v>1193</v>
      </c>
      <c r="AT670" t="s">
        <v>599</v>
      </c>
      <c r="AU670" t="s">
        <v>599</v>
      </c>
    </row>
    <row r="671" spans="1:47" ht="150" x14ac:dyDescent="0.25">
      <c r="A671" s="2">
        <v>11719</v>
      </c>
      <c r="B671" s="10">
        <v>788999</v>
      </c>
      <c r="C671" s="10">
        <v>1</v>
      </c>
      <c r="D671" s="9">
        <v>181</v>
      </c>
      <c r="E671" s="11" t="s">
        <v>492</v>
      </c>
      <c r="F671" s="11" t="str">
        <f t="shared" si="30"/>
        <v>https://purl.pt/43959</v>
      </c>
      <c r="G671" s="12" t="s">
        <v>493</v>
      </c>
      <c r="H671" s="9" t="s">
        <v>494</v>
      </c>
      <c r="I671" s="34"/>
      <c r="J671" s="55" t="str">
        <f t="shared" si="31"/>
        <v>https://permalinkbnd.bnportugal.gov.pt/viewer/272640/?offset=#page=181&amp;viewer=picture&amp;o=info&amp;n=0&amp;q=</v>
      </c>
      <c r="K671" s="45"/>
      <c r="L671" s="45"/>
      <c r="M671" s="45"/>
      <c r="N671" t="s">
        <v>492</v>
      </c>
      <c r="O671">
        <v>272640</v>
      </c>
      <c r="P671" t="str">
        <f t="shared" si="32"/>
        <v>https://permalinkbnd.bnportugal.gov.pt/viewer/272640/?offset=#page=181&amp;viewer=picture&amp;o=info&amp;n=0&amp;q=</v>
      </c>
      <c r="Q671">
        <v>788999</v>
      </c>
      <c r="R671" t="s">
        <v>492</v>
      </c>
      <c r="S671" t="s">
        <v>3165</v>
      </c>
      <c r="T671" t="s">
        <v>1178</v>
      </c>
      <c r="U671" t="s">
        <v>1192</v>
      </c>
      <c r="V671" t="s">
        <v>599</v>
      </c>
      <c r="W671" t="s">
        <v>3166</v>
      </c>
      <c r="X671" t="s">
        <v>3167</v>
      </c>
      <c r="Y671" t="s">
        <v>599</v>
      </c>
      <c r="Z671" t="s">
        <v>1182</v>
      </c>
      <c r="AA671" t="s">
        <v>3168</v>
      </c>
      <c r="AB671">
        <v>1916</v>
      </c>
      <c r="AC671">
        <v>1916</v>
      </c>
      <c r="AD671" t="s">
        <v>3169</v>
      </c>
      <c r="AE671" t="s">
        <v>1185</v>
      </c>
      <c r="AF671" t="s">
        <v>599</v>
      </c>
      <c r="AG671" t="s">
        <v>599</v>
      </c>
      <c r="AH671" t="s">
        <v>3170</v>
      </c>
      <c r="AI671" t="s">
        <v>599</v>
      </c>
      <c r="AJ671" t="s">
        <v>599</v>
      </c>
      <c r="AK671" t="s">
        <v>3171</v>
      </c>
      <c r="AL671" t="s">
        <v>1188</v>
      </c>
      <c r="AM671" t="s">
        <v>3172</v>
      </c>
      <c r="AN671" t="s">
        <v>1190</v>
      </c>
      <c r="AO671" t="s">
        <v>599</v>
      </c>
      <c r="AP671" t="s">
        <v>599</v>
      </c>
      <c r="AQ671" t="s">
        <v>599</v>
      </c>
      <c r="AR671" t="s">
        <v>599</v>
      </c>
      <c r="AS671" t="s">
        <v>1193</v>
      </c>
      <c r="AT671" t="s">
        <v>599</v>
      </c>
      <c r="AU671" t="s">
        <v>599</v>
      </c>
    </row>
    <row r="672" spans="1:47" ht="150" x14ac:dyDescent="0.25">
      <c r="A672" s="2">
        <v>11720</v>
      </c>
      <c r="B672" s="10">
        <v>788999</v>
      </c>
      <c r="C672" s="10">
        <v>1</v>
      </c>
      <c r="D672" s="9">
        <v>197</v>
      </c>
      <c r="E672" s="11" t="s">
        <v>492</v>
      </c>
      <c r="F672" s="11" t="str">
        <f t="shared" si="30"/>
        <v>https://purl.pt/43959</v>
      </c>
      <c r="G672" s="12" t="s">
        <v>493</v>
      </c>
      <c r="H672" s="9" t="s">
        <v>494</v>
      </c>
      <c r="I672" s="34"/>
      <c r="J672" s="55" t="str">
        <f t="shared" si="31"/>
        <v>https://permalinkbnd.bnportugal.gov.pt/viewer/272640/?offset=#page=197&amp;viewer=picture&amp;o=info&amp;n=0&amp;q=</v>
      </c>
      <c r="K672" s="45"/>
      <c r="L672" s="45"/>
      <c r="M672" s="45"/>
      <c r="N672" t="s">
        <v>492</v>
      </c>
      <c r="O672">
        <v>272640</v>
      </c>
      <c r="P672" t="str">
        <f t="shared" si="32"/>
        <v>https://permalinkbnd.bnportugal.gov.pt/viewer/272640/?offset=#page=197&amp;viewer=picture&amp;o=info&amp;n=0&amp;q=</v>
      </c>
      <c r="Q672">
        <v>788999</v>
      </c>
      <c r="R672" t="s">
        <v>492</v>
      </c>
      <c r="S672" t="s">
        <v>3165</v>
      </c>
      <c r="T672" t="s">
        <v>1178</v>
      </c>
      <c r="U672" t="s">
        <v>1192</v>
      </c>
      <c r="V672" t="s">
        <v>599</v>
      </c>
      <c r="W672" t="s">
        <v>3166</v>
      </c>
      <c r="X672" t="s">
        <v>3167</v>
      </c>
      <c r="Y672" t="s">
        <v>599</v>
      </c>
      <c r="Z672" t="s">
        <v>1182</v>
      </c>
      <c r="AA672" t="s">
        <v>3168</v>
      </c>
      <c r="AB672">
        <v>1916</v>
      </c>
      <c r="AC672">
        <v>1916</v>
      </c>
      <c r="AD672" t="s">
        <v>3169</v>
      </c>
      <c r="AE672" t="s">
        <v>1185</v>
      </c>
      <c r="AF672" t="s">
        <v>599</v>
      </c>
      <c r="AG672" t="s">
        <v>599</v>
      </c>
      <c r="AH672" t="s">
        <v>3170</v>
      </c>
      <c r="AI672" t="s">
        <v>599</v>
      </c>
      <c r="AJ672" t="s">
        <v>599</v>
      </c>
      <c r="AK672" t="s">
        <v>3171</v>
      </c>
      <c r="AL672" t="s">
        <v>1188</v>
      </c>
      <c r="AM672" t="s">
        <v>3172</v>
      </c>
      <c r="AN672" t="s">
        <v>1190</v>
      </c>
      <c r="AO672" t="s">
        <v>599</v>
      </c>
      <c r="AP672" t="s">
        <v>599</v>
      </c>
      <c r="AQ672" t="s">
        <v>599</v>
      </c>
      <c r="AR672" t="s">
        <v>599</v>
      </c>
      <c r="AS672" t="s">
        <v>1193</v>
      </c>
      <c r="AT672" t="s">
        <v>599</v>
      </c>
      <c r="AU672" t="s">
        <v>599</v>
      </c>
    </row>
    <row r="673" spans="1:47" ht="150" x14ac:dyDescent="0.25">
      <c r="A673" s="2">
        <v>11721</v>
      </c>
      <c r="B673" s="10">
        <v>788999</v>
      </c>
      <c r="C673" s="10">
        <v>1</v>
      </c>
      <c r="D673" s="9">
        <v>207</v>
      </c>
      <c r="E673" s="11" t="s">
        <v>492</v>
      </c>
      <c r="F673" s="11" t="str">
        <f t="shared" si="30"/>
        <v>https://purl.pt/43959</v>
      </c>
      <c r="G673" s="12" t="s">
        <v>493</v>
      </c>
      <c r="H673" s="9" t="s">
        <v>494</v>
      </c>
      <c r="I673" s="34"/>
      <c r="J673" s="55" t="str">
        <f t="shared" si="31"/>
        <v>https://permalinkbnd.bnportugal.gov.pt/viewer/272640/?offset=#page=207&amp;viewer=picture&amp;o=info&amp;n=0&amp;q=</v>
      </c>
      <c r="K673" s="45"/>
      <c r="L673" s="45"/>
      <c r="M673" s="45"/>
      <c r="N673" t="s">
        <v>492</v>
      </c>
      <c r="O673">
        <v>272640</v>
      </c>
      <c r="P673" t="str">
        <f t="shared" si="32"/>
        <v>https://permalinkbnd.bnportugal.gov.pt/viewer/272640/?offset=#page=207&amp;viewer=picture&amp;o=info&amp;n=0&amp;q=</v>
      </c>
      <c r="Q673">
        <v>788999</v>
      </c>
      <c r="R673" t="s">
        <v>492</v>
      </c>
      <c r="S673" t="s">
        <v>3165</v>
      </c>
      <c r="T673" t="s">
        <v>1178</v>
      </c>
      <c r="U673" t="s">
        <v>1192</v>
      </c>
      <c r="V673" t="s">
        <v>599</v>
      </c>
      <c r="W673" t="s">
        <v>3166</v>
      </c>
      <c r="X673" t="s">
        <v>3167</v>
      </c>
      <c r="Y673" t="s">
        <v>599</v>
      </c>
      <c r="Z673" t="s">
        <v>1182</v>
      </c>
      <c r="AA673" t="s">
        <v>3168</v>
      </c>
      <c r="AB673">
        <v>1916</v>
      </c>
      <c r="AC673">
        <v>1916</v>
      </c>
      <c r="AD673" t="s">
        <v>3169</v>
      </c>
      <c r="AE673" t="s">
        <v>1185</v>
      </c>
      <c r="AF673" t="s">
        <v>599</v>
      </c>
      <c r="AG673" t="s">
        <v>599</v>
      </c>
      <c r="AH673" t="s">
        <v>3170</v>
      </c>
      <c r="AI673" t="s">
        <v>599</v>
      </c>
      <c r="AJ673" t="s">
        <v>599</v>
      </c>
      <c r="AK673" t="s">
        <v>3171</v>
      </c>
      <c r="AL673" t="s">
        <v>1188</v>
      </c>
      <c r="AM673" t="s">
        <v>3172</v>
      </c>
      <c r="AN673" t="s">
        <v>1190</v>
      </c>
      <c r="AO673" t="s">
        <v>599</v>
      </c>
      <c r="AP673" t="s">
        <v>599</v>
      </c>
      <c r="AQ673" t="s">
        <v>599</v>
      </c>
      <c r="AR673" t="s">
        <v>599</v>
      </c>
      <c r="AS673" t="s">
        <v>1193</v>
      </c>
      <c r="AT673" t="s">
        <v>599</v>
      </c>
      <c r="AU673" t="s">
        <v>599</v>
      </c>
    </row>
    <row r="674" spans="1:47" ht="150" x14ac:dyDescent="0.25">
      <c r="A674" s="2">
        <v>11722</v>
      </c>
      <c r="B674" s="10">
        <v>788999</v>
      </c>
      <c r="C674" s="10">
        <v>1</v>
      </c>
      <c r="D674" s="9">
        <v>227</v>
      </c>
      <c r="E674" s="11" t="s">
        <v>492</v>
      </c>
      <c r="F674" s="11" t="str">
        <f t="shared" si="30"/>
        <v>https://purl.pt/43959</v>
      </c>
      <c r="G674" s="12" t="s">
        <v>493</v>
      </c>
      <c r="H674" s="9" t="s">
        <v>494</v>
      </c>
      <c r="I674" s="34"/>
      <c r="J674" s="55" t="str">
        <f t="shared" si="31"/>
        <v>https://permalinkbnd.bnportugal.gov.pt/viewer/272640/?offset=#page=227&amp;viewer=picture&amp;o=info&amp;n=0&amp;q=</v>
      </c>
      <c r="K674" s="45"/>
      <c r="L674" s="45"/>
      <c r="M674" s="45"/>
      <c r="N674" t="s">
        <v>492</v>
      </c>
      <c r="O674">
        <v>272640</v>
      </c>
      <c r="P674" t="str">
        <f t="shared" si="32"/>
        <v>https://permalinkbnd.bnportugal.gov.pt/viewer/272640/?offset=#page=227&amp;viewer=picture&amp;o=info&amp;n=0&amp;q=</v>
      </c>
      <c r="Q674">
        <v>788999</v>
      </c>
      <c r="R674" t="s">
        <v>492</v>
      </c>
      <c r="S674" t="s">
        <v>3165</v>
      </c>
      <c r="T674" t="s">
        <v>1178</v>
      </c>
      <c r="U674" t="s">
        <v>1192</v>
      </c>
      <c r="V674" t="s">
        <v>599</v>
      </c>
      <c r="W674" t="s">
        <v>3166</v>
      </c>
      <c r="X674" t="s">
        <v>3167</v>
      </c>
      <c r="Y674" t="s">
        <v>599</v>
      </c>
      <c r="Z674" t="s">
        <v>1182</v>
      </c>
      <c r="AA674" t="s">
        <v>3168</v>
      </c>
      <c r="AB674">
        <v>1916</v>
      </c>
      <c r="AC674">
        <v>1916</v>
      </c>
      <c r="AD674" t="s">
        <v>3169</v>
      </c>
      <c r="AE674" t="s">
        <v>1185</v>
      </c>
      <c r="AF674" t="s">
        <v>599</v>
      </c>
      <c r="AG674" t="s">
        <v>599</v>
      </c>
      <c r="AH674" t="s">
        <v>3170</v>
      </c>
      <c r="AI674" t="s">
        <v>599</v>
      </c>
      <c r="AJ674" t="s">
        <v>599</v>
      </c>
      <c r="AK674" t="s">
        <v>3171</v>
      </c>
      <c r="AL674" t="s">
        <v>1188</v>
      </c>
      <c r="AM674" t="s">
        <v>3172</v>
      </c>
      <c r="AN674" t="s">
        <v>1190</v>
      </c>
      <c r="AO674" t="s">
        <v>599</v>
      </c>
      <c r="AP674" t="s">
        <v>599</v>
      </c>
      <c r="AQ674" t="s">
        <v>599</v>
      </c>
      <c r="AR674" t="s">
        <v>599</v>
      </c>
      <c r="AS674" t="s">
        <v>1193</v>
      </c>
      <c r="AT674" t="s">
        <v>599</v>
      </c>
      <c r="AU674" t="s">
        <v>599</v>
      </c>
    </row>
    <row r="675" spans="1:47" ht="150" x14ac:dyDescent="0.25">
      <c r="A675" s="2">
        <v>11723</v>
      </c>
      <c r="B675" s="10">
        <v>788999</v>
      </c>
      <c r="C675" s="10">
        <v>1</v>
      </c>
      <c r="D675" s="9">
        <v>241</v>
      </c>
      <c r="E675" s="11" t="s">
        <v>492</v>
      </c>
      <c r="F675" s="11" t="str">
        <f t="shared" si="30"/>
        <v>https://purl.pt/43959</v>
      </c>
      <c r="G675" s="12" t="s">
        <v>493</v>
      </c>
      <c r="H675" s="9" t="s">
        <v>494</v>
      </c>
      <c r="I675" s="34"/>
      <c r="J675" s="55" t="str">
        <f t="shared" si="31"/>
        <v>https://permalinkbnd.bnportugal.gov.pt/viewer/272640/?offset=#page=241&amp;viewer=picture&amp;o=info&amp;n=0&amp;q=</v>
      </c>
      <c r="K675" s="45"/>
      <c r="L675" s="45"/>
      <c r="M675" s="45"/>
      <c r="N675" t="s">
        <v>492</v>
      </c>
      <c r="O675">
        <v>272640</v>
      </c>
      <c r="P675" t="str">
        <f t="shared" si="32"/>
        <v>https://permalinkbnd.bnportugal.gov.pt/viewer/272640/?offset=#page=241&amp;viewer=picture&amp;o=info&amp;n=0&amp;q=</v>
      </c>
      <c r="Q675">
        <v>788999</v>
      </c>
      <c r="R675" t="s">
        <v>492</v>
      </c>
      <c r="S675" t="s">
        <v>3165</v>
      </c>
      <c r="T675" t="s">
        <v>1178</v>
      </c>
      <c r="U675" t="s">
        <v>1192</v>
      </c>
      <c r="V675" t="s">
        <v>599</v>
      </c>
      <c r="W675" t="s">
        <v>3166</v>
      </c>
      <c r="X675" t="s">
        <v>3167</v>
      </c>
      <c r="Y675" t="s">
        <v>599</v>
      </c>
      <c r="Z675" t="s">
        <v>1182</v>
      </c>
      <c r="AA675" t="s">
        <v>3168</v>
      </c>
      <c r="AB675">
        <v>1916</v>
      </c>
      <c r="AC675">
        <v>1916</v>
      </c>
      <c r="AD675" t="s">
        <v>3169</v>
      </c>
      <c r="AE675" t="s">
        <v>1185</v>
      </c>
      <c r="AF675" t="s">
        <v>599</v>
      </c>
      <c r="AG675" t="s">
        <v>599</v>
      </c>
      <c r="AH675" t="s">
        <v>3170</v>
      </c>
      <c r="AI675" t="s">
        <v>599</v>
      </c>
      <c r="AJ675" t="s">
        <v>599</v>
      </c>
      <c r="AK675" t="s">
        <v>3171</v>
      </c>
      <c r="AL675" t="s">
        <v>1188</v>
      </c>
      <c r="AM675" t="s">
        <v>3172</v>
      </c>
      <c r="AN675" t="s">
        <v>1190</v>
      </c>
      <c r="AO675" t="s">
        <v>599</v>
      </c>
      <c r="AP675" t="s">
        <v>599</v>
      </c>
      <c r="AQ675" t="s">
        <v>599</v>
      </c>
      <c r="AR675" t="s">
        <v>599</v>
      </c>
      <c r="AS675" t="s">
        <v>1193</v>
      </c>
      <c r="AT675" t="s">
        <v>599</v>
      </c>
      <c r="AU675" t="s">
        <v>599</v>
      </c>
    </row>
    <row r="676" spans="1:47" ht="150" x14ac:dyDescent="0.25">
      <c r="A676" s="2">
        <v>11724</v>
      </c>
      <c r="B676" s="10">
        <v>788999</v>
      </c>
      <c r="C676" s="10">
        <v>1</v>
      </c>
      <c r="D676" s="9">
        <v>253</v>
      </c>
      <c r="E676" s="11" t="s">
        <v>492</v>
      </c>
      <c r="F676" s="11" t="str">
        <f t="shared" si="30"/>
        <v>https://purl.pt/43959</v>
      </c>
      <c r="G676" s="12" t="s">
        <v>493</v>
      </c>
      <c r="H676" s="9" t="s">
        <v>494</v>
      </c>
      <c r="I676" s="34"/>
      <c r="J676" s="55" t="str">
        <f t="shared" si="31"/>
        <v>https://permalinkbnd.bnportugal.gov.pt/viewer/272640/?offset=#page=253&amp;viewer=picture&amp;o=info&amp;n=0&amp;q=</v>
      </c>
      <c r="K676" s="45"/>
      <c r="L676" s="45"/>
      <c r="M676" s="45"/>
      <c r="N676" t="s">
        <v>492</v>
      </c>
      <c r="O676">
        <v>272640</v>
      </c>
      <c r="P676" t="str">
        <f t="shared" si="32"/>
        <v>https://permalinkbnd.bnportugal.gov.pt/viewer/272640/?offset=#page=253&amp;viewer=picture&amp;o=info&amp;n=0&amp;q=</v>
      </c>
      <c r="Q676">
        <v>788999</v>
      </c>
      <c r="R676" t="s">
        <v>492</v>
      </c>
      <c r="S676" t="s">
        <v>3165</v>
      </c>
      <c r="T676" t="s">
        <v>1178</v>
      </c>
      <c r="U676" t="s">
        <v>1192</v>
      </c>
      <c r="V676" t="s">
        <v>599</v>
      </c>
      <c r="W676" t="s">
        <v>3166</v>
      </c>
      <c r="X676" t="s">
        <v>3167</v>
      </c>
      <c r="Y676" t="s">
        <v>599</v>
      </c>
      <c r="Z676" t="s">
        <v>1182</v>
      </c>
      <c r="AA676" t="s">
        <v>3168</v>
      </c>
      <c r="AB676">
        <v>1916</v>
      </c>
      <c r="AC676">
        <v>1916</v>
      </c>
      <c r="AD676" t="s">
        <v>3169</v>
      </c>
      <c r="AE676" t="s">
        <v>1185</v>
      </c>
      <c r="AF676" t="s">
        <v>599</v>
      </c>
      <c r="AG676" t="s">
        <v>599</v>
      </c>
      <c r="AH676" t="s">
        <v>3170</v>
      </c>
      <c r="AI676" t="s">
        <v>599</v>
      </c>
      <c r="AJ676" t="s">
        <v>599</v>
      </c>
      <c r="AK676" t="s">
        <v>3171</v>
      </c>
      <c r="AL676" t="s">
        <v>1188</v>
      </c>
      <c r="AM676" t="s">
        <v>3172</v>
      </c>
      <c r="AN676" t="s">
        <v>1190</v>
      </c>
      <c r="AO676" t="s">
        <v>599</v>
      </c>
      <c r="AP676" t="s">
        <v>599</v>
      </c>
      <c r="AQ676" t="s">
        <v>599</v>
      </c>
      <c r="AR676" t="s">
        <v>599</v>
      </c>
      <c r="AS676" t="s">
        <v>1193</v>
      </c>
      <c r="AT676" t="s">
        <v>599</v>
      </c>
      <c r="AU676" t="s">
        <v>599</v>
      </c>
    </row>
    <row r="677" spans="1:47" ht="150" x14ac:dyDescent="0.25">
      <c r="A677" s="2">
        <v>11725</v>
      </c>
      <c r="B677" s="10">
        <v>788999</v>
      </c>
      <c r="C677" s="10">
        <v>1</v>
      </c>
      <c r="D677" s="9">
        <v>271</v>
      </c>
      <c r="E677" s="11" t="s">
        <v>492</v>
      </c>
      <c r="F677" s="11" t="str">
        <f t="shared" si="30"/>
        <v>https://purl.pt/43959</v>
      </c>
      <c r="G677" s="12" t="s">
        <v>493</v>
      </c>
      <c r="H677" s="9" t="s">
        <v>494</v>
      </c>
      <c r="I677" s="34"/>
      <c r="J677" s="55" t="str">
        <f t="shared" si="31"/>
        <v>https://permalinkbnd.bnportugal.gov.pt/viewer/272640/?offset=#page=271&amp;viewer=picture&amp;o=info&amp;n=0&amp;q=</v>
      </c>
      <c r="K677" s="45"/>
      <c r="L677" s="45"/>
      <c r="M677" s="45"/>
      <c r="N677" t="s">
        <v>492</v>
      </c>
      <c r="O677">
        <v>272640</v>
      </c>
      <c r="P677" t="str">
        <f t="shared" si="32"/>
        <v>https://permalinkbnd.bnportugal.gov.pt/viewer/272640/?offset=#page=271&amp;viewer=picture&amp;o=info&amp;n=0&amp;q=</v>
      </c>
      <c r="Q677">
        <v>788999</v>
      </c>
      <c r="R677" t="s">
        <v>492</v>
      </c>
      <c r="S677" t="s">
        <v>3165</v>
      </c>
      <c r="T677" t="s">
        <v>1178</v>
      </c>
      <c r="U677" t="s">
        <v>1192</v>
      </c>
      <c r="V677" t="s">
        <v>599</v>
      </c>
      <c r="W677" t="s">
        <v>3166</v>
      </c>
      <c r="X677" t="s">
        <v>3167</v>
      </c>
      <c r="Y677" t="s">
        <v>599</v>
      </c>
      <c r="Z677" t="s">
        <v>1182</v>
      </c>
      <c r="AA677" t="s">
        <v>3168</v>
      </c>
      <c r="AB677">
        <v>1916</v>
      </c>
      <c r="AC677">
        <v>1916</v>
      </c>
      <c r="AD677" t="s">
        <v>3169</v>
      </c>
      <c r="AE677" t="s">
        <v>1185</v>
      </c>
      <c r="AF677" t="s">
        <v>599</v>
      </c>
      <c r="AG677" t="s">
        <v>599</v>
      </c>
      <c r="AH677" t="s">
        <v>3170</v>
      </c>
      <c r="AI677" t="s">
        <v>599</v>
      </c>
      <c r="AJ677" t="s">
        <v>599</v>
      </c>
      <c r="AK677" t="s">
        <v>3171</v>
      </c>
      <c r="AL677" t="s">
        <v>1188</v>
      </c>
      <c r="AM677" t="s">
        <v>3172</v>
      </c>
      <c r="AN677" t="s">
        <v>1190</v>
      </c>
      <c r="AO677" t="s">
        <v>599</v>
      </c>
      <c r="AP677" t="s">
        <v>599</v>
      </c>
      <c r="AQ677" t="s">
        <v>599</v>
      </c>
      <c r="AR677" t="s">
        <v>599</v>
      </c>
      <c r="AS677" t="s">
        <v>1193</v>
      </c>
      <c r="AT677" t="s">
        <v>599</v>
      </c>
      <c r="AU677" t="s">
        <v>599</v>
      </c>
    </row>
    <row r="678" spans="1:47" ht="150" x14ac:dyDescent="0.25">
      <c r="A678" s="2">
        <v>11726</v>
      </c>
      <c r="B678" s="10">
        <v>788999</v>
      </c>
      <c r="C678" s="10">
        <v>1</v>
      </c>
      <c r="D678" s="9">
        <v>283</v>
      </c>
      <c r="E678" s="11" t="s">
        <v>492</v>
      </c>
      <c r="F678" s="11" t="str">
        <f t="shared" si="30"/>
        <v>https://purl.pt/43959</v>
      </c>
      <c r="G678" s="12" t="s">
        <v>493</v>
      </c>
      <c r="H678" s="9" t="s">
        <v>494</v>
      </c>
      <c r="I678" s="34"/>
      <c r="J678" s="55" t="str">
        <f t="shared" si="31"/>
        <v>https://permalinkbnd.bnportugal.gov.pt/viewer/272640/?offset=#page=283&amp;viewer=picture&amp;o=info&amp;n=0&amp;q=</v>
      </c>
      <c r="K678" s="45"/>
      <c r="L678" s="45"/>
      <c r="M678" s="45"/>
      <c r="N678" t="s">
        <v>492</v>
      </c>
      <c r="O678">
        <v>272640</v>
      </c>
      <c r="P678" t="str">
        <f t="shared" si="32"/>
        <v>https://permalinkbnd.bnportugal.gov.pt/viewer/272640/?offset=#page=283&amp;viewer=picture&amp;o=info&amp;n=0&amp;q=</v>
      </c>
      <c r="Q678">
        <v>788999</v>
      </c>
      <c r="R678" t="s">
        <v>492</v>
      </c>
      <c r="S678" t="s">
        <v>3165</v>
      </c>
      <c r="T678" t="s">
        <v>1178</v>
      </c>
      <c r="U678" t="s">
        <v>1192</v>
      </c>
      <c r="V678" t="s">
        <v>599</v>
      </c>
      <c r="W678" t="s">
        <v>3166</v>
      </c>
      <c r="X678" t="s">
        <v>3167</v>
      </c>
      <c r="Y678" t="s">
        <v>599</v>
      </c>
      <c r="Z678" t="s">
        <v>1182</v>
      </c>
      <c r="AA678" t="s">
        <v>3168</v>
      </c>
      <c r="AB678">
        <v>1916</v>
      </c>
      <c r="AC678">
        <v>1916</v>
      </c>
      <c r="AD678" t="s">
        <v>3169</v>
      </c>
      <c r="AE678" t="s">
        <v>1185</v>
      </c>
      <c r="AF678" t="s">
        <v>599</v>
      </c>
      <c r="AG678" t="s">
        <v>599</v>
      </c>
      <c r="AH678" t="s">
        <v>3170</v>
      </c>
      <c r="AI678" t="s">
        <v>599</v>
      </c>
      <c r="AJ678" t="s">
        <v>599</v>
      </c>
      <c r="AK678" t="s">
        <v>3171</v>
      </c>
      <c r="AL678" t="s">
        <v>1188</v>
      </c>
      <c r="AM678" t="s">
        <v>3172</v>
      </c>
      <c r="AN678" t="s">
        <v>1190</v>
      </c>
      <c r="AO678" t="s">
        <v>599</v>
      </c>
      <c r="AP678" t="s">
        <v>599</v>
      </c>
      <c r="AQ678" t="s">
        <v>599</v>
      </c>
      <c r="AR678" t="s">
        <v>599</v>
      </c>
      <c r="AS678" t="s">
        <v>1193</v>
      </c>
      <c r="AT678" t="s">
        <v>599</v>
      </c>
      <c r="AU678" t="s">
        <v>599</v>
      </c>
    </row>
    <row r="679" spans="1:47" ht="150" x14ac:dyDescent="0.25">
      <c r="A679" s="2">
        <v>11727</v>
      </c>
      <c r="B679" s="10">
        <v>788999</v>
      </c>
      <c r="C679" s="10">
        <v>1</v>
      </c>
      <c r="D679" s="9">
        <v>307</v>
      </c>
      <c r="E679" s="11" t="s">
        <v>492</v>
      </c>
      <c r="F679" s="11" t="str">
        <f t="shared" si="30"/>
        <v>https://purl.pt/43959</v>
      </c>
      <c r="G679" s="12" t="s">
        <v>493</v>
      </c>
      <c r="H679" s="9" t="s">
        <v>494</v>
      </c>
      <c r="I679" s="34"/>
      <c r="J679" s="55" t="str">
        <f t="shared" si="31"/>
        <v>https://permalinkbnd.bnportugal.gov.pt/viewer/272640/?offset=#page=307&amp;viewer=picture&amp;o=info&amp;n=0&amp;q=</v>
      </c>
      <c r="K679" s="45"/>
      <c r="L679" s="45"/>
      <c r="M679" s="45"/>
      <c r="N679" t="s">
        <v>492</v>
      </c>
      <c r="O679">
        <v>272640</v>
      </c>
      <c r="P679" t="str">
        <f t="shared" si="32"/>
        <v>https://permalinkbnd.bnportugal.gov.pt/viewer/272640/?offset=#page=307&amp;viewer=picture&amp;o=info&amp;n=0&amp;q=</v>
      </c>
      <c r="Q679">
        <v>788999</v>
      </c>
      <c r="R679" t="s">
        <v>492</v>
      </c>
      <c r="S679" t="s">
        <v>3165</v>
      </c>
      <c r="T679" t="s">
        <v>1178</v>
      </c>
      <c r="U679" t="s">
        <v>1192</v>
      </c>
      <c r="V679" t="s">
        <v>599</v>
      </c>
      <c r="W679" t="s">
        <v>3166</v>
      </c>
      <c r="X679" t="s">
        <v>3167</v>
      </c>
      <c r="Y679" t="s">
        <v>599</v>
      </c>
      <c r="Z679" t="s">
        <v>1182</v>
      </c>
      <c r="AA679" t="s">
        <v>3168</v>
      </c>
      <c r="AB679">
        <v>1916</v>
      </c>
      <c r="AC679">
        <v>1916</v>
      </c>
      <c r="AD679" t="s">
        <v>3169</v>
      </c>
      <c r="AE679" t="s">
        <v>1185</v>
      </c>
      <c r="AF679" t="s">
        <v>599</v>
      </c>
      <c r="AG679" t="s">
        <v>599</v>
      </c>
      <c r="AH679" t="s">
        <v>3170</v>
      </c>
      <c r="AI679" t="s">
        <v>599</v>
      </c>
      <c r="AJ679" t="s">
        <v>599</v>
      </c>
      <c r="AK679" t="s">
        <v>3171</v>
      </c>
      <c r="AL679" t="s">
        <v>1188</v>
      </c>
      <c r="AM679" t="s">
        <v>3172</v>
      </c>
      <c r="AN679" t="s">
        <v>1190</v>
      </c>
      <c r="AO679" t="s">
        <v>599</v>
      </c>
      <c r="AP679" t="s">
        <v>599</v>
      </c>
      <c r="AQ679" t="s">
        <v>599</v>
      </c>
      <c r="AR679" t="s">
        <v>599</v>
      </c>
      <c r="AS679" t="s">
        <v>1193</v>
      </c>
      <c r="AT679" t="s">
        <v>599</v>
      </c>
      <c r="AU679" t="s">
        <v>599</v>
      </c>
    </row>
    <row r="680" spans="1:47" ht="150" x14ac:dyDescent="0.25">
      <c r="A680" s="2">
        <v>11728</v>
      </c>
      <c r="B680" s="10">
        <v>788999</v>
      </c>
      <c r="C680" s="10">
        <v>1</v>
      </c>
      <c r="D680" s="9">
        <v>311</v>
      </c>
      <c r="E680" s="11" t="s">
        <v>492</v>
      </c>
      <c r="F680" s="11" t="str">
        <f t="shared" si="30"/>
        <v>https://purl.pt/43959</v>
      </c>
      <c r="G680" s="12" t="s">
        <v>493</v>
      </c>
      <c r="H680" s="9" t="s">
        <v>494</v>
      </c>
      <c r="I680" s="34"/>
      <c r="J680" s="55" t="str">
        <f t="shared" si="31"/>
        <v>https://permalinkbnd.bnportugal.gov.pt/viewer/272640/?offset=#page=311&amp;viewer=picture&amp;o=info&amp;n=0&amp;q=</v>
      </c>
      <c r="K680" s="45"/>
      <c r="L680" s="45"/>
      <c r="M680" s="45"/>
      <c r="N680" t="s">
        <v>492</v>
      </c>
      <c r="O680">
        <v>272640</v>
      </c>
      <c r="P680" t="str">
        <f t="shared" si="32"/>
        <v>https://permalinkbnd.bnportugal.gov.pt/viewer/272640/?offset=#page=311&amp;viewer=picture&amp;o=info&amp;n=0&amp;q=</v>
      </c>
      <c r="Q680">
        <v>788999</v>
      </c>
      <c r="R680" t="s">
        <v>492</v>
      </c>
      <c r="S680" t="s">
        <v>3165</v>
      </c>
      <c r="T680" t="s">
        <v>1178</v>
      </c>
      <c r="U680" t="s">
        <v>1192</v>
      </c>
      <c r="V680" t="s">
        <v>599</v>
      </c>
      <c r="W680" t="s">
        <v>3166</v>
      </c>
      <c r="X680" t="s">
        <v>3167</v>
      </c>
      <c r="Y680" t="s">
        <v>599</v>
      </c>
      <c r="Z680" t="s">
        <v>1182</v>
      </c>
      <c r="AA680" t="s">
        <v>3168</v>
      </c>
      <c r="AB680">
        <v>1916</v>
      </c>
      <c r="AC680">
        <v>1916</v>
      </c>
      <c r="AD680" t="s">
        <v>3169</v>
      </c>
      <c r="AE680" t="s">
        <v>1185</v>
      </c>
      <c r="AF680" t="s">
        <v>599</v>
      </c>
      <c r="AG680" t="s">
        <v>599</v>
      </c>
      <c r="AH680" t="s">
        <v>3170</v>
      </c>
      <c r="AI680" t="s">
        <v>599</v>
      </c>
      <c r="AJ680" t="s">
        <v>599</v>
      </c>
      <c r="AK680" t="s">
        <v>3171</v>
      </c>
      <c r="AL680" t="s">
        <v>1188</v>
      </c>
      <c r="AM680" t="s">
        <v>3172</v>
      </c>
      <c r="AN680" t="s">
        <v>1190</v>
      </c>
      <c r="AO680" t="s">
        <v>599</v>
      </c>
      <c r="AP680" t="s">
        <v>599</v>
      </c>
      <c r="AQ680" t="s">
        <v>599</v>
      </c>
      <c r="AR680" t="s">
        <v>599</v>
      </c>
      <c r="AS680" t="s">
        <v>1193</v>
      </c>
      <c r="AT680" t="s">
        <v>599</v>
      </c>
      <c r="AU680" t="s">
        <v>599</v>
      </c>
    </row>
    <row r="681" spans="1:47" ht="150" x14ac:dyDescent="0.25">
      <c r="A681" s="2">
        <v>11729</v>
      </c>
      <c r="B681" s="10">
        <v>788999</v>
      </c>
      <c r="C681" s="10">
        <v>1</v>
      </c>
      <c r="D681" s="9">
        <v>349</v>
      </c>
      <c r="E681" s="11" t="s">
        <v>492</v>
      </c>
      <c r="F681" s="11" t="str">
        <f t="shared" si="30"/>
        <v>https://purl.pt/43959</v>
      </c>
      <c r="G681" s="12" t="s">
        <v>493</v>
      </c>
      <c r="H681" s="9" t="s">
        <v>494</v>
      </c>
      <c r="I681" s="34"/>
      <c r="J681" s="55" t="str">
        <f t="shared" si="31"/>
        <v>https://permalinkbnd.bnportugal.gov.pt/viewer/272640/?offset=#page=349&amp;viewer=picture&amp;o=info&amp;n=0&amp;q=</v>
      </c>
      <c r="K681" s="45"/>
      <c r="L681" s="45"/>
      <c r="M681" s="45"/>
      <c r="N681" t="s">
        <v>492</v>
      </c>
      <c r="O681">
        <v>272640</v>
      </c>
      <c r="P681" t="str">
        <f t="shared" si="32"/>
        <v>https://permalinkbnd.bnportugal.gov.pt/viewer/272640/?offset=#page=349&amp;viewer=picture&amp;o=info&amp;n=0&amp;q=</v>
      </c>
      <c r="Q681">
        <v>788999</v>
      </c>
      <c r="R681" t="s">
        <v>492</v>
      </c>
      <c r="S681" t="s">
        <v>3165</v>
      </c>
      <c r="T681" t="s">
        <v>1178</v>
      </c>
      <c r="U681" t="s">
        <v>1192</v>
      </c>
      <c r="V681" t="s">
        <v>599</v>
      </c>
      <c r="W681" t="s">
        <v>3166</v>
      </c>
      <c r="X681" t="s">
        <v>3167</v>
      </c>
      <c r="Y681" t="s">
        <v>599</v>
      </c>
      <c r="Z681" t="s">
        <v>1182</v>
      </c>
      <c r="AA681" t="s">
        <v>3168</v>
      </c>
      <c r="AB681">
        <v>1916</v>
      </c>
      <c r="AC681">
        <v>1916</v>
      </c>
      <c r="AD681" t="s">
        <v>3169</v>
      </c>
      <c r="AE681" t="s">
        <v>1185</v>
      </c>
      <c r="AF681" t="s">
        <v>599</v>
      </c>
      <c r="AG681" t="s">
        <v>599</v>
      </c>
      <c r="AH681" t="s">
        <v>3170</v>
      </c>
      <c r="AI681" t="s">
        <v>599</v>
      </c>
      <c r="AJ681" t="s">
        <v>599</v>
      </c>
      <c r="AK681" t="s">
        <v>3171</v>
      </c>
      <c r="AL681" t="s">
        <v>1188</v>
      </c>
      <c r="AM681" t="s">
        <v>3172</v>
      </c>
      <c r="AN681" t="s">
        <v>1190</v>
      </c>
      <c r="AO681" t="s">
        <v>599</v>
      </c>
      <c r="AP681" t="s">
        <v>599</v>
      </c>
      <c r="AQ681" t="s">
        <v>599</v>
      </c>
      <c r="AR681" t="s">
        <v>599</v>
      </c>
      <c r="AS681" t="s">
        <v>1193</v>
      </c>
      <c r="AT681" t="s">
        <v>599</v>
      </c>
      <c r="AU681" t="s">
        <v>599</v>
      </c>
    </row>
    <row r="682" spans="1:47" ht="30" x14ac:dyDescent="0.25">
      <c r="A682" s="2">
        <v>11739</v>
      </c>
      <c r="B682" s="10">
        <v>796045</v>
      </c>
      <c r="C682" s="10">
        <v>1</v>
      </c>
      <c r="D682" s="9">
        <v>5</v>
      </c>
      <c r="E682" s="11" t="s">
        <v>495</v>
      </c>
      <c r="F682" s="11" t="str">
        <f t="shared" si="30"/>
        <v>https://purl.pt/44818</v>
      </c>
      <c r="G682" s="12" t="s">
        <v>496</v>
      </c>
      <c r="H682" s="9" t="s">
        <v>497</v>
      </c>
      <c r="I682" s="34"/>
      <c r="J682" s="55" t="str">
        <f t="shared" si="31"/>
        <v>https://permalinkbnd.bnportugal.gov.pt/viewer/279630/?offset=#page=5&amp;viewer=picture&amp;o=info&amp;n=0&amp;q=</v>
      </c>
      <c r="K682" s="45"/>
      <c r="L682" s="45"/>
      <c r="M682" s="45"/>
      <c r="N682" t="s">
        <v>495</v>
      </c>
      <c r="O682">
        <v>279630</v>
      </c>
      <c r="P682" t="str">
        <f t="shared" si="32"/>
        <v>https://permalinkbnd.bnportugal.gov.pt/viewer/279630/?offset=#page=5&amp;viewer=picture&amp;o=info&amp;n=0&amp;q=</v>
      </c>
      <c r="Q682">
        <v>796045</v>
      </c>
      <c r="R682" t="s">
        <v>495</v>
      </c>
      <c r="S682" t="s">
        <v>3173</v>
      </c>
      <c r="T682" t="s">
        <v>1178</v>
      </c>
      <c r="U682" t="s">
        <v>1192</v>
      </c>
      <c r="V682" t="s">
        <v>599</v>
      </c>
      <c r="W682" t="s">
        <v>1551</v>
      </c>
      <c r="X682" t="s">
        <v>599</v>
      </c>
      <c r="Y682" t="s">
        <v>599</v>
      </c>
      <c r="Z682" t="s">
        <v>1182</v>
      </c>
      <c r="AA682" t="s">
        <v>3174</v>
      </c>
      <c r="AB682">
        <v>1800</v>
      </c>
      <c r="AC682">
        <v>1800</v>
      </c>
      <c r="AD682" t="s">
        <v>3175</v>
      </c>
      <c r="AE682" t="s">
        <v>1185</v>
      </c>
      <c r="AF682" t="s">
        <v>599</v>
      </c>
      <c r="AG682" t="s">
        <v>599</v>
      </c>
      <c r="AH682" t="s">
        <v>599</v>
      </c>
      <c r="AI682" t="s">
        <v>599</v>
      </c>
      <c r="AJ682" t="s">
        <v>599</v>
      </c>
      <c r="AK682" t="s">
        <v>3176</v>
      </c>
      <c r="AL682" t="s">
        <v>1188</v>
      </c>
      <c r="AM682" t="s">
        <v>3177</v>
      </c>
      <c r="AN682" t="s">
        <v>1190</v>
      </c>
      <c r="AO682" t="s">
        <v>599</v>
      </c>
      <c r="AP682" t="s">
        <v>599</v>
      </c>
      <c r="AQ682" t="s">
        <v>599</v>
      </c>
      <c r="AR682" t="s">
        <v>599</v>
      </c>
      <c r="AS682" t="s">
        <v>599</v>
      </c>
      <c r="AT682" t="s">
        <v>599</v>
      </c>
      <c r="AU682" t="s">
        <v>599</v>
      </c>
    </row>
    <row r="683" spans="1:47" ht="30" x14ac:dyDescent="0.25">
      <c r="A683" s="2">
        <v>11740</v>
      </c>
      <c r="B683" s="10">
        <v>796045</v>
      </c>
      <c r="C683" s="10">
        <v>1</v>
      </c>
      <c r="D683" s="9">
        <v>7</v>
      </c>
      <c r="E683" s="11" t="s">
        <v>495</v>
      </c>
      <c r="F683" s="11" t="str">
        <f t="shared" si="30"/>
        <v>https://purl.pt/44818</v>
      </c>
      <c r="G683" s="12" t="s">
        <v>496</v>
      </c>
      <c r="H683" s="9" t="s">
        <v>497</v>
      </c>
      <c r="I683" s="34"/>
      <c r="J683" s="55" t="str">
        <f t="shared" si="31"/>
        <v>https://permalinkbnd.bnportugal.gov.pt/viewer/279630/?offset=#page=7&amp;viewer=picture&amp;o=info&amp;n=0&amp;q=</v>
      </c>
      <c r="K683" s="45"/>
      <c r="L683" s="45"/>
      <c r="M683" s="45"/>
      <c r="N683" t="s">
        <v>495</v>
      </c>
      <c r="O683">
        <v>279630</v>
      </c>
      <c r="P683" t="str">
        <f t="shared" si="32"/>
        <v>https://permalinkbnd.bnportugal.gov.pt/viewer/279630/?offset=#page=7&amp;viewer=picture&amp;o=info&amp;n=0&amp;q=</v>
      </c>
      <c r="Q683">
        <v>796045</v>
      </c>
      <c r="R683" t="s">
        <v>495</v>
      </c>
      <c r="S683" t="s">
        <v>3173</v>
      </c>
      <c r="T683" t="s">
        <v>1178</v>
      </c>
      <c r="U683" t="s">
        <v>1192</v>
      </c>
      <c r="V683" t="s">
        <v>599</v>
      </c>
      <c r="W683" t="s">
        <v>1551</v>
      </c>
      <c r="X683" t="s">
        <v>599</v>
      </c>
      <c r="Y683" t="s">
        <v>599</v>
      </c>
      <c r="Z683" t="s">
        <v>1182</v>
      </c>
      <c r="AA683" t="s">
        <v>3174</v>
      </c>
      <c r="AB683">
        <v>1800</v>
      </c>
      <c r="AC683">
        <v>1800</v>
      </c>
      <c r="AD683" t="s">
        <v>3175</v>
      </c>
      <c r="AE683" t="s">
        <v>1185</v>
      </c>
      <c r="AF683" t="s">
        <v>599</v>
      </c>
      <c r="AG683" t="s">
        <v>599</v>
      </c>
      <c r="AH683" t="s">
        <v>599</v>
      </c>
      <c r="AI683" t="s">
        <v>599</v>
      </c>
      <c r="AJ683" t="s">
        <v>599</v>
      </c>
      <c r="AK683" t="s">
        <v>3176</v>
      </c>
      <c r="AL683" t="s">
        <v>1188</v>
      </c>
      <c r="AM683" t="s">
        <v>3177</v>
      </c>
      <c r="AN683" t="s">
        <v>1190</v>
      </c>
      <c r="AO683" t="s">
        <v>599</v>
      </c>
      <c r="AP683" t="s">
        <v>599</v>
      </c>
      <c r="AQ683" t="s">
        <v>599</v>
      </c>
      <c r="AR683" t="s">
        <v>599</v>
      </c>
      <c r="AS683" t="s">
        <v>599</v>
      </c>
      <c r="AT683" t="s">
        <v>599</v>
      </c>
      <c r="AU683" t="s">
        <v>599</v>
      </c>
    </row>
    <row r="684" spans="1:47" ht="30" x14ac:dyDescent="0.25">
      <c r="A684" s="2">
        <v>11743</v>
      </c>
      <c r="B684" s="10">
        <v>798858</v>
      </c>
      <c r="C684" s="10">
        <v>1</v>
      </c>
      <c r="D684" s="9">
        <v>4</v>
      </c>
      <c r="E684" s="11" t="s">
        <v>498</v>
      </c>
      <c r="F684" s="11" t="str">
        <f t="shared" si="30"/>
        <v>https://purl.pt/44832</v>
      </c>
      <c r="G684" s="12" t="s">
        <v>499</v>
      </c>
      <c r="H684" s="9">
        <v>4</v>
      </c>
      <c r="I684" s="34"/>
      <c r="J684" s="55" t="str">
        <f t="shared" si="31"/>
        <v>https://permalinkbnd.bnportugal.gov.pt/viewer/279634/?offset=#page=4&amp;viewer=picture&amp;o=info&amp;n=0&amp;q=</v>
      </c>
      <c r="K684" s="45"/>
      <c r="L684" s="45"/>
      <c r="M684" s="45"/>
      <c r="N684" t="s">
        <v>498</v>
      </c>
      <c r="O684">
        <v>279634</v>
      </c>
      <c r="P684" t="str">
        <f t="shared" si="32"/>
        <v>https://permalinkbnd.bnportugal.gov.pt/viewer/279634/?offset=#page=4&amp;viewer=picture&amp;o=info&amp;n=0&amp;q=</v>
      </c>
      <c r="Q684">
        <v>798858</v>
      </c>
      <c r="R684" t="s">
        <v>498</v>
      </c>
      <c r="S684" t="s">
        <v>3178</v>
      </c>
      <c r="T684" t="s">
        <v>1178</v>
      </c>
      <c r="U684" t="s">
        <v>1192</v>
      </c>
      <c r="V684" t="s">
        <v>599</v>
      </c>
      <c r="W684" t="s">
        <v>1551</v>
      </c>
      <c r="X684" t="s">
        <v>1778</v>
      </c>
      <c r="Y684" t="s">
        <v>599</v>
      </c>
      <c r="Z684" t="s">
        <v>3179</v>
      </c>
      <c r="AA684" t="s">
        <v>3180</v>
      </c>
      <c r="AB684">
        <v>1898</v>
      </c>
      <c r="AC684">
        <v>1898</v>
      </c>
      <c r="AD684" t="s">
        <v>3135</v>
      </c>
      <c r="AE684" t="s">
        <v>1185</v>
      </c>
      <c r="AF684" t="s">
        <v>599</v>
      </c>
      <c r="AG684" t="s">
        <v>599</v>
      </c>
      <c r="AH684" t="s">
        <v>1334</v>
      </c>
      <c r="AI684" t="s">
        <v>599</v>
      </c>
      <c r="AJ684" t="s">
        <v>599</v>
      </c>
      <c r="AK684" t="s">
        <v>3181</v>
      </c>
      <c r="AL684" t="s">
        <v>1188</v>
      </c>
      <c r="AM684" t="s">
        <v>3182</v>
      </c>
      <c r="AN684" t="s">
        <v>1190</v>
      </c>
      <c r="AO684" t="s">
        <v>599</v>
      </c>
      <c r="AP684" t="s">
        <v>599</v>
      </c>
      <c r="AQ684" t="s">
        <v>599</v>
      </c>
      <c r="AR684" t="s">
        <v>599</v>
      </c>
      <c r="AS684" t="s">
        <v>599</v>
      </c>
      <c r="AT684" t="s">
        <v>599</v>
      </c>
      <c r="AU684" t="s">
        <v>599</v>
      </c>
    </row>
    <row r="685" spans="1:47" ht="30" x14ac:dyDescent="0.25">
      <c r="A685" s="2">
        <v>11745</v>
      </c>
      <c r="B685" s="10">
        <v>798866</v>
      </c>
      <c r="C685" s="10">
        <v>1</v>
      </c>
      <c r="D685" s="9">
        <v>1</v>
      </c>
      <c r="E685" s="11" t="s">
        <v>500</v>
      </c>
      <c r="F685" s="11" t="str">
        <f t="shared" si="30"/>
        <v>https://purl.pt/44938</v>
      </c>
      <c r="G685" s="12" t="s">
        <v>501</v>
      </c>
      <c r="H685" s="9">
        <v>1</v>
      </c>
      <c r="I685" s="34"/>
      <c r="J685" s="55" t="str">
        <f t="shared" si="31"/>
        <v>https://permalinkbnd.bnportugal.gov.pt/viewer/279104/?offset=#page=1&amp;viewer=picture&amp;o=info&amp;n=0&amp;q=</v>
      </c>
      <c r="K685" s="45"/>
      <c r="L685" s="45"/>
      <c r="M685" s="45"/>
      <c r="N685" t="s">
        <v>500</v>
      </c>
      <c r="O685">
        <v>279104</v>
      </c>
      <c r="P685" t="str">
        <f t="shared" si="32"/>
        <v>https://permalinkbnd.bnportugal.gov.pt/viewer/279104/?offset=#page=1&amp;viewer=picture&amp;o=info&amp;n=0&amp;q=</v>
      </c>
      <c r="Q685">
        <v>798866</v>
      </c>
      <c r="R685" t="s">
        <v>500</v>
      </c>
      <c r="S685" t="s">
        <v>3183</v>
      </c>
      <c r="T685" t="s">
        <v>1178</v>
      </c>
      <c r="U685" t="s">
        <v>1502</v>
      </c>
      <c r="V685" t="s">
        <v>1192</v>
      </c>
      <c r="W685" t="s">
        <v>3184</v>
      </c>
      <c r="X685" t="s">
        <v>599</v>
      </c>
      <c r="Y685" t="s">
        <v>599</v>
      </c>
      <c r="Z685" t="s">
        <v>1182</v>
      </c>
      <c r="AA685" t="s">
        <v>3185</v>
      </c>
      <c r="AB685">
        <v>1883</v>
      </c>
      <c r="AC685">
        <v>1883</v>
      </c>
      <c r="AD685" t="s">
        <v>3186</v>
      </c>
      <c r="AE685" t="s">
        <v>1185</v>
      </c>
      <c r="AF685" t="s">
        <v>599</v>
      </c>
      <c r="AG685" t="s">
        <v>3187</v>
      </c>
      <c r="AH685" t="s">
        <v>3024</v>
      </c>
      <c r="AI685" t="s">
        <v>599</v>
      </c>
      <c r="AJ685" t="s">
        <v>599</v>
      </c>
      <c r="AK685" t="s">
        <v>3188</v>
      </c>
      <c r="AL685" t="s">
        <v>1188</v>
      </c>
      <c r="AM685" t="s">
        <v>3189</v>
      </c>
      <c r="AN685" t="s">
        <v>1190</v>
      </c>
      <c r="AO685" t="s">
        <v>599</v>
      </c>
      <c r="AP685" t="s">
        <v>599</v>
      </c>
      <c r="AQ685" t="s">
        <v>599</v>
      </c>
      <c r="AR685" t="s">
        <v>599</v>
      </c>
      <c r="AS685" t="s">
        <v>599</v>
      </c>
      <c r="AT685" t="s">
        <v>599</v>
      </c>
      <c r="AU685" t="s">
        <v>599</v>
      </c>
    </row>
    <row r="686" spans="1:47" ht="30" x14ac:dyDescent="0.25">
      <c r="A686" s="2">
        <v>11802</v>
      </c>
      <c r="B686" s="10">
        <v>993818</v>
      </c>
      <c r="C686" s="10">
        <v>1</v>
      </c>
      <c r="D686" s="9">
        <v>1</v>
      </c>
      <c r="E686" s="11" t="s">
        <v>502</v>
      </c>
      <c r="F686" s="11" t="str">
        <f t="shared" si="30"/>
        <v>https://purl.pt/7452</v>
      </c>
      <c r="G686" s="12" t="s">
        <v>503</v>
      </c>
      <c r="H686" s="9">
        <v>1</v>
      </c>
      <c r="I686" s="34"/>
      <c r="J686" s="55" t="str">
        <f t="shared" si="31"/>
        <v>https://permalinkbnd.bnportugal.gov.pt/viewer/20471/?offset=#page=1&amp;viewer=picture&amp;o=info&amp;n=0&amp;q=</v>
      </c>
      <c r="K686" s="45"/>
      <c r="L686" s="45"/>
      <c r="M686" s="45"/>
      <c r="N686" t="s">
        <v>502</v>
      </c>
      <c r="O686">
        <v>20471</v>
      </c>
      <c r="P686" t="str">
        <f t="shared" si="32"/>
        <v>https://permalinkbnd.bnportugal.gov.pt/viewer/20471/?offset=#page=1&amp;viewer=picture&amp;o=info&amp;n=0&amp;q=</v>
      </c>
      <c r="Q686">
        <v>993818</v>
      </c>
      <c r="R686" t="s">
        <v>502</v>
      </c>
      <c r="S686" t="s">
        <v>3190</v>
      </c>
      <c r="T686" t="s">
        <v>1312</v>
      </c>
      <c r="U686" t="s">
        <v>1362</v>
      </c>
      <c r="V686" t="s">
        <v>599</v>
      </c>
      <c r="W686" t="s">
        <v>3191</v>
      </c>
      <c r="X686" t="s">
        <v>3192</v>
      </c>
      <c r="Y686" t="s">
        <v>599</v>
      </c>
      <c r="Z686" t="s">
        <v>1182</v>
      </c>
      <c r="AA686" t="s">
        <v>3193</v>
      </c>
      <c r="AB686">
        <v>1972</v>
      </c>
      <c r="AC686">
        <v>1972</v>
      </c>
      <c r="AD686" t="s">
        <v>2007</v>
      </c>
      <c r="AE686" t="s">
        <v>599</v>
      </c>
      <c r="AF686" t="s">
        <v>3194</v>
      </c>
      <c r="AG686" t="s">
        <v>599</v>
      </c>
      <c r="AH686" t="s">
        <v>3195</v>
      </c>
      <c r="AI686" t="s">
        <v>599</v>
      </c>
      <c r="AJ686" t="s">
        <v>599</v>
      </c>
      <c r="AK686" t="s">
        <v>3196</v>
      </c>
      <c r="AL686" t="s">
        <v>599</v>
      </c>
      <c r="AM686" t="s">
        <v>3197</v>
      </c>
      <c r="AN686" t="s">
        <v>1319</v>
      </c>
      <c r="AO686" t="s">
        <v>599</v>
      </c>
      <c r="AP686" t="s">
        <v>599</v>
      </c>
      <c r="AQ686" t="s">
        <v>599</v>
      </c>
      <c r="AR686" t="s">
        <v>599</v>
      </c>
      <c r="AS686" t="s">
        <v>599</v>
      </c>
      <c r="AT686" t="s">
        <v>599</v>
      </c>
      <c r="AU686" t="s">
        <v>599</v>
      </c>
    </row>
    <row r="687" spans="1:47" ht="30" x14ac:dyDescent="0.25">
      <c r="A687" s="2">
        <v>11804</v>
      </c>
      <c r="B687" s="10">
        <v>1001679</v>
      </c>
      <c r="C687" s="10">
        <v>1</v>
      </c>
      <c r="D687" s="9">
        <v>1</v>
      </c>
      <c r="E687" s="11" t="s">
        <v>504</v>
      </c>
      <c r="F687" s="11" t="str">
        <f t="shared" si="30"/>
        <v>https://purl.pt/8384</v>
      </c>
      <c r="G687" s="12" t="s">
        <v>505</v>
      </c>
      <c r="H687" s="9">
        <v>1</v>
      </c>
      <c r="I687" s="34"/>
      <c r="J687" s="55" t="str">
        <f t="shared" si="31"/>
        <v>https://permalinkbnd.bnportugal.gov.pt/viewer/17516/?offset=#page=1&amp;viewer=picture&amp;o=info&amp;n=0&amp;q=</v>
      </c>
      <c r="K687" s="45"/>
      <c r="L687" s="45"/>
      <c r="M687" s="45"/>
      <c r="N687" t="s">
        <v>504</v>
      </c>
      <c r="O687">
        <v>17516</v>
      </c>
      <c r="P687" t="str">
        <f t="shared" si="32"/>
        <v>https://permalinkbnd.bnportugal.gov.pt/viewer/17516/?offset=#page=1&amp;viewer=picture&amp;o=info&amp;n=0&amp;q=</v>
      </c>
      <c r="Q687">
        <v>1001679</v>
      </c>
      <c r="R687" t="s">
        <v>504</v>
      </c>
      <c r="S687" t="s">
        <v>3198</v>
      </c>
      <c r="T687" t="s">
        <v>1312</v>
      </c>
      <c r="U687" t="s">
        <v>1192</v>
      </c>
      <c r="V687" t="s">
        <v>599</v>
      </c>
      <c r="W687" t="s">
        <v>3199</v>
      </c>
      <c r="X687" t="s">
        <v>3200</v>
      </c>
      <c r="Y687" t="s">
        <v>599</v>
      </c>
      <c r="Z687" t="s">
        <v>1182</v>
      </c>
      <c r="AA687" t="s">
        <v>3201</v>
      </c>
      <c r="AB687">
        <v>1977</v>
      </c>
      <c r="AC687">
        <v>1977</v>
      </c>
      <c r="AD687" t="s">
        <v>2007</v>
      </c>
      <c r="AE687" t="s">
        <v>599</v>
      </c>
      <c r="AF687" t="s">
        <v>599</v>
      </c>
      <c r="AG687" t="s">
        <v>599</v>
      </c>
      <c r="AH687" t="s">
        <v>599</v>
      </c>
      <c r="AI687" t="s">
        <v>599</v>
      </c>
      <c r="AJ687" t="s">
        <v>599</v>
      </c>
      <c r="AK687" t="s">
        <v>3202</v>
      </c>
      <c r="AL687" t="s">
        <v>599</v>
      </c>
      <c r="AM687" t="s">
        <v>3203</v>
      </c>
      <c r="AN687" t="s">
        <v>1319</v>
      </c>
      <c r="AO687" t="s">
        <v>599</v>
      </c>
      <c r="AP687" t="s">
        <v>599</v>
      </c>
      <c r="AQ687" t="s">
        <v>599</v>
      </c>
      <c r="AR687" t="s">
        <v>599</v>
      </c>
      <c r="AS687" t="s">
        <v>599</v>
      </c>
      <c r="AT687" t="s">
        <v>599</v>
      </c>
      <c r="AU687" t="s">
        <v>599</v>
      </c>
    </row>
    <row r="688" spans="1:47" ht="135" x14ac:dyDescent="0.25">
      <c r="A688" s="2">
        <v>11866</v>
      </c>
      <c r="B688" s="10">
        <v>1366577</v>
      </c>
      <c r="C688" s="10">
        <v>1</v>
      </c>
      <c r="D688" s="9">
        <v>13</v>
      </c>
      <c r="E688" s="11" t="s">
        <v>506</v>
      </c>
      <c r="F688" s="11" t="str">
        <f t="shared" si="30"/>
        <v>https://purl.pt/14465</v>
      </c>
      <c r="G688" s="12" t="s">
        <v>507</v>
      </c>
      <c r="H688" s="9" t="s">
        <v>508</v>
      </c>
      <c r="I688" s="34"/>
      <c r="J688" s="55" t="str">
        <f t="shared" si="31"/>
        <v>https://permalinkbnd.bnportugal.gov.pt/viewer/14594/?offset=#page=13&amp;viewer=picture&amp;o=info&amp;n=0&amp;q=</v>
      </c>
      <c r="K688" s="45"/>
      <c r="L688" s="45"/>
      <c r="M688" s="45"/>
      <c r="N688" t="s">
        <v>506</v>
      </c>
      <c r="O688">
        <v>14594</v>
      </c>
      <c r="P688" t="str">
        <f t="shared" si="32"/>
        <v>https://permalinkbnd.bnportugal.gov.pt/viewer/14594/?offset=#page=13&amp;viewer=picture&amp;o=info&amp;n=0&amp;q=</v>
      </c>
      <c r="Q688">
        <v>1366577</v>
      </c>
      <c r="R688" t="s">
        <v>506</v>
      </c>
      <c r="S688" t="s">
        <v>3204</v>
      </c>
      <c r="T688" t="s">
        <v>1178</v>
      </c>
      <c r="U688" t="s">
        <v>1362</v>
      </c>
      <c r="V688" t="s">
        <v>1192</v>
      </c>
      <c r="W688" t="s">
        <v>3205</v>
      </c>
      <c r="X688" t="s">
        <v>599</v>
      </c>
      <c r="Y688" t="s">
        <v>599</v>
      </c>
      <c r="Z688" t="s">
        <v>1182</v>
      </c>
      <c r="AA688" t="s">
        <v>3206</v>
      </c>
      <c r="AB688">
        <v>1931</v>
      </c>
      <c r="AC688">
        <v>1931</v>
      </c>
      <c r="AD688" t="s">
        <v>3207</v>
      </c>
      <c r="AE688" t="s">
        <v>1185</v>
      </c>
      <c r="AF688" t="s">
        <v>599</v>
      </c>
      <c r="AG688" t="s">
        <v>599</v>
      </c>
      <c r="AH688" t="s">
        <v>3208</v>
      </c>
      <c r="AI688" t="s">
        <v>599</v>
      </c>
      <c r="AJ688" t="s">
        <v>599</v>
      </c>
      <c r="AK688" t="s">
        <v>3209</v>
      </c>
      <c r="AL688" t="s">
        <v>599</v>
      </c>
      <c r="AM688" t="s">
        <v>3210</v>
      </c>
      <c r="AN688" t="s">
        <v>1190</v>
      </c>
      <c r="AO688" t="s">
        <v>599</v>
      </c>
      <c r="AP688" t="s">
        <v>599</v>
      </c>
      <c r="AQ688" t="s">
        <v>599</v>
      </c>
      <c r="AR688" t="s">
        <v>599</v>
      </c>
      <c r="AS688" t="s">
        <v>599</v>
      </c>
      <c r="AT688" t="s">
        <v>599</v>
      </c>
      <c r="AU688" t="s">
        <v>599</v>
      </c>
    </row>
    <row r="689" spans="1:47" ht="135" x14ac:dyDescent="0.25">
      <c r="A689" s="2">
        <v>11867</v>
      </c>
      <c r="B689" s="10">
        <v>1366577</v>
      </c>
      <c r="C689" s="10">
        <v>1</v>
      </c>
      <c r="D689" s="9">
        <v>30</v>
      </c>
      <c r="E689" s="11" t="s">
        <v>506</v>
      </c>
      <c r="F689" s="11" t="str">
        <f t="shared" si="30"/>
        <v>https://purl.pt/14465</v>
      </c>
      <c r="G689" s="12" t="s">
        <v>507</v>
      </c>
      <c r="H689" s="9" t="s">
        <v>508</v>
      </c>
      <c r="I689" s="34"/>
      <c r="J689" s="55" t="str">
        <f t="shared" si="31"/>
        <v>https://permalinkbnd.bnportugal.gov.pt/viewer/14594/?offset=#page=30&amp;viewer=picture&amp;o=info&amp;n=0&amp;q=</v>
      </c>
      <c r="K689" s="45"/>
      <c r="L689" s="45"/>
      <c r="M689" s="45"/>
      <c r="N689" t="s">
        <v>506</v>
      </c>
      <c r="O689">
        <v>14594</v>
      </c>
      <c r="P689" t="str">
        <f t="shared" si="32"/>
        <v>https://permalinkbnd.bnportugal.gov.pt/viewer/14594/?offset=#page=30&amp;viewer=picture&amp;o=info&amp;n=0&amp;q=</v>
      </c>
      <c r="Q689">
        <v>1366577</v>
      </c>
      <c r="R689" t="s">
        <v>506</v>
      </c>
      <c r="S689" t="s">
        <v>3204</v>
      </c>
      <c r="T689" t="s">
        <v>1178</v>
      </c>
      <c r="U689" t="s">
        <v>1362</v>
      </c>
      <c r="V689" t="s">
        <v>1192</v>
      </c>
      <c r="W689" t="s">
        <v>3205</v>
      </c>
      <c r="X689" t="s">
        <v>599</v>
      </c>
      <c r="Y689" t="s">
        <v>599</v>
      </c>
      <c r="Z689" t="s">
        <v>1182</v>
      </c>
      <c r="AA689" t="s">
        <v>3206</v>
      </c>
      <c r="AB689">
        <v>1931</v>
      </c>
      <c r="AC689">
        <v>1931</v>
      </c>
      <c r="AD689" t="s">
        <v>3207</v>
      </c>
      <c r="AE689" t="s">
        <v>1185</v>
      </c>
      <c r="AF689" t="s">
        <v>599</v>
      </c>
      <c r="AG689" t="s">
        <v>599</v>
      </c>
      <c r="AH689" t="s">
        <v>3208</v>
      </c>
      <c r="AI689" t="s">
        <v>599</v>
      </c>
      <c r="AJ689" t="s">
        <v>599</v>
      </c>
      <c r="AK689" t="s">
        <v>3209</v>
      </c>
      <c r="AL689" t="s">
        <v>599</v>
      </c>
      <c r="AM689" t="s">
        <v>3210</v>
      </c>
      <c r="AN689" t="s">
        <v>1190</v>
      </c>
      <c r="AO689" t="s">
        <v>599</v>
      </c>
      <c r="AP689" t="s">
        <v>599</v>
      </c>
      <c r="AQ689" t="s">
        <v>599</v>
      </c>
      <c r="AR689" t="s">
        <v>599</v>
      </c>
      <c r="AS689" t="s">
        <v>599</v>
      </c>
      <c r="AT689" t="s">
        <v>599</v>
      </c>
      <c r="AU689" t="s">
        <v>599</v>
      </c>
    </row>
    <row r="690" spans="1:47" ht="135" x14ac:dyDescent="0.25">
      <c r="A690" s="2">
        <v>11868</v>
      </c>
      <c r="B690" s="10">
        <v>1366577</v>
      </c>
      <c r="C690" s="10">
        <v>1</v>
      </c>
      <c r="D690" s="9">
        <v>32</v>
      </c>
      <c r="E690" s="11" t="s">
        <v>506</v>
      </c>
      <c r="F690" s="11" t="str">
        <f t="shared" si="30"/>
        <v>https://purl.pt/14465</v>
      </c>
      <c r="G690" s="12" t="s">
        <v>507</v>
      </c>
      <c r="H690" s="9" t="s">
        <v>508</v>
      </c>
      <c r="I690" s="34"/>
      <c r="J690" s="55" t="str">
        <f t="shared" si="31"/>
        <v>https://permalinkbnd.bnportugal.gov.pt/viewer/14594/?offset=#page=32&amp;viewer=picture&amp;o=info&amp;n=0&amp;q=</v>
      </c>
      <c r="K690" s="45"/>
      <c r="L690" s="45"/>
      <c r="M690" s="45"/>
      <c r="N690" t="s">
        <v>506</v>
      </c>
      <c r="O690">
        <v>14594</v>
      </c>
      <c r="P690" t="str">
        <f t="shared" si="32"/>
        <v>https://permalinkbnd.bnportugal.gov.pt/viewer/14594/?offset=#page=32&amp;viewer=picture&amp;o=info&amp;n=0&amp;q=</v>
      </c>
      <c r="Q690">
        <v>1366577</v>
      </c>
      <c r="R690" t="s">
        <v>506</v>
      </c>
      <c r="S690" t="s">
        <v>3204</v>
      </c>
      <c r="T690" t="s">
        <v>1178</v>
      </c>
      <c r="U690" t="s">
        <v>1362</v>
      </c>
      <c r="V690" t="s">
        <v>1192</v>
      </c>
      <c r="W690" t="s">
        <v>3205</v>
      </c>
      <c r="X690" t="s">
        <v>599</v>
      </c>
      <c r="Y690" t="s">
        <v>599</v>
      </c>
      <c r="Z690" t="s">
        <v>1182</v>
      </c>
      <c r="AA690" t="s">
        <v>3206</v>
      </c>
      <c r="AB690">
        <v>1931</v>
      </c>
      <c r="AC690">
        <v>1931</v>
      </c>
      <c r="AD690" t="s">
        <v>3207</v>
      </c>
      <c r="AE690" t="s">
        <v>1185</v>
      </c>
      <c r="AF690" t="s">
        <v>599</v>
      </c>
      <c r="AG690" t="s">
        <v>599</v>
      </c>
      <c r="AH690" t="s">
        <v>3208</v>
      </c>
      <c r="AI690" t="s">
        <v>599</v>
      </c>
      <c r="AJ690" t="s">
        <v>599</v>
      </c>
      <c r="AK690" t="s">
        <v>3209</v>
      </c>
      <c r="AL690" t="s">
        <v>599</v>
      </c>
      <c r="AM690" t="s">
        <v>3210</v>
      </c>
      <c r="AN690" t="s">
        <v>1190</v>
      </c>
      <c r="AO690" t="s">
        <v>599</v>
      </c>
      <c r="AP690" t="s">
        <v>599</v>
      </c>
      <c r="AQ690" t="s">
        <v>599</v>
      </c>
      <c r="AR690" t="s">
        <v>599</v>
      </c>
      <c r="AS690" t="s">
        <v>599</v>
      </c>
      <c r="AT690" t="s">
        <v>599</v>
      </c>
      <c r="AU690" t="s">
        <v>599</v>
      </c>
    </row>
    <row r="691" spans="1:47" ht="135" x14ac:dyDescent="0.25">
      <c r="A691" s="2">
        <v>11869</v>
      </c>
      <c r="B691" s="10">
        <v>1366577</v>
      </c>
      <c r="C691" s="10">
        <v>1</v>
      </c>
      <c r="D691" s="9">
        <v>54</v>
      </c>
      <c r="E691" s="11" t="s">
        <v>506</v>
      </c>
      <c r="F691" s="11" t="str">
        <f t="shared" si="30"/>
        <v>https://purl.pt/14465</v>
      </c>
      <c r="G691" s="12" t="s">
        <v>507</v>
      </c>
      <c r="H691" s="9" t="s">
        <v>508</v>
      </c>
      <c r="I691" s="34"/>
      <c r="J691" s="55" t="str">
        <f t="shared" si="31"/>
        <v>https://permalinkbnd.bnportugal.gov.pt/viewer/14594/?offset=#page=54&amp;viewer=picture&amp;o=info&amp;n=0&amp;q=</v>
      </c>
      <c r="K691" s="45"/>
      <c r="L691" s="45"/>
      <c r="M691" s="45"/>
      <c r="N691" t="s">
        <v>506</v>
      </c>
      <c r="O691">
        <v>14594</v>
      </c>
      <c r="P691" t="str">
        <f t="shared" si="32"/>
        <v>https://permalinkbnd.bnportugal.gov.pt/viewer/14594/?offset=#page=54&amp;viewer=picture&amp;o=info&amp;n=0&amp;q=</v>
      </c>
      <c r="Q691">
        <v>1366577</v>
      </c>
      <c r="R691" t="s">
        <v>506</v>
      </c>
      <c r="S691" t="s">
        <v>3204</v>
      </c>
      <c r="T691" t="s">
        <v>1178</v>
      </c>
      <c r="U691" t="s">
        <v>1362</v>
      </c>
      <c r="V691" t="s">
        <v>1192</v>
      </c>
      <c r="W691" t="s">
        <v>3205</v>
      </c>
      <c r="X691" t="s">
        <v>599</v>
      </c>
      <c r="Y691" t="s">
        <v>599</v>
      </c>
      <c r="Z691" t="s">
        <v>1182</v>
      </c>
      <c r="AA691" t="s">
        <v>3206</v>
      </c>
      <c r="AB691">
        <v>1931</v>
      </c>
      <c r="AC691">
        <v>1931</v>
      </c>
      <c r="AD691" t="s">
        <v>3207</v>
      </c>
      <c r="AE691" t="s">
        <v>1185</v>
      </c>
      <c r="AF691" t="s">
        <v>599</v>
      </c>
      <c r="AG691" t="s">
        <v>599</v>
      </c>
      <c r="AH691" t="s">
        <v>3208</v>
      </c>
      <c r="AI691" t="s">
        <v>599</v>
      </c>
      <c r="AJ691" t="s">
        <v>599</v>
      </c>
      <c r="AK691" t="s">
        <v>3209</v>
      </c>
      <c r="AL691" t="s">
        <v>599</v>
      </c>
      <c r="AM691" t="s">
        <v>3210</v>
      </c>
      <c r="AN691" t="s">
        <v>1190</v>
      </c>
      <c r="AO691" t="s">
        <v>599</v>
      </c>
      <c r="AP691" t="s">
        <v>599</v>
      </c>
      <c r="AQ691" t="s">
        <v>599</v>
      </c>
      <c r="AR691" t="s">
        <v>599</v>
      </c>
      <c r="AS691" t="s">
        <v>599</v>
      </c>
      <c r="AT691" t="s">
        <v>599</v>
      </c>
      <c r="AU691" t="s">
        <v>599</v>
      </c>
    </row>
    <row r="692" spans="1:47" ht="135" x14ac:dyDescent="0.25">
      <c r="A692" s="2">
        <v>11870</v>
      </c>
      <c r="B692" s="10">
        <v>1366577</v>
      </c>
      <c r="C692" s="10">
        <v>1</v>
      </c>
      <c r="D692" s="9">
        <v>78</v>
      </c>
      <c r="E692" s="11" t="s">
        <v>506</v>
      </c>
      <c r="F692" s="11" t="str">
        <f t="shared" si="30"/>
        <v>https://purl.pt/14465</v>
      </c>
      <c r="G692" s="12" t="s">
        <v>507</v>
      </c>
      <c r="H692" s="9" t="s">
        <v>508</v>
      </c>
      <c r="I692" s="34"/>
      <c r="J692" s="55" t="str">
        <f t="shared" si="31"/>
        <v>https://permalinkbnd.bnportugal.gov.pt/viewer/14594/?offset=#page=78&amp;viewer=picture&amp;o=info&amp;n=0&amp;q=</v>
      </c>
      <c r="K692" s="45"/>
      <c r="L692" s="45"/>
      <c r="M692" s="45"/>
      <c r="N692" t="s">
        <v>506</v>
      </c>
      <c r="O692">
        <v>14594</v>
      </c>
      <c r="P692" t="str">
        <f t="shared" si="32"/>
        <v>https://permalinkbnd.bnportugal.gov.pt/viewer/14594/?offset=#page=78&amp;viewer=picture&amp;o=info&amp;n=0&amp;q=</v>
      </c>
      <c r="Q692">
        <v>1366577</v>
      </c>
      <c r="R692" t="s">
        <v>506</v>
      </c>
      <c r="S692" t="s">
        <v>3204</v>
      </c>
      <c r="T692" t="s">
        <v>1178</v>
      </c>
      <c r="U692" t="s">
        <v>1362</v>
      </c>
      <c r="V692" t="s">
        <v>1192</v>
      </c>
      <c r="W692" t="s">
        <v>3205</v>
      </c>
      <c r="X692" t="s">
        <v>599</v>
      </c>
      <c r="Y692" t="s">
        <v>599</v>
      </c>
      <c r="Z692" t="s">
        <v>1182</v>
      </c>
      <c r="AA692" t="s">
        <v>3206</v>
      </c>
      <c r="AB692">
        <v>1931</v>
      </c>
      <c r="AC692">
        <v>1931</v>
      </c>
      <c r="AD692" t="s">
        <v>3207</v>
      </c>
      <c r="AE692" t="s">
        <v>1185</v>
      </c>
      <c r="AF692" t="s">
        <v>599</v>
      </c>
      <c r="AG692" t="s">
        <v>599</v>
      </c>
      <c r="AH692" t="s">
        <v>3208</v>
      </c>
      <c r="AI692" t="s">
        <v>599</v>
      </c>
      <c r="AJ692" t="s">
        <v>599</v>
      </c>
      <c r="AK692" t="s">
        <v>3209</v>
      </c>
      <c r="AL692" t="s">
        <v>599</v>
      </c>
      <c r="AM692" t="s">
        <v>3210</v>
      </c>
      <c r="AN692" t="s">
        <v>1190</v>
      </c>
      <c r="AO692" t="s">
        <v>599</v>
      </c>
      <c r="AP692" t="s">
        <v>599</v>
      </c>
      <c r="AQ692" t="s">
        <v>599</v>
      </c>
      <c r="AR692" t="s">
        <v>599</v>
      </c>
      <c r="AS692" t="s">
        <v>599</v>
      </c>
      <c r="AT692" t="s">
        <v>599</v>
      </c>
      <c r="AU692" t="s">
        <v>599</v>
      </c>
    </row>
    <row r="693" spans="1:47" ht="135" x14ac:dyDescent="0.25">
      <c r="A693" s="2">
        <v>11871</v>
      </c>
      <c r="B693" s="10">
        <v>1366577</v>
      </c>
      <c r="C693" s="10">
        <v>1</v>
      </c>
      <c r="D693" s="9">
        <v>106</v>
      </c>
      <c r="E693" s="11" t="s">
        <v>506</v>
      </c>
      <c r="F693" s="11" t="str">
        <f t="shared" si="30"/>
        <v>https://purl.pt/14465</v>
      </c>
      <c r="G693" s="12" t="s">
        <v>507</v>
      </c>
      <c r="H693" s="9" t="s">
        <v>508</v>
      </c>
      <c r="I693" s="34"/>
      <c r="J693" s="55" t="str">
        <f t="shared" si="31"/>
        <v>https://permalinkbnd.bnportugal.gov.pt/viewer/14594/?offset=#page=106&amp;viewer=picture&amp;o=info&amp;n=0&amp;q=</v>
      </c>
      <c r="K693" s="45"/>
      <c r="L693" s="45"/>
      <c r="M693" s="45"/>
      <c r="N693" t="s">
        <v>506</v>
      </c>
      <c r="O693">
        <v>14594</v>
      </c>
      <c r="P693" t="str">
        <f t="shared" si="32"/>
        <v>https://permalinkbnd.bnportugal.gov.pt/viewer/14594/?offset=#page=106&amp;viewer=picture&amp;o=info&amp;n=0&amp;q=</v>
      </c>
      <c r="Q693">
        <v>1366577</v>
      </c>
      <c r="R693" t="s">
        <v>506</v>
      </c>
      <c r="S693" t="s">
        <v>3204</v>
      </c>
      <c r="T693" t="s">
        <v>1178</v>
      </c>
      <c r="U693" t="s">
        <v>1362</v>
      </c>
      <c r="V693" t="s">
        <v>1192</v>
      </c>
      <c r="W693" t="s">
        <v>3205</v>
      </c>
      <c r="X693" t="s">
        <v>599</v>
      </c>
      <c r="Y693" t="s">
        <v>599</v>
      </c>
      <c r="Z693" t="s">
        <v>1182</v>
      </c>
      <c r="AA693" t="s">
        <v>3206</v>
      </c>
      <c r="AB693">
        <v>1931</v>
      </c>
      <c r="AC693">
        <v>1931</v>
      </c>
      <c r="AD693" t="s">
        <v>3207</v>
      </c>
      <c r="AE693" t="s">
        <v>1185</v>
      </c>
      <c r="AF693" t="s">
        <v>599</v>
      </c>
      <c r="AG693" t="s">
        <v>599</v>
      </c>
      <c r="AH693" t="s">
        <v>3208</v>
      </c>
      <c r="AI693" t="s">
        <v>599</v>
      </c>
      <c r="AJ693" t="s">
        <v>599</v>
      </c>
      <c r="AK693" t="s">
        <v>3209</v>
      </c>
      <c r="AL693" t="s">
        <v>599</v>
      </c>
      <c r="AM693" t="s">
        <v>3210</v>
      </c>
      <c r="AN693" t="s">
        <v>1190</v>
      </c>
      <c r="AO693" t="s">
        <v>599</v>
      </c>
      <c r="AP693" t="s">
        <v>599</v>
      </c>
      <c r="AQ693" t="s">
        <v>599</v>
      </c>
      <c r="AR693" t="s">
        <v>599</v>
      </c>
      <c r="AS693" t="s">
        <v>599</v>
      </c>
      <c r="AT693" t="s">
        <v>599</v>
      </c>
      <c r="AU693" t="s">
        <v>599</v>
      </c>
    </row>
    <row r="694" spans="1:47" ht="135" x14ac:dyDescent="0.25">
      <c r="A694" s="2">
        <v>11872</v>
      </c>
      <c r="B694" s="10">
        <v>1366577</v>
      </c>
      <c r="C694" s="10">
        <v>1</v>
      </c>
      <c r="D694" s="9">
        <v>128</v>
      </c>
      <c r="E694" s="11" t="s">
        <v>506</v>
      </c>
      <c r="F694" s="11" t="str">
        <f t="shared" si="30"/>
        <v>https://purl.pt/14465</v>
      </c>
      <c r="G694" s="12" t="s">
        <v>507</v>
      </c>
      <c r="H694" s="9" t="s">
        <v>508</v>
      </c>
      <c r="I694" s="34"/>
      <c r="J694" s="55" t="str">
        <f t="shared" si="31"/>
        <v>https://permalinkbnd.bnportugal.gov.pt/viewer/14594/?offset=#page=128&amp;viewer=picture&amp;o=info&amp;n=0&amp;q=</v>
      </c>
      <c r="K694" s="45"/>
      <c r="L694" s="45"/>
      <c r="M694" s="45"/>
      <c r="N694" t="s">
        <v>506</v>
      </c>
      <c r="O694">
        <v>14594</v>
      </c>
      <c r="P694" t="str">
        <f t="shared" si="32"/>
        <v>https://permalinkbnd.bnportugal.gov.pt/viewer/14594/?offset=#page=128&amp;viewer=picture&amp;o=info&amp;n=0&amp;q=</v>
      </c>
      <c r="Q694">
        <v>1366577</v>
      </c>
      <c r="R694" t="s">
        <v>506</v>
      </c>
      <c r="S694" t="s">
        <v>3204</v>
      </c>
      <c r="T694" t="s">
        <v>1178</v>
      </c>
      <c r="U694" t="s">
        <v>1362</v>
      </c>
      <c r="V694" t="s">
        <v>1192</v>
      </c>
      <c r="W694" t="s">
        <v>3205</v>
      </c>
      <c r="X694" t="s">
        <v>599</v>
      </c>
      <c r="Y694" t="s">
        <v>599</v>
      </c>
      <c r="Z694" t="s">
        <v>1182</v>
      </c>
      <c r="AA694" t="s">
        <v>3206</v>
      </c>
      <c r="AB694">
        <v>1931</v>
      </c>
      <c r="AC694">
        <v>1931</v>
      </c>
      <c r="AD694" t="s">
        <v>3207</v>
      </c>
      <c r="AE694" t="s">
        <v>1185</v>
      </c>
      <c r="AF694" t="s">
        <v>599</v>
      </c>
      <c r="AG694" t="s">
        <v>599</v>
      </c>
      <c r="AH694" t="s">
        <v>3208</v>
      </c>
      <c r="AI694" t="s">
        <v>599</v>
      </c>
      <c r="AJ694" t="s">
        <v>599</v>
      </c>
      <c r="AK694" t="s">
        <v>3209</v>
      </c>
      <c r="AL694" t="s">
        <v>599</v>
      </c>
      <c r="AM694" t="s">
        <v>3210</v>
      </c>
      <c r="AN694" t="s">
        <v>1190</v>
      </c>
      <c r="AO694" t="s">
        <v>599</v>
      </c>
      <c r="AP694" t="s">
        <v>599</v>
      </c>
      <c r="AQ694" t="s">
        <v>599</v>
      </c>
      <c r="AR694" t="s">
        <v>599</v>
      </c>
      <c r="AS694" t="s">
        <v>599</v>
      </c>
      <c r="AT694" t="s">
        <v>599</v>
      </c>
      <c r="AU694" t="s">
        <v>599</v>
      </c>
    </row>
    <row r="695" spans="1:47" ht="135" x14ac:dyDescent="0.25">
      <c r="A695" s="2">
        <v>11873</v>
      </c>
      <c r="B695" s="10">
        <v>1366577</v>
      </c>
      <c r="C695" s="10">
        <v>1</v>
      </c>
      <c r="D695" s="9">
        <v>129</v>
      </c>
      <c r="E695" s="11" t="s">
        <v>506</v>
      </c>
      <c r="F695" s="11" t="str">
        <f t="shared" si="30"/>
        <v>https://purl.pt/14465</v>
      </c>
      <c r="G695" s="12" t="s">
        <v>507</v>
      </c>
      <c r="H695" s="9" t="s">
        <v>508</v>
      </c>
      <c r="I695" s="34"/>
      <c r="J695" s="55" t="str">
        <f t="shared" si="31"/>
        <v>https://permalinkbnd.bnportugal.gov.pt/viewer/14594/?offset=#page=129&amp;viewer=picture&amp;o=info&amp;n=0&amp;q=</v>
      </c>
      <c r="K695" s="45"/>
      <c r="L695" s="45"/>
      <c r="M695" s="45"/>
      <c r="N695" t="s">
        <v>506</v>
      </c>
      <c r="O695">
        <v>14594</v>
      </c>
      <c r="P695" t="str">
        <f t="shared" si="32"/>
        <v>https://permalinkbnd.bnportugal.gov.pt/viewer/14594/?offset=#page=129&amp;viewer=picture&amp;o=info&amp;n=0&amp;q=</v>
      </c>
      <c r="Q695">
        <v>1366577</v>
      </c>
      <c r="R695" t="s">
        <v>506</v>
      </c>
      <c r="S695" t="s">
        <v>3204</v>
      </c>
      <c r="T695" t="s">
        <v>1178</v>
      </c>
      <c r="U695" t="s">
        <v>1362</v>
      </c>
      <c r="V695" t="s">
        <v>1192</v>
      </c>
      <c r="W695" t="s">
        <v>3205</v>
      </c>
      <c r="X695" t="s">
        <v>599</v>
      </c>
      <c r="Y695" t="s">
        <v>599</v>
      </c>
      <c r="Z695" t="s">
        <v>1182</v>
      </c>
      <c r="AA695" t="s">
        <v>3206</v>
      </c>
      <c r="AB695">
        <v>1931</v>
      </c>
      <c r="AC695">
        <v>1931</v>
      </c>
      <c r="AD695" t="s">
        <v>3207</v>
      </c>
      <c r="AE695" t="s">
        <v>1185</v>
      </c>
      <c r="AF695" t="s">
        <v>599</v>
      </c>
      <c r="AG695" t="s">
        <v>599</v>
      </c>
      <c r="AH695" t="s">
        <v>3208</v>
      </c>
      <c r="AI695" t="s">
        <v>599</v>
      </c>
      <c r="AJ695" t="s">
        <v>599</v>
      </c>
      <c r="AK695" t="s">
        <v>3209</v>
      </c>
      <c r="AL695" t="s">
        <v>599</v>
      </c>
      <c r="AM695" t="s">
        <v>3210</v>
      </c>
      <c r="AN695" t="s">
        <v>1190</v>
      </c>
      <c r="AO695" t="s">
        <v>599</v>
      </c>
      <c r="AP695" t="s">
        <v>599</v>
      </c>
      <c r="AQ695" t="s">
        <v>599</v>
      </c>
      <c r="AR695" t="s">
        <v>599</v>
      </c>
      <c r="AS695" t="s">
        <v>599</v>
      </c>
      <c r="AT695" t="s">
        <v>599</v>
      </c>
      <c r="AU695" t="s">
        <v>599</v>
      </c>
    </row>
    <row r="696" spans="1:47" ht="135" x14ac:dyDescent="0.25">
      <c r="A696" s="2">
        <v>11874</v>
      </c>
      <c r="B696" s="10">
        <v>1366577</v>
      </c>
      <c r="C696" s="10">
        <v>1</v>
      </c>
      <c r="D696" s="9">
        <v>150</v>
      </c>
      <c r="E696" s="11" t="s">
        <v>506</v>
      </c>
      <c r="F696" s="11" t="str">
        <f t="shared" si="30"/>
        <v>https://purl.pt/14465</v>
      </c>
      <c r="G696" s="12" t="s">
        <v>507</v>
      </c>
      <c r="H696" s="9" t="s">
        <v>508</v>
      </c>
      <c r="I696" s="34"/>
      <c r="J696" s="55" t="str">
        <f t="shared" si="31"/>
        <v>https://permalinkbnd.bnportugal.gov.pt/viewer/14594/?offset=#page=150&amp;viewer=picture&amp;o=info&amp;n=0&amp;q=</v>
      </c>
      <c r="K696" s="45"/>
      <c r="L696" s="45"/>
      <c r="M696" s="45"/>
      <c r="N696" t="s">
        <v>506</v>
      </c>
      <c r="O696">
        <v>14594</v>
      </c>
      <c r="P696" t="str">
        <f t="shared" si="32"/>
        <v>https://permalinkbnd.bnportugal.gov.pt/viewer/14594/?offset=#page=150&amp;viewer=picture&amp;o=info&amp;n=0&amp;q=</v>
      </c>
      <c r="Q696">
        <v>1366577</v>
      </c>
      <c r="R696" t="s">
        <v>506</v>
      </c>
      <c r="S696" t="s">
        <v>3204</v>
      </c>
      <c r="T696" t="s">
        <v>1178</v>
      </c>
      <c r="U696" t="s">
        <v>1362</v>
      </c>
      <c r="V696" t="s">
        <v>1192</v>
      </c>
      <c r="W696" t="s">
        <v>3205</v>
      </c>
      <c r="X696" t="s">
        <v>599</v>
      </c>
      <c r="Y696" t="s">
        <v>599</v>
      </c>
      <c r="Z696" t="s">
        <v>1182</v>
      </c>
      <c r="AA696" t="s">
        <v>3206</v>
      </c>
      <c r="AB696">
        <v>1931</v>
      </c>
      <c r="AC696">
        <v>1931</v>
      </c>
      <c r="AD696" t="s">
        <v>3207</v>
      </c>
      <c r="AE696" t="s">
        <v>1185</v>
      </c>
      <c r="AF696" t="s">
        <v>599</v>
      </c>
      <c r="AG696" t="s">
        <v>599</v>
      </c>
      <c r="AH696" t="s">
        <v>3208</v>
      </c>
      <c r="AI696" t="s">
        <v>599</v>
      </c>
      <c r="AJ696" t="s">
        <v>599</v>
      </c>
      <c r="AK696" t="s">
        <v>3209</v>
      </c>
      <c r="AL696" t="s">
        <v>599</v>
      </c>
      <c r="AM696" t="s">
        <v>3210</v>
      </c>
      <c r="AN696" t="s">
        <v>1190</v>
      </c>
      <c r="AO696" t="s">
        <v>599</v>
      </c>
      <c r="AP696" t="s">
        <v>599</v>
      </c>
      <c r="AQ696" t="s">
        <v>599</v>
      </c>
      <c r="AR696" t="s">
        <v>599</v>
      </c>
      <c r="AS696" t="s">
        <v>599</v>
      </c>
      <c r="AT696" t="s">
        <v>599</v>
      </c>
      <c r="AU696" t="s">
        <v>599</v>
      </c>
    </row>
    <row r="697" spans="1:47" ht="135" x14ac:dyDescent="0.25">
      <c r="A697" s="2">
        <v>11875</v>
      </c>
      <c r="B697" s="10">
        <v>1366577</v>
      </c>
      <c r="C697" s="10">
        <v>1</v>
      </c>
      <c r="D697" s="9">
        <v>151</v>
      </c>
      <c r="E697" s="11" t="s">
        <v>506</v>
      </c>
      <c r="F697" s="11" t="str">
        <f t="shared" si="30"/>
        <v>https://purl.pt/14465</v>
      </c>
      <c r="G697" s="12" t="s">
        <v>507</v>
      </c>
      <c r="H697" s="9" t="s">
        <v>508</v>
      </c>
      <c r="I697" s="34"/>
      <c r="J697" s="55" t="str">
        <f t="shared" si="31"/>
        <v>https://permalinkbnd.bnportugal.gov.pt/viewer/14594/?offset=#page=151&amp;viewer=picture&amp;o=info&amp;n=0&amp;q=</v>
      </c>
      <c r="K697" s="45"/>
      <c r="L697" s="45"/>
      <c r="M697" s="45"/>
      <c r="N697" t="s">
        <v>506</v>
      </c>
      <c r="O697">
        <v>14594</v>
      </c>
      <c r="P697" t="str">
        <f t="shared" si="32"/>
        <v>https://permalinkbnd.bnportugal.gov.pt/viewer/14594/?offset=#page=151&amp;viewer=picture&amp;o=info&amp;n=0&amp;q=</v>
      </c>
      <c r="Q697">
        <v>1366577</v>
      </c>
      <c r="R697" t="s">
        <v>506</v>
      </c>
      <c r="S697" t="s">
        <v>3204</v>
      </c>
      <c r="T697" t="s">
        <v>1178</v>
      </c>
      <c r="U697" t="s">
        <v>1362</v>
      </c>
      <c r="V697" t="s">
        <v>1192</v>
      </c>
      <c r="W697" t="s">
        <v>3205</v>
      </c>
      <c r="X697" t="s">
        <v>599</v>
      </c>
      <c r="Y697" t="s">
        <v>599</v>
      </c>
      <c r="Z697" t="s">
        <v>1182</v>
      </c>
      <c r="AA697" t="s">
        <v>3206</v>
      </c>
      <c r="AB697">
        <v>1931</v>
      </c>
      <c r="AC697">
        <v>1931</v>
      </c>
      <c r="AD697" t="s">
        <v>3207</v>
      </c>
      <c r="AE697" t="s">
        <v>1185</v>
      </c>
      <c r="AF697" t="s">
        <v>599</v>
      </c>
      <c r="AG697" t="s">
        <v>599</v>
      </c>
      <c r="AH697" t="s">
        <v>3208</v>
      </c>
      <c r="AI697" t="s">
        <v>599</v>
      </c>
      <c r="AJ697" t="s">
        <v>599</v>
      </c>
      <c r="AK697" t="s">
        <v>3209</v>
      </c>
      <c r="AL697" t="s">
        <v>599</v>
      </c>
      <c r="AM697" t="s">
        <v>3210</v>
      </c>
      <c r="AN697" t="s">
        <v>1190</v>
      </c>
      <c r="AO697" t="s">
        <v>599</v>
      </c>
      <c r="AP697" t="s">
        <v>599</v>
      </c>
      <c r="AQ697" t="s">
        <v>599</v>
      </c>
      <c r="AR697" t="s">
        <v>599</v>
      </c>
      <c r="AS697" t="s">
        <v>599</v>
      </c>
      <c r="AT697" t="s">
        <v>599</v>
      </c>
      <c r="AU697" t="s">
        <v>599</v>
      </c>
    </row>
    <row r="698" spans="1:47" ht="135" x14ac:dyDescent="0.25">
      <c r="A698" s="2">
        <v>11876</v>
      </c>
      <c r="B698" s="10">
        <v>1366577</v>
      </c>
      <c r="C698" s="10">
        <v>1</v>
      </c>
      <c r="D698" s="9">
        <v>170</v>
      </c>
      <c r="E698" s="11" t="s">
        <v>506</v>
      </c>
      <c r="F698" s="11" t="str">
        <f t="shared" si="30"/>
        <v>https://purl.pt/14465</v>
      </c>
      <c r="G698" s="12" t="s">
        <v>507</v>
      </c>
      <c r="H698" s="9" t="s">
        <v>508</v>
      </c>
      <c r="I698" s="34"/>
      <c r="J698" s="55" t="str">
        <f t="shared" si="31"/>
        <v>https://permalinkbnd.bnportugal.gov.pt/viewer/14594/?offset=#page=170&amp;viewer=picture&amp;o=info&amp;n=0&amp;q=</v>
      </c>
      <c r="K698" s="45"/>
      <c r="L698" s="45"/>
      <c r="M698" s="45"/>
      <c r="N698" t="s">
        <v>506</v>
      </c>
      <c r="O698">
        <v>14594</v>
      </c>
      <c r="P698" t="str">
        <f t="shared" si="32"/>
        <v>https://permalinkbnd.bnportugal.gov.pt/viewer/14594/?offset=#page=170&amp;viewer=picture&amp;o=info&amp;n=0&amp;q=</v>
      </c>
      <c r="Q698">
        <v>1366577</v>
      </c>
      <c r="R698" t="s">
        <v>506</v>
      </c>
      <c r="S698" t="s">
        <v>3204</v>
      </c>
      <c r="T698" t="s">
        <v>1178</v>
      </c>
      <c r="U698" t="s">
        <v>1362</v>
      </c>
      <c r="V698" t="s">
        <v>1192</v>
      </c>
      <c r="W698" t="s">
        <v>3205</v>
      </c>
      <c r="X698" t="s">
        <v>599</v>
      </c>
      <c r="Y698" t="s">
        <v>599</v>
      </c>
      <c r="Z698" t="s">
        <v>1182</v>
      </c>
      <c r="AA698" t="s">
        <v>3206</v>
      </c>
      <c r="AB698">
        <v>1931</v>
      </c>
      <c r="AC698">
        <v>1931</v>
      </c>
      <c r="AD698" t="s">
        <v>3207</v>
      </c>
      <c r="AE698" t="s">
        <v>1185</v>
      </c>
      <c r="AF698" t="s">
        <v>599</v>
      </c>
      <c r="AG698" t="s">
        <v>599</v>
      </c>
      <c r="AH698" t="s">
        <v>3208</v>
      </c>
      <c r="AI698" t="s">
        <v>599</v>
      </c>
      <c r="AJ698" t="s">
        <v>599</v>
      </c>
      <c r="AK698" t="s">
        <v>3209</v>
      </c>
      <c r="AL698" t="s">
        <v>599</v>
      </c>
      <c r="AM698" t="s">
        <v>3210</v>
      </c>
      <c r="AN698" t="s">
        <v>1190</v>
      </c>
      <c r="AO698" t="s">
        <v>599</v>
      </c>
      <c r="AP698" t="s">
        <v>599</v>
      </c>
      <c r="AQ698" t="s">
        <v>599</v>
      </c>
      <c r="AR698" t="s">
        <v>599</v>
      </c>
      <c r="AS698" t="s">
        <v>599</v>
      </c>
      <c r="AT698" t="s">
        <v>599</v>
      </c>
      <c r="AU698" t="s">
        <v>599</v>
      </c>
    </row>
    <row r="699" spans="1:47" ht="135" x14ac:dyDescent="0.25">
      <c r="A699" s="2">
        <v>11877</v>
      </c>
      <c r="B699" s="10">
        <v>1366577</v>
      </c>
      <c r="C699" s="10">
        <v>1</v>
      </c>
      <c r="D699" s="9">
        <v>171</v>
      </c>
      <c r="E699" s="11" t="s">
        <v>506</v>
      </c>
      <c r="F699" s="11" t="str">
        <f t="shared" si="30"/>
        <v>https://purl.pt/14465</v>
      </c>
      <c r="G699" s="12" t="s">
        <v>507</v>
      </c>
      <c r="H699" s="9" t="s">
        <v>508</v>
      </c>
      <c r="I699" s="34"/>
      <c r="J699" s="55" t="str">
        <f t="shared" si="31"/>
        <v>https://permalinkbnd.bnportugal.gov.pt/viewer/14594/?offset=#page=171&amp;viewer=picture&amp;o=info&amp;n=0&amp;q=</v>
      </c>
      <c r="K699" s="45"/>
      <c r="L699" s="45"/>
      <c r="M699" s="45"/>
      <c r="N699" t="s">
        <v>506</v>
      </c>
      <c r="O699">
        <v>14594</v>
      </c>
      <c r="P699" t="str">
        <f t="shared" si="32"/>
        <v>https://permalinkbnd.bnportugal.gov.pt/viewer/14594/?offset=#page=171&amp;viewer=picture&amp;o=info&amp;n=0&amp;q=</v>
      </c>
      <c r="Q699">
        <v>1366577</v>
      </c>
      <c r="R699" t="s">
        <v>506</v>
      </c>
      <c r="S699" t="s">
        <v>3204</v>
      </c>
      <c r="T699" t="s">
        <v>1178</v>
      </c>
      <c r="U699" t="s">
        <v>1362</v>
      </c>
      <c r="V699" t="s">
        <v>1192</v>
      </c>
      <c r="W699" t="s">
        <v>3205</v>
      </c>
      <c r="X699" t="s">
        <v>599</v>
      </c>
      <c r="Y699" t="s">
        <v>599</v>
      </c>
      <c r="Z699" t="s">
        <v>1182</v>
      </c>
      <c r="AA699" t="s">
        <v>3206</v>
      </c>
      <c r="AB699">
        <v>1931</v>
      </c>
      <c r="AC699">
        <v>1931</v>
      </c>
      <c r="AD699" t="s">
        <v>3207</v>
      </c>
      <c r="AE699" t="s">
        <v>1185</v>
      </c>
      <c r="AF699" t="s">
        <v>599</v>
      </c>
      <c r="AG699" t="s">
        <v>599</v>
      </c>
      <c r="AH699" t="s">
        <v>3208</v>
      </c>
      <c r="AI699" t="s">
        <v>599</v>
      </c>
      <c r="AJ699" t="s">
        <v>599</v>
      </c>
      <c r="AK699" t="s">
        <v>3209</v>
      </c>
      <c r="AL699" t="s">
        <v>599</v>
      </c>
      <c r="AM699" t="s">
        <v>3210</v>
      </c>
      <c r="AN699" t="s">
        <v>1190</v>
      </c>
      <c r="AO699" t="s">
        <v>599</v>
      </c>
      <c r="AP699" t="s">
        <v>599</v>
      </c>
      <c r="AQ699" t="s">
        <v>599</v>
      </c>
      <c r="AR699" t="s">
        <v>599</v>
      </c>
      <c r="AS699" t="s">
        <v>599</v>
      </c>
      <c r="AT699" t="s">
        <v>599</v>
      </c>
      <c r="AU699" t="s">
        <v>599</v>
      </c>
    </row>
    <row r="700" spans="1:47" ht="135" x14ac:dyDescent="0.25">
      <c r="A700" s="2">
        <v>11878</v>
      </c>
      <c r="B700" s="10">
        <v>1366577</v>
      </c>
      <c r="C700" s="10">
        <v>1</v>
      </c>
      <c r="D700" s="9">
        <v>188</v>
      </c>
      <c r="E700" s="11" t="s">
        <v>506</v>
      </c>
      <c r="F700" s="11" t="str">
        <f t="shared" si="30"/>
        <v>https://purl.pt/14465</v>
      </c>
      <c r="G700" s="12" t="s">
        <v>507</v>
      </c>
      <c r="H700" s="9" t="s">
        <v>508</v>
      </c>
      <c r="I700" s="34"/>
      <c r="J700" s="55" t="str">
        <f t="shared" si="31"/>
        <v>https://permalinkbnd.bnportugal.gov.pt/viewer/14594/?offset=#page=188&amp;viewer=picture&amp;o=info&amp;n=0&amp;q=</v>
      </c>
      <c r="K700" s="45"/>
      <c r="L700" s="45"/>
      <c r="M700" s="45"/>
      <c r="N700" t="s">
        <v>506</v>
      </c>
      <c r="O700">
        <v>14594</v>
      </c>
      <c r="P700" t="str">
        <f t="shared" si="32"/>
        <v>https://permalinkbnd.bnportugal.gov.pt/viewer/14594/?offset=#page=188&amp;viewer=picture&amp;o=info&amp;n=0&amp;q=</v>
      </c>
      <c r="Q700">
        <v>1366577</v>
      </c>
      <c r="R700" t="s">
        <v>506</v>
      </c>
      <c r="S700" t="s">
        <v>3204</v>
      </c>
      <c r="T700" t="s">
        <v>1178</v>
      </c>
      <c r="U700" t="s">
        <v>1362</v>
      </c>
      <c r="V700" t="s">
        <v>1192</v>
      </c>
      <c r="W700" t="s">
        <v>3205</v>
      </c>
      <c r="X700" t="s">
        <v>599</v>
      </c>
      <c r="Y700" t="s">
        <v>599</v>
      </c>
      <c r="Z700" t="s">
        <v>1182</v>
      </c>
      <c r="AA700" t="s">
        <v>3206</v>
      </c>
      <c r="AB700">
        <v>1931</v>
      </c>
      <c r="AC700">
        <v>1931</v>
      </c>
      <c r="AD700" t="s">
        <v>3207</v>
      </c>
      <c r="AE700" t="s">
        <v>1185</v>
      </c>
      <c r="AF700" t="s">
        <v>599</v>
      </c>
      <c r="AG700" t="s">
        <v>599</v>
      </c>
      <c r="AH700" t="s">
        <v>3208</v>
      </c>
      <c r="AI700" t="s">
        <v>599</v>
      </c>
      <c r="AJ700" t="s">
        <v>599</v>
      </c>
      <c r="AK700" t="s">
        <v>3209</v>
      </c>
      <c r="AL700" t="s">
        <v>599</v>
      </c>
      <c r="AM700" t="s">
        <v>3210</v>
      </c>
      <c r="AN700" t="s">
        <v>1190</v>
      </c>
      <c r="AO700" t="s">
        <v>599</v>
      </c>
      <c r="AP700" t="s">
        <v>599</v>
      </c>
      <c r="AQ700" t="s">
        <v>599</v>
      </c>
      <c r="AR700" t="s">
        <v>599</v>
      </c>
      <c r="AS700" t="s">
        <v>599</v>
      </c>
      <c r="AT700" t="s">
        <v>599</v>
      </c>
      <c r="AU700" t="s">
        <v>599</v>
      </c>
    </row>
    <row r="701" spans="1:47" ht="135" x14ac:dyDescent="0.25">
      <c r="A701" s="2">
        <v>11879</v>
      </c>
      <c r="B701" s="10">
        <v>1366577</v>
      </c>
      <c r="C701" s="10">
        <v>1</v>
      </c>
      <c r="D701" s="9">
        <v>189</v>
      </c>
      <c r="E701" s="11" t="s">
        <v>506</v>
      </c>
      <c r="F701" s="11" t="str">
        <f t="shared" si="30"/>
        <v>https://purl.pt/14465</v>
      </c>
      <c r="G701" s="12" t="s">
        <v>507</v>
      </c>
      <c r="H701" s="9" t="s">
        <v>508</v>
      </c>
      <c r="I701" s="34"/>
      <c r="J701" s="55" t="str">
        <f t="shared" si="31"/>
        <v>https://permalinkbnd.bnportugal.gov.pt/viewer/14594/?offset=#page=189&amp;viewer=picture&amp;o=info&amp;n=0&amp;q=</v>
      </c>
      <c r="K701" s="45"/>
      <c r="L701" s="45"/>
      <c r="M701" s="45"/>
      <c r="N701" t="s">
        <v>506</v>
      </c>
      <c r="O701">
        <v>14594</v>
      </c>
      <c r="P701" t="str">
        <f t="shared" si="32"/>
        <v>https://permalinkbnd.bnportugal.gov.pt/viewer/14594/?offset=#page=189&amp;viewer=picture&amp;o=info&amp;n=0&amp;q=</v>
      </c>
      <c r="Q701">
        <v>1366577</v>
      </c>
      <c r="R701" t="s">
        <v>506</v>
      </c>
      <c r="S701" t="s">
        <v>3204</v>
      </c>
      <c r="T701" t="s">
        <v>1178</v>
      </c>
      <c r="U701" t="s">
        <v>1362</v>
      </c>
      <c r="V701" t="s">
        <v>1192</v>
      </c>
      <c r="W701" t="s">
        <v>3205</v>
      </c>
      <c r="X701" t="s">
        <v>599</v>
      </c>
      <c r="Y701" t="s">
        <v>599</v>
      </c>
      <c r="Z701" t="s">
        <v>1182</v>
      </c>
      <c r="AA701" t="s">
        <v>3206</v>
      </c>
      <c r="AB701">
        <v>1931</v>
      </c>
      <c r="AC701">
        <v>1931</v>
      </c>
      <c r="AD701" t="s">
        <v>3207</v>
      </c>
      <c r="AE701" t="s">
        <v>1185</v>
      </c>
      <c r="AF701" t="s">
        <v>599</v>
      </c>
      <c r="AG701" t="s">
        <v>599</v>
      </c>
      <c r="AH701" t="s">
        <v>3208</v>
      </c>
      <c r="AI701" t="s">
        <v>599</v>
      </c>
      <c r="AJ701" t="s">
        <v>599</v>
      </c>
      <c r="AK701" t="s">
        <v>3209</v>
      </c>
      <c r="AL701" t="s">
        <v>599</v>
      </c>
      <c r="AM701" t="s">
        <v>3210</v>
      </c>
      <c r="AN701" t="s">
        <v>1190</v>
      </c>
      <c r="AO701" t="s">
        <v>599</v>
      </c>
      <c r="AP701" t="s">
        <v>599</v>
      </c>
      <c r="AQ701" t="s">
        <v>599</v>
      </c>
      <c r="AR701" t="s">
        <v>599</v>
      </c>
      <c r="AS701" t="s">
        <v>599</v>
      </c>
      <c r="AT701" t="s">
        <v>599</v>
      </c>
      <c r="AU701" t="s">
        <v>599</v>
      </c>
    </row>
    <row r="702" spans="1:47" ht="135" x14ac:dyDescent="0.25">
      <c r="A702" s="2">
        <v>11880</v>
      </c>
      <c r="B702" s="10">
        <v>1366577</v>
      </c>
      <c r="C702" s="10">
        <v>1</v>
      </c>
      <c r="D702" s="9">
        <v>208</v>
      </c>
      <c r="E702" s="11" t="s">
        <v>506</v>
      </c>
      <c r="F702" s="11" t="str">
        <f t="shared" si="30"/>
        <v>https://purl.pt/14465</v>
      </c>
      <c r="G702" s="12" t="s">
        <v>507</v>
      </c>
      <c r="H702" s="9" t="s">
        <v>508</v>
      </c>
      <c r="I702" s="34"/>
      <c r="J702" s="55" t="str">
        <f t="shared" si="31"/>
        <v>https://permalinkbnd.bnportugal.gov.pt/viewer/14594/?offset=#page=208&amp;viewer=picture&amp;o=info&amp;n=0&amp;q=</v>
      </c>
      <c r="K702" s="45"/>
      <c r="L702" s="45"/>
      <c r="M702" s="45"/>
      <c r="N702" t="s">
        <v>506</v>
      </c>
      <c r="O702">
        <v>14594</v>
      </c>
      <c r="P702" t="str">
        <f t="shared" si="32"/>
        <v>https://permalinkbnd.bnportugal.gov.pt/viewer/14594/?offset=#page=208&amp;viewer=picture&amp;o=info&amp;n=0&amp;q=</v>
      </c>
      <c r="Q702">
        <v>1366577</v>
      </c>
      <c r="R702" t="s">
        <v>506</v>
      </c>
      <c r="S702" t="s">
        <v>3204</v>
      </c>
      <c r="T702" t="s">
        <v>1178</v>
      </c>
      <c r="U702" t="s">
        <v>1362</v>
      </c>
      <c r="V702" t="s">
        <v>1192</v>
      </c>
      <c r="W702" t="s">
        <v>3205</v>
      </c>
      <c r="X702" t="s">
        <v>599</v>
      </c>
      <c r="Y702" t="s">
        <v>599</v>
      </c>
      <c r="Z702" t="s">
        <v>1182</v>
      </c>
      <c r="AA702" t="s">
        <v>3206</v>
      </c>
      <c r="AB702">
        <v>1931</v>
      </c>
      <c r="AC702">
        <v>1931</v>
      </c>
      <c r="AD702" t="s">
        <v>3207</v>
      </c>
      <c r="AE702" t="s">
        <v>1185</v>
      </c>
      <c r="AF702" t="s">
        <v>599</v>
      </c>
      <c r="AG702" t="s">
        <v>599</v>
      </c>
      <c r="AH702" t="s">
        <v>3208</v>
      </c>
      <c r="AI702" t="s">
        <v>599</v>
      </c>
      <c r="AJ702" t="s">
        <v>599</v>
      </c>
      <c r="AK702" t="s">
        <v>3209</v>
      </c>
      <c r="AL702" t="s">
        <v>599</v>
      </c>
      <c r="AM702" t="s">
        <v>3210</v>
      </c>
      <c r="AN702" t="s">
        <v>1190</v>
      </c>
      <c r="AO702" t="s">
        <v>599</v>
      </c>
      <c r="AP702" t="s">
        <v>599</v>
      </c>
      <c r="AQ702" t="s">
        <v>599</v>
      </c>
      <c r="AR702" t="s">
        <v>599</v>
      </c>
      <c r="AS702" t="s">
        <v>599</v>
      </c>
      <c r="AT702" t="s">
        <v>599</v>
      </c>
      <c r="AU702" t="s">
        <v>599</v>
      </c>
    </row>
    <row r="703" spans="1:47" ht="135" x14ac:dyDescent="0.25">
      <c r="A703" s="2">
        <v>11881</v>
      </c>
      <c r="B703" s="10">
        <v>1366577</v>
      </c>
      <c r="C703" s="10">
        <v>1</v>
      </c>
      <c r="D703" s="9">
        <v>209</v>
      </c>
      <c r="E703" s="11" t="s">
        <v>506</v>
      </c>
      <c r="F703" s="11" t="str">
        <f t="shared" si="30"/>
        <v>https://purl.pt/14465</v>
      </c>
      <c r="G703" s="12" t="s">
        <v>507</v>
      </c>
      <c r="H703" s="9" t="s">
        <v>508</v>
      </c>
      <c r="I703" s="34"/>
      <c r="J703" s="55" t="str">
        <f t="shared" si="31"/>
        <v>https://permalinkbnd.bnportugal.gov.pt/viewer/14594/?offset=#page=209&amp;viewer=picture&amp;o=info&amp;n=0&amp;q=</v>
      </c>
      <c r="K703" s="45"/>
      <c r="L703" s="45"/>
      <c r="M703" s="45"/>
      <c r="N703" t="s">
        <v>506</v>
      </c>
      <c r="O703">
        <v>14594</v>
      </c>
      <c r="P703" t="str">
        <f t="shared" si="32"/>
        <v>https://permalinkbnd.bnportugal.gov.pt/viewer/14594/?offset=#page=209&amp;viewer=picture&amp;o=info&amp;n=0&amp;q=</v>
      </c>
      <c r="Q703">
        <v>1366577</v>
      </c>
      <c r="R703" t="s">
        <v>506</v>
      </c>
      <c r="S703" t="s">
        <v>3204</v>
      </c>
      <c r="T703" t="s">
        <v>1178</v>
      </c>
      <c r="U703" t="s">
        <v>1362</v>
      </c>
      <c r="V703" t="s">
        <v>1192</v>
      </c>
      <c r="W703" t="s">
        <v>3205</v>
      </c>
      <c r="X703" t="s">
        <v>599</v>
      </c>
      <c r="Y703" t="s">
        <v>599</v>
      </c>
      <c r="Z703" t="s">
        <v>1182</v>
      </c>
      <c r="AA703" t="s">
        <v>3206</v>
      </c>
      <c r="AB703">
        <v>1931</v>
      </c>
      <c r="AC703">
        <v>1931</v>
      </c>
      <c r="AD703" t="s">
        <v>3207</v>
      </c>
      <c r="AE703" t="s">
        <v>1185</v>
      </c>
      <c r="AF703" t="s">
        <v>599</v>
      </c>
      <c r="AG703" t="s">
        <v>599</v>
      </c>
      <c r="AH703" t="s">
        <v>3208</v>
      </c>
      <c r="AI703" t="s">
        <v>599</v>
      </c>
      <c r="AJ703" t="s">
        <v>599</v>
      </c>
      <c r="AK703" t="s">
        <v>3209</v>
      </c>
      <c r="AL703" t="s">
        <v>599</v>
      </c>
      <c r="AM703" t="s">
        <v>3210</v>
      </c>
      <c r="AN703" t="s">
        <v>1190</v>
      </c>
      <c r="AO703" t="s">
        <v>599</v>
      </c>
      <c r="AP703" t="s">
        <v>599</v>
      </c>
      <c r="AQ703" t="s">
        <v>599</v>
      </c>
      <c r="AR703" t="s">
        <v>599</v>
      </c>
      <c r="AS703" t="s">
        <v>599</v>
      </c>
      <c r="AT703" t="s">
        <v>599</v>
      </c>
      <c r="AU703" t="s">
        <v>599</v>
      </c>
    </row>
    <row r="704" spans="1:47" ht="135" x14ac:dyDescent="0.25">
      <c r="A704" s="2">
        <v>11882</v>
      </c>
      <c r="B704" s="10">
        <v>1366577</v>
      </c>
      <c r="C704" s="10">
        <v>1</v>
      </c>
      <c r="D704" s="9">
        <v>228</v>
      </c>
      <c r="E704" s="11" t="s">
        <v>506</v>
      </c>
      <c r="F704" s="11" t="str">
        <f t="shared" ref="F704:F767" si="33">HYPERLINK(E704)</f>
        <v>https://purl.pt/14465</v>
      </c>
      <c r="G704" s="12" t="s">
        <v>507</v>
      </c>
      <c r="H704" s="9" t="s">
        <v>508</v>
      </c>
      <c r="I704" s="34"/>
      <c r="J704" s="55" t="str">
        <f t="shared" si="31"/>
        <v>https://permalinkbnd.bnportugal.gov.pt/viewer/14594/?offset=#page=228&amp;viewer=picture&amp;o=info&amp;n=0&amp;q=</v>
      </c>
      <c r="K704" s="45"/>
      <c r="L704" s="45"/>
      <c r="M704" s="45"/>
      <c r="N704" t="s">
        <v>506</v>
      </c>
      <c r="O704">
        <v>14594</v>
      </c>
      <c r="P704" t="str">
        <f t="shared" si="32"/>
        <v>https://permalinkbnd.bnportugal.gov.pt/viewer/14594/?offset=#page=228&amp;viewer=picture&amp;o=info&amp;n=0&amp;q=</v>
      </c>
      <c r="Q704">
        <v>1366577</v>
      </c>
      <c r="R704" t="s">
        <v>506</v>
      </c>
      <c r="S704" t="s">
        <v>3204</v>
      </c>
      <c r="T704" t="s">
        <v>1178</v>
      </c>
      <c r="U704" t="s">
        <v>1362</v>
      </c>
      <c r="V704" t="s">
        <v>1192</v>
      </c>
      <c r="W704" t="s">
        <v>3205</v>
      </c>
      <c r="X704" t="s">
        <v>599</v>
      </c>
      <c r="Y704" t="s">
        <v>599</v>
      </c>
      <c r="Z704" t="s">
        <v>1182</v>
      </c>
      <c r="AA704" t="s">
        <v>3206</v>
      </c>
      <c r="AB704">
        <v>1931</v>
      </c>
      <c r="AC704">
        <v>1931</v>
      </c>
      <c r="AD704" t="s">
        <v>3207</v>
      </c>
      <c r="AE704" t="s">
        <v>1185</v>
      </c>
      <c r="AF704" t="s">
        <v>599</v>
      </c>
      <c r="AG704" t="s">
        <v>599</v>
      </c>
      <c r="AH704" t="s">
        <v>3208</v>
      </c>
      <c r="AI704" t="s">
        <v>599</v>
      </c>
      <c r="AJ704" t="s">
        <v>599</v>
      </c>
      <c r="AK704" t="s">
        <v>3209</v>
      </c>
      <c r="AL704" t="s">
        <v>599</v>
      </c>
      <c r="AM704" t="s">
        <v>3210</v>
      </c>
      <c r="AN704" t="s">
        <v>1190</v>
      </c>
      <c r="AO704" t="s">
        <v>599</v>
      </c>
      <c r="AP704" t="s">
        <v>599</v>
      </c>
      <c r="AQ704" t="s">
        <v>599</v>
      </c>
      <c r="AR704" t="s">
        <v>599</v>
      </c>
      <c r="AS704" t="s">
        <v>599</v>
      </c>
      <c r="AT704" t="s">
        <v>599</v>
      </c>
      <c r="AU704" t="s">
        <v>599</v>
      </c>
    </row>
    <row r="705" spans="1:47" ht="135" x14ac:dyDescent="0.25">
      <c r="A705" s="2">
        <v>11883</v>
      </c>
      <c r="B705" s="10">
        <v>1366577</v>
      </c>
      <c r="C705" s="10">
        <v>1</v>
      </c>
      <c r="D705" s="9">
        <v>229</v>
      </c>
      <c r="E705" s="11" t="s">
        <v>506</v>
      </c>
      <c r="F705" s="11" t="str">
        <f t="shared" si="33"/>
        <v>https://purl.pt/14465</v>
      </c>
      <c r="G705" s="12" t="s">
        <v>507</v>
      </c>
      <c r="H705" s="9" t="s">
        <v>508</v>
      </c>
      <c r="I705" s="34"/>
      <c r="J705" s="55" t="str">
        <f t="shared" si="31"/>
        <v>https://permalinkbnd.bnportugal.gov.pt/viewer/14594/?offset=#page=229&amp;viewer=picture&amp;o=info&amp;n=0&amp;q=</v>
      </c>
      <c r="K705" s="45"/>
      <c r="L705" s="45"/>
      <c r="M705" s="45"/>
      <c r="N705" t="s">
        <v>506</v>
      </c>
      <c r="O705">
        <v>14594</v>
      </c>
      <c r="P705" t="str">
        <f t="shared" si="32"/>
        <v>https://permalinkbnd.bnportugal.gov.pt/viewer/14594/?offset=#page=229&amp;viewer=picture&amp;o=info&amp;n=0&amp;q=</v>
      </c>
      <c r="Q705">
        <v>1366577</v>
      </c>
      <c r="R705" t="s">
        <v>506</v>
      </c>
      <c r="S705" t="s">
        <v>3204</v>
      </c>
      <c r="T705" t="s">
        <v>1178</v>
      </c>
      <c r="U705" t="s">
        <v>1362</v>
      </c>
      <c r="V705" t="s">
        <v>1192</v>
      </c>
      <c r="W705" t="s">
        <v>3205</v>
      </c>
      <c r="X705" t="s">
        <v>599</v>
      </c>
      <c r="Y705" t="s">
        <v>599</v>
      </c>
      <c r="Z705" t="s">
        <v>1182</v>
      </c>
      <c r="AA705" t="s">
        <v>3206</v>
      </c>
      <c r="AB705">
        <v>1931</v>
      </c>
      <c r="AC705">
        <v>1931</v>
      </c>
      <c r="AD705" t="s">
        <v>3207</v>
      </c>
      <c r="AE705" t="s">
        <v>1185</v>
      </c>
      <c r="AF705" t="s">
        <v>599</v>
      </c>
      <c r="AG705" t="s">
        <v>599</v>
      </c>
      <c r="AH705" t="s">
        <v>3208</v>
      </c>
      <c r="AI705" t="s">
        <v>599</v>
      </c>
      <c r="AJ705" t="s">
        <v>599</v>
      </c>
      <c r="AK705" t="s">
        <v>3209</v>
      </c>
      <c r="AL705" t="s">
        <v>599</v>
      </c>
      <c r="AM705" t="s">
        <v>3210</v>
      </c>
      <c r="AN705" t="s">
        <v>1190</v>
      </c>
      <c r="AO705" t="s">
        <v>599</v>
      </c>
      <c r="AP705" t="s">
        <v>599</v>
      </c>
      <c r="AQ705" t="s">
        <v>599</v>
      </c>
      <c r="AR705" t="s">
        <v>599</v>
      </c>
      <c r="AS705" t="s">
        <v>599</v>
      </c>
      <c r="AT705" t="s">
        <v>599</v>
      </c>
      <c r="AU705" t="s">
        <v>599</v>
      </c>
    </row>
    <row r="706" spans="1:47" ht="30" x14ac:dyDescent="0.25">
      <c r="A706" s="2">
        <v>11935</v>
      </c>
      <c r="B706" s="10">
        <v>1917811</v>
      </c>
      <c r="C706" s="10">
        <v>1</v>
      </c>
      <c r="D706" s="9">
        <v>1</v>
      </c>
      <c r="E706" s="11" t="s">
        <v>509</v>
      </c>
      <c r="F706" s="11" t="str">
        <f t="shared" si="33"/>
        <v>https://purl.pt/27836</v>
      </c>
      <c r="G706" s="12">
        <v>1</v>
      </c>
      <c r="H706" s="9">
        <v>1</v>
      </c>
      <c r="I706" s="34"/>
      <c r="J706" s="55" t="str">
        <f t="shared" si="31"/>
        <v>https://permalinkbnd.bnportugal.gov.pt/viewer/89062/?offset=#page=1&amp;viewer=picture&amp;o=info&amp;n=0&amp;q=</v>
      </c>
      <c r="K706" s="45"/>
      <c r="L706" s="45"/>
      <c r="M706" s="45"/>
      <c r="N706" t="s">
        <v>509</v>
      </c>
      <c r="O706">
        <v>89062</v>
      </c>
      <c r="P706" t="str">
        <f t="shared" si="32"/>
        <v>https://permalinkbnd.bnportugal.gov.pt/viewer/89062/?offset=#page=1&amp;viewer=picture&amp;o=info&amp;n=0&amp;q=</v>
      </c>
      <c r="Q706">
        <v>1917811</v>
      </c>
      <c r="R706" t="s">
        <v>509</v>
      </c>
      <c r="S706" t="s">
        <v>3211</v>
      </c>
      <c r="T706" t="s">
        <v>1312</v>
      </c>
      <c r="U706" t="s">
        <v>1502</v>
      </c>
      <c r="V706" t="s">
        <v>599</v>
      </c>
      <c r="W706" t="s">
        <v>3212</v>
      </c>
      <c r="X706" t="s">
        <v>3213</v>
      </c>
      <c r="Y706" t="s">
        <v>599</v>
      </c>
      <c r="Z706" t="s">
        <v>1182</v>
      </c>
      <c r="AA706" t="s">
        <v>3214</v>
      </c>
      <c r="AB706">
        <v>1980</v>
      </c>
      <c r="AC706">
        <v>1980</v>
      </c>
      <c r="AD706" t="s">
        <v>2056</v>
      </c>
      <c r="AE706" t="s">
        <v>599</v>
      </c>
      <c r="AF706" t="s">
        <v>599</v>
      </c>
      <c r="AG706" t="s">
        <v>599</v>
      </c>
      <c r="AH706" t="s">
        <v>599</v>
      </c>
      <c r="AI706" t="s">
        <v>599</v>
      </c>
      <c r="AJ706" t="s">
        <v>599</v>
      </c>
      <c r="AK706" t="s">
        <v>3215</v>
      </c>
      <c r="AL706" t="s">
        <v>599</v>
      </c>
      <c r="AM706" t="s">
        <v>3216</v>
      </c>
      <c r="AN706" t="s">
        <v>1190</v>
      </c>
      <c r="AO706" t="s">
        <v>599</v>
      </c>
      <c r="AP706" t="s">
        <v>599</v>
      </c>
      <c r="AQ706" t="s">
        <v>599</v>
      </c>
      <c r="AR706" t="s">
        <v>3217</v>
      </c>
      <c r="AS706" t="s">
        <v>599</v>
      </c>
      <c r="AT706" t="s">
        <v>599</v>
      </c>
      <c r="AU706" t="s">
        <v>599</v>
      </c>
    </row>
    <row r="707" spans="1:47" ht="30" x14ac:dyDescent="0.25">
      <c r="A707" s="2">
        <v>11981</v>
      </c>
      <c r="B707" s="10">
        <v>2186705</v>
      </c>
      <c r="C707" s="10">
        <v>1</v>
      </c>
      <c r="D707" s="9">
        <v>4</v>
      </c>
      <c r="E707" s="11" t="s">
        <v>510</v>
      </c>
      <c r="F707" s="11" t="str">
        <f t="shared" si="33"/>
        <v>https://purl.pt/43582</v>
      </c>
      <c r="G707" s="12" t="s">
        <v>511</v>
      </c>
      <c r="H707" s="9">
        <v>4</v>
      </c>
      <c r="I707" s="34"/>
      <c r="J707" s="55" t="str">
        <f t="shared" ref="J707:J770" si="34">HYPERLINK(P707)</f>
        <v>https://permalinkbnd.bnportugal.gov.pt/viewer/272813/?offset=#page=4&amp;viewer=picture&amp;o=info&amp;n=0&amp;q=</v>
      </c>
      <c r="K707" s="45"/>
      <c r="L707" s="45"/>
      <c r="M707" s="45"/>
      <c r="N707" t="s">
        <v>510</v>
      </c>
      <c r="O707">
        <v>272813</v>
      </c>
      <c r="P707" t="str">
        <f t="shared" ref="P707:P770" si="35">CONCATENATE("https://permalinkbnd.bnportugal.gov.pt/viewer/",O707,"/?offset=#page=",D707,"&amp;viewer=picture&amp;o=info&amp;n=0&amp;q=")</f>
        <v>https://permalinkbnd.bnportugal.gov.pt/viewer/272813/?offset=#page=4&amp;viewer=picture&amp;o=info&amp;n=0&amp;q=</v>
      </c>
      <c r="Q707">
        <v>2186705</v>
      </c>
      <c r="R707" t="s">
        <v>510</v>
      </c>
      <c r="S707" t="s">
        <v>3218</v>
      </c>
      <c r="T707" t="s">
        <v>1178</v>
      </c>
      <c r="U707" t="s">
        <v>1192</v>
      </c>
      <c r="V707" t="s">
        <v>599</v>
      </c>
      <c r="W707" t="s">
        <v>3219</v>
      </c>
      <c r="X707" t="s">
        <v>3220</v>
      </c>
      <c r="Y707" t="s">
        <v>599</v>
      </c>
      <c r="Z707" t="s">
        <v>1182</v>
      </c>
      <c r="AA707" t="s">
        <v>3221</v>
      </c>
      <c r="AB707">
        <v>1867</v>
      </c>
      <c r="AC707">
        <v>1867</v>
      </c>
      <c r="AD707" t="s">
        <v>3222</v>
      </c>
      <c r="AE707" t="s">
        <v>599</v>
      </c>
      <c r="AF707" t="s">
        <v>599</v>
      </c>
      <c r="AG707" t="s">
        <v>599</v>
      </c>
      <c r="AH707" t="s">
        <v>599</v>
      </c>
      <c r="AI707" t="s">
        <v>599</v>
      </c>
      <c r="AJ707" t="s">
        <v>599</v>
      </c>
      <c r="AK707" t="s">
        <v>3223</v>
      </c>
      <c r="AL707" t="s">
        <v>599</v>
      </c>
      <c r="AM707" t="s">
        <v>3224</v>
      </c>
      <c r="AN707" t="s">
        <v>1190</v>
      </c>
      <c r="AO707" t="s">
        <v>599</v>
      </c>
      <c r="AP707" t="s">
        <v>599</v>
      </c>
      <c r="AQ707" t="s">
        <v>3225</v>
      </c>
      <c r="AR707" t="s">
        <v>599</v>
      </c>
      <c r="AS707" t="s">
        <v>599</v>
      </c>
      <c r="AT707" t="s">
        <v>599</v>
      </c>
      <c r="AU707" t="s">
        <v>599</v>
      </c>
    </row>
    <row r="708" spans="1:47" ht="30" x14ac:dyDescent="0.25">
      <c r="A708" s="2">
        <v>12013</v>
      </c>
      <c r="B708" s="10">
        <v>252584</v>
      </c>
      <c r="C708" s="10">
        <v>1</v>
      </c>
      <c r="D708" s="9">
        <v>13</v>
      </c>
      <c r="E708" s="11" t="s">
        <v>512</v>
      </c>
      <c r="F708" s="11" t="str">
        <f t="shared" si="33"/>
        <v>https://purl.pt/44933</v>
      </c>
      <c r="G708" s="12" t="s">
        <v>152</v>
      </c>
      <c r="H708" s="9">
        <v>13</v>
      </c>
      <c r="I708" s="34"/>
      <c r="J708" s="55" t="str">
        <f t="shared" si="34"/>
        <v>https://permalinkbnd.bnportugal.gov.pt/viewer/279095/?offset=#page=13&amp;viewer=picture&amp;o=info&amp;n=0&amp;q=</v>
      </c>
      <c r="K708" s="45"/>
      <c r="L708" s="45"/>
      <c r="M708" s="45"/>
      <c r="N708" t="s">
        <v>512</v>
      </c>
      <c r="O708">
        <v>279095</v>
      </c>
      <c r="P708" t="str">
        <f t="shared" si="35"/>
        <v>https://permalinkbnd.bnportugal.gov.pt/viewer/279095/?offset=#page=13&amp;viewer=picture&amp;o=info&amp;n=0&amp;q=</v>
      </c>
      <c r="Q708">
        <v>252584</v>
      </c>
      <c r="R708" t="s">
        <v>512</v>
      </c>
      <c r="S708" t="s">
        <v>3226</v>
      </c>
      <c r="T708" t="s">
        <v>1178</v>
      </c>
      <c r="U708" t="s">
        <v>1192</v>
      </c>
      <c r="V708" t="s">
        <v>599</v>
      </c>
      <c r="W708" t="s">
        <v>3227</v>
      </c>
      <c r="X708" t="s">
        <v>599</v>
      </c>
      <c r="Y708" t="s">
        <v>599</v>
      </c>
      <c r="Z708" t="s">
        <v>1182</v>
      </c>
      <c r="AA708" t="s">
        <v>3228</v>
      </c>
      <c r="AB708">
        <v>1880</v>
      </c>
      <c r="AC708">
        <v>1880</v>
      </c>
      <c r="AD708" t="s">
        <v>1935</v>
      </c>
      <c r="AE708" t="s">
        <v>1185</v>
      </c>
      <c r="AF708" t="s">
        <v>599</v>
      </c>
      <c r="AG708" t="s">
        <v>599</v>
      </c>
      <c r="AH708" t="s">
        <v>3229</v>
      </c>
      <c r="AI708" t="s">
        <v>599</v>
      </c>
      <c r="AJ708" t="s">
        <v>599</v>
      </c>
      <c r="AK708" t="s">
        <v>3230</v>
      </c>
      <c r="AL708" t="s">
        <v>1188</v>
      </c>
      <c r="AM708" t="s">
        <v>3231</v>
      </c>
      <c r="AN708" t="s">
        <v>1190</v>
      </c>
      <c r="AO708" t="s">
        <v>599</v>
      </c>
      <c r="AP708" t="s">
        <v>599</v>
      </c>
      <c r="AQ708" t="s">
        <v>599</v>
      </c>
      <c r="AR708" t="s">
        <v>599</v>
      </c>
      <c r="AS708" t="s">
        <v>599</v>
      </c>
      <c r="AT708" t="s">
        <v>599</v>
      </c>
      <c r="AU708" t="s">
        <v>599</v>
      </c>
    </row>
    <row r="709" spans="1:47" ht="30" x14ac:dyDescent="0.25">
      <c r="A709" s="2">
        <v>12019</v>
      </c>
      <c r="B709" s="10">
        <v>370691</v>
      </c>
      <c r="C709" s="10">
        <v>1</v>
      </c>
      <c r="D709" s="9">
        <v>15</v>
      </c>
      <c r="E709" s="11" t="s">
        <v>513</v>
      </c>
      <c r="F709" s="11" t="str">
        <f t="shared" si="33"/>
        <v>https://purl.pt/44628</v>
      </c>
      <c r="G709" s="12" t="s">
        <v>514</v>
      </c>
      <c r="H709" s="9"/>
      <c r="I709" s="34"/>
      <c r="J709" s="55" t="str">
        <f t="shared" si="34"/>
        <v>https://permalinkbnd.bnportugal.gov.pt/viewer/278400/?offset=#page=15&amp;viewer=picture&amp;o=info&amp;n=0&amp;q=</v>
      </c>
      <c r="K709" s="45"/>
      <c r="L709" s="45"/>
      <c r="M709" s="45"/>
      <c r="N709" t="s">
        <v>513</v>
      </c>
      <c r="O709">
        <v>278400</v>
      </c>
      <c r="P709" t="str">
        <f t="shared" si="35"/>
        <v>https://permalinkbnd.bnportugal.gov.pt/viewer/278400/?offset=#page=15&amp;viewer=picture&amp;o=info&amp;n=0&amp;q=</v>
      </c>
      <c r="Q709">
        <v>370691</v>
      </c>
      <c r="R709" t="s">
        <v>513</v>
      </c>
      <c r="S709" t="s">
        <v>3232</v>
      </c>
      <c r="T709" t="s">
        <v>1178</v>
      </c>
      <c r="U709" t="s">
        <v>1192</v>
      </c>
      <c r="V709" t="s">
        <v>599</v>
      </c>
      <c r="W709" t="s">
        <v>3233</v>
      </c>
      <c r="X709" t="s">
        <v>599</v>
      </c>
      <c r="Y709" t="s">
        <v>599</v>
      </c>
      <c r="Z709" t="s">
        <v>1182</v>
      </c>
      <c r="AA709" t="s">
        <v>1571</v>
      </c>
      <c r="AB709">
        <v>1880</v>
      </c>
      <c r="AC709">
        <v>1880</v>
      </c>
      <c r="AD709" t="s">
        <v>1774</v>
      </c>
      <c r="AE709" t="s">
        <v>1185</v>
      </c>
      <c r="AF709" t="s">
        <v>599</v>
      </c>
      <c r="AG709" t="s">
        <v>599</v>
      </c>
      <c r="AH709" t="s">
        <v>599</v>
      </c>
      <c r="AI709" t="s">
        <v>599</v>
      </c>
      <c r="AJ709" t="s">
        <v>599</v>
      </c>
      <c r="AK709" t="s">
        <v>3234</v>
      </c>
      <c r="AL709" t="s">
        <v>1188</v>
      </c>
      <c r="AM709" t="s">
        <v>3235</v>
      </c>
      <c r="AN709" t="s">
        <v>1190</v>
      </c>
      <c r="AO709" t="s">
        <v>599</v>
      </c>
      <c r="AP709" t="s">
        <v>599</v>
      </c>
      <c r="AQ709" t="s">
        <v>599</v>
      </c>
      <c r="AR709" t="s">
        <v>599</v>
      </c>
      <c r="AS709" t="s">
        <v>599</v>
      </c>
      <c r="AT709" t="s">
        <v>599</v>
      </c>
      <c r="AU709" t="s">
        <v>599</v>
      </c>
    </row>
    <row r="710" spans="1:47" ht="30" x14ac:dyDescent="0.25">
      <c r="A710" s="2"/>
      <c r="B710" s="23">
        <v>370691</v>
      </c>
      <c r="C710" s="23">
        <v>1</v>
      </c>
      <c r="D710" s="27" t="s">
        <v>1135</v>
      </c>
      <c r="E710" s="24" t="s">
        <v>513</v>
      </c>
      <c r="F710" s="24" t="str">
        <f t="shared" si="33"/>
        <v>https://purl.pt/44628</v>
      </c>
      <c r="G710" s="25" t="s">
        <v>514</v>
      </c>
      <c r="H710" s="22"/>
      <c r="I710" s="27" t="s">
        <v>1139</v>
      </c>
      <c r="J710" s="55" t="str">
        <f t="shared" si="34"/>
        <v>https://permalinkbnd.bnportugal.gov.pt/viewer/278400/?offset=#page=117 vs. 109&amp;viewer=picture&amp;o=info&amp;n=0&amp;q=</v>
      </c>
      <c r="K710" s="45"/>
      <c r="L710" s="45"/>
      <c r="M710" s="45"/>
      <c r="N710" t="s">
        <v>513</v>
      </c>
      <c r="O710">
        <v>278400</v>
      </c>
      <c r="P710" t="str">
        <f t="shared" si="35"/>
        <v>https://permalinkbnd.bnportugal.gov.pt/viewer/278400/?offset=#page=117 vs. 109&amp;viewer=picture&amp;o=info&amp;n=0&amp;q=</v>
      </c>
      <c r="Q710">
        <v>370691</v>
      </c>
      <c r="R710" t="s">
        <v>513</v>
      </c>
      <c r="S710" t="s">
        <v>3232</v>
      </c>
      <c r="T710" t="s">
        <v>1178</v>
      </c>
      <c r="U710" t="s">
        <v>1192</v>
      </c>
      <c r="V710" t="s">
        <v>599</v>
      </c>
      <c r="W710" t="s">
        <v>3233</v>
      </c>
      <c r="X710" t="s">
        <v>599</v>
      </c>
      <c r="Y710" t="s">
        <v>599</v>
      </c>
      <c r="Z710" t="s">
        <v>1182</v>
      </c>
      <c r="AA710" t="s">
        <v>1571</v>
      </c>
      <c r="AB710">
        <v>1880</v>
      </c>
      <c r="AC710">
        <v>1880</v>
      </c>
      <c r="AD710" t="s">
        <v>1774</v>
      </c>
      <c r="AE710" t="s">
        <v>1185</v>
      </c>
      <c r="AF710" t="s">
        <v>599</v>
      </c>
      <c r="AG710" t="s">
        <v>599</v>
      </c>
      <c r="AH710" t="s">
        <v>599</v>
      </c>
      <c r="AI710" t="s">
        <v>599</v>
      </c>
      <c r="AJ710" t="s">
        <v>599</v>
      </c>
      <c r="AK710" t="s">
        <v>3234</v>
      </c>
      <c r="AL710" t="s">
        <v>1188</v>
      </c>
      <c r="AM710" t="s">
        <v>3235</v>
      </c>
      <c r="AN710" t="s">
        <v>1190</v>
      </c>
      <c r="AO710" t="s">
        <v>599</v>
      </c>
      <c r="AP710" t="s">
        <v>599</v>
      </c>
      <c r="AQ710" t="s">
        <v>599</v>
      </c>
      <c r="AR710" t="s">
        <v>599</v>
      </c>
      <c r="AS710" t="s">
        <v>599</v>
      </c>
      <c r="AT710" t="s">
        <v>599</v>
      </c>
      <c r="AU710" t="s">
        <v>599</v>
      </c>
    </row>
    <row r="711" spans="1:47" ht="30" x14ac:dyDescent="0.25">
      <c r="A711" s="2"/>
      <c r="B711" s="10">
        <v>370691</v>
      </c>
      <c r="C711" s="10">
        <v>1</v>
      </c>
      <c r="D711" s="9">
        <v>121</v>
      </c>
      <c r="E711" s="11" t="s">
        <v>513</v>
      </c>
      <c r="F711" s="11" t="str">
        <f t="shared" si="33"/>
        <v>https://purl.pt/44628</v>
      </c>
      <c r="G711" s="12" t="s">
        <v>514</v>
      </c>
      <c r="H711" s="9"/>
      <c r="I711" s="34"/>
      <c r="J711" s="55" t="str">
        <f t="shared" si="34"/>
        <v>https://permalinkbnd.bnportugal.gov.pt/viewer/278400/?offset=#page=121&amp;viewer=picture&amp;o=info&amp;n=0&amp;q=</v>
      </c>
      <c r="K711" s="45"/>
      <c r="L711" s="45"/>
      <c r="M711" s="45"/>
      <c r="N711" t="s">
        <v>513</v>
      </c>
      <c r="O711">
        <v>278400</v>
      </c>
      <c r="P711" t="str">
        <f t="shared" si="35"/>
        <v>https://permalinkbnd.bnportugal.gov.pt/viewer/278400/?offset=#page=121&amp;viewer=picture&amp;o=info&amp;n=0&amp;q=</v>
      </c>
      <c r="Q711">
        <v>370691</v>
      </c>
      <c r="R711" t="s">
        <v>513</v>
      </c>
      <c r="S711" t="s">
        <v>3232</v>
      </c>
      <c r="T711" t="s">
        <v>1178</v>
      </c>
      <c r="U711" t="s">
        <v>1192</v>
      </c>
      <c r="V711" t="s">
        <v>599</v>
      </c>
      <c r="W711" t="s">
        <v>3233</v>
      </c>
      <c r="X711" t="s">
        <v>599</v>
      </c>
      <c r="Y711" t="s">
        <v>599</v>
      </c>
      <c r="Z711" t="s">
        <v>1182</v>
      </c>
      <c r="AA711" t="s">
        <v>1571</v>
      </c>
      <c r="AB711">
        <v>1880</v>
      </c>
      <c r="AC711">
        <v>1880</v>
      </c>
      <c r="AD711" t="s">
        <v>1774</v>
      </c>
      <c r="AE711" t="s">
        <v>1185</v>
      </c>
      <c r="AF711" t="s">
        <v>599</v>
      </c>
      <c r="AG711" t="s">
        <v>599</v>
      </c>
      <c r="AH711" t="s">
        <v>599</v>
      </c>
      <c r="AI711" t="s">
        <v>599</v>
      </c>
      <c r="AJ711" t="s">
        <v>599</v>
      </c>
      <c r="AK711" t="s">
        <v>3234</v>
      </c>
      <c r="AL711" t="s">
        <v>1188</v>
      </c>
      <c r="AM711" t="s">
        <v>3235</v>
      </c>
      <c r="AN711" t="s">
        <v>1190</v>
      </c>
      <c r="AO711" t="s">
        <v>599</v>
      </c>
      <c r="AP711" t="s">
        <v>599</v>
      </c>
      <c r="AQ711" t="s">
        <v>599</v>
      </c>
      <c r="AR711" t="s">
        <v>599</v>
      </c>
      <c r="AS711" t="s">
        <v>599</v>
      </c>
      <c r="AT711" t="s">
        <v>599</v>
      </c>
      <c r="AU711" t="s">
        <v>599</v>
      </c>
    </row>
    <row r="712" spans="1:47" ht="30" x14ac:dyDescent="0.25">
      <c r="A712" s="2"/>
      <c r="B712" s="23">
        <v>370691</v>
      </c>
      <c r="C712" s="23">
        <v>1</v>
      </c>
      <c r="D712" s="27" t="s">
        <v>1136</v>
      </c>
      <c r="E712" s="24" t="s">
        <v>513</v>
      </c>
      <c r="F712" s="24" t="str">
        <f t="shared" si="33"/>
        <v>https://purl.pt/44628</v>
      </c>
      <c r="G712" s="25" t="s">
        <v>514</v>
      </c>
      <c r="H712" s="22"/>
      <c r="I712" s="27" t="s">
        <v>1140</v>
      </c>
      <c r="J712" s="55" t="str">
        <f t="shared" si="34"/>
        <v>https://permalinkbnd.bnportugal.gov.pt/viewer/278400/?offset=#page=153 vs. 135&amp;viewer=picture&amp;o=info&amp;n=0&amp;q=</v>
      </c>
      <c r="K712" s="45"/>
      <c r="L712" s="45"/>
      <c r="M712" s="45"/>
      <c r="N712" t="s">
        <v>513</v>
      </c>
      <c r="O712">
        <v>278400</v>
      </c>
      <c r="P712" t="str">
        <f t="shared" si="35"/>
        <v>https://permalinkbnd.bnportugal.gov.pt/viewer/278400/?offset=#page=153 vs. 135&amp;viewer=picture&amp;o=info&amp;n=0&amp;q=</v>
      </c>
      <c r="Q712">
        <v>370691</v>
      </c>
      <c r="R712" t="s">
        <v>513</v>
      </c>
      <c r="S712" t="s">
        <v>3232</v>
      </c>
      <c r="T712" t="s">
        <v>1178</v>
      </c>
      <c r="U712" t="s">
        <v>1192</v>
      </c>
      <c r="V712" t="s">
        <v>599</v>
      </c>
      <c r="W712" t="s">
        <v>3233</v>
      </c>
      <c r="X712" t="s">
        <v>599</v>
      </c>
      <c r="Y712" t="s">
        <v>599</v>
      </c>
      <c r="Z712" t="s">
        <v>1182</v>
      </c>
      <c r="AA712" t="s">
        <v>1571</v>
      </c>
      <c r="AB712">
        <v>1880</v>
      </c>
      <c r="AC712">
        <v>1880</v>
      </c>
      <c r="AD712" t="s">
        <v>1774</v>
      </c>
      <c r="AE712" t="s">
        <v>1185</v>
      </c>
      <c r="AF712" t="s">
        <v>599</v>
      </c>
      <c r="AG712" t="s">
        <v>599</v>
      </c>
      <c r="AH712" t="s">
        <v>599</v>
      </c>
      <c r="AI712" t="s">
        <v>599</v>
      </c>
      <c r="AJ712" t="s">
        <v>599</v>
      </c>
      <c r="AK712" t="s">
        <v>3234</v>
      </c>
      <c r="AL712" t="s">
        <v>1188</v>
      </c>
      <c r="AM712" t="s">
        <v>3235</v>
      </c>
      <c r="AN712" t="s">
        <v>1190</v>
      </c>
      <c r="AO712" t="s">
        <v>599</v>
      </c>
      <c r="AP712" t="s">
        <v>599</v>
      </c>
      <c r="AQ712" t="s">
        <v>599</v>
      </c>
      <c r="AR712" t="s">
        <v>599</v>
      </c>
      <c r="AS712" t="s">
        <v>599</v>
      </c>
      <c r="AT712" t="s">
        <v>599</v>
      </c>
      <c r="AU712" t="s">
        <v>599</v>
      </c>
    </row>
    <row r="713" spans="1:47" ht="30" x14ac:dyDescent="0.25">
      <c r="A713" s="2"/>
      <c r="B713" s="29">
        <v>370691</v>
      </c>
      <c r="C713" s="29">
        <v>1</v>
      </c>
      <c r="D713" s="28">
        <v>145</v>
      </c>
      <c r="E713" s="30" t="s">
        <v>513</v>
      </c>
      <c r="F713" s="30" t="str">
        <f t="shared" si="33"/>
        <v>https://purl.pt/44628</v>
      </c>
      <c r="G713" s="31" t="s">
        <v>514</v>
      </c>
      <c r="H713" s="28"/>
      <c r="I713" s="35" t="s">
        <v>613</v>
      </c>
      <c r="J713" s="55" t="str">
        <f t="shared" si="34"/>
        <v>https://permalinkbnd.bnportugal.gov.pt/viewer/278400/?offset=#page=145&amp;viewer=picture&amp;o=info&amp;n=0&amp;q=</v>
      </c>
      <c r="K713" s="45"/>
      <c r="L713" s="45"/>
      <c r="M713" s="45"/>
      <c r="N713" t="s">
        <v>513</v>
      </c>
      <c r="O713">
        <v>278400</v>
      </c>
      <c r="P713" t="str">
        <f t="shared" si="35"/>
        <v>https://permalinkbnd.bnportugal.gov.pt/viewer/278400/?offset=#page=145&amp;viewer=picture&amp;o=info&amp;n=0&amp;q=</v>
      </c>
      <c r="Q713">
        <v>370691</v>
      </c>
      <c r="R713" t="s">
        <v>513</v>
      </c>
      <c r="S713" t="s">
        <v>3232</v>
      </c>
      <c r="T713" t="s">
        <v>1178</v>
      </c>
      <c r="U713" t="s">
        <v>1192</v>
      </c>
      <c r="V713" t="s">
        <v>599</v>
      </c>
      <c r="W713" t="s">
        <v>3233</v>
      </c>
      <c r="X713" t="s">
        <v>599</v>
      </c>
      <c r="Y713" t="s">
        <v>599</v>
      </c>
      <c r="Z713" t="s">
        <v>1182</v>
      </c>
      <c r="AA713" t="s">
        <v>1571</v>
      </c>
      <c r="AB713">
        <v>1880</v>
      </c>
      <c r="AC713">
        <v>1880</v>
      </c>
      <c r="AD713" t="s">
        <v>1774</v>
      </c>
      <c r="AE713" t="s">
        <v>1185</v>
      </c>
      <c r="AF713" t="s">
        <v>599</v>
      </c>
      <c r="AG713" t="s">
        <v>599</v>
      </c>
      <c r="AH713" t="s">
        <v>599</v>
      </c>
      <c r="AI713" t="s">
        <v>599</v>
      </c>
      <c r="AJ713" t="s">
        <v>599</v>
      </c>
      <c r="AK713" t="s">
        <v>3234</v>
      </c>
      <c r="AL713" t="s">
        <v>1188</v>
      </c>
      <c r="AM713" t="s">
        <v>3235</v>
      </c>
      <c r="AN713" t="s">
        <v>1190</v>
      </c>
      <c r="AO713" t="s">
        <v>599</v>
      </c>
      <c r="AP713" t="s">
        <v>599</v>
      </c>
      <c r="AQ713" t="s">
        <v>599</v>
      </c>
      <c r="AR713" t="s">
        <v>599</v>
      </c>
      <c r="AS713" t="s">
        <v>599</v>
      </c>
      <c r="AT713" t="s">
        <v>599</v>
      </c>
      <c r="AU713" t="s">
        <v>599</v>
      </c>
    </row>
    <row r="714" spans="1:47" ht="30" x14ac:dyDescent="0.25">
      <c r="A714" s="2"/>
      <c r="B714" s="10">
        <v>370691</v>
      </c>
      <c r="C714" s="10">
        <v>1</v>
      </c>
      <c r="D714" s="9">
        <v>165</v>
      </c>
      <c r="E714" s="11" t="s">
        <v>513</v>
      </c>
      <c r="F714" s="11" t="str">
        <f t="shared" si="33"/>
        <v>https://purl.pt/44628</v>
      </c>
      <c r="G714" s="12" t="s">
        <v>514</v>
      </c>
      <c r="H714" s="9"/>
      <c r="I714" s="34"/>
      <c r="J714" s="55" t="str">
        <f t="shared" si="34"/>
        <v>https://permalinkbnd.bnportugal.gov.pt/viewer/278400/?offset=#page=165&amp;viewer=picture&amp;o=info&amp;n=0&amp;q=</v>
      </c>
      <c r="K714" s="45"/>
      <c r="L714" s="45"/>
      <c r="M714" s="45"/>
      <c r="N714" t="s">
        <v>513</v>
      </c>
      <c r="O714">
        <v>278400</v>
      </c>
      <c r="P714" t="str">
        <f t="shared" si="35"/>
        <v>https://permalinkbnd.bnportugal.gov.pt/viewer/278400/?offset=#page=165&amp;viewer=picture&amp;o=info&amp;n=0&amp;q=</v>
      </c>
      <c r="Q714">
        <v>370691</v>
      </c>
      <c r="R714" t="s">
        <v>513</v>
      </c>
      <c r="S714" t="s">
        <v>3232</v>
      </c>
      <c r="T714" t="s">
        <v>1178</v>
      </c>
      <c r="U714" t="s">
        <v>1192</v>
      </c>
      <c r="V714" t="s">
        <v>599</v>
      </c>
      <c r="W714" t="s">
        <v>3233</v>
      </c>
      <c r="X714" t="s">
        <v>599</v>
      </c>
      <c r="Y714" t="s">
        <v>599</v>
      </c>
      <c r="Z714" t="s">
        <v>1182</v>
      </c>
      <c r="AA714" t="s">
        <v>1571</v>
      </c>
      <c r="AB714">
        <v>1880</v>
      </c>
      <c r="AC714">
        <v>1880</v>
      </c>
      <c r="AD714" t="s">
        <v>1774</v>
      </c>
      <c r="AE714" t="s">
        <v>1185</v>
      </c>
      <c r="AF714" t="s">
        <v>599</v>
      </c>
      <c r="AG714" t="s">
        <v>599</v>
      </c>
      <c r="AH714" t="s">
        <v>599</v>
      </c>
      <c r="AI714" t="s">
        <v>599</v>
      </c>
      <c r="AJ714" t="s">
        <v>599</v>
      </c>
      <c r="AK714" t="s">
        <v>3234</v>
      </c>
      <c r="AL714" t="s">
        <v>1188</v>
      </c>
      <c r="AM714" t="s">
        <v>3235</v>
      </c>
      <c r="AN714" t="s">
        <v>1190</v>
      </c>
      <c r="AO714" t="s">
        <v>599</v>
      </c>
      <c r="AP714" t="s">
        <v>599</v>
      </c>
      <c r="AQ714" t="s">
        <v>599</v>
      </c>
      <c r="AR714" t="s">
        <v>599</v>
      </c>
      <c r="AS714" t="s">
        <v>599</v>
      </c>
      <c r="AT714" t="s">
        <v>599</v>
      </c>
      <c r="AU714" t="s">
        <v>599</v>
      </c>
    </row>
    <row r="715" spans="1:47" ht="30" x14ac:dyDescent="0.25">
      <c r="A715" s="2">
        <v>12026</v>
      </c>
      <c r="B715" s="10">
        <v>397797</v>
      </c>
      <c r="C715" s="10">
        <v>1</v>
      </c>
      <c r="D715" s="9">
        <v>5</v>
      </c>
      <c r="E715" s="11" t="s">
        <v>515</v>
      </c>
      <c r="F715" s="11" t="str">
        <f t="shared" si="33"/>
        <v>https://purl.pt/44736</v>
      </c>
      <c r="G715" s="12" t="s">
        <v>516</v>
      </c>
      <c r="H715" s="9"/>
      <c r="I715" s="34"/>
      <c r="J715" s="55" t="str">
        <f t="shared" si="34"/>
        <v>https://permalinkbnd.bnportugal.gov.pt/viewer/278662/?offset=#page=5&amp;viewer=picture&amp;o=info&amp;n=0&amp;q=</v>
      </c>
      <c r="K715" s="45"/>
      <c r="L715" s="45"/>
      <c r="M715" s="45"/>
      <c r="N715" t="s">
        <v>515</v>
      </c>
      <c r="O715">
        <v>278662</v>
      </c>
      <c r="P715" t="str">
        <f t="shared" si="35"/>
        <v>https://permalinkbnd.bnportugal.gov.pt/viewer/278662/?offset=#page=5&amp;viewer=picture&amp;o=info&amp;n=0&amp;q=</v>
      </c>
      <c r="Q715">
        <v>397797</v>
      </c>
      <c r="R715" t="s">
        <v>515</v>
      </c>
      <c r="S715" t="s">
        <v>3236</v>
      </c>
      <c r="T715" t="s">
        <v>1178</v>
      </c>
      <c r="U715" t="s">
        <v>1192</v>
      </c>
      <c r="V715" t="s">
        <v>599</v>
      </c>
      <c r="W715" t="s">
        <v>1193</v>
      </c>
      <c r="X715" t="s">
        <v>3237</v>
      </c>
      <c r="Y715" t="s">
        <v>599</v>
      </c>
      <c r="Z715" t="s">
        <v>1731</v>
      </c>
      <c r="AA715" t="s">
        <v>3238</v>
      </c>
      <c r="AB715">
        <v>1868</v>
      </c>
      <c r="AC715">
        <v>1868</v>
      </c>
      <c r="AD715" t="s">
        <v>3239</v>
      </c>
      <c r="AE715" t="s">
        <v>1185</v>
      </c>
      <c r="AF715" t="s">
        <v>599</v>
      </c>
      <c r="AG715" t="s">
        <v>599</v>
      </c>
      <c r="AH715" t="s">
        <v>599</v>
      </c>
      <c r="AI715" t="s">
        <v>599</v>
      </c>
      <c r="AJ715" t="s">
        <v>599</v>
      </c>
      <c r="AK715" t="s">
        <v>3240</v>
      </c>
      <c r="AL715" t="s">
        <v>1188</v>
      </c>
      <c r="AM715" t="s">
        <v>3241</v>
      </c>
      <c r="AN715" t="s">
        <v>1190</v>
      </c>
      <c r="AO715" t="s">
        <v>599</v>
      </c>
      <c r="AP715" t="s">
        <v>599</v>
      </c>
      <c r="AQ715" t="s">
        <v>599</v>
      </c>
      <c r="AR715" t="s">
        <v>599</v>
      </c>
      <c r="AS715" t="s">
        <v>599</v>
      </c>
      <c r="AT715" t="s">
        <v>599</v>
      </c>
      <c r="AU715" t="s">
        <v>599</v>
      </c>
    </row>
    <row r="716" spans="1:47" ht="30" x14ac:dyDescent="0.25">
      <c r="A716" s="2"/>
      <c r="B716" s="10">
        <v>397797</v>
      </c>
      <c r="C716" s="10">
        <v>1</v>
      </c>
      <c r="D716" s="9">
        <v>8</v>
      </c>
      <c r="E716" s="11" t="s">
        <v>515</v>
      </c>
      <c r="F716" s="11" t="str">
        <f t="shared" si="33"/>
        <v>https://purl.pt/44736</v>
      </c>
      <c r="G716" s="12" t="s">
        <v>516</v>
      </c>
      <c r="H716" s="9"/>
      <c r="I716" s="34"/>
      <c r="J716" s="55" t="str">
        <f t="shared" si="34"/>
        <v>https://permalinkbnd.bnportugal.gov.pt/viewer/278662/?offset=#page=8&amp;viewer=picture&amp;o=info&amp;n=0&amp;q=</v>
      </c>
      <c r="K716" s="45"/>
      <c r="L716" s="45"/>
      <c r="M716" s="45"/>
      <c r="N716" t="s">
        <v>515</v>
      </c>
      <c r="O716">
        <v>278662</v>
      </c>
      <c r="P716" t="str">
        <f t="shared" si="35"/>
        <v>https://permalinkbnd.bnportugal.gov.pt/viewer/278662/?offset=#page=8&amp;viewer=picture&amp;o=info&amp;n=0&amp;q=</v>
      </c>
      <c r="Q716">
        <v>397797</v>
      </c>
      <c r="R716" t="s">
        <v>515</v>
      </c>
      <c r="S716" t="s">
        <v>3236</v>
      </c>
      <c r="T716" t="s">
        <v>1178</v>
      </c>
      <c r="U716" t="s">
        <v>1192</v>
      </c>
      <c r="V716" t="s">
        <v>599</v>
      </c>
      <c r="W716" t="s">
        <v>1193</v>
      </c>
      <c r="X716" t="s">
        <v>3237</v>
      </c>
      <c r="Y716" t="s">
        <v>599</v>
      </c>
      <c r="Z716" t="s">
        <v>1731</v>
      </c>
      <c r="AA716" t="s">
        <v>3238</v>
      </c>
      <c r="AB716">
        <v>1868</v>
      </c>
      <c r="AC716">
        <v>1868</v>
      </c>
      <c r="AD716" t="s">
        <v>3239</v>
      </c>
      <c r="AE716" t="s">
        <v>1185</v>
      </c>
      <c r="AF716" t="s">
        <v>599</v>
      </c>
      <c r="AG716" t="s">
        <v>599</v>
      </c>
      <c r="AH716" t="s">
        <v>599</v>
      </c>
      <c r="AI716" t="s">
        <v>599</v>
      </c>
      <c r="AJ716" t="s">
        <v>599</v>
      </c>
      <c r="AK716" t="s">
        <v>3240</v>
      </c>
      <c r="AL716" t="s">
        <v>1188</v>
      </c>
      <c r="AM716" t="s">
        <v>3241</v>
      </c>
      <c r="AN716" t="s">
        <v>1190</v>
      </c>
      <c r="AO716" t="s">
        <v>599</v>
      </c>
      <c r="AP716" t="s">
        <v>599</v>
      </c>
      <c r="AQ716" t="s">
        <v>599</v>
      </c>
      <c r="AR716" t="s">
        <v>599</v>
      </c>
      <c r="AS716" t="s">
        <v>599</v>
      </c>
      <c r="AT716" t="s">
        <v>599</v>
      </c>
      <c r="AU716" t="s">
        <v>599</v>
      </c>
    </row>
    <row r="717" spans="1:47" ht="30" x14ac:dyDescent="0.25">
      <c r="A717" s="2">
        <v>12027</v>
      </c>
      <c r="B717" s="10">
        <v>397855</v>
      </c>
      <c r="C717" s="10">
        <v>1</v>
      </c>
      <c r="D717" s="9">
        <v>5</v>
      </c>
      <c r="E717" s="11" t="s">
        <v>517</v>
      </c>
      <c r="F717" s="11" t="str">
        <f t="shared" si="33"/>
        <v>https://purl.pt/44671</v>
      </c>
      <c r="G717" s="12" t="s">
        <v>143</v>
      </c>
      <c r="H717" s="9"/>
      <c r="I717" s="34"/>
      <c r="J717" s="55" t="str">
        <f t="shared" si="34"/>
        <v>https://permalinkbnd.bnportugal.gov.pt/viewer/278491/?offset=#page=5&amp;viewer=picture&amp;o=info&amp;n=0&amp;q=</v>
      </c>
      <c r="K717" s="45"/>
      <c r="L717" s="45"/>
      <c r="M717" s="45"/>
      <c r="N717" t="s">
        <v>517</v>
      </c>
      <c r="O717">
        <v>278491</v>
      </c>
      <c r="P717" t="str">
        <f t="shared" si="35"/>
        <v>https://permalinkbnd.bnportugal.gov.pt/viewer/278491/?offset=#page=5&amp;viewer=picture&amp;o=info&amp;n=0&amp;q=</v>
      </c>
      <c r="Q717">
        <v>397855</v>
      </c>
      <c r="R717" t="s">
        <v>517</v>
      </c>
      <c r="S717" t="s">
        <v>3242</v>
      </c>
      <c r="T717" t="s">
        <v>1178</v>
      </c>
      <c r="U717" t="s">
        <v>1192</v>
      </c>
      <c r="V717" t="s">
        <v>599</v>
      </c>
      <c r="W717" t="s">
        <v>3243</v>
      </c>
      <c r="X717" t="s">
        <v>599</v>
      </c>
      <c r="Y717" t="s">
        <v>599</v>
      </c>
      <c r="Z717" t="s">
        <v>1182</v>
      </c>
      <c r="AA717" t="s">
        <v>3244</v>
      </c>
      <c r="AB717">
        <v>1890</v>
      </c>
      <c r="AC717">
        <v>1890</v>
      </c>
      <c r="AD717" t="s">
        <v>3245</v>
      </c>
      <c r="AE717" t="s">
        <v>1185</v>
      </c>
      <c r="AF717" t="s">
        <v>599</v>
      </c>
      <c r="AG717" t="s">
        <v>599</v>
      </c>
      <c r="AH717" t="s">
        <v>3246</v>
      </c>
      <c r="AI717" t="s">
        <v>599</v>
      </c>
      <c r="AJ717" t="s">
        <v>599</v>
      </c>
      <c r="AK717" t="s">
        <v>3247</v>
      </c>
      <c r="AL717" t="s">
        <v>1188</v>
      </c>
      <c r="AM717" t="s">
        <v>3248</v>
      </c>
      <c r="AN717" t="s">
        <v>1190</v>
      </c>
      <c r="AO717" t="s">
        <v>599</v>
      </c>
      <c r="AP717" t="s">
        <v>599</v>
      </c>
      <c r="AQ717" t="s">
        <v>599</v>
      </c>
      <c r="AR717" t="s">
        <v>599</v>
      </c>
      <c r="AS717" t="s">
        <v>599</v>
      </c>
      <c r="AT717" t="s">
        <v>599</v>
      </c>
      <c r="AU717" t="s">
        <v>599</v>
      </c>
    </row>
    <row r="718" spans="1:47" ht="30" x14ac:dyDescent="0.25">
      <c r="A718" s="2">
        <v>12029</v>
      </c>
      <c r="B718" s="10">
        <v>397878</v>
      </c>
      <c r="C718" s="10">
        <v>1</v>
      </c>
      <c r="D718" s="9">
        <v>4</v>
      </c>
      <c r="E718" s="11" t="s">
        <v>518</v>
      </c>
      <c r="F718" s="11" t="str">
        <f t="shared" si="33"/>
        <v>https://purl.pt/44739</v>
      </c>
      <c r="G718" s="12" t="s">
        <v>519</v>
      </c>
      <c r="H718" s="9">
        <v>4</v>
      </c>
      <c r="I718" s="34"/>
      <c r="J718" s="55" t="str">
        <f t="shared" si="34"/>
        <v>https://permalinkbnd.bnportugal.gov.pt/viewer/278670/?offset=#page=4&amp;viewer=picture&amp;o=info&amp;n=0&amp;q=</v>
      </c>
      <c r="K718" s="45"/>
      <c r="L718" s="45"/>
      <c r="M718" s="45"/>
      <c r="N718" t="s">
        <v>518</v>
      </c>
      <c r="O718">
        <v>278670</v>
      </c>
      <c r="P718" t="str">
        <f t="shared" si="35"/>
        <v>https://permalinkbnd.bnportugal.gov.pt/viewer/278670/?offset=#page=4&amp;viewer=picture&amp;o=info&amp;n=0&amp;q=</v>
      </c>
      <c r="Q718">
        <v>397878</v>
      </c>
      <c r="R718" t="s">
        <v>518</v>
      </c>
      <c r="S718" t="s">
        <v>3249</v>
      </c>
      <c r="T718" t="s">
        <v>1178</v>
      </c>
      <c r="U718" t="s">
        <v>1192</v>
      </c>
      <c r="V718" t="s">
        <v>599</v>
      </c>
      <c r="W718" t="s">
        <v>3250</v>
      </c>
      <c r="X718" t="s">
        <v>599</v>
      </c>
      <c r="Y718" t="s">
        <v>599</v>
      </c>
      <c r="Z718" t="s">
        <v>1182</v>
      </c>
      <c r="AA718" t="s">
        <v>3251</v>
      </c>
      <c r="AB718">
        <v>1890</v>
      </c>
      <c r="AC718">
        <v>1890</v>
      </c>
      <c r="AD718" t="s">
        <v>1276</v>
      </c>
      <c r="AE718" t="s">
        <v>1185</v>
      </c>
      <c r="AF718" t="s">
        <v>599</v>
      </c>
      <c r="AG718" t="s">
        <v>599</v>
      </c>
      <c r="AH718" t="s">
        <v>3252</v>
      </c>
      <c r="AI718" t="s">
        <v>599</v>
      </c>
      <c r="AJ718" t="s">
        <v>599</v>
      </c>
      <c r="AK718" t="s">
        <v>3253</v>
      </c>
      <c r="AL718" t="s">
        <v>1188</v>
      </c>
      <c r="AM718" t="s">
        <v>3254</v>
      </c>
      <c r="AN718" t="s">
        <v>1190</v>
      </c>
      <c r="AO718" t="s">
        <v>599</v>
      </c>
      <c r="AP718" t="s">
        <v>599</v>
      </c>
      <c r="AQ718" t="s">
        <v>599</v>
      </c>
      <c r="AR718" t="s">
        <v>599</v>
      </c>
      <c r="AS718" t="s">
        <v>599</v>
      </c>
      <c r="AT718" t="s">
        <v>599</v>
      </c>
      <c r="AU718" t="s">
        <v>599</v>
      </c>
    </row>
    <row r="719" spans="1:47" ht="30" x14ac:dyDescent="0.25">
      <c r="A719" s="2">
        <v>12030</v>
      </c>
      <c r="B719" s="10">
        <v>397880</v>
      </c>
      <c r="C719" s="10">
        <v>1</v>
      </c>
      <c r="D719" s="9">
        <v>3</v>
      </c>
      <c r="E719" s="11" t="s">
        <v>520</v>
      </c>
      <c r="F719" s="11" t="str">
        <f t="shared" si="33"/>
        <v>https://purl.pt/44834</v>
      </c>
      <c r="G719" s="12" t="s">
        <v>521</v>
      </c>
      <c r="H719" s="9"/>
      <c r="I719" s="34"/>
      <c r="J719" s="55" t="str">
        <f t="shared" si="34"/>
        <v>https://permalinkbnd.bnportugal.gov.pt/viewer/279637/?offset=#page=3&amp;viewer=picture&amp;o=info&amp;n=0&amp;q=</v>
      </c>
      <c r="K719" s="45"/>
      <c r="L719" s="45"/>
      <c r="M719" s="45"/>
      <c r="N719" t="s">
        <v>520</v>
      </c>
      <c r="O719">
        <v>279637</v>
      </c>
      <c r="P719" t="str">
        <f t="shared" si="35"/>
        <v>https://permalinkbnd.bnportugal.gov.pt/viewer/279637/?offset=#page=3&amp;viewer=picture&amp;o=info&amp;n=0&amp;q=</v>
      </c>
      <c r="Q719">
        <v>397880</v>
      </c>
      <c r="R719" t="s">
        <v>520</v>
      </c>
      <c r="S719" t="s">
        <v>3255</v>
      </c>
      <c r="T719" t="s">
        <v>1178</v>
      </c>
      <c r="U719" t="s">
        <v>3256</v>
      </c>
      <c r="V719" t="s">
        <v>1192</v>
      </c>
      <c r="W719" t="s">
        <v>3257</v>
      </c>
      <c r="X719" t="s">
        <v>599</v>
      </c>
      <c r="Y719" t="s">
        <v>599</v>
      </c>
      <c r="Z719" t="s">
        <v>1182</v>
      </c>
      <c r="AA719" t="s">
        <v>3258</v>
      </c>
      <c r="AB719">
        <v>1898</v>
      </c>
      <c r="AC719">
        <v>1898</v>
      </c>
      <c r="AD719" t="s">
        <v>1276</v>
      </c>
      <c r="AE719" t="s">
        <v>1185</v>
      </c>
      <c r="AF719" t="s">
        <v>599</v>
      </c>
      <c r="AG719" t="s">
        <v>599</v>
      </c>
      <c r="AH719" t="s">
        <v>3259</v>
      </c>
      <c r="AI719" t="s">
        <v>599</v>
      </c>
      <c r="AJ719" t="s">
        <v>599</v>
      </c>
      <c r="AK719" t="s">
        <v>3260</v>
      </c>
      <c r="AL719" t="s">
        <v>1188</v>
      </c>
      <c r="AM719" t="s">
        <v>3261</v>
      </c>
      <c r="AN719" t="s">
        <v>1190</v>
      </c>
      <c r="AO719" t="s">
        <v>599</v>
      </c>
      <c r="AP719" t="s">
        <v>599</v>
      </c>
      <c r="AQ719" t="s">
        <v>599</v>
      </c>
      <c r="AR719" t="s">
        <v>599</v>
      </c>
      <c r="AS719" t="s">
        <v>599</v>
      </c>
      <c r="AT719" t="s">
        <v>599</v>
      </c>
      <c r="AU719" t="s">
        <v>599</v>
      </c>
    </row>
    <row r="720" spans="1:47" ht="30" x14ac:dyDescent="0.25">
      <c r="A720" s="2"/>
      <c r="B720" s="10">
        <v>397880</v>
      </c>
      <c r="C720" s="10">
        <v>1</v>
      </c>
      <c r="D720" s="9">
        <v>5</v>
      </c>
      <c r="E720" s="11" t="s">
        <v>520</v>
      </c>
      <c r="F720" s="11" t="str">
        <f t="shared" si="33"/>
        <v>https://purl.pt/44834</v>
      </c>
      <c r="G720" s="12" t="s">
        <v>609</v>
      </c>
      <c r="H720" s="9"/>
      <c r="I720" s="34"/>
      <c r="J720" s="55" t="str">
        <f t="shared" si="34"/>
        <v>https://permalinkbnd.bnportugal.gov.pt/viewer/279637/?offset=#page=5&amp;viewer=picture&amp;o=info&amp;n=0&amp;q=</v>
      </c>
      <c r="K720" s="45"/>
      <c r="L720" s="45"/>
      <c r="M720" s="45"/>
      <c r="N720" t="s">
        <v>520</v>
      </c>
      <c r="O720">
        <v>279637</v>
      </c>
      <c r="P720" t="str">
        <f t="shared" si="35"/>
        <v>https://permalinkbnd.bnportugal.gov.pt/viewer/279637/?offset=#page=5&amp;viewer=picture&amp;o=info&amp;n=0&amp;q=</v>
      </c>
      <c r="Q720">
        <v>397880</v>
      </c>
      <c r="R720" t="s">
        <v>520</v>
      </c>
      <c r="S720" t="s">
        <v>3255</v>
      </c>
      <c r="T720" t="s">
        <v>1178</v>
      </c>
      <c r="U720" t="s">
        <v>3256</v>
      </c>
      <c r="V720" t="s">
        <v>1192</v>
      </c>
      <c r="W720" t="s">
        <v>3257</v>
      </c>
      <c r="X720" t="s">
        <v>599</v>
      </c>
      <c r="Y720" t="s">
        <v>599</v>
      </c>
      <c r="Z720" t="s">
        <v>1182</v>
      </c>
      <c r="AA720" t="s">
        <v>3258</v>
      </c>
      <c r="AB720">
        <v>1898</v>
      </c>
      <c r="AC720">
        <v>1898</v>
      </c>
      <c r="AD720" t="s">
        <v>1276</v>
      </c>
      <c r="AE720" t="s">
        <v>1185</v>
      </c>
      <c r="AF720" t="s">
        <v>599</v>
      </c>
      <c r="AG720" t="s">
        <v>599</v>
      </c>
      <c r="AH720" t="s">
        <v>3259</v>
      </c>
      <c r="AI720" t="s">
        <v>599</v>
      </c>
      <c r="AJ720" t="s">
        <v>599</v>
      </c>
      <c r="AK720" t="s">
        <v>3260</v>
      </c>
      <c r="AL720" t="s">
        <v>1188</v>
      </c>
      <c r="AM720" t="s">
        <v>3261</v>
      </c>
      <c r="AN720" t="s">
        <v>1190</v>
      </c>
      <c r="AO720" t="s">
        <v>599</v>
      </c>
      <c r="AP720" t="s">
        <v>599</v>
      </c>
      <c r="AQ720" t="s">
        <v>599</v>
      </c>
      <c r="AR720" t="s">
        <v>599</v>
      </c>
      <c r="AS720" t="s">
        <v>599</v>
      </c>
      <c r="AT720" t="s">
        <v>599</v>
      </c>
      <c r="AU720" t="s">
        <v>599</v>
      </c>
    </row>
    <row r="721" spans="1:47" ht="30" x14ac:dyDescent="0.25">
      <c r="A721" s="2"/>
      <c r="B721" s="10">
        <v>397880</v>
      </c>
      <c r="C721" s="10">
        <v>1</v>
      </c>
      <c r="D721" s="9">
        <v>8</v>
      </c>
      <c r="E721" s="11" t="s">
        <v>520</v>
      </c>
      <c r="F721" s="11" t="str">
        <f t="shared" si="33"/>
        <v>https://purl.pt/44834</v>
      </c>
      <c r="G721" s="12" t="s">
        <v>610</v>
      </c>
      <c r="H721" s="9"/>
      <c r="I721" s="34"/>
      <c r="J721" s="55" t="str">
        <f t="shared" si="34"/>
        <v>https://permalinkbnd.bnportugal.gov.pt/viewer/279637/?offset=#page=8&amp;viewer=picture&amp;o=info&amp;n=0&amp;q=</v>
      </c>
      <c r="K721" s="45"/>
      <c r="L721" s="45"/>
      <c r="M721" s="45"/>
      <c r="N721" t="s">
        <v>520</v>
      </c>
      <c r="O721">
        <v>279637</v>
      </c>
      <c r="P721" t="str">
        <f t="shared" si="35"/>
        <v>https://permalinkbnd.bnportugal.gov.pt/viewer/279637/?offset=#page=8&amp;viewer=picture&amp;o=info&amp;n=0&amp;q=</v>
      </c>
      <c r="Q721">
        <v>397880</v>
      </c>
      <c r="R721" t="s">
        <v>520</v>
      </c>
      <c r="S721" t="s">
        <v>3255</v>
      </c>
      <c r="T721" t="s">
        <v>1178</v>
      </c>
      <c r="U721" t="s">
        <v>3256</v>
      </c>
      <c r="V721" t="s">
        <v>1192</v>
      </c>
      <c r="W721" t="s">
        <v>3257</v>
      </c>
      <c r="X721" t="s">
        <v>599</v>
      </c>
      <c r="Y721" t="s">
        <v>599</v>
      </c>
      <c r="Z721" t="s">
        <v>1182</v>
      </c>
      <c r="AA721" t="s">
        <v>3258</v>
      </c>
      <c r="AB721">
        <v>1898</v>
      </c>
      <c r="AC721">
        <v>1898</v>
      </c>
      <c r="AD721" t="s">
        <v>1276</v>
      </c>
      <c r="AE721" t="s">
        <v>1185</v>
      </c>
      <c r="AF721" t="s">
        <v>599</v>
      </c>
      <c r="AG721" t="s">
        <v>599</v>
      </c>
      <c r="AH721" t="s">
        <v>3259</v>
      </c>
      <c r="AI721" t="s">
        <v>599</v>
      </c>
      <c r="AJ721" t="s">
        <v>599</v>
      </c>
      <c r="AK721" t="s">
        <v>3260</v>
      </c>
      <c r="AL721" t="s">
        <v>1188</v>
      </c>
      <c r="AM721" t="s">
        <v>3261</v>
      </c>
      <c r="AN721" t="s">
        <v>1190</v>
      </c>
      <c r="AO721" t="s">
        <v>599</v>
      </c>
      <c r="AP721" t="s">
        <v>599</v>
      </c>
      <c r="AQ721" t="s">
        <v>599</v>
      </c>
      <c r="AR721" t="s">
        <v>599</v>
      </c>
      <c r="AS721" t="s">
        <v>599</v>
      </c>
      <c r="AT721" t="s">
        <v>599</v>
      </c>
      <c r="AU721" t="s">
        <v>599</v>
      </c>
    </row>
    <row r="722" spans="1:47" ht="30" x14ac:dyDescent="0.25">
      <c r="A722" s="2"/>
      <c r="B722" s="10">
        <v>397880</v>
      </c>
      <c r="C722" s="10">
        <v>1</v>
      </c>
      <c r="D722" s="9">
        <v>10</v>
      </c>
      <c r="E722" s="11" t="s">
        <v>520</v>
      </c>
      <c r="F722" s="11" t="str">
        <f t="shared" si="33"/>
        <v>https://purl.pt/44834</v>
      </c>
      <c r="G722" s="12" t="s">
        <v>611</v>
      </c>
      <c r="H722" s="9"/>
      <c r="I722" s="34"/>
      <c r="J722" s="55" t="str">
        <f t="shared" si="34"/>
        <v>https://permalinkbnd.bnportugal.gov.pt/viewer/279637/?offset=#page=10&amp;viewer=picture&amp;o=info&amp;n=0&amp;q=</v>
      </c>
      <c r="K722" s="45"/>
      <c r="L722" s="45"/>
      <c r="M722" s="45"/>
      <c r="N722" t="s">
        <v>520</v>
      </c>
      <c r="O722">
        <v>279637</v>
      </c>
      <c r="P722" t="str">
        <f t="shared" si="35"/>
        <v>https://permalinkbnd.bnportugal.gov.pt/viewer/279637/?offset=#page=10&amp;viewer=picture&amp;o=info&amp;n=0&amp;q=</v>
      </c>
      <c r="Q722">
        <v>397880</v>
      </c>
      <c r="R722" t="s">
        <v>520</v>
      </c>
      <c r="S722" t="s">
        <v>3255</v>
      </c>
      <c r="T722" t="s">
        <v>1178</v>
      </c>
      <c r="U722" t="s">
        <v>3256</v>
      </c>
      <c r="V722" t="s">
        <v>1192</v>
      </c>
      <c r="W722" t="s">
        <v>3257</v>
      </c>
      <c r="X722" t="s">
        <v>599</v>
      </c>
      <c r="Y722" t="s">
        <v>599</v>
      </c>
      <c r="Z722" t="s">
        <v>1182</v>
      </c>
      <c r="AA722" t="s">
        <v>3258</v>
      </c>
      <c r="AB722">
        <v>1898</v>
      </c>
      <c r="AC722">
        <v>1898</v>
      </c>
      <c r="AD722" t="s">
        <v>1276</v>
      </c>
      <c r="AE722" t="s">
        <v>1185</v>
      </c>
      <c r="AF722" t="s">
        <v>599</v>
      </c>
      <c r="AG722" t="s">
        <v>599</v>
      </c>
      <c r="AH722" t="s">
        <v>3259</v>
      </c>
      <c r="AI722" t="s">
        <v>599</v>
      </c>
      <c r="AJ722" t="s">
        <v>599</v>
      </c>
      <c r="AK722" t="s">
        <v>3260</v>
      </c>
      <c r="AL722" t="s">
        <v>1188</v>
      </c>
      <c r="AM722" t="s">
        <v>3261</v>
      </c>
      <c r="AN722" t="s">
        <v>1190</v>
      </c>
      <c r="AO722" t="s">
        <v>599</v>
      </c>
      <c r="AP722" t="s">
        <v>599</v>
      </c>
      <c r="AQ722" t="s">
        <v>599</v>
      </c>
      <c r="AR722" t="s">
        <v>599</v>
      </c>
      <c r="AS722" t="s">
        <v>599</v>
      </c>
      <c r="AT722" t="s">
        <v>599</v>
      </c>
      <c r="AU722" t="s">
        <v>599</v>
      </c>
    </row>
    <row r="723" spans="1:47" ht="30" x14ac:dyDescent="0.25">
      <c r="A723" s="2">
        <v>12039</v>
      </c>
      <c r="B723" s="10">
        <v>458381</v>
      </c>
      <c r="C723" s="10">
        <v>1</v>
      </c>
      <c r="D723" s="9">
        <v>12</v>
      </c>
      <c r="E723" s="11" t="s">
        <v>522</v>
      </c>
      <c r="F723" s="11" t="str">
        <f t="shared" si="33"/>
        <v>https://purl.pt/44583</v>
      </c>
      <c r="G723" s="12" t="s">
        <v>523</v>
      </c>
      <c r="H723" s="9">
        <v>12</v>
      </c>
      <c r="I723" s="34"/>
      <c r="J723" s="55" t="str">
        <f t="shared" si="34"/>
        <v>https://permalinkbnd.bnportugal.gov.pt/viewer/1880/?offset=#page=12&amp;viewer=picture&amp;o=info&amp;n=0&amp;q=</v>
      </c>
      <c r="K723" s="45"/>
      <c r="L723" s="45"/>
      <c r="M723" s="45"/>
      <c r="N723" t="s">
        <v>522</v>
      </c>
      <c r="O723">
        <v>1880</v>
      </c>
      <c r="P723" t="str">
        <f t="shared" si="35"/>
        <v>https://permalinkbnd.bnportugal.gov.pt/viewer/1880/?offset=#page=12&amp;viewer=picture&amp;o=info&amp;n=0&amp;q=</v>
      </c>
      <c r="Q723">
        <v>458381</v>
      </c>
      <c r="R723" t="s">
        <v>522</v>
      </c>
      <c r="S723" t="s">
        <v>3262</v>
      </c>
      <c r="T723" t="s">
        <v>1178</v>
      </c>
      <c r="U723" t="s">
        <v>1192</v>
      </c>
      <c r="V723" t="s">
        <v>599</v>
      </c>
      <c r="W723" t="s">
        <v>3263</v>
      </c>
      <c r="X723" t="s">
        <v>599</v>
      </c>
      <c r="Y723" t="s">
        <v>599</v>
      </c>
      <c r="Z723" t="s">
        <v>1182</v>
      </c>
      <c r="AA723" t="s">
        <v>2696</v>
      </c>
      <c r="AB723">
        <v>1880</v>
      </c>
      <c r="AC723">
        <v>1880</v>
      </c>
      <c r="AD723" t="s">
        <v>3264</v>
      </c>
      <c r="AE723" t="s">
        <v>599</v>
      </c>
      <c r="AF723" t="s">
        <v>599</v>
      </c>
      <c r="AG723" t="s">
        <v>599</v>
      </c>
      <c r="AH723" t="s">
        <v>599</v>
      </c>
      <c r="AI723" t="s">
        <v>599</v>
      </c>
      <c r="AJ723" t="s">
        <v>599</v>
      </c>
      <c r="AK723" t="s">
        <v>3265</v>
      </c>
      <c r="AL723" t="s">
        <v>1188</v>
      </c>
      <c r="AM723" t="s">
        <v>3266</v>
      </c>
      <c r="AN723" t="s">
        <v>1190</v>
      </c>
      <c r="AO723" t="s">
        <v>599</v>
      </c>
      <c r="AP723" t="s">
        <v>599</v>
      </c>
      <c r="AQ723" t="s">
        <v>599</v>
      </c>
      <c r="AR723" t="s">
        <v>599</v>
      </c>
      <c r="AS723" t="s">
        <v>3267</v>
      </c>
      <c r="AT723" t="s">
        <v>599</v>
      </c>
      <c r="AU723" t="s">
        <v>599</v>
      </c>
    </row>
    <row r="724" spans="1:47" ht="30" x14ac:dyDescent="0.25">
      <c r="A724" s="2">
        <v>12060</v>
      </c>
      <c r="B724" s="10">
        <v>464811</v>
      </c>
      <c r="C724" s="10">
        <v>1</v>
      </c>
      <c r="D724" s="9">
        <v>10</v>
      </c>
      <c r="E724" s="11" t="s">
        <v>524</v>
      </c>
      <c r="F724" s="11" t="str">
        <f t="shared" si="33"/>
        <v>https://purl.pt/44713</v>
      </c>
      <c r="G724" s="12">
        <v>10</v>
      </c>
      <c r="H724" s="9"/>
      <c r="I724" s="34"/>
      <c r="J724" s="55" t="str">
        <f t="shared" si="34"/>
        <v>https://permalinkbnd.bnportugal.gov.pt/viewer/278595/?offset=#page=10&amp;viewer=picture&amp;o=info&amp;n=0&amp;q=</v>
      </c>
      <c r="K724" s="45"/>
      <c r="L724" s="45"/>
      <c r="M724" s="45"/>
      <c r="N724" t="s">
        <v>524</v>
      </c>
      <c r="O724">
        <v>278595</v>
      </c>
      <c r="P724" t="str">
        <f t="shared" si="35"/>
        <v>https://permalinkbnd.bnportugal.gov.pt/viewer/278595/?offset=#page=10&amp;viewer=picture&amp;o=info&amp;n=0&amp;q=</v>
      </c>
      <c r="Q724">
        <v>464811</v>
      </c>
      <c r="R724" t="s">
        <v>524</v>
      </c>
      <c r="S724" t="s">
        <v>3268</v>
      </c>
      <c r="T724" t="s">
        <v>1178</v>
      </c>
      <c r="U724" t="s">
        <v>1362</v>
      </c>
      <c r="V724" t="s">
        <v>599</v>
      </c>
      <c r="W724" t="s">
        <v>3269</v>
      </c>
      <c r="X724" t="s">
        <v>599</v>
      </c>
      <c r="Y724" t="s">
        <v>599</v>
      </c>
      <c r="Z724" t="s">
        <v>1182</v>
      </c>
      <c r="AA724" t="s">
        <v>3270</v>
      </c>
      <c r="AB724">
        <v>1859</v>
      </c>
      <c r="AC724">
        <v>1859</v>
      </c>
      <c r="AD724" t="s">
        <v>3271</v>
      </c>
      <c r="AE724" t="s">
        <v>3272</v>
      </c>
      <c r="AF724" t="s">
        <v>599</v>
      </c>
      <c r="AG724" t="s">
        <v>599</v>
      </c>
      <c r="AH724" t="s">
        <v>3273</v>
      </c>
      <c r="AI724" t="s">
        <v>599</v>
      </c>
      <c r="AJ724" t="s">
        <v>599</v>
      </c>
      <c r="AK724" t="s">
        <v>3274</v>
      </c>
      <c r="AL724" t="s">
        <v>1188</v>
      </c>
      <c r="AM724" t="s">
        <v>3275</v>
      </c>
      <c r="AN724" t="s">
        <v>1190</v>
      </c>
      <c r="AO724" t="s">
        <v>599</v>
      </c>
      <c r="AP724" t="s">
        <v>599</v>
      </c>
      <c r="AQ724" t="s">
        <v>599</v>
      </c>
      <c r="AR724" t="s">
        <v>599</v>
      </c>
      <c r="AS724" t="s">
        <v>599</v>
      </c>
      <c r="AT724" t="s">
        <v>599</v>
      </c>
      <c r="AU724" t="s">
        <v>599</v>
      </c>
    </row>
    <row r="725" spans="1:47" ht="30" x14ac:dyDescent="0.25">
      <c r="A725" s="2">
        <v>12063</v>
      </c>
      <c r="B725" s="10">
        <v>464977</v>
      </c>
      <c r="C725" s="10">
        <v>1</v>
      </c>
      <c r="D725" s="9">
        <v>8</v>
      </c>
      <c r="E725" s="11" t="s">
        <v>525</v>
      </c>
      <c r="F725" s="11" t="str">
        <f t="shared" si="33"/>
        <v>https://purl.pt/44712</v>
      </c>
      <c r="G725" s="12" t="s">
        <v>526</v>
      </c>
      <c r="H725" s="9"/>
      <c r="I725" s="34"/>
      <c r="J725" s="55" t="str">
        <f t="shared" si="34"/>
        <v>https://permalinkbnd.bnportugal.gov.pt/viewer/278597/?offset=#page=8&amp;viewer=picture&amp;o=info&amp;n=0&amp;q=</v>
      </c>
      <c r="K725" s="45"/>
      <c r="L725" s="45"/>
      <c r="M725" s="45"/>
      <c r="N725" t="s">
        <v>525</v>
      </c>
      <c r="O725">
        <v>278597</v>
      </c>
      <c r="P725" t="str">
        <f t="shared" si="35"/>
        <v>https://permalinkbnd.bnportugal.gov.pt/viewer/278597/?offset=#page=8&amp;viewer=picture&amp;o=info&amp;n=0&amp;q=</v>
      </c>
      <c r="Q725">
        <v>464977</v>
      </c>
      <c r="R725" t="s">
        <v>525</v>
      </c>
      <c r="S725" t="s">
        <v>3276</v>
      </c>
      <c r="T725" t="s">
        <v>1178</v>
      </c>
      <c r="U725" t="s">
        <v>1192</v>
      </c>
      <c r="V725" t="s">
        <v>599</v>
      </c>
      <c r="W725" t="s">
        <v>3277</v>
      </c>
      <c r="X725" t="s">
        <v>599</v>
      </c>
      <c r="Y725" t="s">
        <v>599</v>
      </c>
      <c r="Z725" t="s">
        <v>1182</v>
      </c>
      <c r="AA725" t="s">
        <v>3278</v>
      </c>
      <c r="AB725">
        <v>1910</v>
      </c>
      <c r="AC725">
        <v>1910</v>
      </c>
      <c r="AD725" t="s">
        <v>1463</v>
      </c>
      <c r="AE725" t="s">
        <v>3279</v>
      </c>
      <c r="AF725" t="s">
        <v>599</v>
      </c>
      <c r="AG725" t="s">
        <v>599</v>
      </c>
      <c r="AH725" t="s">
        <v>599</v>
      </c>
      <c r="AI725" t="s">
        <v>599</v>
      </c>
      <c r="AJ725" t="s">
        <v>599</v>
      </c>
      <c r="AK725" t="s">
        <v>3280</v>
      </c>
      <c r="AL725" t="s">
        <v>1188</v>
      </c>
      <c r="AM725" t="s">
        <v>3281</v>
      </c>
      <c r="AN725" t="s">
        <v>1190</v>
      </c>
      <c r="AO725" t="s">
        <v>599</v>
      </c>
      <c r="AP725" t="s">
        <v>599</v>
      </c>
      <c r="AQ725" t="s">
        <v>599</v>
      </c>
      <c r="AR725" t="s">
        <v>599</v>
      </c>
      <c r="AS725" t="s">
        <v>599</v>
      </c>
      <c r="AT725" t="s">
        <v>599</v>
      </c>
      <c r="AU725" t="s">
        <v>599</v>
      </c>
    </row>
    <row r="726" spans="1:47" ht="30" x14ac:dyDescent="0.25">
      <c r="A726" s="2">
        <v>12068</v>
      </c>
      <c r="B726" s="10">
        <v>465372</v>
      </c>
      <c r="C726" s="10">
        <v>1</v>
      </c>
      <c r="D726" s="9">
        <v>1</v>
      </c>
      <c r="E726" s="11" t="s">
        <v>527</v>
      </c>
      <c r="F726" s="11" t="str">
        <f t="shared" si="33"/>
        <v>https://purl.pt/44726</v>
      </c>
      <c r="G726" s="12" t="s">
        <v>449</v>
      </c>
      <c r="H726" s="9">
        <v>1</v>
      </c>
      <c r="I726" s="34"/>
      <c r="J726" s="55" t="str">
        <f t="shared" si="34"/>
        <v>https://permalinkbnd.bnportugal.gov.pt/viewer/278668/?offset=#page=1&amp;viewer=picture&amp;o=info&amp;n=0&amp;q=</v>
      </c>
      <c r="K726" s="45"/>
      <c r="L726" s="45"/>
      <c r="M726" s="45"/>
      <c r="N726" t="s">
        <v>527</v>
      </c>
      <c r="O726">
        <v>278668</v>
      </c>
      <c r="P726" t="str">
        <f t="shared" si="35"/>
        <v>https://permalinkbnd.bnportugal.gov.pt/viewer/278668/?offset=#page=1&amp;viewer=picture&amp;o=info&amp;n=0&amp;q=</v>
      </c>
      <c r="Q726">
        <v>465372</v>
      </c>
      <c r="R726" t="s">
        <v>527</v>
      </c>
      <c r="S726" t="s">
        <v>3282</v>
      </c>
      <c r="T726" t="s">
        <v>1178</v>
      </c>
      <c r="U726" t="s">
        <v>1192</v>
      </c>
      <c r="V726" t="s">
        <v>599</v>
      </c>
      <c r="W726" t="s">
        <v>3283</v>
      </c>
      <c r="X726" t="s">
        <v>3284</v>
      </c>
      <c r="Y726" t="s">
        <v>599</v>
      </c>
      <c r="Z726" t="s">
        <v>1182</v>
      </c>
      <c r="AA726" t="s">
        <v>3285</v>
      </c>
      <c r="AB726">
        <v>1882</v>
      </c>
      <c r="AC726">
        <v>1882</v>
      </c>
      <c r="AD726" t="s">
        <v>2868</v>
      </c>
      <c r="AE726" t="s">
        <v>599</v>
      </c>
      <c r="AF726" t="s">
        <v>599</v>
      </c>
      <c r="AG726" t="s">
        <v>599</v>
      </c>
      <c r="AH726" t="s">
        <v>599</v>
      </c>
      <c r="AI726" t="s">
        <v>599</v>
      </c>
      <c r="AJ726" t="s">
        <v>599</v>
      </c>
      <c r="AK726" t="s">
        <v>3286</v>
      </c>
      <c r="AL726" t="s">
        <v>1188</v>
      </c>
      <c r="AM726" t="s">
        <v>3287</v>
      </c>
      <c r="AN726" t="s">
        <v>1190</v>
      </c>
      <c r="AO726" t="s">
        <v>599</v>
      </c>
      <c r="AP726" t="s">
        <v>599</v>
      </c>
      <c r="AQ726" t="s">
        <v>599</v>
      </c>
      <c r="AR726" t="s">
        <v>599</v>
      </c>
      <c r="AS726" t="s">
        <v>3288</v>
      </c>
      <c r="AT726" t="s">
        <v>599</v>
      </c>
      <c r="AU726" t="s">
        <v>599</v>
      </c>
    </row>
    <row r="727" spans="1:47" ht="30" x14ac:dyDescent="0.25">
      <c r="A727" s="2">
        <v>12107</v>
      </c>
      <c r="B727" s="10">
        <v>782738</v>
      </c>
      <c r="C727" s="10">
        <v>1</v>
      </c>
      <c r="D727" s="9">
        <v>5</v>
      </c>
      <c r="E727" s="11" t="s">
        <v>528</v>
      </c>
      <c r="F727" s="11" t="str">
        <f t="shared" si="33"/>
        <v>https://purl.pt/44727</v>
      </c>
      <c r="G727" s="12" t="s">
        <v>529</v>
      </c>
      <c r="H727" s="9">
        <v>5</v>
      </c>
      <c r="I727" s="34"/>
      <c r="J727" s="55" t="str">
        <f t="shared" si="34"/>
        <v>https://permalinkbnd.bnportugal.gov.pt/viewer/278663/?offset=#page=5&amp;viewer=picture&amp;o=info&amp;n=0&amp;q=</v>
      </c>
      <c r="K727" s="45"/>
      <c r="L727" s="45"/>
      <c r="M727" s="45"/>
      <c r="N727" t="s">
        <v>528</v>
      </c>
      <c r="O727">
        <v>278663</v>
      </c>
      <c r="P727" t="str">
        <f t="shared" si="35"/>
        <v>https://permalinkbnd.bnportugal.gov.pt/viewer/278663/?offset=#page=5&amp;viewer=picture&amp;o=info&amp;n=0&amp;q=</v>
      </c>
      <c r="Q727">
        <v>782738</v>
      </c>
      <c r="R727" t="s">
        <v>528</v>
      </c>
      <c r="S727" t="s">
        <v>3289</v>
      </c>
      <c r="T727" t="s">
        <v>1178</v>
      </c>
      <c r="U727" t="s">
        <v>1192</v>
      </c>
      <c r="V727" t="s">
        <v>599</v>
      </c>
      <c r="W727" t="s">
        <v>1193</v>
      </c>
      <c r="X727" t="s">
        <v>1330</v>
      </c>
      <c r="Y727" t="s">
        <v>599</v>
      </c>
      <c r="Z727" t="s">
        <v>3127</v>
      </c>
      <c r="AA727" t="s">
        <v>3128</v>
      </c>
      <c r="AB727">
        <v>1870</v>
      </c>
      <c r="AC727">
        <v>1870</v>
      </c>
      <c r="AD727" t="s">
        <v>3290</v>
      </c>
      <c r="AE727" t="s">
        <v>1185</v>
      </c>
      <c r="AF727" t="s">
        <v>599</v>
      </c>
      <c r="AG727" t="s">
        <v>599</v>
      </c>
      <c r="AH727" t="s">
        <v>599</v>
      </c>
      <c r="AI727" t="s">
        <v>599</v>
      </c>
      <c r="AJ727" t="s">
        <v>599</v>
      </c>
      <c r="AK727" t="s">
        <v>3291</v>
      </c>
      <c r="AL727" t="s">
        <v>1188</v>
      </c>
      <c r="AM727" t="s">
        <v>3292</v>
      </c>
      <c r="AN727" t="s">
        <v>1190</v>
      </c>
      <c r="AO727" t="s">
        <v>599</v>
      </c>
      <c r="AP727" t="s">
        <v>599</v>
      </c>
      <c r="AQ727" t="s">
        <v>599</v>
      </c>
      <c r="AR727" t="s">
        <v>599</v>
      </c>
      <c r="AS727" t="s">
        <v>599</v>
      </c>
      <c r="AT727" t="s">
        <v>599</v>
      </c>
      <c r="AU727" t="s">
        <v>599</v>
      </c>
    </row>
    <row r="728" spans="1:47" ht="75" x14ac:dyDescent="0.25">
      <c r="A728" s="2">
        <v>12108</v>
      </c>
      <c r="B728" s="10">
        <v>784624</v>
      </c>
      <c r="C728" s="10">
        <v>1</v>
      </c>
      <c r="D728" s="9">
        <v>8</v>
      </c>
      <c r="E728" s="11" t="s">
        <v>530</v>
      </c>
      <c r="F728" s="11" t="str">
        <f t="shared" si="33"/>
        <v>https://purl.pt/44799</v>
      </c>
      <c r="G728" s="12" t="s">
        <v>531</v>
      </c>
      <c r="H728" s="9" t="s">
        <v>532</v>
      </c>
      <c r="I728" s="34"/>
      <c r="J728" s="55" t="str">
        <f t="shared" si="34"/>
        <v>https://permalinkbnd.bnportugal.gov.pt/viewer/278795/?offset=#page=8&amp;viewer=picture&amp;o=info&amp;n=0&amp;q=</v>
      </c>
      <c r="K728" s="45"/>
      <c r="L728" s="45"/>
      <c r="M728" s="45"/>
      <c r="N728" t="s">
        <v>530</v>
      </c>
      <c r="O728">
        <v>278795</v>
      </c>
      <c r="P728" t="str">
        <f t="shared" si="35"/>
        <v>https://permalinkbnd.bnportugal.gov.pt/viewer/278795/?offset=#page=8&amp;viewer=picture&amp;o=info&amp;n=0&amp;q=</v>
      </c>
      <c r="Q728">
        <v>784624</v>
      </c>
      <c r="R728" t="s">
        <v>530</v>
      </c>
      <c r="S728" t="s">
        <v>3293</v>
      </c>
      <c r="T728" t="s">
        <v>1178</v>
      </c>
      <c r="U728" t="s">
        <v>1192</v>
      </c>
      <c r="V728" t="s">
        <v>599</v>
      </c>
      <c r="W728" t="s">
        <v>1193</v>
      </c>
      <c r="X728" t="s">
        <v>1330</v>
      </c>
      <c r="Y728" t="s">
        <v>599</v>
      </c>
      <c r="Z728" t="s">
        <v>3294</v>
      </c>
      <c r="AA728" t="s">
        <v>3295</v>
      </c>
      <c r="AB728">
        <v>1875</v>
      </c>
      <c r="AC728">
        <v>1875</v>
      </c>
      <c r="AD728" t="s">
        <v>3296</v>
      </c>
      <c r="AE728" t="s">
        <v>1185</v>
      </c>
      <c r="AF728" t="s">
        <v>599</v>
      </c>
      <c r="AG728" t="s">
        <v>599</v>
      </c>
      <c r="AH728" t="s">
        <v>3297</v>
      </c>
      <c r="AI728" t="s">
        <v>599</v>
      </c>
      <c r="AJ728" t="s">
        <v>599</v>
      </c>
      <c r="AK728" t="s">
        <v>3298</v>
      </c>
      <c r="AL728" t="s">
        <v>1188</v>
      </c>
      <c r="AM728" t="s">
        <v>3299</v>
      </c>
      <c r="AN728" t="s">
        <v>1190</v>
      </c>
      <c r="AO728" t="s">
        <v>599</v>
      </c>
      <c r="AP728" t="s">
        <v>599</v>
      </c>
      <c r="AQ728" t="s">
        <v>599</v>
      </c>
      <c r="AR728" t="s">
        <v>599</v>
      </c>
      <c r="AS728" t="s">
        <v>599</v>
      </c>
      <c r="AT728" t="s">
        <v>599</v>
      </c>
      <c r="AU728" t="s">
        <v>599</v>
      </c>
    </row>
    <row r="729" spans="1:47" ht="75" x14ac:dyDescent="0.25">
      <c r="A729" s="2">
        <v>12109</v>
      </c>
      <c r="B729" s="10">
        <v>784624</v>
      </c>
      <c r="C729" s="10">
        <v>1</v>
      </c>
      <c r="D729" s="9">
        <v>59</v>
      </c>
      <c r="E729" s="11" t="s">
        <v>530</v>
      </c>
      <c r="F729" s="11" t="str">
        <f t="shared" si="33"/>
        <v>https://purl.pt/44799</v>
      </c>
      <c r="G729" s="12" t="s">
        <v>531</v>
      </c>
      <c r="H729" s="9" t="s">
        <v>532</v>
      </c>
      <c r="I729" s="34"/>
      <c r="J729" s="55" t="str">
        <f t="shared" si="34"/>
        <v>https://permalinkbnd.bnportugal.gov.pt/viewer/278795/?offset=#page=59&amp;viewer=picture&amp;o=info&amp;n=0&amp;q=</v>
      </c>
      <c r="K729" s="45"/>
      <c r="L729" s="45"/>
      <c r="M729" s="45"/>
      <c r="N729" t="s">
        <v>530</v>
      </c>
      <c r="O729">
        <v>278795</v>
      </c>
      <c r="P729" t="str">
        <f t="shared" si="35"/>
        <v>https://permalinkbnd.bnportugal.gov.pt/viewer/278795/?offset=#page=59&amp;viewer=picture&amp;o=info&amp;n=0&amp;q=</v>
      </c>
      <c r="Q729">
        <v>784624</v>
      </c>
      <c r="R729" t="s">
        <v>530</v>
      </c>
      <c r="S729" t="s">
        <v>3293</v>
      </c>
      <c r="T729" t="s">
        <v>1178</v>
      </c>
      <c r="U729" t="s">
        <v>1192</v>
      </c>
      <c r="V729" t="s">
        <v>599</v>
      </c>
      <c r="W729" t="s">
        <v>1193</v>
      </c>
      <c r="X729" t="s">
        <v>1330</v>
      </c>
      <c r="Y729" t="s">
        <v>599</v>
      </c>
      <c r="Z729" t="s">
        <v>3294</v>
      </c>
      <c r="AA729" t="s">
        <v>3295</v>
      </c>
      <c r="AB729">
        <v>1875</v>
      </c>
      <c r="AC729">
        <v>1875</v>
      </c>
      <c r="AD729" t="s">
        <v>3296</v>
      </c>
      <c r="AE729" t="s">
        <v>1185</v>
      </c>
      <c r="AF729" t="s">
        <v>599</v>
      </c>
      <c r="AG729" t="s">
        <v>599</v>
      </c>
      <c r="AH729" t="s">
        <v>3297</v>
      </c>
      <c r="AI729" t="s">
        <v>599</v>
      </c>
      <c r="AJ729" t="s">
        <v>599</v>
      </c>
      <c r="AK729" t="s">
        <v>3298</v>
      </c>
      <c r="AL729" t="s">
        <v>1188</v>
      </c>
      <c r="AM729" t="s">
        <v>3299</v>
      </c>
      <c r="AN729" t="s">
        <v>1190</v>
      </c>
      <c r="AO729" t="s">
        <v>599</v>
      </c>
      <c r="AP729" t="s">
        <v>599</v>
      </c>
      <c r="AQ729" t="s">
        <v>599</v>
      </c>
      <c r="AR729" t="s">
        <v>599</v>
      </c>
      <c r="AS729" t="s">
        <v>599</v>
      </c>
      <c r="AT729" t="s">
        <v>599</v>
      </c>
      <c r="AU729" t="s">
        <v>599</v>
      </c>
    </row>
    <row r="730" spans="1:47" ht="75" x14ac:dyDescent="0.25">
      <c r="A730" s="2">
        <v>12110</v>
      </c>
      <c r="B730" s="10">
        <v>784624</v>
      </c>
      <c r="C730" s="10">
        <v>1</v>
      </c>
      <c r="D730" s="9">
        <v>97</v>
      </c>
      <c r="E730" s="11" t="s">
        <v>530</v>
      </c>
      <c r="F730" s="11" t="str">
        <f t="shared" si="33"/>
        <v>https://purl.pt/44799</v>
      </c>
      <c r="G730" s="12" t="s">
        <v>531</v>
      </c>
      <c r="H730" s="9" t="s">
        <v>532</v>
      </c>
      <c r="I730" s="34"/>
      <c r="J730" s="55" t="str">
        <f t="shared" si="34"/>
        <v>https://permalinkbnd.bnportugal.gov.pt/viewer/278795/?offset=#page=97&amp;viewer=picture&amp;o=info&amp;n=0&amp;q=</v>
      </c>
      <c r="K730" s="45"/>
      <c r="L730" s="45"/>
      <c r="M730" s="45"/>
      <c r="N730" t="s">
        <v>530</v>
      </c>
      <c r="O730">
        <v>278795</v>
      </c>
      <c r="P730" t="str">
        <f t="shared" si="35"/>
        <v>https://permalinkbnd.bnportugal.gov.pt/viewer/278795/?offset=#page=97&amp;viewer=picture&amp;o=info&amp;n=0&amp;q=</v>
      </c>
      <c r="Q730">
        <v>784624</v>
      </c>
      <c r="R730" t="s">
        <v>530</v>
      </c>
      <c r="S730" t="s">
        <v>3293</v>
      </c>
      <c r="T730" t="s">
        <v>1178</v>
      </c>
      <c r="U730" t="s">
        <v>1192</v>
      </c>
      <c r="V730" t="s">
        <v>599</v>
      </c>
      <c r="W730" t="s">
        <v>1193</v>
      </c>
      <c r="X730" t="s">
        <v>1330</v>
      </c>
      <c r="Y730" t="s">
        <v>599</v>
      </c>
      <c r="Z730" t="s">
        <v>3294</v>
      </c>
      <c r="AA730" t="s">
        <v>3295</v>
      </c>
      <c r="AB730">
        <v>1875</v>
      </c>
      <c r="AC730">
        <v>1875</v>
      </c>
      <c r="AD730" t="s">
        <v>3296</v>
      </c>
      <c r="AE730" t="s">
        <v>1185</v>
      </c>
      <c r="AF730" t="s">
        <v>599</v>
      </c>
      <c r="AG730" t="s">
        <v>599</v>
      </c>
      <c r="AH730" t="s">
        <v>3297</v>
      </c>
      <c r="AI730" t="s">
        <v>599</v>
      </c>
      <c r="AJ730" t="s">
        <v>599</v>
      </c>
      <c r="AK730" t="s">
        <v>3298</v>
      </c>
      <c r="AL730" t="s">
        <v>1188</v>
      </c>
      <c r="AM730" t="s">
        <v>3299</v>
      </c>
      <c r="AN730" t="s">
        <v>1190</v>
      </c>
      <c r="AO730" t="s">
        <v>599</v>
      </c>
      <c r="AP730" t="s">
        <v>599</v>
      </c>
      <c r="AQ730" t="s">
        <v>599</v>
      </c>
      <c r="AR730" t="s">
        <v>599</v>
      </c>
      <c r="AS730" t="s">
        <v>599</v>
      </c>
      <c r="AT730" t="s">
        <v>599</v>
      </c>
      <c r="AU730" t="s">
        <v>599</v>
      </c>
    </row>
    <row r="731" spans="1:47" ht="75" x14ac:dyDescent="0.25">
      <c r="A731" s="2">
        <v>12111</v>
      </c>
      <c r="B731" s="10">
        <v>784624</v>
      </c>
      <c r="C731" s="10">
        <v>1</v>
      </c>
      <c r="D731" s="9">
        <v>139</v>
      </c>
      <c r="E731" s="11" t="s">
        <v>530</v>
      </c>
      <c r="F731" s="11" t="str">
        <f t="shared" si="33"/>
        <v>https://purl.pt/44799</v>
      </c>
      <c r="G731" s="12" t="s">
        <v>531</v>
      </c>
      <c r="H731" s="9" t="s">
        <v>532</v>
      </c>
      <c r="I731" s="34"/>
      <c r="J731" s="55" t="str">
        <f t="shared" si="34"/>
        <v>https://permalinkbnd.bnportugal.gov.pt/viewer/278795/?offset=#page=139&amp;viewer=picture&amp;o=info&amp;n=0&amp;q=</v>
      </c>
      <c r="K731" s="45"/>
      <c r="L731" s="45"/>
      <c r="M731" s="45"/>
      <c r="N731" t="s">
        <v>530</v>
      </c>
      <c r="O731">
        <v>278795</v>
      </c>
      <c r="P731" t="str">
        <f t="shared" si="35"/>
        <v>https://permalinkbnd.bnportugal.gov.pt/viewer/278795/?offset=#page=139&amp;viewer=picture&amp;o=info&amp;n=0&amp;q=</v>
      </c>
      <c r="Q731">
        <v>784624</v>
      </c>
      <c r="R731" t="s">
        <v>530</v>
      </c>
      <c r="S731" t="s">
        <v>3293</v>
      </c>
      <c r="T731" t="s">
        <v>1178</v>
      </c>
      <c r="U731" t="s">
        <v>1192</v>
      </c>
      <c r="V731" t="s">
        <v>599</v>
      </c>
      <c r="W731" t="s">
        <v>1193</v>
      </c>
      <c r="X731" t="s">
        <v>1330</v>
      </c>
      <c r="Y731" t="s">
        <v>599</v>
      </c>
      <c r="Z731" t="s">
        <v>3294</v>
      </c>
      <c r="AA731" t="s">
        <v>3295</v>
      </c>
      <c r="AB731">
        <v>1875</v>
      </c>
      <c r="AC731">
        <v>1875</v>
      </c>
      <c r="AD731" t="s">
        <v>3296</v>
      </c>
      <c r="AE731" t="s">
        <v>1185</v>
      </c>
      <c r="AF731" t="s">
        <v>599</v>
      </c>
      <c r="AG731" t="s">
        <v>599</v>
      </c>
      <c r="AH731" t="s">
        <v>3297</v>
      </c>
      <c r="AI731" t="s">
        <v>599</v>
      </c>
      <c r="AJ731" t="s">
        <v>599</v>
      </c>
      <c r="AK731" t="s">
        <v>3298</v>
      </c>
      <c r="AL731" t="s">
        <v>1188</v>
      </c>
      <c r="AM731" t="s">
        <v>3299</v>
      </c>
      <c r="AN731" t="s">
        <v>1190</v>
      </c>
      <c r="AO731" t="s">
        <v>599</v>
      </c>
      <c r="AP731" t="s">
        <v>599</v>
      </c>
      <c r="AQ731" t="s">
        <v>599</v>
      </c>
      <c r="AR731" t="s">
        <v>599</v>
      </c>
      <c r="AS731" t="s">
        <v>599</v>
      </c>
      <c r="AT731" t="s">
        <v>599</v>
      </c>
      <c r="AU731" t="s">
        <v>599</v>
      </c>
    </row>
    <row r="732" spans="1:47" ht="75" x14ac:dyDescent="0.25">
      <c r="A732" s="2">
        <v>12112</v>
      </c>
      <c r="B732" s="10">
        <v>784624</v>
      </c>
      <c r="C732" s="10">
        <v>1</v>
      </c>
      <c r="D732" s="9">
        <v>191</v>
      </c>
      <c r="E732" s="11" t="s">
        <v>530</v>
      </c>
      <c r="F732" s="11" t="str">
        <f t="shared" si="33"/>
        <v>https://purl.pt/44799</v>
      </c>
      <c r="G732" s="12" t="s">
        <v>531</v>
      </c>
      <c r="H732" s="9" t="s">
        <v>532</v>
      </c>
      <c r="I732" s="34"/>
      <c r="J732" s="55" t="str">
        <f t="shared" si="34"/>
        <v>https://permalinkbnd.bnportugal.gov.pt/viewer/278795/?offset=#page=191&amp;viewer=picture&amp;o=info&amp;n=0&amp;q=</v>
      </c>
      <c r="K732" s="45"/>
      <c r="L732" s="45"/>
      <c r="M732" s="45"/>
      <c r="N732" t="s">
        <v>530</v>
      </c>
      <c r="O732">
        <v>278795</v>
      </c>
      <c r="P732" t="str">
        <f t="shared" si="35"/>
        <v>https://permalinkbnd.bnportugal.gov.pt/viewer/278795/?offset=#page=191&amp;viewer=picture&amp;o=info&amp;n=0&amp;q=</v>
      </c>
      <c r="Q732">
        <v>784624</v>
      </c>
      <c r="R732" t="s">
        <v>530</v>
      </c>
      <c r="S732" t="s">
        <v>3293</v>
      </c>
      <c r="T732" t="s">
        <v>1178</v>
      </c>
      <c r="U732" t="s">
        <v>1192</v>
      </c>
      <c r="V732" t="s">
        <v>599</v>
      </c>
      <c r="W732" t="s">
        <v>1193</v>
      </c>
      <c r="X732" t="s">
        <v>1330</v>
      </c>
      <c r="Y732" t="s">
        <v>599</v>
      </c>
      <c r="Z732" t="s">
        <v>3294</v>
      </c>
      <c r="AA732" t="s">
        <v>3295</v>
      </c>
      <c r="AB732">
        <v>1875</v>
      </c>
      <c r="AC732">
        <v>1875</v>
      </c>
      <c r="AD732" t="s">
        <v>3296</v>
      </c>
      <c r="AE732" t="s">
        <v>1185</v>
      </c>
      <c r="AF732" t="s">
        <v>599</v>
      </c>
      <c r="AG732" t="s">
        <v>599</v>
      </c>
      <c r="AH732" t="s">
        <v>3297</v>
      </c>
      <c r="AI732" t="s">
        <v>599</v>
      </c>
      <c r="AJ732" t="s">
        <v>599</v>
      </c>
      <c r="AK732" t="s">
        <v>3298</v>
      </c>
      <c r="AL732" t="s">
        <v>1188</v>
      </c>
      <c r="AM732" t="s">
        <v>3299</v>
      </c>
      <c r="AN732" t="s">
        <v>1190</v>
      </c>
      <c r="AO732" t="s">
        <v>599</v>
      </c>
      <c r="AP732" t="s">
        <v>599</v>
      </c>
      <c r="AQ732" t="s">
        <v>599</v>
      </c>
      <c r="AR732" t="s">
        <v>599</v>
      </c>
      <c r="AS732" t="s">
        <v>599</v>
      </c>
      <c r="AT732" t="s">
        <v>599</v>
      </c>
      <c r="AU732" t="s">
        <v>599</v>
      </c>
    </row>
    <row r="733" spans="1:47" ht="75" x14ac:dyDescent="0.25">
      <c r="A733" s="2">
        <v>12113</v>
      </c>
      <c r="B733" s="10">
        <v>784624</v>
      </c>
      <c r="C733" s="10">
        <v>1</v>
      </c>
      <c r="D733" s="9">
        <v>229</v>
      </c>
      <c r="E733" s="11" t="s">
        <v>530</v>
      </c>
      <c r="F733" s="11" t="str">
        <f t="shared" si="33"/>
        <v>https://purl.pt/44799</v>
      </c>
      <c r="G733" s="12" t="s">
        <v>531</v>
      </c>
      <c r="H733" s="9" t="s">
        <v>532</v>
      </c>
      <c r="I733" s="34"/>
      <c r="J733" s="55" t="str">
        <f t="shared" si="34"/>
        <v>https://permalinkbnd.bnportugal.gov.pt/viewer/278795/?offset=#page=229&amp;viewer=picture&amp;o=info&amp;n=0&amp;q=</v>
      </c>
      <c r="K733" s="45"/>
      <c r="L733" s="45"/>
      <c r="M733" s="45"/>
      <c r="N733" t="s">
        <v>530</v>
      </c>
      <c r="O733">
        <v>278795</v>
      </c>
      <c r="P733" t="str">
        <f t="shared" si="35"/>
        <v>https://permalinkbnd.bnportugal.gov.pt/viewer/278795/?offset=#page=229&amp;viewer=picture&amp;o=info&amp;n=0&amp;q=</v>
      </c>
      <c r="Q733">
        <v>784624</v>
      </c>
      <c r="R733" t="s">
        <v>530</v>
      </c>
      <c r="S733" t="s">
        <v>3293</v>
      </c>
      <c r="T733" t="s">
        <v>1178</v>
      </c>
      <c r="U733" t="s">
        <v>1192</v>
      </c>
      <c r="V733" t="s">
        <v>599</v>
      </c>
      <c r="W733" t="s">
        <v>1193</v>
      </c>
      <c r="X733" t="s">
        <v>1330</v>
      </c>
      <c r="Y733" t="s">
        <v>599</v>
      </c>
      <c r="Z733" t="s">
        <v>3294</v>
      </c>
      <c r="AA733" t="s">
        <v>3295</v>
      </c>
      <c r="AB733">
        <v>1875</v>
      </c>
      <c r="AC733">
        <v>1875</v>
      </c>
      <c r="AD733" t="s">
        <v>3296</v>
      </c>
      <c r="AE733" t="s">
        <v>1185</v>
      </c>
      <c r="AF733" t="s">
        <v>599</v>
      </c>
      <c r="AG733" t="s">
        <v>599</v>
      </c>
      <c r="AH733" t="s">
        <v>3297</v>
      </c>
      <c r="AI733" t="s">
        <v>599</v>
      </c>
      <c r="AJ733" t="s">
        <v>599</v>
      </c>
      <c r="AK733" t="s">
        <v>3298</v>
      </c>
      <c r="AL733" t="s">
        <v>1188</v>
      </c>
      <c r="AM733" t="s">
        <v>3299</v>
      </c>
      <c r="AN733" t="s">
        <v>1190</v>
      </c>
      <c r="AO733" t="s">
        <v>599</v>
      </c>
      <c r="AP733" t="s">
        <v>599</v>
      </c>
      <c r="AQ733" t="s">
        <v>599</v>
      </c>
      <c r="AR733" t="s">
        <v>599</v>
      </c>
      <c r="AS733" t="s">
        <v>599</v>
      </c>
      <c r="AT733" t="s">
        <v>599</v>
      </c>
      <c r="AU733" t="s">
        <v>599</v>
      </c>
    </row>
    <row r="734" spans="1:47" ht="75" x14ac:dyDescent="0.25">
      <c r="A734" s="2">
        <v>12114</v>
      </c>
      <c r="B734" s="10">
        <v>784624</v>
      </c>
      <c r="C734" s="10">
        <v>1</v>
      </c>
      <c r="D734" s="9">
        <v>265</v>
      </c>
      <c r="E734" s="11" t="s">
        <v>530</v>
      </c>
      <c r="F734" s="11" t="str">
        <f t="shared" si="33"/>
        <v>https://purl.pt/44799</v>
      </c>
      <c r="G734" s="12" t="s">
        <v>531</v>
      </c>
      <c r="H734" s="9" t="s">
        <v>532</v>
      </c>
      <c r="I734" s="34"/>
      <c r="J734" s="55" t="str">
        <f t="shared" si="34"/>
        <v>https://permalinkbnd.bnportugal.gov.pt/viewer/278795/?offset=#page=265&amp;viewer=picture&amp;o=info&amp;n=0&amp;q=</v>
      </c>
      <c r="K734" s="45"/>
      <c r="L734" s="45"/>
      <c r="M734" s="45"/>
      <c r="N734" t="s">
        <v>530</v>
      </c>
      <c r="O734">
        <v>278795</v>
      </c>
      <c r="P734" t="str">
        <f t="shared" si="35"/>
        <v>https://permalinkbnd.bnportugal.gov.pt/viewer/278795/?offset=#page=265&amp;viewer=picture&amp;o=info&amp;n=0&amp;q=</v>
      </c>
      <c r="Q734">
        <v>784624</v>
      </c>
      <c r="R734" t="s">
        <v>530</v>
      </c>
      <c r="S734" t="s">
        <v>3293</v>
      </c>
      <c r="T734" t="s">
        <v>1178</v>
      </c>
      <c r="U734" t="s">
        <v>1192</v>
      </c>
      <c r="V734" t="s">
        <v>599</v>
      </c>
      <c r="W734" t="s">
        <v>1193</v>
      </c>
      <c r="X734" t="s">
        <v>1330</v>
      </c>
      <c r="Y734" t="s">
        <v>599</v>
      </c>
      <c r="Z734" t="s">
        <v>3294</v>
      </c>
      <c r="AA734" t="s">
        <v>3295</v>
      </c>
      <c r="AB734">
        <v>1875</v>
      </c>
      <c r="AC734">
        <v>1875</v>
      </c>
      <c r="AD734" t="s">
        <v>3296</v>
      </c>
      <c r="AE734" t="s">
        <v>1185</v>
      </c>
      <c r="AF734" t="s">
        <v>599</v>
      </c>
      <c r="AG734" t="s">
        <v>599</v>
      </c>
      <c r="AH734" t="s">
        <v>3297</v>
      </c>
      <c r="AI734" t="s">
        <v>599</v>
      </c>
      <c r="AJ734" t="s">
        <v>599</v>
      </c>
      <c r="AK734" t="s">
        <v>3298</v>
      </c>
      <c r="AL734" t="s">
        <v>1188</v>
      </c>
      <c r="AM734" t="s">
        <v>3299</v>
      </c>
      <c r="AN734" t="s">
        <v>1190</v>
      </c>
      <c r="AO734" t="s">
        <v>599</v>
      </c>
      <c r="AP734" t="s">
        <v>599</v>
      </c>
      <c r="AQ734" t="s">
        <v>599</v>
      </c>
      <c r="AR734" t="s">
        <v>599</v>
      </c>
      <c r="AS734" t="s">
        <v>599</v>
      </c>
      <c r="AT734" t="s">
        <v>599</v>
      </c>
      <c r="AU734" t="s">
        <v>599</v>
      </c>
    </row>
    <row r="735" spans="1:47" ht="75" x14ac:dyDescent="0.25">
      <c r="A735" s="2">
        <v>12115</v>
      </c>
      <c r="B735" s="10">
        <v>784624</v>
      </c>
      <c r="C735" s="10">
        <v>1</v>
      </c>
      <c r="D735" s="9">
        <v>301</v>
      </c>
      <c r="E735" s="11" t="s">
        <v>530</v>
      </c>
      <c r="F735" s="11" t="str">
        <f t="shared" si="33"/>
        <v>https://purl.pt/44799</v>
      </c>
      <c r="G735" s="12" t="s">
        <v>531</v>
      </c>
      <c r="H735" s="9" t="s">
        <v>532</v>
      </c>
      <c r="I735" s="34"/>
      <c r="J735" s="55" t="str">
        <f t="shared" si="34"/>
        <v>https://permalinkbnd.bnportugal.gov.pt/viewer/278795/?offset=#page=301&amp;viewer=picture&amp;o=info&amp;n=0&amp;q=</v>
      </c>
      <c r="K735" s="45"/>
      <c r="L735" s="45"/>
      <c r="M735" s="45"/>
      <c r="N735" t="s">
        <v>530</v>
      </c>
      <c r="O735">
        <v>278795</v>
      </c>
      <c r="P735" t="str">
        <f t="shared" si="35"/>
        <v>https://permalinkbnd.bnportugal.gov.pt/viewer/278795/?offset=#page=301&amp;viewer=picture&amp;o=info&amp;n=0&amp;q=</v>
      </c>
      <c r="Q735">
        <v>784624</v>
      </c>
      <c r="R735" t="s">
        <v>530</v>
      </c>
      <c r="S735" t="s">
        <v>3293</v>
      </c>
      <c r="T735" t="s">
        <v>1178</v>
      </c>
      <c r="U735" t="s">
        <v>1192</v>
      </c>
      <c r="V735" t="s">
        <v>599</v>
      </c>
      <c r="W735" t="s">
        <v>1193</v>
      </c>
      <c r="X735" t="s">
        <v>1330</v>
      </c>
      <c r="Y735" t="s">
        <v>599</v>
      </c>
      <c r="Z735" t="s">
        <v>3294</v>
      </c>
      <c r="AA735" t="s">
        <v>3295</v>
      </c>
      <c r="AB735">
        <v>1875</v>
      </c>
      <c r="AC735">
        <v>1875</v>
      </c>
      <c r="AD735" t="s">
        <v>3296</v>
      </c>
      <c r="AE735" t="s">
        <v>1185</v>
      </c>
      <c r="AF735" t="s">
        <v>599</v>
      </c>
      <c r="AG735" t="s">
        <v>599</v>
      </c>
      <c r="AH735" t="s">
        <v>3297</v>
      </c>
      <c r="AI735" t="s">
        <v>599</v>
      </c>
      <c r="AJ735" t="s">
        <v>599</v>
      </c>
      <c r="AK735" t="s">
        <v>3298</v>
      </c>
      <c r="AL735" t="s">
        <v>1188</v>
      </c>
      <c r="AM735" t="s">
        <v>3299</v>
      </c>
      <c r="AN735" t="s">
        <v>1190</v>
      </c>
      <c r="AO735" t="s">
        <v>599</v>
      </c>
      <c r="AP735" t="s">
        <v>599</v>
      </c>
      <c r="AQ735" t="s">
        <v>599</v>
      </c>
      <c r="AR735" t="s">
        <v>599</v>
      </c>
      <c r="AS735" t="s">
        <v>599</v>
      </c>
      <c r="AT735" t="s">
        <v>599</v>
      </c>
      <c r="AU735" t="s">
        <v>599</v>
      </c>
    </row>
    <row r="736" spans="1:47" ht="75" x14ac:dyDescent="0.25">
      <c r="A736" s="2">
        <v>12116</v>
      </c>
      <c r="B736" s="10">
        <v>784624</v>
      </c>
      <c r="C736" s="10">
        <v>1</v>
      </c>
      <c r="D736" s="9">
        <v>333</v>
      </c>
      <c r="E736" s="11" t="s">
        <v>530</v>
      </c>
      <c r="F736" s="11" t="str">
        <f t="shared" si="33"/>
        <v>https://purl.pt/44799</v>
      </c>
      <c r="G736" s="12" t="s">
        <v>531</v>
      </c>
      <c r="H736" s="9" t="s">
        <v>532</v>
      </c>
      <c r="I736" s="34"/>
      <c r="J736" s="55" t="str">
        <f t="shared" si="34"/>
        <v>https://permalinkbnd.bnportugal.gov.pt/viewer/278795/?offset=#page=333&amp;viewer=picture&amp;o=info&amp;n=0&amp;q=</v>
      </c>
      <c r="K736" s="45"/>
      <c r="L736" s="45"/>
      <c r="M736" s="45"/>
      <c r="N736" t="s">
        <v>530</v>
      </c>
      <c r="O736">
        <v>278795</v>
      </c>
      <c r="P736" t="str">
        <f t="shared" si="35"/>
        <v>https://permalinkbnd.bnportugal.gov.pt/viewer/278795/?offset=#page=333&amp;viewer=picture&amp;o=info&amp;n=0&amp;q=</v>
      </c>
      <c r="Q736">
        <v>784624</v>
      </c>
      <c r="R736" t="s">
        <v>530</v>
      </c>
      <c r="S736" t="s">
        <v>3293</v>
      </c>
      <c r="T736" t="s">
        <v>1178</v>
      </c>
      <c r="U736" t="s">
        <v>1192</v>
      </c>
      <c r="V736" t="s">
        <v>599</v>
      </c>
      <c r="W736" t="s">
        <v>1193</v>
      </c>
      <c r="X736" t="s">
        <v>1330</v>
      </c>
      <c r="Y736" t="s">
        <v>599</v>
      </c>
      <c r="Z736" t="s">
        <v>3294</v>
      </c>
      <c r="AA736" t="s">
        <v>3295</v>
      </c>
      <c r="AB736">
        <v>1875</v>
      </c>
      <c r="AC736">
        <v>1875</v>
      </c>
      <c r="AD736" t="s">
        <v>3296</v>
      </c>
      <c r="AE736" t="s">
        <v>1185</v>
      </c>
      <c r="AF736" t="s">
        <v>599</v>
      </c>
      <c r="AG736" t="s">
        <v>599</v>
      </c>
      <c r="AH736" t="s">
        <v>3297</v>
      </c>
      <c r="AI736" t="s">
        <v>599</v>
      </c>
      <c r="AJ736" t="s">
        <v>599</v>
      </c>
      <c r="AK736" t="s">
        <v>3298</v>
      </c>
      <c r="AL736" t="s">
        <v>1188</v>
      </c>
      <c r="AM736" t="s">
        <v>3299</v>
      </c>
      <c r="AN736" t="s">
        <v>1190</v>
      </c>
      <c r="AO736" t="s">
        <v>599</v>
      </c>
      <c r="AP736" t="s">
        <v>599</v>
      </c>
      <c r="AQ736" t="s">
        <v>599</v>
      </c>
      <c r="AR736" t="s">
        <v>599</v>
      </c>
      <c r="AS736" t="s">
        <v>599</v>
      </c>
      <c r="AT736" t="s">
        <v>599</v>
      </c>
      <c r="AU736" t="s">
        <v>599</v>
      </c>
    </row>
    <row r="737" spans="1:47" ht="75" x14ac:dyDescent="0.25">
      <c r="A737" s="2">
        <v>12117</v>
      </c>
      <c r="B737" s="10">
        <v>784624</v>
      </c>
      <c r="C737" s="10">
        <v>1</v>
      </c>
      <c r="D737" s="9">
        <v>369</v>
      </c>
      <c r="E737" s="11" t="s">
        <v>530</v>
      </c>
      <c r="F737" s="11" t="str">
        <f t="shared" si="33"/>
        <v>https://purl.pt/44799</v>
      </c>
      <c r="G737" s="12" t="s">
        <v>531</v>
      </c>
      <c r="H737" s="9" t="s">
        <v>532</v>
      </c>
      <c r="I737" s="34"/>
      <c r="J737" s="55" t="str">
        <f t="shared" si="34"/>
        <v>https://permalinkbnd.bnportugal.gov.pt/viewer/278795/?offset=#page=369&amp;viewer=picture&amp;o=info&amp;n=0&amp;q=</v>
      </c>
      <c r="K737" s="45"/>
      <c r="L737" s="45"/>
      <c r="M737" s="45"/>
      <c r="N737" t="s">
        <v>530</v>
      </c>
      <c r="O737">
        <v>278795</v>
      </c>
      <c r="P737" t="str">
        <f t="shared" si="35"/>
        <v>https://permalinkbnd.bnportugal.gov.pt/viewer/278795/?offset=#page=369&amp;viewer=picture&amp;o=info&amp;n=0&amp;q=</v>
      </c>
      <c r="Q737">
        <v>784624</v>
      </c>
      <c r="R737" t="s">
        <v>530</v>
      </c>
      <c r="S737" t="s">
        <v>3293</v>
      </c>
      <c r="T737" t="s">
        <v>1178</v>
      </c>
      <c r="U737" t="s">
        <v>1192</v>
      </c>
      <c r="V737" t="s">
        <v>599</v>
      </c>
      <c r="W737" t="s">
        <v>1193</v>
      </c>
      <c r="X737" t="s">
        <v>1330</v>
      </c>
      <c r="Y737" t="s">
        <v>599</v>
      </c>
      <c r="Z737" t="s">
        <v>3294</v>
      </c>
      <c r="AA737" t="s">
        <v>3295</v>
      </c>
      <c r="AB737">
        <v>1875</v>
      </c>
      <c r="AC737">
        <v>1875</v>
      </c>
      <c r="AD737" t="s">
        <v>3296</v>
      </c>
      <c r="AE737" t="s">
        <v>1185</v>
      </c>
      <c r="AF737" t="s">
        <v>599</v>
      </c>
      <c r="AG737" t="s">
        <v>599</v>
      </c>
      <c r="AH737" t="s">
        <v>3297</v>
      </c>
      <c r="AI737" t="s">
        <v>599</v>
      </c>
      <c r="AJ737" t="s">
        <v>599</v>
      </c>
      <c r="AK737" t="s">
        <v>3298</v>
      </c>
      <c r="AL737" t="s">
        <v>1188</v>
      </c>
      <c r="AM737" t="s">
        <v>3299</v>
      </c>
      <c r="AN737" t="s">
        <v>1190</v>
      </c>
      <c r="AO737" t="s">
        <v>599</v>
      </c>
      <c r="AP737" t="s">
        <v>599</v>
      </c>
      <c r="AQ737" t="s">
        <v>599</v>
      </c>
      <c r="AR737" t="s">
        <v>599</v>
      </c>
      <c r="AS737" t="s">
        <v>599</v>
      </c>
      <c r="AT737" t="s">
        <v>599</v>
      </c>
      <c r="AU737" t="s">
        <v>599</v>
      </c>
    </row>
    <row r="738" spans="1:47" ht="75" x14ac:dyDescent="0.25">
      <c r="A738" s="2">
        <v>12118</v>
      </c>
      <c r="B738" s="10">
        <v>784624</v>
      </c>
      <c r="C738" s="10">
        <v>1</v>
      </c>
      <c r="D738" s="9">
        <v>405</v>
      </c>
      <c r="E738" s="11" t="s">
        <v>530</v>
      </c>
      <c r="F738" s="11" t="str">
        <f t="shared" si="33"/>
        <v>https://purl.pt/44799</v>
      </c>
      <c r="G738" s="12" t="s">
        <v>531</v>
      </c>
      <c r="H738" s="9" t="s">
        <v>532</v>
      </c>
      <c r="I738" s="34"/>
      <c r="J738" s="55" t="str">
        <f t="shared" si="34"/>
        <v>https://permalinkbnd.bnportugal.gov.pt/viewer/278795/?offset=#page=405&amp;viewer=picture&amp;o=info&amp;n=0&amp;q=</v>
      </c>
      <c r="K738" s="45"/>
      <c r="L738" s="45"/>
      <c r="M738" s="45"/>
      <c r="N738" t="s">
        <v>530</v>
      </c>
      <c r="O738">
        <v>278795</v>
      </c>
      <c r="P738" t="str">
        <f t="shared" si="35"/>
        <v>https://permalinkbnd.bnportugal.gov.pt/viewer/278795/?offset=#page=405&amp;viewer=picture&amp;o=info&amp;n=0&amp;q=</v>
      </c>
      <c r="Q738">
        <v>784624</v>
      </c>
      <c r="R738" t="s">
        <v>530</v>
      </c>
      <c r="S738" t="s">
        <v>3293</v>
      </c>
      <c r="T738" t="s">
        <v>1178</v>
      </c>
      <c r="U738" t="s">
        <v>1192</v>
      </c>
      <c r="V738" t="s">
        <v>599</v>
      </c>
      <c r="W738" t="s">
        <v>1193</v>
      </c>
      <c r="X738" t="s">
        <v>1330</v>
      </c>
      <c r="Y738" t="s">
        <v>599</v>
      </c>
      <c r="Z738" t="s">
        <v>3294</v>
      </c>
      <c r="AA738" t="s">
        <v>3295</v>
      </c>
      <c r="AB738">
        <v>1875</v>
      </c>
      <c r="AC738">
        <v>1875</v>
      </c>
      <c r="AD738" t="s">
        <v>3296</v>
      </c>
      <c r="AE738" t="s">
        <v>1185</v>
      </c>
      <c r="AF738" t="s">
        <v>599</v>
      </c>
      <c r="AG738" t="s">
        <v>599</v>
      </c>
      <c r="AH738" t="s">
        <v>3297</v>
      </c>
      <c r="AI738" t="s">
        <v>599</v>
      </c>
      <c r="AJ738" t="s">
        <v>599</v>
      </c>
      <c r="AK738" t="s">
        <v>3298</v>
      </c>
      <c r="AL738" t="s">
        <v>1188</v>
      </c>
      <c r="AM738" t="s">
        <v>3299</v>
      </c>
      <c r="AN738" t="s">
        <v>1190</v>
      </c>
      <c r="AO738" t="s">
        <v>599</v>
      </c>
      <c r="AP738" t="s">
        <v>599</v>
      </c>
      <c r="AQ738" t="s">
        <v>599</v>
      </c>
      <c r="AR738" t="s">
        <v>599</v>
      </c>
      <c r="AS738" t="s">
        <v>599</v>
      </c>
      <c r="AT738" t="s">
        <v>599</v>
      </c>
      <c r="AU738" t="s">
        <v>599</v>
      </c>
    </row>
    <row r="739" spans="1:47" ht="30" x14ac:dyDescent="0.25">
      <c r="A739" s="2">
        <v>12123</v>
      </c>
      <c r="B739" s="10">
        <v>789264</v>
      </c>
      <c r="C739" s="10">
        <v>1</v>
      </c>
      <c r="D739" s="9">
        <v>22</v>
      </c>
      <c r="E739" s="11" t="s">
        <v>533</v>
      </c>
      <c r="F739" s="11" t="str">
        <f t="shared" si="33"/>
        <v>https://purl.pt/44828</v>
      </c>
      <c r="G739" s="12" t="s">
        <v>534</v>
      </c>
      <c r="H739" s="9"/>
      <c r="I739" s="34"/>
      <c r="J739" s="55" t="str">
        <f t="shared" si="34"/>
        <v>https://permalinkbnd.bnportugal.gov.pt/viewer/279624/?offset=#page=22&amp;viewer=picture&amp;o=info&amp;n=0&amp;q=</v>
      </c>
      <c r="K739" s="45"/>
      <c r="L739" s="45"/>
      <c r="M739" s="45"/>
      <c r="N739" t="s">
        <v>533</v>
      </c>
      <c r="O739">
        <v>279624</v>
      </c>
      <c r="P739" t="str">
        <f t="shared" si="35"/>
        <v>https://permalinkbnd.bnportugal.gov.pt/viewer/279624/?offset=#page=22&amp;viewer=picture&amp;o=info&amp;n=0&amp;q=</v>
      </c>
      <c r="Q739">
        <v>789264</v>
      </c>
      <c r="R739" t="s">
        <v>533</v>
      </c>
      <c r="S739" t="s">
        <v>3300</v>
      </c>
      <c r="T739" t="s">
        <v>1178</v>
      </c>
      <c r="U739" t="s">
        <v>1192</v>
      </c>
      <c r="V739" t="s">
        <v>599</v>
      </c>
      <c r="W739" t="s">
        <v>3301</v>
      </c>
      <c r="X739" t="s">
        <v>599</v>
      </c>
      <c r="Y739" t="s">
        <v>599</v>
      </c>
      <c r="Z739" t="s">
        <v>1182</v>
      </c>
      <c r="AA739" t="s">
        <v>3302</v>
      </c>
      <c r="AB739">
        <v>1885</v>
      </c>
      <c r="AC739">
        <v>1885</v>
      </c>
      <c r="AD739" t="s">
        <v>1463</v>
      </c>
      <c r="AE739" t="s">
        <v>3303</v>
      </c>
      <c r="AF739" t="s">
        <v>599</v>
      </c>
      <c r="AG739" t="s">
        <v>599</v>
      </c>
      <c r="AH739" t="s">
        <v>599</v>
      </c>
      <c r="AI739" t="s">
        <v>599</v>
      </c>
      <c r="AJ739" t="s">
        <v>599</v>
      </c>
      <c r="AK739" t="s">
        <v>3304</v>
      </c>
      <c r="AL739" t="s">
        <v>1188</v>
      </c>
      <c r="AM739" t="s">
        <v>3305</v>
      </c>
      <c r="AN739" t="s">
        <v>1190</v>
      </c>
      <c r="AO739" t="s">
        <v>599</v>
      </c>
      <c r="AP739" t="s">
        <v>599</v>
      </c>
      <c r="AQ739" t="s">
        <v>599</v>
      </c>
      <c r="AR739" t="s">
        <v>599</v>
      </c>
      <c r="AS739" t="s">
        <v>599</v>
      </c>
      <c r="AT739" t="s">
        <v>599</v>
      </c>
      <c r="AU739" t="s">
        <v>599</v>
      </c>
    </row>
    <row r="740" spans="1:47" ht="30" x14ac:dyDescent="0.25">
      <c r="A740" s="2"/>
      <c r="B740" s="10">
        <v>789264</v>
      </c>
      <c r="C740" s="10">
        <v>1</v>
      </c>
      <c r="D740" s="9">
        <v>24</v>
      </c>
      <c r="E740" s="11" t="s">
        <v>533</v>
      </c>
      <c r="F740" s="11" t="str">
        <f t="shared" si="33"/>
        <v>https://purl.pt/44828</v>
      </c>
      <c r="G740" s="12" t="s">
        <v>534</v>
      </c>
      <c r="H740" s="9"/>
      <c r="I740" s="34"/>
      <c r="J740" s="55" t="str">
        <f t="shared" si="34"/>
        <v>https://permalinkbnd.bnportugal.gov.pt/viewer/279624/?offset=#page=24&amp;viewer=picture&amp;o=info&amp;n=0&amp;q=</v>
      </c>
      <c r="K740" s="45"/>
      <c r="L740" s="45"/>
      <c r="M740" s="45"/>
      <c r="N740" t="s">
        <v>533</v>
      </c>
      <c r="O740">
        <v>279624</v>
      </c>
      <c r="P740" t="str">
        <f t="shared" si="35"/>
        <v>https://permalinkbnd.bnportugal.gov.pt/viewer/279624/?offset=#page=24&amp;viewer=picture&amp;o=info&amp;n=0&amp;q=</v>
      </c>
      <c r="Q740">
        <v>789264</v>
      </c>
      <c r="R740" t="s">
        <v>533</v>
      </c>
      <c r="S740" t="s">
        <v>3300</v>
      </c>
      <c r="T740" t="s">
        <v>1178</v>
      </c>
      <c r="U740" t="s">
        <v>1192</v>
      </c>
      <c r="V740" t="s">
        <v>599</v>
      </c>
      <c r="W740" t="s">
        <v>3301</v>
      </c>
      <c r="X740" t="s">
        <v>599</v>
      </c>
      <c r="Y740" t="s">
        <v>599</v>
      </c>
      <c r="Z740" t="s">
        <v>1182</v>
      </c>
      <c r="AA740" t="s">
        <v>3302</v>
      </c>
      <c r="AB740">
        <v>1885</v>
      </c>
      <c r="AC740">
        <v>1885</v>
      </c>
      <c r="AD740" t="s">
        <v>1463</v>
      </c>
      <c r="AE740" t="s">
        <v>3303</v>
      </c>
      <c r="AF740" t="s">
        <v>599</v>
      </c>
      <c r="AG740" t="s">
        <v>599</v>
      </c>
      <c r="AH740" t="s">
        <v>599</v>
      </c>
      <c r="AI740" t="s">
        <v>599</v>
      </c>
      <c r="AJ740" t="s">
        <v>599</v>
      </c>
      <c r="AK740" t="s">
        <v>3304</v>
      </c>
      <c r="AL740" t="s">
        <v>1188</v>
      </c>
      <c r="AM740" t="s">
        <v>3305</v>
      </c>
      <c r="AN740" t="s">
        <v>1190</v>
      </c>
      <c r="AO740" t="s">
        <v>599</v>
      </c>
      <c r="AP740" t="s">
        <v>599</v>
      </c>
      <c r="AQ740" t="s">
        <v>599</v>
      </c>
      <c r="AR740" t="s">
        <v>599</v>
      </c>
      <c r="AS740" t="s">
        <v>599</v>
      </c>
      <c r="AT740" t="s">
        <v>599</v>
      </c>
      <c r="AU740" t="s">
        <v>599</v>
      </c>
    </row>
    <row r="741" spans="1:47" ht="30" x14ac:dyDescent="0.25">
      <c r="A741" s="2">
        <v>12126</v>
      </c>
      <c r="B741" s="10">
        <v>798873</v>
      </c>
      <c r="C741" s="10">
        <v>1</v>
      </c>
      <c r="D741" s="9">
        <v>5</v>
      </c>
      <c r="E741" s="11" t="s">
        <v>535</v>
      </c>
      <c r="F741" s="11" t="str">
        <f t="shared" si="33"/>
        <v>https://purl.pt/44930</v>
      </c>
      <c r="G741" s="12" t="s">
        <v>536</v>
      </c>
      <c r="H741" s="9" t="s">
        <v>497</v>
      </c>
      <c r="I741" s="34"/>
      <c r="J741" s="55" t="str">
        <f t="shared" si="34"/>
        <v>https://permalinkbnd.bnportugal.gov.pt/viewer/279100/?offset=#page=5&amp;viewer=picture&amp;o=info&amp;n=0&amp;q=</v>
      </c>
      <c r="K741" s="45"/>
      <c r="L741" s="45"/>
      <c r="M741" s="45"/>
      <c r="N741" t="s">
        <v>535</v>
      </c>
      <c r="O741">
        <v>279100</v>
      </c>
      <c r="P741" t="str">
        <f t="shared" si="35"/>
        <v>https://permalinkbnd.bnportugal.gov.pt/viewer/279100/?offset=#page=5&amp;viewer=picture&amp;o=info&amp;n=0&amp;q=</v>
      </c>
      <c r="Q741">
        <v>798873</v>
      </c>
      <c r="R741" t="s">
        <v>535</v>
      </c>
      <c r="S741" t="s">
        <v>3306</v>
      </c>
      <c r="T741" t="s">
        <v>1178</v>
      </c>
      <c r="U741" t="s">
        <v>1192</v>
      </c>
      <c r="V741" t="s">
        <v>599</v>
      </c>
      <c r="W741" t="s">
        <v>3307</v>
      </c>
      <c r="X741" t="s">
        <v>3308</v>
      </c>
      <c r="Y741" t="s">
        <v>599</v>
      </c>
      <c r="Z741" t="s">
        <v>1182</v>
      </c>
      <c r="AA741" t="s">
        <v>3309</v>
      </c>
      <c r="AB741">
        <v>1880</v>
      </c>
      <c r="AC741">
        <v>1880</v>
      </c>
      <c r="AD741" t="s">
        <v>3310</v>
      </c>
      <c r="AE741" t="s">
        <v>3311</v>
      </c>
      <c r="AF741" t="s">
        <v>599</v>
      </c>
      <c r="AG741" t="s">
        <v>599</v>
      </c>
      <c r="AH741" t="s">
        <v>599</v>
      </c>
      <c r="AI741" t="s">
        <v>599</v>
      </c>
      <c r="AJ741" t="s">
        <v>599</v>
      </c>
      <c r="AK741" t="s">
        <v>3312</v>
      </c>
      <c r="AL741" t="s">
        <v>1188</v>
      </c>
      <c r="AM741" t="s">
        <v>3313</v>
      </c>
      <c r="AN741" t="s">
        <v>1190</v>
      </c>
      <c r="AO741" t="s">
        <v>599</v>
      </c>
      <c r="AP741" t="s">
        <v>599</v>
      </c>
      <c r="AQ741" t="s">
        <v>599</v>
      </c>
      <c r="AR741" t="s">
        <v>599</v>
      </c>
      <c r="AS741" t="s">
        <v>599</v>
      </c>
      <c r="AT741" t="s">
        <v>599</v>
      </c>
      <c r="AU741" t="s">
        <v>599</v>
      </c>
    </row>
    <row r="742" spans="1:47" ht="30" x14ac:dyDescent="0.25">
      <c r="A742" s="2">
        <v>12127</v>
      </c>
      <c r="B742" s="10">
        <v>798873</v>
      </c>
      <c r="C742" s="10">
        <v>1</v>
      </c>
      <c r="D742" s="9">
        <v>7</v>
      </c>
      <c r="E742" s="11" t="s">
        <v>535</v>
      </c>
      <c r="F742" s="11" t="str">
        <f t="shared" si="33"/>
        <v>https://purl.pt/44930</v>
      </c>
      <c r="G742" s="12" t="s">
        <v>536</v>
      </c>
      <c r="H742" s="9" t="s">
        <v>497</v>
      </c>
      <c r="I742" s="34"/>
      <c r="J742" s="55" t="str">
        <f t="shared" si="34"/>
        <v>https://permalinkbnd.bnportugal.gov.pt/viewer/279100/?offset=#page=7&amp;viewer=picture&amp;o=info&amp;n=0&amp;q=</v>
      </c>
      <c r="K742" s="45"/>
      <c r="L742" s="45"/>
      <c r="M742" s="45"/>
      <c r="N742" t="s">
        <v>535</v>
      </c>
      <c r="O742">
        <v>279100</v>
      </c>
      <c r="P742" t="str">
        <f t="shared" si="35"/>
        <v>https://permalinkbnd.bnportugal.gov.pt/viewer/279100/?offset=#page=7&amp;viewer=picture&amp;o=info&amp;n=0&amp;q=</v>
      </c>
      <c r="Q742">
        <v>798873</v>
      </c>
      <c r="R742" t="s">
        <v>535</v>
      </c>
      <c r="S742" t="s">
        <v>3306</v>
      </c>
      <c r="T742" t="s">
        <v>1178</v>
      </c>
      <c r="U742" t="s">
        <v>1192</v>
      </c>
      <c r="V742" t="s">
        <v>599</v>
      </c>
      <c r="W742" t="s">
        <v>3307</v>
      </c>
      <c r="X742" t="s">
        <v>3308</v>
      </c>
      <c r="Y742" t="s">
        <v>599</v>
      </c>
      <c r="Z742" t="s">
        <v>1182</v>
      </c>
      <c r="AA742" t="s">
        <v>3309</v>
      </c>
      <c r="AB742">
        <v>1880</v>
      </c>
      <c r="AC742">
        <v>1880</v>
      </c>
      <c r="AD742" t="s">
        <v>3310</v>
      </c>
      <c r="AE742" t="s">
        <v>3311</v>
      </c>
      <c r="AF742" t="s">
        <v>599</v>
      </c>
      <c r="AG742" t="s">
        <v>599</v>
      </c>
      <c r="AH742" t="s">
        <v>599</v>
      </c>
      <c r="AI742" t="s">
        <v>599</v>
      </c>
      <c r="AJ742" t="s">
        <v>599</v>
      </c>
      <c r="AK742" t="s">
        <v>3312</v>
      </c>
      <c r="AL742" t="s">
        <v>1188</v>
      </c>
      <c r="AM742" t="s">
        <v>3313</v>
      </c>
      <c r="AN742" t="s">
        <v>1190</v>
      </c>
      <c r="AO742" t="s">
        <v>599</v>
      </c>
      <c r="AP742" t="s">
        <v>599</v>
      </c>
      <c r="AQ742" t="s">
        <v>599</v>
      </c>
      <c r="AR742" t="s">
        <v>599</v>
      </c>
      <c r="AS742" t="s">
        <v>599</v>
      </c>
      <c r="AT742" t="s">
        <v>599</v>
      </c>
      <c r="AU742" t="s">
        <v>599</v>
      </c>
    </row>
    <row r="743" spans="1:47" ht="30" x14ac:dyDescent="0.25">
      <c r="A743" s="2">
        <v>12131</v>
      </c>
      <c r="B743" s="10">
        <v>874191</v>
      </c>
      <c r="C743" s="10">
        <v>1</v>
      </c>
      <c r="D743" s="9">
        <v>9</v>
      </c>
      <c r="E743" s="11" t="s">
        <v>537</v>
      </c>
      <c r="F743" s="11" t="str">
        <f t="shared" si="33"/>
        <v>https://purl.pt/44675</v>
      </c>
      <c r="G743" s="12" t="s">
        <v>538</v>
      </c>
      <c r="H743" s="9">
        <v>9</v>
      </c>
      <c r="I743" s="34"/>
      <c r="J743" s="55" t="str">
        <f t="shared" si="34"/>
        <v>https://permalinkbnd.bnportugal.gov.pt/viewer/278495/?offset=#page=9&amp;viewer=picture&amp;o=info&amp;n=0&amp;q=</v>
      </c>
      <c r="K743" s="45"/>
      <c r="L743" s="45"/>
      <c r="M743" s="45"/>
      <c r="N743" t="s">
        <v>537</v>
      </c>
      <c r="O743">
        <v>278495</v>
      </c>
      <c r="P743" t="str">
        <f t="shared" si="35"/>
        <v>https://permalinkbnd.bnportugal.gov.pt/viewer/278495/?offset=#page=9&amp;viewer=picture&amp;o=info&amp;n=0&amp;q=</v>
      </c>
      <c r="Q743">
        <v>874191</v>
      </c>
      <c r="R743" t="s">
        <v>537</v>
      </c>
      <c r="S743" t="s">
        <v>3314</v>
      </c>
      <c r="T743" t="s">
        <v>1178</v>
      </c>
      <c r="U743" t="s">
        <v>1362</v>
      </c>
      <c r="V743" t="s">
        <v>599</v>
      </c>
      <c r="W743" t="s">
        <v>3315</v>
      </c>
      <c r="X743" t="s">
        <v>3316</v>
      </c>
      <c r="Y743" t="s">
        <v>599</v>
      </c>
      <c r="Z743" t="s">
        <v>1182</v>
      </c>
      <c r="AA743" t="s">
        <v>3317</v>
      </c>
      <c r="AB743">
        <v>1892</v>
      </c>
      <c r="AC743">
        <v>1892</v>
      </c>
      <c r="AD743" t="s">
        <v>3318</v>
      </c>
      <c r="AE743" t="s">
        <v>3319</v>
      </c>
      <c r="AF743" t="s">
        <v>599</v>
      </c>
      <c r="AG743" t="s">
        <v>599</v>
      </c>
      <c r="AH743" t="s">
        <v>3320</v>
      </c>
      <c r="AI743" t="s">
        <v>599</v>
      </c>
      <c r="AJ743" t="s">
        <v>599</v>
      </c>
      <c r="AK743" t="s">
        <v>3321</v>
      </c>
      <c r="AL743" t="s">
        <v>1188</v>
      </c>
      <c r="AM743" t="s">
        <v>3322</v>
      </c>
      <c r="AN743" t="s">
        <v>1190</v>
      </c>
      <c r="AO743" t="s">
        <v>599</v>
      </c>
      <c r="AP743" t="s">
        <v>599</v>
      </c>
      <c r="AQ743" t="s">
        <v>599</v>
      </c>
      <c r="AR743" t="s">
        <v>599</v>
      </c>
      <c r="AS743" t="s">
        <v>599</v>
      </c>
      <c r="AT743" t="s">
        <v>599</v>
      </c>
      <c r="AU743" t="s">
        <v>599</v>
      </c>
    </row>
    <row r="744" spans="1:47" ht="30" x14ac:dyDescent="0.25">
      <c r="A744" s="2">
        <v>12179</v>
      </c>
      <c r="B744" s="10">
        <v>224027</v>
      </c>
      <c r="C744" s="10">
        <v>1</v>
      </c>
      <c r="D744" s="9">
        <v>7</v>
      </c>
      <c r="E744" s="11" t="s">
        <v>417</v>
      </c>
      <c r="F744" s="11" t="str">
        <f t="shared" si="33"/>
        <v>https://purl.pt/23629</v>
      </c>
      <c r="G744" s="12">
        <v>7</v>
      </c>
      <c r="H744" s="9"/>
      <c r="I744" s="34"/>
      <c r="J744" s="55" t="str">
        <f t="shared" si="34"/>
        <v>https://permalinkbnd.bnportugal.gov.pt/viewer/14663/?offset=#page=7&amp;viewer=picture&amp;o=info&amp;n=0&amp;q=</v>
      </c>
      <c r="K744" s="45"/>
      <c r="L744" s="45"/>
      <c r="M744" s="45"/>
      <c r="N744" t="s">
        <v>417</v>
      </c>
      <c r="O744">
        <v>14663</v>
      </c>
      <c r="P744" t="str">
        <f t="shared" si="35"/>
        <v>https://permalinkbnd.bnportugal.gov.pt/viewer/14663/?offset=#page=7&amp;viewer=picture&amp;o=info&amp;n=0&amp;q=</v>
      </c>
      <c r="Q744">
        <v>224027</v>
      </c>
      <c r="R744" t="s">
        <v>417</v>
      </c>
      <c r="S744" t="s">
        <v>2903</v>
      </c>
      <c r="T744" t="s">
        <v>1178</v>
      </c>
      <c r="U744" t="s">
        <v>1209</v>
      </c>
      <c r="V744" t="s">
        <v>1192</v>
      </c>
      <c r="W744" t="s">
        <v>2904</v>
      </c>
      <c r="X744" t="s">
        <v>599</v>
      </c>
      <c r="Y744" t="s">
        <v>599</v>
      </c>
      <c r="Z744" t="s">
        <v>1182</v>
      </c>
      <c r="AA744" t="s">
        <v>2905</v>
      </c>
      <c r="AB744">
        <v>1580</v>
      </c>
      <c r="AC744">
        <v>1580</v>
      </c>
      <c r="AD744" t="s">
        <v>2906</v>
      </c>
      <c r="AE744" t="s">
        <v>1185</v>
      </c>
      <c r="AF744" t="s">
        <v>599</v>
      </c>
      <c r="AG744" t="s">
        <v>599</v>
      </c>
      <c r="AH744" t="s">
        <v>2907</v>
      </c>
      <c r="AI744" t="s">
        <v>599</v>
      </c>
      <c r="AJ744" t="s">
        <v>599</v>
      </c>
      <c r="AK744" t="s">
        <v>2908</v>
      </c>
      <c r="AL744" t="s">
        <v>599</v>
      </c>
      <c r="AM744" t="s">
        <v>2909</v>
      </c>
      <c r="AN744" t="s">
        <v>1190</v>
      </c>
      <c r="AO744" t="s">
        <v>599</v>
      </c>
      <c r="AP744" t="s">
        <v>599</v>
      </c>
      <c r="AQ744" t="s">
        <v>599</v>
      </c>
      <c r="AR744" t="s">
        <v>599</v>
      </c>
      <c r="AS744" t="s">
        <v>599</v>
      </c>
      <c r="AT744" t="s">
        <v>599</v>
      </c>
      <c r="AU744" t="s">
        <v>599</v>
      </c>
    </row>
    <row r="745" spans="1:47" ht="120" x14ac:dyDescent="0.25">
      <c r="A745" s="2">
        <v>12181</v>
      </c>
      <c r="B745" s="10">
        <v>9413</v>
      </c>
      <c r="C745" s="10">
        <v>1</v>
      </c>
      <c r="D745" s="9">
        <v>1</v>
      </c>
      <c r="E745" s="11" t="s">
        <v>539</v>
      </c>
      <c r="F745" s="11" t="str">
        <f t="shared" si="33"/>
        <v>https://purl.pt/40198</v>
      </c>
      <c r="G745" s="12" t="s">
        <v>540</v>
      </c>
      <c r="H745" s="9" t="s">
        <v>541</v>
      </c>
      <c r="I745" s="34"/>
      <c r="J745" s="55" t="str">
        <f t="shared" si="34"/>
        <v>https://permalinkbnd.bnportugal.gov.pt/viewer/256552/?offset=#page=1&amp;viewer=picture&amp;o=info&amp;n=0&amp;q=</v>
      </c>
      <c r="K745" s="45"/>
      <c r="L745" s="45"/>
      <c r="M745" s="45"/>
      <c r="N745" t="s">
        <v>539</v>
      </c>
      <c r="O745">
        <v>256552</v>
      </c>
      <c r="P745" t="str">
        <f t="shared" si="35"/>
        <v>https://permalinkbnd.bnportugal.gov.pt/viewer/256552/?offset=#page=1&amp;viewer=picture&amp;o=info&amp;n=0&amp;q=</v>
      </c>
      <c r="Q745">
        <v>9413</v>
      </c>
      <c r="R745" t="s">
        <v>539</v>
      </c>
      <c r="S745" t="s">
        <v>3323</v>
      </c>
      <c r="T745" t="s">
        <v>1226</v>
      </c>
      <c r="U745" t="s">
        <v>1192</v>
      </c>
      <c r="V745" t="s">
        <v>599</v>
      </c>
      <c r="W745" t="s">
        <v>1105</v>
      </c>
      <c r="X745" t="s">
        <v>599</v>
      </c>
      <c r="Y745" t="s">
        <v>599</v>
      </c>
      <c r="Z745" t="s">
        <v>1182</v>
      </c>
      <c r="AA745" t="s">
        <v>3324</v>
      </c>
      <c r="AB745">
        <v>1980</v>
      </c>
      <c r="AC745">
        <v>1980</v>
      </c>
      <c r="AD745" t="s">
        <v>599</v>
      </c>
      <c r="AE745" t="s">
        <v>599</v>
      </c>
      <c r="AF745" t="s">
        <v>599</v>
      </c>
      <c r="AG745" t="s">
        <v>599</v>
      </c>
      <c r="AH745" t="s">
        <v>3325</v>
      </c>
      <c r="AI745" t="s">
        <v>599</v>
      </c>
      <c r="AJ745" t="s">
        <v>599</v>
      </c>
      <c r="AK745" t="s">
        <v>3326</v>
      </c>
      <c r="AL745" t="s">
        <v>599</v>
      </c>
      <c r="AM745" t="s">
        <v>3327</v>
      </c>
      <c r="AN745" t="s">
        <v>1319</v>
      </c>
      <c r="AO745" t="s">
        <v>599</v>
      </c>
      <c r="AP745" t="s">
        <v>599</v>
      </c>
      <c r="AQ745" t="s">
        <v>599</v>
      </c>
      <c r="AR745" t="s">
        <v>599</v>
      </c>
      <c r="AS745" t="s">
        <v>3328</v>
      </c>
      <c r="AT745" t="s">
        <v>599</v>
      </c>
      <c r="AU745" t="s">
        <v>599</v>
      </c>
    </row>
    <row r="746" spans="1:47" ht="120" x14ac:dyDescent="0.25">
      <c r="A746" s="2">
        <v>12182</v>
      </c>
      <c r="B746" s="10">
        <v>9413</v>
      </c>
      <c r="C746" s="10">
        <v>1</v>
      </c>
      <c r="D746" s="9">
        <v>9</v>
      </c>
      <c r="E746" s="11" t="s">
        <v>539</v>
      </c>
      <c r="F746" s="11" t="str">
        <f t="shared" si="33"/>
        <v>https://purl.pt/40198</v>
      </c>
      <c r="G746" s="12" t="s">
        <v>540</v>
      </c>
      <c r="H746" s="9" t="s">
        <v>541</v>
      </c>
      <c r="I746" s="34"/>
      <c r="J746" s="55" t="str">
        <f t="shared" si="34"/>
        <v>https://permalinkbnd.bnportugal.gov.pt/viewer/256552/?offset=#page=9&amp;viewer=picture&amp;o=info&amp;n=0&amp;q=</v>
      </c>
      <c r="K746" s="45"/>
      <c r="L746" s="45"/>
      <c r="M746" s="45"/>
      <c r="N746" t="s">
        <v>539</v>
      </c>
      <c r="O746">
        <v>256552</v>
      </c>
      <c r="P746" t="str">
        <f t="shared" si="35"/>
        <v>https://permalinkbnd.bnportugal.gov.pt/viewer/256552/?offset=#page=9&amp;viewer=picture&amp;o=info&amp;n=0&amp;q=</v>
      </c>
      <c r="Q746">
        <v>9413</v>
      </c>
      <c r="R746" t="s">
        <v>539</v>
      </c>
      <c r="S746" t="s">
        <v>3323</v>
      </c>
      <c r="T746" t="s">
        <v>1226</v>
      </c>
      <c r="U746" t="s">
        <v>1192</v>
      </c>
      <c r="V746" t="s">
        <v>599</v>
      </c>
      <c r="W746" t="s">
        <v>1105</v>
      </c>
      <c r="X746" t="s">
        <v>599</v>
      </c>
      <c r="Y746" t="s">
        <v>599</v>
      </c>
      <c r="Z746" t="s">
        <v>1182</v>
      </c>
      <c r="AA746" t="s">
        <v>3324</v>
      </c>
      <c r="AB746">
        <v>1980</v>
      </c>
      <c r="AC746">
        <v>1980</v>
      </c>
      <c r="AD746" t="s">
        <v>599</v>
      </c>
      <c r="AE746" t="s">
        <v>599</v>
      </c>
      <c r="AF746" t="s">
        <v>599</v>
      </c>
      <c r="AG746" t="s">
        <v>599</v>
      </c>
      <c r="AH746" t="s">
        <v>3325</v>
      </c>
      <c r="AI746" t="s">
        <v>599</v>
      </c>
      <c r="AJ746" t="s">
        <v>599</v>
      </c>
      <c r="AK746" t="s">
        <v>3326</v>
      </c>
      <c r="AL746" t="s">
        <v>599</v>
      </c>
      <c r="AM746" t="s">
        <v>3327</v>
      </c>
      <c r="AN746" t="s">
        <v>1319</v>
      </c>
      <c r="AO746" t="s">
        <v>599</v>
      </c>
      <c r="AP746" t="s">
        <v>599</v>
      </c>
      <c r="AQ746" t="s">
        <v>599</v>
      </c>
      <c r="AR746" t="s">
        <v>599</v>
      </c>
      <c r="AS746" t="s">
        <v>3328</v>
      </c>
      <c r="AT746" t="s">
        <v>599</v>
      </c>
      <c r="AU746" t="s">
        <v>599</v>
      </c>
    </row>
    <row r="747" spans="1:47" ht="120" x14ac:dyDescent="0.25">
      <c r="A747" s="2">
        <v>12183</v>
      </c>
      <c r="B747" s="10">
        <v>9413</v>
      </c>
      <c r="C747" s="10">
        <v>1</v>
      </c>
      <c r="D747" s="9">
        <v>14</v>
      </c>
      <c r="E747" s="11" t="s">
        <v>539</v>
      </c>
      <c r="F747" s="11" t="str">
        <f t="shared" si="33"/>
        <v>https://purl.pt/40198</v>
      </c>
      <c r="G747" s="12" t="s">
        <v>540</v>
      </c>
      <c r="H747" s="9" t="s">
        <v>541</v>
      </c>
      <c r="I747" s="34"/>
      <c r="J747" s="55" t="str">
        <f t="shared" si="34"/>
        <v>https://permalinkbnd.bnportugal.gov.pt/viewer/256552/?offset=#page=14&amp;viewer=picture&amp;o=info&amp;n=0&amp;q=</v>
      </c>
      <c r="K747" s="45"/>
      <c r="L747" s="45"/>
      <c r="M747" s="45"/>
      <c r="N747" t="s">
        <v>539</v>
      </c>
      <c r="O747">
        <v>256552</v>
      </c>
      <c r="P747" t="str">
        <f t="shared" si="35"/>
        <v>https://permalinkbnd.bnportugal.gov.pt/viewer/256552/?offset=#page=14&amp;viewer=picture&amp;o=info&amp;n=0&amp;q=</v>
      </c>
      <c r="Q747">
        <v>9413</v>
      </c>
      <c r="R747" t="s">
        <v>539</v>
      </c>
      <c r="S747" t="s">
        <v>3323</v>
      </c>
      <c r="T747" t="s">
        <v>1226</v>
      </c>
      <c r="U747" t="s">
        <v>1192</v>
      </c>
      <c r="V747" t="s">
        <v>599</v>
      </c>
      <c r="W747" t="s">
        <v>1105</v>
      </c>
      <c r="X747" t="s">
        <v>599</v>
      </c>
      <c r="Y747" t="s">
        <v>599</v>
      </c>
      <c r="Z747" t="s">
        <v>1182</v>
      </c>
      <c r="AA747" t="s">
        <v>3324</v>
      </c>
      <c r="AB747">
        <v>1980</v>
      </c>
      <c r="AC747">
        <v>1980</v>
      </c>
      <c r="AD747" t="s">
        <v>599</v>
      </c>
      <c r="AE747" t="s">
        <v>599</v>
      </c>
      <c r="AF747" t="s">
        <v>599</v>
      </c>
      <c r="AG747" t="s">
        <v>599</v>
      </c>
      <c r="AH747" t="s">
        <v>3325</v>
      </c>
      <c r="AI747" t="s">
        <v>599</v>
      </c>
      <c r="AJ747" t="s">
        <v>599</v>
      </c>
      <c r="AK747" t="s">
        <v>3326</v>
      </c>
      <c r="AL747" t="s">
        <v>599</v>
      </c>
      <c r="AM747" t="s">
        <v>3327</v>
      </c>
      <c r="AN747" t="s">
        <v>1319</v>
      </c>
      <c r="AO747" t="s">
        <v>599</v>
      </c>
      <c r="AP747" t="s">
        <v>599</v>
      </c>
      <c r="AQ747" t="s">
        <v>599</v>
      </c>
      <c r="AR747" t="s">
        <v>599</v>
      </c>
      <c r="AS747" t="s">
        <v>3328</v>
      </c>
      <c r="AT747" t="s">
        <v>599</v>
      </c>
      <c r="AU747" t="s">
        <v>599</v>
      </c>
    </row>
    <row r="748" spans="1:47" ht="120" x14ac:dyDescent="0.25">
      <c r="A748" s="2">
        <v>12184</v>
      </c>
      <c r="B748" s="10">
        <v>9413</v>
      </c>
      <c r="C748" s="10">
        <v>1</v>
      </c>
      <c r="D748" s="9">
        <v>19</v>
      </c>
      <c r="E748" s="11" t="s">
        <v>539</v>
      </c>
      <c r="F748" s="11" t="str">
        <f t="shared" si="33"/>
        <v>https://purl.pt/40198</v>
      </c>
      <c r="G748" s="12" t="s">
        <v>540</v>
      </c>
      <c r="H748" s="9" t="s">
        <v>541</v>
      </c>
      <c r="I748" s="34"/>
      <c r="J748" s="55" t="str">
        <f t="shared" si="34"/>
        <v>https://permalinkbnd.bnportugal.gov.pt/viewer/256552/?offset=#page=19&amp;viewer=picture&amp;o=info&amp;n=0&amp;q=</v>
      </c>
      <c r="K748" s="45"/>
      <c r="L748" s="45"/>
      <c r="M748" s="45"/>
      <c r="N748" t="s">
        <v>539</v>
      </c>
      <c r="O748">
        <v>256552</v>
      </c>
      <c r="P748" t="str">
        <f t="shared" si="35"/>
        <v>https://permalinkbnd.bnportugal.gov.pt/viewer/256552/?offset=#page=19&amp;viewer=picture&amp;o=info&amp;n=0&amp;q=</v>
      </c>
      <c r="Q748">
        <v>9413</v>
      </c>
      <c r="R748" t="s">
        <v>539</v>
      </c>
      <c r="S748" t="s">
        <v>3323</v>
      </c>
      <c r="T748" t="s">
        <v>1226</v>
      </c>
      <c r="U748" t="s">
        <v>1192</v>
      </c>
      <c r="V748" t="s">
        <v>599</v>
      </c>
      <c r="W748" t="s">
        <v>1105</v>
      </c>
      <c r="X748" t="s">
        <v>599</v>
      </c>
      <c r="Y748" t="s">
        <v>599</v>
      </c>
      <c r="Z748" t="s">
        <v>1182</v>
      </c>
      <c r="AA748" t="s">
        <v>3324</v>
      </c>
      <c r="AB748">
        <v>1980</v>
      </c>
      <c r="AC748">
        <v>1980</v>
      </c>
      <c r="AD748" t="s">
        <v>599</v>
      </c>
      <c r="AE748" t="s">
        <v>599</v>
      </c>
      <c r="AF748" t="s">
        <v>599</v>
      </c>
      <c r="AG748" t="s">
        <v>599</v>
      </c>
      <c r="AH748" t="s">
        <v>3325</v>
      </c>
      <c r="AI748" t="s">
        <v>599</v>
      </c>
      <c r="AJ748" t="s">
        <v>599</v>
      </c>
      <c r="AK748" t="s">
        <v>3326</v>
      </c>
      <c r="AL748" t="s">
        <v>599</v>
      </c>
      <c r="AM748" t="s">
        <v>3327</v>
      </c>
      <c r="AN748" t="s">
        <v>1319</v>
      </c>
      <c r="AO748" t="s">
        <v>599</v>
      </c>
      <c r="AP748" t="s">
        <v>599</v>
      </c>
      <c r="AQ748" t="s">
        <v>599</v>
      </c>
      <c r="AR748" t="s">
        <v>599</v>
      </c>
      <c r="AS748" t="s">
        <v>3328</v>
      </c>
      <c r="AT748" t="s">
        <v>599</v>
      </c>
      <c r="AU748" t="s">
        <v>599</v>
      </c>
    </row>
    <row r="749" spans="1:47" ht="120" x14ac:dyDescent="0.25">
      <c r="A749" s="2">
        <v>12185</v>
      </c>
      <c r="B749" s="10">
        <v>9413</v>
      </c>
      <c r="C749" s="10">
        <v>1</v>
      </c>
      <c r="D749" s="9">
        <v>20</v>
      </c>
      <c r="E749" s="11" t="s">
        <v>539</v>
      </c>
      <c r="F749" s="11" t="str">
        <f t="shared" si="33"/>
        <v>https://purl.pt/40198</v>
      </c>
      <c r="G749" s="12" t="s">
        <v>540</v>
      </c>
      <c r="H749" s="9" t="s">
        <v>541</v>
      </c>
      <c r="I749" s="34"/>
      <c r="J749" s="55" t="str">
        <f t="shared" si="34"/>
        <v>https://permalinkbnd.bnportugal.gov.pt/viewer/256552/?offset=#page=20&amp;viewer=picture&amp;o=info&amp;n=0&amp;q=</v>
      </c>
      <c r="K749" s="45"/>
      <c r="L749" s="45"/>
      <c r="M749" s="45"/>
      <c r="N749" t="s">
        <v>539</v>
      </c>
      <c r="O749">
        <v>256552</v>
      </c>
      <c r="P749" t="str">
        <f t="shared" si="35"/>
        <v>https://permalinkbnd.bnportugal.gov.pt/viewer/256552/?offset=#page=20&amp;viewer=picture&amp;o=info&amp;n=0&amp;q=</v>
      </c>
      <c r="Q749">
        <v>9413</v>
      </c>
      <c r="R749" t="s">
        <v>539</v>
      </c>
      <c r="S749" t="s">
        <v>3323</v>
      </c>
      <c r="T749" t="s">
        <v>1226</v>
      </c>
      <c r="U749" t="s">
        <v>1192</v>
      </c>
      <c r="V749" t="s">
        <v>599</v>
      </c>
      <c r="W749" t="s">
        <v>1105</v>
      </c>
      <c r="X749" t="s">
        <v>599</v>
      </c>
      <c r="Y749" t="s">
        <v>599</v>
      </c>
      <c r="Z749" t="s">
        <v>1182</v>
      </c>
      <c r="AA749" t="s">
        <v>3324</v>
      </c>
      <c r="AB749">
        <v>1980</v>
      </c>
      <c r="AC749">
        <v>1980</v>
      </c>
      <c r="AD749" t="s">
        <v>599</v>
      </c>
      <c r="AE749" t="s">
        <v>599</v>
      </c>
      <c r="AF749" t="s">
        <v>599</v>
      </c>
      <c r="AG749" t="s">
        <v>599</v>
      </c>
      <c r="AH749" t="s">
        <v>3325</v>
      </c>
      <c r="AI749" t="s">
        <v>599</v>
      </c>
      <c r="AJ749" t="s">
        <v>599</v>
      </c>
      <c r="AK749" t="s">
        <v>3326</v>
      </c>
      <c r="AL749" t="s">
        <v>599</v>
      </c>
      <c r="AM749" t="s">
        <v>3327</v>
      </c>
      <c r="AN749" t="s">
        <v>1319</v>
      </c>
      <c r="AO749" t="s">
        <v>599</v>
      </c>
      <c r="AP749" t="s">
        <v>599</v>
      </c>
      <c r="AQ749" t="s">
        <v>599</v>
      </c>
      <c r="AR749" t="s">
        <v>599</v>
      </c>
      <c r="AS749" t="s">
        <v>3328</v>
      </c>
      <c r="AT749" t="s">
        <v>599</v>
      </c>
      <c r="AU749" t="s">
        <v>599</v>
      </c>
    </row>
    <row r="750" spans="1:47" ht="120" x14ac:dyDescent="0.25">
      <c r="A750" s="2">
        <v>12186</v>
      </c>
      <c r="B750" s="10">
        <v>9413</v>
      </c>
      <c r="C750" s="10">
        <v>1</v>
      </c>
      <c r="D750" s="9">
        <v>39</v>
      </c>
      <c r="E750" s="11" t="s">
        <v>539</v>
      </c>
      <c r="F750" s="11" t="str">
        <f t="shared" si="33"/>
        <v>https://purl.pt/40198</v>
      </c>
      <c r="G750" s="12" t="s">
        <v>540</v>
      </c>
      <c r="H750" s="9" t="s">
        <v>541</v>
      </c>
      <c r="I750" s="34"/>
      <c r="J750" s="55" t="str">
        <f t="shared" si="34"/>
        <v>https://permalinkbnd.bnportugal.gov.pt/viewer/256552/?offset=#page=39&amp;viewer=picture&amp;o=info&amp;n=0&amp;q=</v>
      </c>
      <c r="K750" s="45"/>
      <c r="L750" s="45"/>
      <c r="M750" s="45"/>
      <c r="N750" t="s">
        <v>539</v>
      </c>
      <c r="O750">
        <v>256552</v>
      </c>
      <c r="P750" t="str">
        <f t="shared" si="35"/>
        <v>https://permalinkbnd.bnportugal.gov.pt/viewer/256552/?offset=#page=39&amp;viewer=picture&amp;o=info&amp;n=0&amp;q=</v>
      </c>
      <c r="Q750">
        <v>9413</v>
      </c>
      <c r="R750" t="s">
        <v>539</v>
      </c>
      <c r="S750" t="s">
        <v>3323</v>
      </c>
      <c r="T750" t="s">
        <v>1226</v>
      </c>
      <c r="U750" t="s">
        <v>1192</v>
      </c>
      <c r="V750" t="s">
        <v>599</v>
      </c>
      <c r="W750" t="s">
        <v>1105</v>
      </c>
      <c r="X750" t="s">
        <v>599</v>
      </c>
      <c r="Y750" t="s">
        <v>599</v>
      </c>
      <c r="Z750" t="s">
        <v>1182</v>
      </c>
      <c r="AA750" t="s">
        <v>3324</v>
      </c>
      <c r="AB750">
        <v>1980</v>
      </c>
      <c r="AC750">
        <v>1980</v>
      </c>
      <c r="AD750" t="s">
        <v>599</v>
      </c>
      <c r="AE750" t="s">
        <v>599</v>
      </c>
      <c r="AF750" t="s">
        <v>599</v>
      </c>
      <c r="AG750" t="s">
        <v>599</v>
      </c>
      <c r="AH750" t="s">
        <v>3325</v>
      </c>
      <c r="AI750" t="s">
        <v>599</v>
      </c>
      <c r="AJ750" t="s">
        <v>599</v>
      </c>
      <c r="AK750" t="s">
        <v>3326</v>
      </c>
      <c r="AL750" t="s">
        <v>599</v>
      </c>
      <c r="AM750" t="s">
        <v>3327</v>
      </c>
      <c r="AN750" t="s">
        <v>1319</v>
      </c>
      <c r="AO750" t="s">
        <v>599</v>
      </c>
      <c r="AP750" t="s">
        <v>599</v>
      </c>
      <c r="AQ750" t="s">
        <v>599</v>
      </c>
      <c r="AR750" t="s">
        <v>599</v>
      </c>
      <c r="AS750" t="s">
        <v>3328</v>
      </c>
      <c r="AT750" t="s">
        <v>599</v>
      </c>
      <c r="AU750" t="s">
        <v>599</v>
      </c>
    </row>
    <row r="751" spans="1:47" ht="120" x14ac:dyDescent="0.25">
      <c r="A751" s="2">
        <v>12187</v>
      </c>
      <c r="B751" s="10">
        <v>9413</v>
      </c>
      <c r="C751" s="10">
        <v>1</v>
      </c>
      <c r="D751" s="9">
        <v>42</v>
      </c>
      <c r="E751" s="11" t="s">
        <v>539</v>
      </c>
      <c r="F751" s="11" t="str">
        <f t="shared" si="33"/>
        <v>https://purl.pt/40198</v>
      </c>
      <c r="G751" s="12" t="s">
        <v>540</v>
      </c>
      <c r="H751" s="9" t="s">
        <v>541</v>
      </c>
      <c r="I751" s="34"/>
      <c r="J751" s="55" t="str">
        <f t="shared" si="34"/>
        <v>https://permalinkbnd.bnportugal.gov.pt/viewer/256552/?offset=#page=42&amp;viewer=picture&amp;o=info&amp;n=0&amp;q=</v>
      </c>
      <c r="K751" s="45"/>
      <c r="L751" s="45"/>
      <c r="M751" s="45"/>
      <c r="N751" t="s">
        <v>539</v>
      </c>
      <c r="O751">
        <v>256552</v>
      </c>
      <c r="P751" t="str">
        <f t="shared" si="35"/>
        <v>https://permalinkbnd.bnportugal.gov.pt/viewer/256552/?offset=#page=42&amp;viewer=picture&amp;o=info&amp;n=0&amp;q=</v>
      </c>
      <c r="Q751">
        <v>9413</v>
      </c>
      <c r="R751" t="s">
        <v>539</v>
      </c>
      <c r="S751" t="s">
        <v>3323</v>
      </c>
      <c r="T751" t="s">
        <v>1226</v>
      </c>
      <c r="U751" t="s">
        <v>1192</v>
      </c>
      <c r="V751" t="s">
        <v>599</v>
      </c>
      <c r="W751" t="s">
        <v>1105</v>
      </c>
      <c r="X751" t="s">
        <v>599</v>
      </c>
      <c r="Y751" t="s">
        <v>599</v>
      </c>
      <c r="Z751" t="s">
        <v>1182</v>
      </c>
      <c r="AA751" t="s">
        <v>3324</v>
      </c>
      <c r="AB751">
        <v>1980</v>
      </c>
      <c r="AC751">
        <v>1980</v>
      </c>
      <c r="AD751" t="s">
        <v>599</v>
      </c>
      <c r="AE751" t="s">
        <v>599</v>
      </c>
      <c r="AF751" t="s">
        <v>599</v>
      </c>
      <c r="AG751" t="s">
        <v>599</v>
      </c>
      <c r="AH751" t="s">
        <v>3325</v>
      </c>
      <c r="AI751" t="s">
        <v>599</v>
      </c>
      <c r="AJ751" t="s">
        <v>599</v>
      </c>
      <c r="AK751" t="s">
        <v>3326</v>
      </c>
      <c r="AL751" t="s">
        <v>599</v>
      </c>
      <c r="AM751" t="s">
        <v>3327</v>
      </c>
      <c r="AN751" t="s">
        <v>1319</v>
      </c>
      <c r="AO751" t="s">
        <v>599</v>
      </c>
      <c r="AP751" t="s">
        <v>599</v>
      </c>
      <c r="AQ751" t="s">
        <v>599</v>
      </c>
      <c r="AR751" t="s">
        <v>599</v>
      </c>
      <c r="AS751" t="s">
        <v>3328</v>
      </c>
      <c r="AT751" t="s">
        <v>599</v>
      </c>
      <c r="AU751" t="s">
        <v>599</v>
      </c>
    </row>
    <row r="752" spans="1:47" ht="120" x14ac:dyDescent="0.25">
      <c r="A752" s="2">
        <v>12188</v>
      </c>
      <c r="B752" s="10">
        <v>9413</v>
      </c>
      <c r="C752" s="10">
        <v>1</v>
      </c>
      <c r="D752" s="9">
        <v>45</v>
      </c>
      <c r="E752" s="11" t="s">
        <v>539</v>
      </c>
      <c r="F752" s="11" t="str">
        <f t="shared" si="33"/>
        <v>https://purl.pt/40198</v>
      </c>
      <c r="G752" s="12" t="s">
        <v>540</v>
      </c>
      <c r="H752" s="9" t="s">
        <v>541</v>
      </c>
      <c r="I752" s="34"/>
      <c r="J752" s="55" t="str">
        <f t="shared" si="34"/>
        <v>https://permalinkbnd.bnportugal.gov.pt/viewer/256552/?offset=#page=45&amp;viewer=picture&amp;o=info&amp;n=0&amp;q=</v>
      </c>
      <c r="K752" s="45"/>
      <c r="L752" s="45"/>
      <c r="M752" s="45"/>
      <c r="N752" t="s">
        <v>539</v>
      </c>
      <c r="O752">
        <v>256552</v>
      </c>
      <c r="P752" t="str">
        <f t="shared" si="35"/>
        <v>https://permalinkbnd.bnportugal.gov.pt/viewer/256552/?offset=#page=45&amp;viewer=picture&amp;o=info&amp;n=0&amp;q=</v>
      </c>
      <c r="Q752">
        <v>9413</v>
      </c>
      <c r="R752" t="s">
        <v>539</v>
      </c>
      <c r="S752" t="s">
        <v>3323</v>
      </c>
      <c r="T752" t="s">
        <v>1226</v>
      </c>
      <c r="U752" t="s">
        <v>1192</v>
      </c>
      <c r="V752" t="s">
        <v>599</v>
      </c>
      <c r="W752" t="s">
        <v>1105</v>
      </c>
      <c r="X752" t="s">
        <v>599</v>
      </c>
      <c r="Y752" t="s">
        <v>599</v>
      </c>
      <c r="Z752" t="s">
        <v>1182</v>
      </c>
      <c r="AA752" t="s">
        <v>3324</v>
      </c>
      <c r="AB752">
        <v>1980</v>
      </c>
      <c r="AC752">
        <v>1980</v>
      </c>
      <c r="AD752" t="s">
        <v>599</v>
      </c>
      <c r="AE752" t="s">
        <v>599</v>
      </c>
      <c r="AF752" t="s">
        <v>599</v>
      </c>
      <c r="AG752" t="s">
        <v>599</v>
      </c>
      <c r="AH752" t="s">
        <v>3325</v>
      </c>
      <c r="AI752" t="s">
        <v>599</v>
      </c>
      <c r="AJ752" t="s">
        <v>599</v>
      </c>
      <c r="AK752" t="s">
        <v>3326</v>
      </c>
      <c r="AL752" t="s">
        <v>599</v>
      </c>
      <c r="AM752" t="s">
        <v>3327</v>
      </c>
      <c r="AN752" t="s">
        <v>1319</v>
      </c>
      <c r="AO752" t="s">
        <v>599</v>
      </c>
      <c r="AP752" t="s">
        <v>599</v>
      </c>
      <c r="AQ752" t="s">
        <v>599</v>
      </c>
      <c r="AR752" t="s">
        <v>599</v>
      </c>
      <c r="AS752" t="s">
        <v>3328</v>
      </c>
      <c r="AT752" t="s">
        <v>599</v>
      </c>
      <c r="AU752" t="s">
        <v>599</v>
      </c>
    </row>
    <row r="753" spans="1:47" ht="120" x14ac:dyDescent="0.25">
      <c r="A753" s="2">
        <v>12189</v>
      </c>
      <c r="B753" s="10">
        <v>9413</v>
      </c>
      <c r="C753" s="10">
        <v>1</v>
      </c>
      <c r="D753" s="9">
        <v>48</v>
      </c>
      <c r="E753" s="11" t="s">
        <v>539</v>
      </c>
      <c r="F753" s="11" t="str">
        <f t="shared" si="33"/>
        <v>https://purl.pt/40198</v>
      </c>
      <c r="G753" s="12" t="s">
        <v>540</v>
      </c>
      <c r="H753" s="9" t="s">
        <v>541</v>
      </c>
      <c r="I753" s="34"/>
      <c r="J753" s="55" t="str">
        <f t="shared" si="34"/>
        <v>https://permalinkbnd.bnportugal.gov.pt/viewer/256552/?offset=#page=48&amp;viewer=picture&amp;o=info&amp;n=0&amp;q=</v>
      </c>
      <c r="K753" s="45"/>
      <c r="L753" s="45"/>
      <c r="M753" s="45"/>
      <c r="N753" t="s">
        <v>539</v>
      </c>
      <c r="O753">
        <v>256552</v>
      </c>
      <c r="P753" t="str">
        <f t="shared" si="35"/>
        <v>https://permalinkbnd.bnportugal.gov.pt/viewer/256552/?offset=#page=48&amp;viewer=picture&amp;o=info&amp;n=0&amp;q=</v>
      </c>
      <c r="Q753">
        <v>9413</v>
      </c>
      <c r="R753" t="s">
        <v>539</v>
      </c>
      <c r="S753" t="s">
        <v>3323</v>
      </c>
      <c r="T753" t="s">
        <v>1226</v>
      </c>
      <c r="U753" t="s">
        <v>1192</v>
      </c>
      <c r="V753" t="s">
        <v>599</v>
      </c>
      <c r="W753" t="s">
        <v>1105</v>
      </c>
      <c r="X753" t="s">
        <v>599</v>
      </c>
      <c r="Y753" t="s">
        <v>599</v>
      </c>
      <c r="Z753" t="s">
        <v>1182</v>
      </c>
      <c r="AA753" t="s">
        <v>3324</v>
      </c>
      <c r="AB753">
        <v>1980</v>
      </c>
      <c r="AC753">
        <v>1980</v>
      </c>
      <c r="AD753" t="s">
        <v>599</v>
      </c>
      <c r="AE753" t="s">
        <v>599</v>
      </c>
      <c r="AF753" t="s">
        <v>599</v>
      </c>
      <c r="AG753" t="s">
        <v>599</v>
      </c>
      <c r="AH753" t="s">
        <v>3325</v>
      </c>
      <c r="AI753" t="s">
        <v>599</v>
      </c>
      <c r="AJ753" t="s">
        <v>599</v>
      </c>
      <c r="AK753" t="s">
        <v>3326</v>
      </c>
      <c r="AL753" t="s">
        <v>599</v>
      </c>
      <c r="AM753" t="s">
        <v>3327</v>
      </c>
      <c r="AN753" t="s">
        <v>1319</v>
      </c>
      <c r="AO753" t="s">
        <v>599</v>
      </c>
      <c r="AP753" t="s">
        <v>599</v>
      </c>
      <c r="AQ753" t="s">
        <v>599</v>
      </c>
      <c r="AR753" t="s">
        <v>599</v>
      </c>
      <c r="AS753" t="s">
        <v>3328</v>
      </c>
      <c r="AT753" t="s">
        <v>599</v>
      </c>
      <c r="AU753" t="s">
        <v>599</v>
      </c>
    </row>
    <row r="754" spans="1:47" ht="120" x14ac:dyDescent="0.25">
      <c r="A754" s="2">
        <v>12190</v>
      </c>
      <c r="B754" s="10">
        <v>9413</v>
      </c>
      <c r="C754" s="10">
        <v>1</v>
      </c>
      <c r="D754" s="9">
        <v>59</v>
      </c>
      <c r="E754" s="11" t="s">
        <v>539</v>
      </c>
      <c r="F754" s="11" t="str">
        <f t="shared" si="33"/>
        <v>https://purl.pt/40198</v>
      </c>
      <c r="G754" s="12" t="s">
        <v>540</v>
      </c>
      <c r="H754" s="9" t="s">
        <v>541</v>
      </c>
      <c r="I754" s="34"/>
      <c r="J754" s="55" t="str">
        <f t="shared" si="34"/>
        <v>https://permalinkbnd.bnportugal.gov.pt/viewer/256552/?offset=#page=59&amp;viewer=picture&amp;o=info&amp;n=0&amp;q=</v>
      </c>
      <c r="K754" s="45"/>
      <c r="L754" s="45"/>
      <c r="M754" s="45"/>
      <c r="N754" t="s">
        <v>539</v>
      </c>
      <c r="O754">
        <v>256552</v>
      </c>
      <c r="P754" t="str">
        <f t="shared" si="35"/>
        <v>https://permalinkbnd.bnportugal.gov.pt/viewer/256552/?offset=#page=59&amp;viewer=picture&amp;o=info&amp;n=0&amp;q=</v>
      </c>
      <c r="Q754">
        <v>9413</v>
      </c>
      <c r="R754" t="s">
        <v>539</v>
      </c>
      <c r="S754" t="s">
        <v>3323</v>
      </c>
      <c r="T754" t="s">
        <v>1226</v>
      </c>
      <c r="U754" t="s">
        <v>1192</v>
      </c>
      <c r="V754" t="s">
        <v>599</v>
      </c>
      <c r="W754" t="s">
        <v>1105</v>
      </c>
      <c r="X754" t="s">
        <v>599</v>
      </c>
      <c r="Y754" t="s">
        <v>599</v>
      </c>
      <c r="Z754" t="s">
        <v>1182</v>
      </c>
      <c r="AA754" t="s">
        <v>3324</v>
      </c>
      <c r="AB754">
        <v>1980</v>
      </c>
      <c r="AC754">
        <v>1980</v>
      </c>
      <c r="AD754" t="s">
        <v>599</v>
      </c>
      <c r="AE754" t="s">
        <v>599</v>
      </c>
      <c r="AF754" t="s">
        <v>599</v>
      </c>
      <c r="AG754" t="s">
        <v>599</v>
      </c>
      <c r="AH754" t="s">
        <v>3325</v>
      </c>
      <c r="AI754" t="s">
        <v>599</v>
      </c>
      <c r="AJ754" t="s">
        <v>599</v>
      </c>
      <c r="AK754" t="s">
        <v>3326</v>
      </c>
      <c r="AL754" t="s">
        <v>599</v>
      </c>
      <c r="AM754" t="s">
        <v>3327</v>
      </c>
      <c r="AN754" t="s">
        <v>1319</v>
      </c>
      <c r="AO754" t="s">
        <v>599</v>
      </c>
      <c r="AP754" t="s">
        <v>599</v>
      </c>
      <c r="AQ754" t="s">
        <v>599</v>
      </c>
      <c r="AR754" t="s">
        <v>599</v>
      </c>
      <c r="AS754" t="s">
        <v>3328</v>
      </c>
      <c r="AT754" t="s">
        <v>599</v>
      </c>
      <c r="AU754" t="s">
        <v>599</v>
      </c>
    </row>
    <row r="755" spans="1:47" ht="120" x14ac:dyDescent="0.25">
      <c r="A755" s="2">
        <v>12191</v>
      </c>
      <c r="B755" s="10">
        <v>9413</v>
      </c>
      <c r="C755" s="10">
        <v>1</v>
      </c>
      <c r="D755" s="9">
        <v>66</v>
      </c>
      <c r="E755" s="11" t="s">
        <v>539</v>
      </c>
      <c r="F755" s="11" t="str">
        <f t="shared" si="33"/>
        <v>https://purl.pt/40198</v>
      </c>
      <c r="G755" s="12" t="s">
        <v>540</v>
      </c>
      <c r="H755" s="9" t="s">
        <v>541</v>
      </c>
      <c r="I755" s="34"/>
      <c r="J755" s="55" t="str">
        <f t="shared" si="34"/>
        <v>https://permalinkbnd.bnportugal.gov.pt/viewer/256552/?offset=#page=66&amp;viewer=picture&amp;o=info&amp;n=0&amp;q=</v>
      </c>
      <c r="K755" s="45"/>
      <c r="L755" s="45"/>
      <c r="M755" s="45"/>
      <c r="N755" t="s">
        <v>539</v>
      </c>
      <c r="O755">
        <v>256552</v>
      </c>
      <c r="P755" t="str">
        <f t="shared" si="35"/>
        <v>https://permalinkbnd.bnportugal.gov.pt/viewer/256552/?offset=#page=66&amp;viewer=picture&amp;o=info&amp;n=0&amp;q=</v>
      </c>
      <c r="Q755">
        <v>9413</v>
      </c>
      <c r="R755" t="s">
        <v>539</v>
      </c>
      <c r="S755" t="s">
        <v>3323</v>
      </c>
      <c r="T755" t="s">
        <v>1226</v>
      </c>
      <c r="U755" t="s">
        <v>1192</v>
      </c>
      <c r="V755" t="s">
        <v>599</v>
      </c>
      <c r="W755" t="s">
        <v>1105</v>
      </c>
      <c r="X755" t="s">
        <v>599</v>
      </c>
      <c r="Y755" t="s">
        <v>599</v>
      </c>
      <c r="Z755" t="s">
        <v>1182</v>
      </c>
      <c r="AA755" t="s">
        <v>3324</v>
      </c>
      <c r="AB755">
        <v>1980</v>
      </c>
      <c r="AC755">
        <v>1980</v>
      </c>
      <c r="AD755" t="s">
        <v>599</v>
      </c>
      <c r="AE755" t="s">
        <v>599</v>
      </c>
      <c r="AF755" t="s">
        <v>599</v>
      </c>
      <c r="AG755" t="s">
        <v>599</v>
      </c>
      <c r="AH755" t="s">
        <v>3325</v>
      </c>
      <c r="AI755" t="s">
        <v>599</v>
      </c>
      <c r="AJ755" t="s">
        <v>599</v>
      </c>
      <c r="AK755" t="s">
        <v>3326</v>
      </c>
      <c r="AL755" t="s">
        <v>599</v>
      </c>
      <c r="AM755" t="s">
        <v>3327</v>
      </c>
      <c r="AN755" t="s">
        <v>1319</v>
      </c>
      <c r="AO755" t="s">
        <v>599</v>
      </c>
      <c r="AP755" t="s">
        <v>599</v>
      </c>
      <c r="AQ755" t="s">
        <v>599</v>
      </c>
      <c r="AR755" t="s">
        <v>599</v>
      </c>
      <c r="AS755" t="s">
        <v>3328</v>
      </c>
      <c r="AT755" t="s">
        <v>599</v>
      </c>
      <c r="AU755" t="s">
        <v>599</v>
      </c>
    </row>
    <row r="756" spans="1:47" ht="30" x14ac:dyDescent="0.25">
      <c r="A756" s="2">
        <v>12193</v>
      </c>
      <c r="B756" s="10">
        <v>51530</v>
      </c>
      <c r="C756" s="10">
        <v>1</v>
      </c>
      <c r="D756" s="9">
        <v>9</v>
      </c>
      <c r="E756" s="11" t="s">
        <v>542</v>
      </c>
      <c r="F756" s="11" t="str">
        <f t="shared" si="33"/>
        <v>https://purl.pt/23692</v>
      </c>
      <c r="G756" s="12" t="s">
        <v>168</v>
      </c>
      <c r="H756" s="9"/>
      <c r="I756" s="34"/>
      <c r="J756" s="55" t="str">
        <f t="shared" si="34"/>
        <v>https://permalinkbnd.bnportugal.gov.pt/viewer/14657/?offset=#page=9&amp;viewer=picture&amp;o=info&amp;n=0&amp;q=</v>
      </c>
      <c r="K756" s="45"/>
      <c r="L756" s="45"/>
      <c r="M756" s="45"/>
      <c r="N756" t="s">
        <v>542</v>
      </c>
      <c r="O756">
        <v>14657</v>
      </c>
      <c r="P756" t="str">
        <f t="shared" si="35"/>
        <v>https://permalinkbnd.bnportugal.gov.pt/viewer/14657/?offset=#page=9&amp;viewer=picture&amp;o=info&amp;n=0&amp;q=</v>
      </c>
      <c r="Q756">
        <v>51530</v>
      </c>
      <c r="R756" t="s">
        <v>542</v>
      </c>
      <c r="S756" t="s">
        <v>3329</v>
      </c>
      <c r="T756" t="s">
        <v>1178</v>
      </c>
      <c r="U756" t="s">
        <v>1192</v>
      </c>
      <c r="V756" t="s">
        <v>599</v>
      </c>
      <c r="W756" t="s">
        <v>3330</v>
      </c>
      <c r="X756" t="s">
        <v>599</v>
      </c>
      <c r="Y756" t="s">
        <v>599</v>
      </c>
      <c r="Z756" t="s">
        <v>3331</v>
      </c>
      <c r="AA756" t="s">
        <v>3332</v>
      </c>
      <c r="AB756">
        <v>1587</v>
      </c>
      <c r="AC756">
        <v>1587</v>
      </c>
      <c r="AD756" t="s">
        <v>3333</v>
      </c>
      <c r="AE756" t="s">
        <v>599</v>
      </c>
      <c r="AF756" t="s">
        <v>599</v>
      </c>
      <c r="AG756" t="s">
        <v>3334</v>
      </c>
      <c r="AH756" t="s">
        <v>3335</v>
      </c>
      <c r="AI756" t="s">
        <v>599</v>
      </c>
      <c r="AJ756" t="s">
        <v>599</v>
      </c>
      <c r="AK756" t="s">
        <v>3336</v>
      </c>
      <c r="AL756" t="s">
        <v>599</v>
      </c>
      <c r="AM756" t="s">
        <v>3337</v>
      </c>
      <c r="AN756" t="s">
        <v>1190</v>
      </c>
      <c r="AO756" t="s">
        <v>599</v>
      </c>
      <c r="AP756" t="s">
        <v>599</v>
      </c>
      <c r="AQ756" t="s">
        <v>3338</v>
      </c>
      <c r="AR756" t="s">
        <v>599</v>
      </c>
      <c r="AS756" t="s">
        <v>599</v>
      </c>
      <c r="AT756" t="s">
        <v>599</v>
      </c>
      <c r="AU756" t="s">
        <v>599</v>
      </c>
    </row>
    <row r="757" spans="1:47" ht="30" x14ac:dyDescent="0.25">
      <c r="A757" s="2">
        <v>12199</v>
      </c>
      <c r="B757" s="10">
        <v>289933</v>
      </c>
      <c r="C757" s="10">
        <v>1</v>
      </c>
      <c r="D757" s="9">
        <v>2</v>
      </c>
      <c r="E757" s="11" t="s">
        <v>543</v>
      </c>
      <c r="F757" s="11" t="str">
        <f t="shared" si="33"/>
        <v>https://purl.pt/20913</v>
      </c>
      <c r="G757" s="12" t="s">
        <v>544</v>
      </c>
      <c r="H757" s="9" t="s">
        <v>545</v>
      </c>
      <c r="I757" s="34"/>
      <c r="J757" s="55" t="str">
        <f t="shared" si="34"/>
        <v>https://permalinkbnd.bnportugal.gov.pt/viewer/3/?offset=#page=2&amp;viewer=picture&amp;o=info&amp;n=0&amp;q=</v>
      </c>
      <c r="K757" s="45"/>
      <c r="L757" s="45"/>
      <c r="M757" s="45"/>
      <c r="N757" t="s">
        <v>543</v>
      </c>
      <c r="O757">
        <v>3</v>
      </c>
      <c r="P757" t="str">
        <f t="shared" si="35"/>
        <v>https://permalinkbnd.bnportugal.gov.pt/viewer/3/?offset=#page=2&amp;viewer=picture&amp;o=info&amp;n=0&amp;q=</v>
      </c>
      <c r="Q757">
        <v>289933</v>
      </c>
      <c r="R757" t="s">
        <v>543</v>
      </c>
      <c r="S757" t="s">
        <v>3339</v>
      </c>
      <c r="T757" t="s">
        <v>1178</v>
      </c>
      <c r="U757" t="s">
        <v>1192</v>
      </c>
      <c r="V757" t="s">
        <v>599</v>
      </c>
      <c r="W757" t="s">
        <v>3340</v>
      </c>
      <c r="X757" t="s">
        <v>599</v>
      </c>
      <c r="Y757" t="s">
        <v>599</v>
      </c>
      <c r="Z757" t="s">
        <v>1182</v>
      </c>
      <c r="AA757" t="s">
        <v>3341</v>
      </c>
      <c r="AB757">
        <v>1972</v>
      </c>
      <c r="AC757">
        <v>1972</v>
      </c>
      <c r="AD757" t="s">
        <v>3342</v>
      </c>
      <c r="AE757" t="s">
        <v>599</v>
      </c>
      <c r="AF757" t="s">
        <v>599</v>
      </c>
      <c r="AG757" t="s">
        <v>599</v>
      </c>
      <c r="AH757" t="s">
        <v>599</v>
      </c>
      <c r="AI757" t="s">
        <v>599</v>
      </c>
      <c r="AJ757" t="s">
        <v>599</v>
      </c>
      <c r="AK757" t="s">
        <v>3343</v>
      </c>
      <c r="AL757" t="s">
        <v>599</v>
      </c>
      <c r="AM757" t="s">
        <v>3344</v>
      </c>
      <c r="AN757" t="s">
        <v>1319</v>
      </c>
      <c r="AO757" t="s">
        <v>599</v>
      </c>
      <c r="AP757" t="s">
        <v>599</v>
      </c>
      <c r="AQ757" t="s">
        <v>3345</v>
      </c>
      <c r="AR757" t="s">
        <v>599</v>
      </c>
      <c r="AS757" t="s">
        <v>599</v>
      </c>
      <c r="AT757" t="s">
        <v>599</v>
      </c>
      <c r="AU757" t="s">
        <v>599</v>
      </c>
    </row>
    <row r="758" spans="1:47" ht="30" x14ac:dyDescent="0.25">
      <c r="A758" s="2">
        <v>12200</v>
      </c>
      <c r="B758" s="10">
        <v>289933</v>
      </c>
      <c r="C758" s="10">
        <v>1</v>
      </c>
      <c r="D758" s="9">
        <v>3</v>
      </c>
      <c r="E758" s="11" t="s">
        <v>543</v>
      </c>
      <c r="F758" s="11" t="str">
        <f t="shared" si="33"/>
        <v>https://purl.pt/20913</v>
      </c>
      <c r="G758" s="12" t="s">
        <v>544</v>
      </c>
      <c r="H758" s="9" t="s">
        <v>545</v>
      </c>
      <c r="I758" s="34"/>
      <c r="J758" s="55" t="str">
        <f t="shared" si="34"/>
        <v>https://permalinkbnd.bnportugal.gov.pt/viewer/3/?offset=#page=3&amp;viewer=picture&amp;o=info&amp;n=0&amp;q=</v>
      </c>
      <c r="K758" s="45"/>
      <c r="L758" s="45"/>
      <c r="M758" s="45"/>
      <c r="N758" t="s">
        <v>543</v>
      </c>
      <c r="O758">
        <v>3</v>
      </c>
      <c r="P758" t="str">
        <f t="shared" si="35"/>
        <v>https://permalinkbnd.bnportugal.gov.pt/viewer/3/?offset=#page=3&amp;viewer=picture&amp;o=info&amp;n=0&amp;q=</v>
      </c>
      <c r="Q758">
        <v>289933</v>
      </c>
      <c r="R758" t="s">
        <v>543</v>
      </c>
      <c r="S758" t="s">
        <v>3339</v>
      </c>
      <c r="T758" t="s">
        <v>1178</v>
      </c>
      <c r="U758" t="s">
        <v>1192</v>
      </c>
      <c r="V758" t="s">
        <v>599</v>
      </c>
      <c r="W758" t="s">
        <v>3340</v>
      </c>
      <c r="X758" t="s">
        <v>599</v>
      </c>
      <c r="Y758" t="s">
        <v>599</v>
      </c>
      <c r="Z758" t="s">
        <v>1182</v>
      </c>
      <c r="AA758" t="s">
        <v>3341</v>
      </c>
      <c r="AB758">
        <v>1972</v>
      </c>
      <c r="AC758">
        <v>1972</v>
      </c>
      <c r="AD758" t="s">
        <v>3342</v>
      </c>
      <c r="AE758" t="s">
        <v>599</v>
      </c>
      <c r="AF758" t="s">
        <v>599</v>
      </c>
      <c r="AG758" t="s">
        <v>599</v>
      </c>
      <c r="AH758" t="s">
        <v>599</v>
      </c>
      <c r="AI758" t="s">
        <v>599</v>
      </c>
      <c r="AJ758" t="s">
        <v>599</v>
      </c>
      <c r="AK758" t="s">
        <v>3343</v>
      </c>
      <c r="AL758" t="s">
        <v>599</v>
      </c>
      <c r="AM758" t="s">
        <v>3344</v>
      </c>
      <c r="AN758" t="s">
        <v>1319</v>
      </c>
      <c r="AO758" t="s">
        <v>599</v>
      </c>
      <c r="AP758" t="s">
        <v>599</v>
      </c>
      <c r="AQ758" t="s">
        <v>3345</v>
      </c>
      <c r="AR758" t="s">
        <v>599</v>
      </c>
      <c r="AS758" t="s">
        <v>599</v>
      </c>
      <c r="AT758" t="s">
        <v>599</v>
      </c>
      <c r="AU758" t="s">
        <v>599</v>
      </c>
    </row>
    <row r="759" spans="1:47" ht="30" x14ac:dyDescent="0.25">
      <c r="A759" s="2">
        <v>12201</v>
      </c>
      <c r="B759" s="10">
        <v>289933</v>
      </c>
      <c r="C759" s="10">
        <v>1</v>
      </c>
      <c r="D759" s="9">
        <v>4</v>
      </c>
      <c r="E759" s="11" t="s">
        <v>543</v>
      </c>
      <c r="F759" s="11" t="str">
        <f t="shared" si="33"/>
        <v>https://purl.pt/20913</v>
      </c>
      <c r="G759" s="12" t="s">
        <v>544</v>
      </c>
      <c r="H759" s="9" t="s">
        <v>545</v>
      </c>
      <c r="I759" s="34"/>
      <c r="J759" s="55" t="str">
        <f t="shared" si="34"/>
        <v>https://permalinkbnd.bnportugal.gov.pt/viewer/3/?offset=#page=4&amp;viewer=picture&amp;o=info&amp;n=0&amp;q=</v>
      </c>
      <c r="K759" s="45"/>
      <c r="L759" s="45"/>
      <c r="M759" s="45"/>
      <c r="N759" t="s">
        <v>543</v>
      </c>
      <c r="O759">
        <v>3</v>
      </c>
      <c r="P759" t="str">
        <f t="shared" si="35"/>
        <v>https://permalinkbnd.bnportugal.gov.pt/viewer/3/?offset=#page=4&amp;viewer=picture&amp;o=info&amp;n=0&amp;q=</v>
      </c>
      <c r="Q759">
        <v>289933</v>
      </c>
      <c r="R759" t="s">
        <v>543</v>
      </c>
      <c r="S759" t="s">
        <v>3339</v>
      </c>
      <c r="T759" t="s">
        <v>1178</v>
      </c>
      <c r="U759" t="s">
        <v>1192</v>
      </c>
      <c r="V759" t="s">
        <v>599</v>
      </c>
      <c r="W759" t="s">
        <v>3340</v>
      </c>
      <c r="X759" t="s">
        <v>599</v>
      </c>
      <c r="Y759" t="s">
        <v>599</v>
      </c>
      <c r="Z759" t="s">
        <v>1182</v>
      </c>
      <c r="AA759" t="s">
        <v>3341</v>
      </c>
      <c r="AB759">
        <v>1972</v>
      </c>
      <c r="AC759">
        <v>1972</v>
      </c>
      <c r="AD759" t="s">
        <v>3342</v>
      </c>
      <c r="AE759" t="s">
        <v>599</v>
      </c>
      <c r="AF759" t="s">
        <v>599</v>
      </c>
      <c r="AG759" t="s">
        <v>599</v>
      </c>
      <c r="AH759" t="s">
        <v>599</v>
      </c>
      <c r="AI759" t="s">
        <v>599</v>
      </c>
      <c r="AJ759" t="s">
        <v>599</v>
      </c>
      <c r="AK759" t="s">
        <v>3343</v>
      </c>
      <c r="AL759" t="s">
        <v>599</v>
      </c>
      <c r="AM759" t="s">
        <v>3344</v>
      </c>
      <c r="AN759" t="s">
        <v>1319</v>
      </c>
      <c r="AO759" t="s">
        <v>599</v>
      </c>
      <c r="AP759" t="s">
        <v>599</v>
      </c>
      <c r="AQ759" t="s">
        <v>3345</v>
      </c>
      <c r="AR759" t="s">
        <v>599</v>
      </c>
      <c r="AS759" t="s">
        <v>599</v>
      </c>
      <c r="AT759" t="s">
        <v>599</v>
      </c>
      <c r="AU759" t="s">
        <v>599</v>
      </c>
    </row>
    <row r="760" spans="1:47" ht="30" x14ac:dyDescent="0.25">
      <c r="A760" s="2">
        <v>12203</v>
      </c>
      <c r="B760" s="10">
        <v>321765</v>
      </c>
      <c r="C760" s="10">
        <v>1</v>
      </c>
      <c r="D760" s="9">
        <v>1</v>
      </c>
      <c r="E760" s="11" t="s">
        <v>546</v>
      </c>
      <c r="F760" s="11" t="str">
        <f t="shared" si="33"/>
        <v>https://purl.pt/14682</v>
      </c>
      <c r="G760" s="12" t="s">
        <v>449</v>
      </c>
      <c r="H760" s="9">
        <v>1</v>
      </c>
      <c r="I760" s="34"/>
      <c r="J760" s="55" t="str">
        <f t="shared" si="34"/>
        <v>https://permalinkbnd.bnportugal.gov.pt/viewer/85826/?offset=#page=1&amp;viewer=picture&amp;o=info&amp;n=0&amp;q=</v>
      </c>
      <c r="K760" s="45"/>
      <c r="L760" s="45"/>
      <c r="M760" s="45"/>
      <c r="N760" t="s">
        <v>546</v>
      </c>
      <c r="O760">
        <v>85826</v>
      </c>
      <c r="P760" t="str">
        <f t="shared" si="35"/>
        <v>https://permalinkbnd.bnportugal.gov.pt/viewer/85826/?offset=#page=1&amp;viewer=picture&amp;o=info&amp;n=0&amp;q=</v>
      </c>
      <c r="Q760">
        <v>321765</v>
      </c>
      <c r="R760" t="s">
        <v>546</v>
      </c>
      <c r="S760" t="s">
        <v>3346</v>
      </c>
      <c r="T760" t="s">
        <v>1178</v>
      </c>
      <c r="U760" t="s">
        <v>1192</v>
      </c>
      <c r="V760" t="s">
        <v>599</v>
      </c>
      <c r="W760" t="s">
        <v>3347</v>
      </c>
      <c r="X760" t="s">
        <v>599</v>
      </c>
      <c r="Y760" t="s">
        <v>599</v>
      </c>
      <c r="Z760" t="s">
        <v>1182</v>
      </c>
      <c r="AA760" t="s">
        <v>3348</v>
      </c>
      <c r="AB760">
        <v>1888</v>
      </c>
      <c r="AC760">
        <v>1888</v>
      </c>
      <c r="AD760" t="s">
        <v>3349</v>
      </c>
      <c r="AE760" t="s">
        <v>599</v>
      </c>
      <c r="AF760" t="s">
        <v>599</v>
      </c>
      <c r="AG760" t="s">
        <v>599</v>
      </c>
      <c r="AH760" t="s">
        <v>3350</v>
      </c>
      <c r="AI760" t="s">
        <v>599</v>
      </c>
      <c r="AJ760" t="s">
        <v>599</v>
      </c>
      <c r="AK760" t="s">
        <v>3351</v>
      </c>
      <c r="AL760" t="s">
        <v>599</v>
      </c>
      <c r="AM760" t="s">
        <v>3352</v>
      </c>
      <c r="AN760" t="s">
        <v>1190</v>
      </c>
      <c r="AO760" t="s">
        <v>3353</v>
      </c>
      <c r="AP760" t="s">
        <v>599</v>
      </c>
      <c r="AQ760" t="s">
        <v>3354</v>
      </c>
      <c r="AR760" t="s">
        <v>599</v>
      </c>
      <c r="AS760" t="s">
        <v>599</v>
      </c>
      <c r="AT760" t="s">
        <v>599</v>
      </c>
      <c r="AU760" t="s">
        <v>599</v>
      </c>
    </row>
    <row r="761" spans="1:47" ht="30" x14ac:dyDescent="0.25">
      <c r="A761" s="2">
        <v>12206</v>
      </c>
      <c r="B761" s="10">
        <v>330274</v>
      </c>
      <c r="C761" s="10">
        <v>1</v>
      </c>
      <c r="D761" s="9">
        <v>10</v>
      </c>
      <c r="E761" s="11" t="s">
        <v>547</v>
      </c>
      <c r="F761" s="11" t="str">
        <f t="shared" si="33"/>
        <v>https://purl.pt/37926</v>
      </c>
      <c r="G761" s="12" t="s">
        <v>178</v>
      </c>
      <c r="H761" s="9">
        <v>10</v>
      </c>
      <c r="I761" s="34"/>
      <c r="J761" s="55" t="str">
        <f t="shared" si="34"/>
        <v>https://permalinkbnd.bnportugal.gov.pt/viewer/14597/?offset=#page=10&amp;viewer=picture&amp;o=info&amp;n=0&amp;q=</v>
      </c>
      <c r="K761" s="45"/>
      <c r="L761" s="45"/>
      <c r="M761" s="45"/>
      <c r="N761" t="s">
        <v>547</v>
      </c>
      <c r="O761">
        <v>14597</v>
      </c>
      <c r="P761" t="str">
        <f t="shared" si="35"/>
        <v>https://permalinkbnd.bnportugal.gov.pt/viewer/14597/?offset=#page=10&amp;viewer=picture&amp;o=info&amp;n=0&amp;q=</v>
      </c>
      <c r="Q761">
        <v>330274</v>
      </c>
      <c r="R761" t="s">
        <v>547</v>
      </c>
      <c r="S761" t="s">
        <v>3355</v>
      </c>
      <c r="T761" t="s">
        <v>1178</v>
      </c>
      <c r="U761" t="s">
        <v>1362</v>
      </c>
      <c r="V761" t="s">
        <v>599</v>
      </c>
      <c r="W761" t="s">
        <v>3356</v>
      </c>
      <c r="X761" t="s">
        <v>3357</v>
      </c>
      <c r="Y761" t="s">
        <v>599</v>
      </c>
      <c r="Z761" t="s">
        <v>1182</v>
      </c>
      <c r="AA761" t="s">
        <v>3358</v>
      </c>
      <c r="AB761">
        <v>1890</v>
      </c>
      <c r="AC761">
        <v>1890</v>
      </c>
      <c r="AD761" t="s">
        <v>3359</v>
      </c>
      <c r="AE761" t="s">
        <v>2766</v>
      </c>
      <c r="AF761" t="s">
        <v>599</v>
      </c>
      <c r="AG761" t="s">
        <v>599</v>
      </c>
      <c r="AH761" t="s">
        <v>599</v>
      </c>
      <c r="AI761" t="s">
        <v>599</v>
      </c>
      <c r="AJ761" t="s">
        <v>599</v>
      </c>
      <c r="AK761" t="s">
        <v>3360</v>
      </c>
      <c r="AL761" t="s">
        <v>599</v>
      </c>
      <c r="AM761" t="s">
        <v>3361</v>
      </c>
      <c r="AN761" t="s">
        <v>1190</v>
      </c>
      <c r="AO761" t="s">
        <v>599</v>
      </c>
      <c r="AP761" t="s">
        <v>599</v>
      </c>
      <c r="AQ761" t="s">
        <v>599</v>
      </c>
      <c r="AR761" t="s">
        <v>599</v>
      </c>
      <c r="AS761" t="s">
        <v>599</v>
      </c>
      <c r="AT761" t="s">
        <v>599</v>
      </c>
      <c r="AU761" t="s">
        <v>599</v>
      </c>
    </row>
    <row r="762" spans="1:47" ht="45" x14ac:dyDescent="0.25">
      <c r="A762" s="2">
        <v>12210</v>
      </c>
      <c r="B762" s="10">
        <v>347365</v>
      </c>
      <c r="C762" s="10">
        <v>1</v>
      </c>
      <c r="D762" s="9">
        <v>75</v>
      </c>
      <c r="E762" s="11" t="s">
        <v>548</v>
      </c>
      <c r="F762" s="11" t="str">
        <f t="shared" si="33"/>
        <v>https://purl.pt/39791</v>
      </c>
      <c r="G762" s="12" t="s">
        <v>549</v>
      </c>
      <c r="H762" s="9" t="s">
        <v>550</v>
      </c>
      <c r="I762" s="34"/>
      <c r="J762" s="55" t="str">
        <f t="shared" si="34"/>
        <v>https://permalinkbnd.bnportugal.gov.pt/viewer/255741/?offset=#page=75&amp;viewer=picture&amp;o=info&amp;n=0&amp;q=</v>
      </c>
      <c r="K762" s="45"/>
      <c r="L762" s="45"/>
      <c r="M762" s="45"/>
      <c r="N762" t="s">
        <v>548</v>
      </c>
      <c r="O762">
        <v>255741</v>
      </c>
      <c r="P762" t="str">
        <f t="shared" si="35"/>
        <v>https://permalinkbnd.bnportugal.gov.pt/viewer/255741/?offset=#page=75&amp;viewer=picture&amp;o=info&amp;n=0&amp;q=</v>
      </c>
      <c r="Q762">
        <v>347365</v>
      </c>
      <c r="R762" t="s">
        <v>548</v>
      </c>
      <c r="S762" t="s">
        <v>3362</v>
      </c>
      <c r="T762" t="s">
        <v>1178</v>
      </c>
      <c r="U762" t="s">
        <v>1192</v>
      </c>
      <c r="V762" t="s">
        <v>599</v>
      </c>
      <c r="W762" t="s">
        <v>3363</v>
      </c>
      <c r="X762" t="s">
        <v>599</v>
      </c>
      <c r="Y762" t="s">
        <v>599</v>
      </c>
      <c r="Z762" t="s">
        <v>1182</v>
      </c>
      <c r="AA762" t="s">
        <v>3364</v>
      </c>
      <c r="AB762">
        <v>1974</v>
      </c>
      <c r="AC762">
        <v>1974</v>
      </c>
      <c r="AD762" t="s">
        <v>3365</v>
      </c>
      <c r="AE762" t="s">
        <v>3366</v>
      </c>
      <c r="AF762" t="s">
        <v>599</v>
      </c>
      <c r="AG762" t="s">
        <v>599</v>
      </c>
      <c r="AH762" t="s">
        <v>599</v>
      </c>
      <c r="AI762" t="s">
        <v>599</v>
      </c>
      <c r="AJ762" t="s">
        <v>599</v>
      </c>
      <c r="AK762" t="s">
        <v>3367</v>
      </c>
      <c r="AL762" t="s">
        <v>599</v>
      </c>
      <c r="AM762" t="s">
        <v>3368</v>
      </c>
      <c r="AN762" t="s">
        <v>1319</v>
      </c>
      <c r="AO762" t="s">
        <v>599</v>
      </c>
      <c r="AP762" t="s">
        <v>599</v>
      </c>
      <c r="AQ762" t="s">
        <v>599</v>
      </c>
      <c r="AR762" t="s">
        <v>599</v>
      </c>
      <c r="AS762" t="s">
        <v>599</v>
      </c>
      <c r="AT762" t="s">
        <v>599</v>
      </c>
      <c r="AU762" t="s">
        <v>599</v>
      </c>
    </row>
    <row r="763" spans="1:47" ht="45" x14ac:dyDescent="0.25">
      <c r="A763" s="2">
        <v>12211</v>
      </c>
      <c r="B763" s="10">
        <v>347365</v>
      </c>
      <c r="C763" s="10">
        <v>1</v>
      </c>
      <c r="D763" s="9">
        <v>76</v>
      </c>
      <c r="E763" s="11" t="s">
        <v>548</v>
      </c>
      <c r="F763" s="11" t="str">
        <f t="shared" si="33"/>
        <v>https://purl.pt/39791</v>
      </c>
      <c r="G763" s="12" t="s">
        <v>549</v>
      </c>
      <c r="H763" s="9" t="s">
        <v>550</v>
      </c>
      <c r="I763" s="34"/>
      <c r="J763" s="55" t="str">
        <f t="shared" si="34"/>
        <v>https://permalinkbnd.bnportugal.gov.pt/viewer/255741/?offset=#page=76&amp;viewer=picture&amp;o=info&amp;n=0&amp;q=</v>
      </c>
      <c r="K763" s="45"/>
      <c r="L763" s="45"/>
      <c r="M763" s="45"/>
      <c r="N763" t="s">
        <v>548</v>
      </c>
      <c r="O763">
        <v>255741</v>
      </c>
      <c r="P763" t="str">
        <f t="shared" si="35"/>
        <v>https://permalinkbnd.bnportugal.gov.pt/viewer/255741/?offset=#page=76&amp;viewer=picture&amp;o=info&amp;n=0&amp;q=</v>
      </c>
      <c r="Q763">
        <v>347365</v>
      </c>
      <c r="R763" t="s">
        <v>548</v>
      </c>
      <c r="S763" t="s">
        <v>3362</v>
      </c>
      <c r="T763" t="s">
        <v>1178</v>
      </c>
      <c r="U763" t="s">
        <v>1192</v>
      </c>
      <c r="V763" t="s">
        <v>599</v>
      </c>
      <c r="W763" t="s">
        <v>3363</v>
      </c>
      <c r="X763" t="s">
        <v>599</v>
      </c>
      <c r="Y763" t="s">
        <v>599</v>
      </c>
      <c r="Z763" t="s">
        <v>1182</v>
      </c>
      <c r="AA763" t="s">
        <v>3364</v>
      </c>
      <c r="AB763">
        <v>1974</v>
      </c>
      <c r="AC763">
        <v>1974</v>
      </c>
      <c r="AD763" t="s">
        <v>3365</v>
      </c>
      <c r="AE763" t="s">
        <v>3366</v>
      </c>
      <c r="AF763" t="s">
        <v>599</v>
      </c>
      <c r="AG763" t="s">
        <v>599</v>
      </c>
      <c r="AH763" t="s">
        <v>599</v>
      </c>
      <c r="AI763" t="s">
        <v>599</v>
      </c>
      <c r="AJ763" t="s">
        <v>599</v>
      </c>
      <c r="AK763" t="s">
        <v>3367</v>
      </c>
      <c r="AL763" t="s">
        <v>599</v>
      </c>
      <c r="AM763" t="s">
        <v>3368</v>
      </c>
      <c r="AN763" t="s">
        <v>1319</v>
      </c>
      <c r="AO763" t="s">
        <v>599</v>
      </c>
      <c r="AP763" t="s">
        <v>599</v>
      </c>
      <c r="AQ763" t="s">
        <v>599</v>
      </c>
      <c r="AR763" t="s">
        <v>599</v>
      </c>
      <c r="AS763" t="s">
        <v>599</v>
      </c>
      <c r="AT763" t="s">
        <v>599</v>
      </c>
      <c r="AU763" t="s">
        <v>599</v>
      </c>
    </row>
    <row r="764" spans="1:47" ht="45" x14ac:dyDescent="0.25">
      <c r="A764" s="2">
        <v>12212</v>
      </c>
      <c r="B764" s="10">
        <v>347365</v>
      </c>
      <c r="C764" s="10">
        <v>1</v>
      </c>
      <c r="D764" s="9">
        <v>77</v>
      </c>
      <c r="E764" s="11" t="s">
        <v>548</v>
      </c>
      <c r="F764" s="11" t="str">
        <f t="shared" si="33"/>
        <v>https://purl.pt/39791</v>
      </c>
      <c r="G764" s="12" t="s">
        <v>549</v>
      </c>
      <c r="H764" s="9" t="s">
        <v>550</v>
      </c>
      <c r="I764" s="34"/>
      <c r="J764" s="55" t="str">
        <f t="shared" si="34"/>
        <v>https://permalinkbnd.bnportugal.gov.pt/viewer/255741/?offset=#page=77&amp;viewer=picture&amp;o=info&amp;n=0&amp;q=</v>
      </c>
      <c r="K764" s="45"/>
      <c r="L764" s="45"/>
      <c r="M764" s="45"/>
      <c r="N764" t="s">
        <v>548</v>
      </c>
      <c r="O764">
        <v>255741</v>
      </c>
      <c r="P764" t="str">
        <f t="shared" si="35"/>
        <v>https://permalinkbnd.bnportugal.gov.pt/viewer/255741/?offset=#page=77&amp;viewer=picture&amp;o=info&amp;n=0&amp;q=</v>
      </c>
      <c r="Q764">
        <v>347365</v>
      </c>
      <c r="R764" t="s">
        <v>548</v>
      </c>
      <c r="S764" t="s">
        <v>3362</v>
      </c>
      <c r="T764" t="s">
        <v>1178</v>
      </c>
      <c r="U764" t="s">
        <v>1192</v>
      </c>
      <c r="V764" t="s">
        <v>599</v>
      </c>
      <c r="W764" t="s">
        <v>3363</v>
      </c>
      <c r="X764" t="s">
        <v>599</v>
      </c>
      <c r="Y764" t="s">
        <v>599</v>
      </c>
      <c r="Z764" t="s">
        <v>1182</v>
      </c>
      <c r="AA764" t="s">
        <v>3364</v>
      </c>
      <c r="AB764">
        <v>1974</v>
      </c>
      <c r="AC764">
        <v>1974</v>
      </c>
      <c r="AD764" t="s">
        <v>3365</v>
      </c>
      <c r="AE764" t="s">
        <v>3366</v>
      </c>
      <c r="AF764" t="s">
        <v>599</v>
      </c>
      <c r="AG764" t="s">
        <v>599</v>
      </c>
      <c r="AH764" t="s">
        <v>599</v>
      </c>
      <c r="AI764" t="s">
        <v>599</v>
      </c>
      <c r="AJ764" t="s">
        <v>599</v>
      </c>
      <c r="AK764" t="s">
        <v>3367</v>
      </c>
      <c r="AL764" t="s">
        <v>599</v>
      </c>
      <c r="AM764" t="s">
        <v>3368</v>
      </c>
      <c r="AN764" t="s">
        <v>1319</v>
      </c>
      <c r="AO764" t="s">
        <v>599</v>
      </c>
      <c r="AP764" t="s">
        <v>599</v>
      </c>
      <c r="AQ764" t="s">
        <v>599</v>
      </c>
      <c r="AR764" t="s">
        <v>599</v>
      </c>
      <c r="AS764" t="s">
        <v>599</v>
      </c>
      <c r="AT764" t="s">
        <v>599</v>
      </c>
      <c r="AU764" t="s">
        <v>599</v>
      </c>
    </row>
    <row r="765" spans="1:47" ht="45" x14ac:dyDescent="0.25">
      <c r="A765" s="2">
        <v>12213</v>
      </c>
      <c r="B765" s="10">
        <v>347365</v>
      </c>
      <c r="C765" s="10">
        <v>1</v>
      </c>
      <c r="D765" s="9">
        <v>78</v>
      </c>
      <c r="E765" s="11" t="s">
        <v>548</v>
      </c>
      <c r="F765" s="11" t="str">
        <f t="shared" si="33"/>
        <v>https://purl.pt/39791</v>
      </c>
      <c r="G765" s="12" t="s">
        <v>549</v>
      </c>
      <c r="H765" s="9" t="s">
        <v>550</v>
      </c>
      <c r="I765" s="34"/>
      <c r="J765" s="55" t="str">
        <f t="shared" si="34"/>
        <v>https://permalinkbnd.bnportugal.gov.pt/viewer/255741/?offset=#page=78&amp;viewer=picture&amp;o=info&amp;n=0&amp;q=</v>
      </c>
      <c r="K765" s="45"/>
      <c r="L765" s="45"/>
      <c r="M765" s="45"/>
      <c r="N765" t="s">
        <v>548</v>
      </c>
      <c r="O765">
        <v>255741</v>
      </c>
      <c r="P765" t="str">
        <f t="shared" si="35"/>
        <v>https://permalinkbnd.bnportugal.gov.pt/viewer/255741/?offset=#page=78&amp;viewer=picture&amp;o=info&amp;n=0&amp;q=</v>
      </c>
      <c r="Q765">
        <v>347365</v>
      </c>
      <c r="R765" t="s">
        <v>548</v>
      </c>
      <c r="S765" t="s">
        <v>3362</v>
      </c>
      <c r="T765" t="s">
        <v>1178</v>
      </c>
      <c r="U765" t="s">
        <v>1192</v>
      </c>
      <c r="V765" t="s">
        <v>599</v>
      </c>
      <c r="W765" t="s">
        <v>3363</v>
      </c>
      <c r="X765" t="s">
        <v>599</v>
      </c>
      <c r="Y765" t="s">
        <v>599</v>
      </c>
      <c r="Z765" t="s">
        <v>1182</v>
      </c>
      <c r="AA765" t="s">
        <v>3364</v>
      </c>
      <c r="AB765">
        <v>1974</v>
      </c>
      <c r="AC765">
        <v>1974</v>
      </c>
      <c r="AD765" t="s">
        <v>3365</v>
      </c>
      <c r="AE765" t="s">
        <v>3366</v>
      </c>
      <c r="AF765" t="s">
        <v>599</v>
      </c>
      <c r="AG765" t="s">
        <v>599</v>
      </c>
      <c r="AH765" t="s">
        <v>599</v>
      </c>
      <c r="AI765" t="s">
        <v>599</v>
      </c>
      <c r="AJ765" t="s">
        <v>599</v>
      </c>
      <c r="AK765" t="s">
        <v>3367</v>
      </c>
      <c r="AL765" t="s">
        <v>599</v>
      </c>
      <c r="AM765" t="s">
        <v>3368</v>
      </c>
      <c r="AN765" t="s">
        <v>1319</v>
      </c>
      <c r="AO765" t="s">
        <v>599</v>
      </c>
      <c r="AP765" t="s">
        <v>599</v>
      </c>
      <c r="AQ765" t="s">
        <v>599</v>
      </c>
      <c r="AR765" t="s">
        <v>599</v>
      </c>
      <c r="AS765" t="s">
        <v>599</v>
      </c>
      <c r="AT765" t="s">
        <v>599</v>
      </c>
      <c r="AU765" t="s">
        <v>599</v>
      </c>
    </row>
    <row r="766" spans="1:47" ht="30" x14ac:dyDescent="0.25">
      <c r="A766" s="2">
        <v>12215</v>
      </c>
      <c r="B766" s="10">
        <v>354066</v>
      </c>
      <c r="C766" s="10">
        <v>1</v>
      </c>
      <c r="D766" s="9">
        <v>133</v>
      </c>
      <c r="E766" s="11" t="s">
        <v>551</v>
      </c>
      <c r="F766" s="11" t="str">
        <f t="shared" si="33"/>
        <v>https://purl.pt/14104</v>
      </c>
      <c r="G766" s="12" t="s">
        <v>552</v>
      </c>
      <c r="H766" s="9"/>
      <c r="I766" s="34"/>
      <c r="J766" s="55" t="str">
        <f t="shared" si="34"/>
        <v>https://permalinkbnd.bnportugal.gov.pt/viewer/14651/?offset=#page=133&amp;viewer=picture&amp;o=info&amp;n=0&amp;q=</v>
      </c>
      <c r="K766" s="45"/>
      <c r="L766" s="45"/>
      <c r="M766" s="45"/>
      <c r="N766" t="s">
        <v>551</v>
      </c>
      <c r="O766">
        <v>14651</v>
      </c>
      <c r="P766" t="str">
        <f t="shared" si="35"/>
        <v>https://permalinkbnd.bnportugal.gov.pt/viewer/14651/?offset=#page=133&amp;viewer=picture&amp;o=info&amp;n=0&amp;q=</v>
      </c>
      <c r="Q766">
        <v>354066</v>
      </c>
      <c r="R766" t="s">
        <v>551</v>
      </c>
      <c r="S766" t="s">
        <v>3369</v>
      </c>
      <c r="T766" t="s">
        <v>1178</v>
      </c>
      <c r="U766" t="s">
        <v>1192</v>
      </c>
      <c r="V766" t="s">
        <v>599</v>
      </c>
      <c r="W766" t="s">
        <v>1551</v>
      </c>
      <c r="X766" t="s">
        <v>599</v>
      </c>
      <c r="Y766" t="s">
        <v>599</v>
      </c>
      <c r="Z766" t="s">
        <v>1182</v>
      </c>
      <c r="AA766" t="s">
        <v>3370</v>
      </c>
      <c r="AB766">
        <v>1663</v>
      </c>
      <c r="AC766">
        <v>1663</v>
      </c>
      <c r="AD766" t="s">
        <v>3371</v>
      </c>
      <c r="AE766" t="s">
        <v>1185</v>
      </c>
      <c r="AF766" t="s">
        <v>599</v>
      </c>
      <c r="AG766" t="s">
        <v>599</v>
      </c>
      <c r="AH766" t="s">
        <v>3372</v>
      </c>
      <c r="AI766" t="s">
        <v>599</v>
      </c>
      <c r="AJ766" t="s">
        <v>599</v>
      </c>
      <c r="AK766" t="s">
        <v>3373</v>
      </c>
      <c r="AL766" t="s">
        <v>2967</v>
      </c>
      <c r="AM766" t="s">
        <v>3374</v>
      </c>
      <c r="AN766" t="s">
        <v>1190</v>
      </c>
      <c r="AO766" t="s">
        <v>599</v>
      </c>
      <c r="AP766" t="s">
        <v>599</v>
      </c>
      <c r="AQ766" t="s">
        <v>3375</v>
      </c>
      <c r="AR766" t="s">
        <v>599</v>
      </c>
      <c r="AS766" t="s">
        <v>599</v>
      </c>
      <c r="AT766" t="s">
        <v>599</v>
      </c>
      <c r="AU766" t="s">
        <v>599</v>
      </c>
    </row>
    <row r="767" spans="1:47" ht="30" x14ac:dyDescent="0.25">
      <c r="A767" s="2"/>
      <c r="B767" s="10">
        <v>354066</v>
      </c>
      <c r="C767" s="10">
        <v>1</v>
      </c>
      <c r="D767" s="9">
        <v>257</v>
      </c>
      <c r="E767" s="11" t="s">
        <v>551</v>
      </c>
      <c r="F767" s="11" t="str">
        <f t="shared" si="33"/>
        <v>https://purl.pt/14104</v>
      </c>
      <c r="G767" s="12" t="s">
        <v>552</v>
      </c>
      <c r="H767" s="9"/>
      <c r="I767" s="34"/>
      <c r="J767" s="55" t="str">
        <f t="shared" si="34"/>
        <v>https://permalinkbnd.bnportugal.gov.pt/viewer/14651/?offset=#page=257&amp;viewer=picture&amp;o=info&amp;n=0&amp;q=</v>
      </c>
      <c r="K767" s="45"/>
      <c r="L767" s="45"/>
      <c r="M767" s="45"/>
      <c r="N767" t="s">
        <v>551</v>
      </c>
      <c r="O767">
        <v>14651</v>
      </c>
      <c r="P767" t="str">
        <f t="shared" si="35"/>
        <v>https://permalinkbnd.bnportugal.gov.pt/viewer/14651/?offset=#page=257&amp;viewer=picture&amp;o=info&amp;n=0&amp;q=</v>
      </c>
      <c r="Q767">
        <v>354066</v>
      </c>
      <c r="R767" t="s">
        <v>551</v>
      </c>
      <c r="S767" t="s">
        <v>3369</v>
      </c>
      <c r="T767" t="s">
        <v>1178</v>
      </c>
      <c r="U767" t="s">
        <v>1192</v>
      </c>
      <c r="V767" t="s">
        <v>599</v>
      </c>
      <c r="W767" t="s">
        <v>1551</v>
      </c>
      <c r="X767" t="s">
        <v>599</v>
      </c>
      <c r="Y767" t="s">
        <v>599</v>
      </c>
      <c r="Z767" t="s">
        <v>1182</v>
      </c>
      <c r="AA767" t="s">
        <v>3370</v>
      </c>
      <c r="AB767">
        <v>1663</v>
      </c>
      <c r="AC767">
        <v>1663</v>
      </c>
      <c r="AD767" t="s">
        <v>3371</v>
      </c>
      <c r="AE767" t="s">
        <v>1185</v>
      </c>
      <c r="AF767" t="s">
        <v>599</v>
      </c>
      <c r="AG767" t="s">
        <v>599</v>
      </c>
      <c r="AH767" t="s">
        <v>3372</v>
      </c>
      <c r="AI767" t="s">
        <v>599</v>
      </c>
      <c r="AJ767" t="s">
        <v>599</v>
      </c>
      <c r="AK767" t="s">
        <v>3373</v>
      </c>
      <c r="AL767" t="s">
        <v>2967</v>
      </c>
      <c r="AM767" t="s">
        <v>3374</v>
      </c>
      <c r="AN767" t="s">
        <v>1190</v>
      </c>
      <c r="AO767" t="s">
        <v>599</v>
      </c>
      <c r="AP767" t="s">
        <v>599</v>
      </c>
      <c r="AQ767" t="s">
        <v>3375</v>
      </c>
      <c r="AR767" t="s">
        <v>599</v>
      </c>
      <c r="AS767" t="s">
        <v>599</v>
      </c>
      <c r="AT767" t="s">
        <v>599</v>
      </c>
      <c r="AU767" t="s">
        <v>599</v>
      </c>
    </row>
    <row r="768" spans="1:47" ht="30" x14ac:dyDescent="0.25">
      <c r="A768" s="2">
        <v>12217</v>
      </c>
      <c r="B768" s="10">
        <v>354069</v>
      </c>
      <c r="C768" s="10">
        <v>1</v>
      </c>
      <c r="D768" s="9">
        <v>136</v>
      </c>
      <c r="E768" s="11" t="s">
        <v>553</v>
      </c>
      <c r="F768" s="11" t="str">
        <f t="shared" ref="F768:F831" si="36">HYPERLINK(E768)</f>
        <v>https://purl.pt/14197</v>
      </c>
      <c r="G768" s="12" t="s">
        <v>554</v>
      </c>
      <c r="H768" s="9"/>
      <c r="I768" s="34"/>
      <c r="J768" s="55" t="str">
        <f t="shared" si="34"/>
        <v>https://permalinkbnd.bnportugal.gov.pt/viewer/14666/?offset=#page=136&amp;viewer=picture&amp;o=info&amp;n=0&amp;q=</v>
      </c>
      <c r="K768" s="45"/>
      <c r="L768" s="45"/>
      <c r="M768" s="45"/>
      <c r="N768" t="s">
        <v>553</v>
      </c>
      <c r="O768">
        <v>14666</v>
      </c>
      <c r="P768" t="str">
        <f t="shared" si="35"/>
        <v>https://permalinkbnd.bnportugal.gov.pt/viewer/14666/?offset=#page=136&amp;viewer=picture&amp;o=info&amp;n=0&amp;q=</v>
      </c>
      <c r="Q768">
        <v>354069</v>
      </c>
      <c r="R768" t="s">
        <v>553</v>
      </c>
      <c r="S768" t="s">
        <v>3376</v>
      </c>
      <c r="T768" t="s">
        <v>1178</v>
      </c>
      <c r="U768" t="s">
        <v>1192</v>
      </c>
      <c r="V768" t="s">
        <v>599</v>
      </c>
      <c r="W768" t="s">
        <v>3377</v>
      </c>
      <c r="X768" t="s">
        <v>599</v>
      </c>
      <c r="Y768" t="s">
        <v>599</v>
      </c>
      <c r="Z768" t="s">
        <v>1182</v>
      </c>
      <c r="AA768" t="s">
        <v>3378</v>
      </c>
      <c r="AB768">
        <v>1669</v>
      </c>
      <c r="AC768">
        <v>1669</v>
      </c>
      <c r="AD768" t="s">
        <v>3379</v>
      </c>
      <c r="AE768" t="s">
        <v>1185</v>
      </c>
      <c r="AF768" t="s">
        <v>599</v>
      </c>
      <c r="AG768" t="s">
        <v>599</v>
      </c>
      <c r="AH768" t="s">
        <v>3380</v>
      </c>
      <c r="AI768" t="s">
        <v>599</v>
      </c>
      <c r="AJ768" t="s">
        <v>599</v>
      </c>
      <c r="AK768" t="s">
        <v>3381</v>
      </c>
      <c r="AL768" t="s">
        <v>2967</v>
      </c>
      <c r="AM768" t="s">
        <v>3382</v>
      </c>
      <c r="AN768" t="s">
        <v>1190</v>
      </c>
      <c r="AO768" t="s">
        <v>599</v>
      </c>
      <c r="AP768" t="s">
        <v>599</v>
      </c>
      <c r="AQ768" t="s">
        <v>599</v>
      </c>
      <c r="AR768" t="s">
        <v>599</v>
      </c>
      <c r="AS768" t="s">
        <v>599</v>
      </c>
      <c r="AT768" t="s">
        <v>599</v>
      </c>
      <c r="AU768" t="s">
        <v>599</v>
      </c>
    </row>
    <row r="769" spans="1:47" ht="30" x14ac:dyDescent="0.25">
      <c r="A769" s="2">
        <v>12223</v>
      </c>
      <c r="B769" s="10">
        <v>371694</v>
      </c>
      <c r="C769" s="10">
        <v>1</v>
      </c>
      <c r="D769" s="9">
        <v>1</v>
      </c>
      <c r="E769" s="11" t="s">
        <v>555</v>
      </c>
      <c r="F769" s="11" t="str">
        <f t="shared" si="36"/>
        <v>https://purl.pt/17237</v>
      </c>
      <c r="G769" s="12" t="s">
        <v>556</v>
      </c>
      <c r="H769" s="9" t="s">
        <v>557</v>
      </c>
      <c r="I769" s="34"/>
      <c r="J769" s="55" t="str">
        <f t="shared" si="34"/>
        <v>https://permalinkbnd.bnportugal.gov.pt/viewer/86824/?offset=#page=1&amp;viewer=picture&amp;o=info&amp;n=0&amp;q=</v>
      </c>
      <c r="K769" s="45"/>
      <c r="L769" s="45"/>
      <c r="M769" s="45"/>
      <c r="N769" t="s">
        <v>555</v>
      </c>
      <c r="O769">
        <v>86824</v>
      </c>
      <c r="P769" t="str">
        <f t="shared" si="35"/>
        <v>https://permalinkbnd.bnportugal.gov.pt/viewer/86824/?offset=#page=1&amp;viewer=picture&amp;o=info&amp;n=0&amp;q=</v>
      </c>
      <c r="Q769">
        <v>371694</v>
      </c>
      <c r="R769" t="s">
        <v>555</v>
      </c>
      <c r="S769" t="s">
        <v>3383</v>
      </c>
      <c r="T769" t="s">
        <v>1178</v>
      </c>
      <c r="U769" t="s">
        <v>1192</v>
      </c>
      <c r="V769" t="s">
        <v>599</v>
      </c>
      <c r="W769" t="s">
        <v>2655</v>
      </c>
      <c r="X769" t="s">
        <v>599</v>
      </c>
      <c r="Y769" t="s">
        <v>599</v>
      </c>
      <c r="Z769" t="s">
        <v>1182</v>
      </c>
      <c r="AA769" t="s">
        <v>3384</v>
      </c>
      <c r="AB769">
        <v>1913</v>
      </c>
      <c r="AC769">
        <v>1913</v>
      </c>
      <c r="AD769" t="s">
        <v>3385</v>
      </c>
      <c r="AE769" t="s">
        <v>1185</v>
      </c>
      <c r="AF769" t="s">
        <v>599</v>
      </c>
      <c r="AG769" t="s">
        <v>599</v>
      </c>
      <c r="AH769" t="s">
        <v>2515</v>
      </c>
      <c r="AI769" t="s">
        <v>599</v>
      </c>
      <c r="AJ769" t="s">
        <v>599</v>
      </c>
      <c r="AK769" t="s">
        <v>3386</v>
      </c>
      <c r="AL769" t="s">
        <v>599</v>
      </c>
      <c r="AM769" t="s">
        <v>3387</v>
      </c>
      <c r="AN769" t="s">
        <v>1190</v>
      </c>
      <c r="AO769" t="s">
        <v>599</v>
      </c>
      <c r="AP769" t="s">
        <v>599</v>
      </c>
      <c r="AQ769" t="s">
        <v>3388</v>
      </c>
      <c r="AR769" t="s">
        <v>599</v>
      </c>
      <c r="AS769" t="s">
        <v>599</v>
      </c>
      <c r="AT769" t="s">
        <v>599</v>
      </c>
      <c r="AU769" t="s">
        <v>599</v>
      </c>
    </row>
    <row r="770" spans="1:47" ht="30" x14ac:dyDescent="0.25">
      <c r="A770" s="2">
        <v>12224</v>
      </c>
      <c r="B770" s="10">
        <v>371694</v>
      </c>
      <c r="C770" s="10">
        <v>1</v>
      </c>
      <c r="D770" s="9">
        <v>21</v>
      </c>
      <c r="E770" s="11" t="s">
        <v>555</v>
      </c>
      <c r="F770" s="11" t="str">
        <f t="shared" si="36"/>
        <v>https://purl.pt/17237</v>
      </c>
      <c r="G770" s="12" t="s">
        <v>556</v>
      </c>
      <c r="H770" s="9" t="s">
        <v>557</v>
      </c>
      <c r="I770" s="34"/>
      <c r="J770" s="55" t="str">
        <f t="shared" si="34"/>
        <v>https://permalinkbnd.bnportugal.gov.pt/viewer/86824/?offset=#page=21&amp;viewer=picture&amp;o=info&amp;n=0&amp;q=</v>
      </c>
      <c r="K770" s="45"/>
      <c r="L770" s="45"/>
      <c r="M770" s="45"/>
      <c r="N770" t="s">
        <v>555</v>
      </c>
      <c r="O770">
        <v>86824</v>
      </c>
      <c r="P770" t="str">
        <f t="shared" si="35"/>
        <v>https://permalinkbnd.bnportugal.gov.pt/viewer/86824/?offset=#page=21&amp;viewer=picture&amp;o=info&amp;n=0&amp;q=</v>
      </c>
      <c r="Q770">
        <v>371694</v>
      </c>
      <c r="R770" t="s">
        <v>555</v>
      </c>
      <c r="S770" t="s">
        <v>3383</v>
      </c>
      <c r="T770" t="s">
        <v>1178</v>
      </c>
      <c r="U770" t="s">
        <v>1192</v>
      </c>
      <c r="V770" t="s">
        <v>599</v>
      </c>
      <c r="W770" t="s">
        <v>2655</v>
      </c>
      <c r="X770" t="s">
        <v>599</v>
      </c>
      <c r="Y770" t="s">
        <v>599</v>
      </c>
      <c r="Z770" t="s">
        <v>1182</v>
      </c>
      <c r="AA770" t="s">
        <v>3384</v>
      </c>
      <c r="AB770">
        <v>1913</v>
      </c>
      <c r="AC770">
        <v>1913</v>
      </c>
      <c r="AD770" t="s">
        <v>3385</v>
      </c>
      <c r="AE770" t="s">
        <v>1185</v>
      </c>
      <c r="AF770" t="s">
        <v>599</v>
      </c>
      <c r="AG770" t="s">
        <v>599</v>
      </c>
      <c r="AH770" t="s">
        <v>2515</v>
      </c>
      <c r="AI770" t="s">
        <v>599</v>
      </c>
      <c r="AJ770" t="s">
        <v>599</v>
      </c>
      <c r="AK770" t="s">
        <v>3386</v>
      </c>
      <c r="AL770" t="s">
        <v>599</v>
      </c>
      <c r="AM770" t="s">
        <v>3387</v>
      </c>
      <c r="AN770" t="s">
        <v>1190</v>
      </c>
      <c r="AO770" t="s">
        <v>599</v>
      </c>
      <c r="AP770" t="s">
        <v>599</v>
      </c>
      <c r="AQ770" t="s">
        <v>3388</v>
      </c>
      <c r="AR770" t="s">
        <v>599</v>
      </c>
      <c r="AS770" t="s">
        <v>599</v>
      </c>
      <c r="AT770" t="s">
        <v>599</v>
      </c>
      <c r="AU770" t="s">
        <v>599</v>
      </c>
    </row>
    <row r="771" spans="1:47" ht="30" x14ac:dyDescent="0.25">
      <c r="A771" s="2">
        <v>12225</v>
      </c>
      <c r="B771" s="10">
        <v>371694</v>
      </c>
      <c r="C771" s="10">
        <v>1</v>
      </c>
      <c r="D771" s="9">
        <v>39</v>
      </c>
      <c r="E771" s="11" t="s">
        <v>555</v>
      </c>
      <c r="F771" s="11" t="str">
        <f t="shared" si="36"/>
        <v>https://purl.pt/17237</v>
      </c>
      <c r="G771" s="12" t="s">
        <v>556</v>
      </c>
      <c r="H771" s="9" t="s">
        <v>557</v>
      </c>
      <c r="I771" s="34"/>
      <c r="J771" s="55" t="str">
        <f t="shared" ref="J771:J834" si="37">HYPERLINK(P771)</f>
        <v>https://permalinkbnd.bnportugal.gov.pt/viewer/86824/?offset=#page=39&amp;viewer=picture&amp;o=info&amp;n=0&amp;q=</v>
      </c>
      <c r="K771" s="45"/>
      <c r="L771" s="45"/>
      <c r="M771" s="45"/>
      <c r="N771" t="s">
        <v>555</v>
      </c>
      <c r="O771">
        <v>86824</v>
      </c>
      <c r="P771" t="str">
        <f t="shared" ref="P771:P834" si="38">CONCATENATE("https://permalinkbnd.bnportugal.gov.pt/viewer/",O771,"/?offset=#page=",D771,"&amp;viewer=picture&amp;o=info&amp;n=0&amp;q=")</f>
        <v>https://permalinkbnd.bnportugal.gov.pt/viewer/86824/?offset=#page=39&amp;viewer=picture&amp;o=info&amp;n=0&amp;q=</v>
      </c>
      <c r="Q771">
        <v>371694</v>
      </c>
      <c r="R771" t="s">
        <v>555</v>
      </c>
      <c r="S771" t="s">
        <v>3383</v>
      </c>
      <c r="T771" t="s">
        <v>1178</v>
      </c>
      <c r="U771" t="s">
        <v>1192</v>
      </c>
      <c r="V771" t="s">
        <v>599</v>
      </c>
      <c r="W771" t="s">
        <v>2655</v>
      </c>
      <c r="X771" t="s">
        <v>599</v>
      </c>
      <c r="Y771" t="s">
        <v>599</v>
      </c>
      <c r="Z771" t="s">
        <v>1182</v>
      </c>
      <c r="AA771" t="s">
        <v>3384</v>
      </c>
      <c r="AB771">
        <v>1913</v>
      </c>
      <c r="AC771">
        <v>1913</v>
      </c>
      <c r="AD771" t="s">
        <v>3385</v>
      </c>
      <c r="AE771" t="s">
        <v>1185</v>
      </c>
      <c r="AF771" t="s">
        <v>599</v>
      </c>
      <c r="AG771" t="s">
        <v>599</v>
      </c>
      <c r="AH771" t="s">
        <v>2515</v>
      </c>
      <c r="AI771" t="s">
        <v>599</v>
      </c>
      <c r="AJ771" t="s">
        <v>599</v>
      </c>
      <c r="AK771" t="s">
        <v>3386</v>
      </c>
      <c r="AL771" t="s">
        <v>599</v>
      </c>
      <c r="AM771" t="s">
        <v>3387</v>
      </c>
      <c r="AN771" t="s">
        <v>1190</v>
      </c>
      <c r="AO771" t="s">
        <v>599</v>
      </c>
      <c r="AP771" t="s">
        <v>599</v>
      </c>
      <c r="AQ771" t="s">
        <v>3388</v>
      </c>
      <c r="AR771" t="s">
        <v>599</v>
      </c>
      <c r="AS771" t="s">
        <v>599</v>
      </c>
      <c r="AT771" t="s">
        <v>599</v>
      </c>
      <c r="AU771" t="s">
        <v>599</v>
      </c>
    </row>
    <row r="772" spans="1:47" ht="30" x14ac:dyDescent="0.25">
      <c r="A772" s="2">
        <v>12226</v>
      </c>
      <c r="B772" s="10">
        <v>371694</v>
      </c>
      <c r="C772" s="10">
        <v>1</v>
      </c>
      <c r="D772" s="9">
        <v>57</v>
      </c>
      <c r="E772" s="11" t="s">
        <v>555</v>
      </c>
      <c r="F772" s="11" t="str">
        <f t="shared" si="36"/>
        <v>https://purl.pt/17237</v>
      </c>
      <c r="G772" s="12" t="s">
        <v>556</v>
      </c>
      <c r="H772" s="9" t="s">
        <v>557</v>
      </c>
      <c r="I772" s="34"/>
      <c r="J772" s="55" t="str">
        <f t="shared" si="37"/>
        <v>https://permalinkbnd.bnportugal.gov.pt/viewer/86824/?offset=#page=57&amp;viewer=picture&amp;o=info&amp;n=0&amp;q=</v>
      </c>
      <c r="K772" s="45"/>
      <c r="L772" s="45"/>
      <c r="M772" s="45"/>
      <c r="N772" t="s">
        <v>555</v>
      </c>
      <c r="O772">
        <v>86824</v>
      </c>
      <c r="P772" t="str">
        <f t="shared" si="38"/>
        <v>https://permalinkbnd.bnportugal.gov.pt/viewer/86824/?offset=#page=57&amp;viewer=picture&amp;o=info&amp;n=0&amp;q=</v>
      </c>
      <c r="Q772">
        <v>371694</v>
      </c>
      <c r="R772" t="s">
        <v>555</v>
      </c>
      <c r="S772" t="s">
        <v>3383</v>
      </c>
      <c r="T772" t="s">
        <v>1178</v>
      </c>
      <c r="U772" t="s">
        <v>1192</v>
      </c>
      <c r="V772" t="s">
        <v>599</v>
      </c>
      <c r="W772" t="s">
        <v>2655</v>
      </c>
      <c r="X772" t="s">
        <v>599</v>
      </c>
      <c r="Y772" t="s">
        <v>599</v>
      </c>
      <c r="Z772" t="s">
        <v>1182</v>
      </c>
      <c r="AA772" t="s">
        <v>3384</v>
      </c>
      <c r="AB772">
        <v>1913</v>
      </c>
      <c r="AC772">
        <v>1913</v>
      </c>
      <c r="AD772" t="s">
        <v>3385</v>
      </c>
      <c r="AE772" t="s">
        <v>1185</v>
      </c>
      <c r="AF772" t="s">
        <v>599</v>
      </c>
      <c r="AG772" t="s">
        <v>599</v>
      </c>
      <c r="AH772" t="s">
        <v>2515</v>
      </c>
      <c r="AI772" t="s">
        <v>599</v>
      </c>
      <c r="AJ772" t="s">
        <v>599</v>
      </c>
      <c r="AK772" t="s">
        <v>3386</v>
      </c>
      <c r="AL772" t="s">
        <v>599</v>
      </c>
      <c r="AM772" t="s">
        <v>3387</v>
      </c>
      <c r="AN772" t="s">
        <v>1190</v>
      </c>
      <c r="AO772" t="s">
        <v>599</v>
      </c>
      <c r="AP772" t="s">
        <v>599</v>
      </c>
      <c r="AQ772" t="s">
        <v>3388</v>
      </c>
      <c r="AR772" t="s">
        <v>599</v>
      </c>
      <c r="AS772" t="s">
        <v>599</v>
      </c>
      <c r="AT772" t="s">
        <v>599</v>
      </c>
      <c r="AU772" t="s">
        <v>599</v>
      </c>
    </row>
    <row r="773" spans="1:47" ht="210" x14ac:dyDescent="0.25">
      <c r="A773" s="2">
        <v>12228</v>
      </c>
      <c r="B773" s="10">
        <v>381189</v>
      </c>
      <c r="C773" s="10">
        <v>1</v>
      </c>
      <c r="D773" s="9">
        <v>7</v>
      </c>
      <c r="E773" s="11" t="s">
        <v>558</v>
      </c>
      <c r="F773" s="11" t="str">
        <f t="shared" si="36"/>
        <v>https://purl.pt/19851</v>
      </c>
      <c r="G773" s="12" t="s">
        <v>559</v>
      </c>
      <c r="H773" s="9" t="s">
        <v>560</v>
      </c>
      <c r="I773" s="34"/>
      <c r="J773" s="55" t="str">
        <f t="shared" si="37"/>
        <v>https://permalinkbnd.bnportugal.gov.pt/viewer/14628/?offset=#page=7&amp;viewer=picture&amp;o=info&amp;n=0&amp;q=</v>
      </c>
      <c r="K773" s="45"/>
      <c r="L773" s="45"/>
      <c r="M773" s="45"/>
      <c r="N773" t="s">
        <v>558</v>
      </c>
      <c r="O773">
        <v>14628</v>
      </c>
      <c r="P773" t="str">
        <f t="shared" si="38"/>
        <v>https://permalinkbnd.bnportugal.gov.pt/viewer/14628/?offset=#page=7&amp;viewer=picture&amp;o=info&amp;n=0&amp;q=</v>
      </c>
      <c r="Q773">
        <v>381189</v>
      </c>
      <c r="R773" t="s">
        <v>558</v>
      </c>
      <c r="S773" t="s">
        <v>3389</v>
      </c>
      <c r="T773" t="s">
        <v>1178</v>
      </c>
      <c r="U773" t="s">
        <v>1192</v>
      </c>
      <c r="V773" t="s">
        <v>599</v>
      </c>
      <c r="W773" t="s">
        <v>3390</v>
      </c>
      <c r="X773" t="s">
        <v>3391</v>
      </c>
      <c r="Y773" t="s">
        <v>599</v>
      </c>
      <c r="Z773" t="s">
        <v>1182</v>
      </c>
      <c r="AA773" t="s">
        <v>3392</v>
      </c>
      <c r="AB773">
        <v>1880</v>
      </c>
      <c r="AC773">
        <v>1880</v>
      </c>
      <c r="AD773" t="s">
        <v>3393</v>
      </c>
      <c r="AE773" t="s">
        <v>1185</v>
      </c>
      <c r="AF773" t="s">
        <v>599</v>
      </c>
      <c r="AG773" t="s">
        <v>3394</v>
      </c>
      <c r="AH773" t="s">
        <v>3395</v>
      </c>
      <c r="AI773" t="s">
        <v>599</v>
      </c>
      <c r="AJ773" t="s">
        <v>3396</v>
      </c>
      <c r="AK773" t="s">
        <v>3397</v>
      </c>
      <c r="AL773" t="s">
        <v>599</v>
      </c>
      <c r="AM773" t="s">
        <v>3398</v>
      </c>
      <c r="AN773" t="s">
        <v>1190</v>
      </c>
      <c r="AO773" t="s">
        <v>599</v>
      </c>
      <c r="AP773" t="s">
        <v>599</v>
      </c>
      <c r="AQ773" t="s">
        <v>3399</v>
      </c>
      <c r="AR773" t="s">
        <v>599</v>
      </c>
      <c r="AS773" t="s">
        <v>599</v>
      </c>
      <c r="AT773" t="s">
        <v>599</v>
      </c>
      <c r="AU773" t="s">
        <v>599</v>
      </c>
    </row>
    <row r="774" spans="1:47" ht="210" x14ac:dyDescent="0.25">
      <c r="A774" s="2">
        <v>12229</v>
      </c>
      <c r="B774" s="10">
        <v>381189</v>
      </c>
      <c r="C774" s="10">
        <v>1</v>
      </c>
      <c r="D774" s="9">
        <v>10</v>
      </c>
      <c r="E774" s="11" t="s">
        <v>558</v>
      </c>
      <c r="F774" s="11" t="str">
        <f t="shared" si="36"/>
        <v>https://purl.pt/19851</v>
      </c>
      <c r="G774" s="12" t="s">
        <v>559</v>
      </c>
      <c r="H774" s="9" t="s">
        <v>560</v>
      </c>
      <c r="I774" s="34"/>
      <c r="J774" s="55" t="str">
        <f t="shared" si="37"/>
        <v>https://permalinkbnd.bnportugal.gov.pt/viewer/14628/?offset=#page=10&amp;viewer=picture&amp;o=info&amp;n=0&amp;q=</v>
      </c>
      <c r="K774" s="45"/>
      <c r="L774" s="45"/>
      <c r="M774" s="45"/>
      <c r="N774" t="s">
        <v>558</v>
      </c>
      <c r="O774">
        <v>14628</v>
      </c>
      <c r="P774" t="str">
        <f t="shared" si="38"/>
        <v>https://permalinkbnd.bnportugal.gov.pt/viewer/14628/?offset=#page=10&amp;viewer=picture&amp;o=info&amp;n=0&amp;q=</v>
      </c>
      <c r="Q774">
        <v>381189</v>
      </c>
      <c r="R774" t="s">
        <v>558</v>
      </c>
      <c r="S774" t="s">
        <v>3389</v>
      </c>
      <c r="T774" t="s">
        <v>1178</v>
      </c>
      <c r="U774" t="s">
        <v>1192</v>
      </c>
      <c r="V774" t="s">
        <v>599</v>
      </c>
      <c r="W774" t="s">
        <v>3390</v>
      </c>
      <c r="X774" t="s">
        <v>3391</v>
      </c>
      <c r="Y774" t="s">
        <v>599</v>
      </c>
      <c r="Z774" t="s">
        <v>1182</v>
      </c>
      <c r="AA774" t="s">
        <v>3392</v>
      </c>
      <c r="AB774">
        <v>1880</v>
      </c>
      <c r="AC774">
        <v>1880</v>
      </c>
      <c r="AD774" t="s">
        <v>3393</v>
      </c>
      <c r="AE774" t="s">
        <v>1185</v>
      </c>
      <c r="AF774" t="s">
        <v>599</v>
      </c>
      <c r="AG774" t="s">
        <v>3394</v>
      </c>
      <c r="AH774" t="s">
        <v>3395</v>
      </c>
      <c r="AI774" t="s">
        <v>599</v>
      </c>
      <c r="AJ774" t="s">
        <v>3396</v>
      </c>
      <c r="AK774" t="s">
        <v>3397</v>
      </c>
      <c r="AL774" t="s">
        <v>599</v>
      </c>
      <c r="AM774" t="s">
        <v>3398</v>
      </c>
      <c r="AN774" t="s">
        <v>1190</v>
      </c>
      <c r="AO774" t="s">
        <v>599</v>
      </c>
      <c r="AP774" t="s">
        <v>599</v>
      </c>
      <c r="AQ774" t="s">
        <v>3399</v>
      </c>
      <c r="AR774" t="s">
        <v>599</v>
      </c>
      <c r="AS774" t="s">
        <v>599</v>
      </c>
      <c r="AT774" t="s">
        <v>599</v>
      </c>
      <c r="AU774" t="s">
        <v>599</v>
      </c>
    </row>
    <row r="775" spans="1:47" ht="210" x14ac:dyDescent="0.25">
      <c r="A775" s="2">
        <v>12230</v>
      </c>
      <c r="B775" s="10">
        <v>381189</v>
      </c>
      <c r="C775" s="10">
        <v>1</v>
      </c>
      <c r="D775" s="9">
        <v>19</v>
      </c>
      <c r="E775" s="11" t="s">
        <v>558</v>
      </c>
      <c r="F775" s="11" t="str">
        <f t="shared" si="36"/>
        <v>https://purl.pt/19851</v>
      </c>
      <c r="G775" s="12" t="s">
        <v>559</v>
      </c>
      <c r="H775" s="9" t="s">
        <v>560</v>
      </c>
      <c r="I775" s="34"/>
      <c r="J775" s="55" t="str">
        <f t="shared" si="37"/>
        <v>https://permalinkbnd.bnportugal.gov.pt/viewer/14628/?offset=#page=19&amp;viewer=picture&amp;o=info&amp;n=0&amp;q=</v>
      </c>
      <c r="K775" s="45"/>
      <c r="L775" s="45"/>
      <c r="M775" s="45"/>
      <c r="N775" t="s">
        <v>558</v>
      </c>
      <c r="O775">
        <v>14628</v>
      </c>
      <c r="P775" t="str">
        <f t="shared" si="38"/>
        <v>https://permalinkbnd.bnportugal.gov.pt/viewer/14628/?offset=#page=19&amp;viewer=picture&amp;o=info&amp;n=0&amp;q=</v>
      </c>
      <c r="Q775">
        <v>381189</v>
      </c>
      <c r="R775" t="s">
        <v>558</v>
      </c>
      <c r="S775" t="s">
        <v>3389</v>
      </c>
      <c r="T775" t="s">
        <v>1178</v>
      </c>
      <c r="U775" t="s">
        <v>1192</v>
      </c>
      <c r="V775" t="s">
        <v>599</v>
      </c>
      <c r="W775" t="s">
        <v>3390</v>
      </c>
      <c r="X775" t="s">
        <v>3391</v>
      </c>
      <c r="Y775" t="s">
        <v>599</v>
      </c>
      <c r="Z775" t="s">
        <v>1182</v>
      </c>
      <c r="AA775" t="s">
        <v>3392</v>
      </c>
      <c r="AB775">
        <v>1880</v>
      </c>
      <c r="AC775">
        <v>1880</v>
      </c>
      <c r="AD775" t="s">
        <v>3393</v>
      </c>
      <c r="AE775" t="s">
        <v>1185</v>
      </c>
      <c r="AF775" t="s">
        <v>599</v>
      </c>
      <c r="AG775" t="s">
        <v>3394</v>
      </c>
      <c r="AH775" t="s">
        <v>3395</v>
      </c>
      <c r="AI775" t="s">
        <v>599</v>
      </c>
      <c r="AJ775" t="s">
        <v>3396</v>
      </c>
      <c r="AK775" t="s">
        <v>3397</v>
      </c>
      <c r="AL775" t="s">
        <v>599</v>
      </c>
      <c r="AM775" t="s">
        <v>3398</v>
      </c>
      <c r="AN775" t="s">
        <v>1190</v>
      </c>
      <c r="AO775" t="s">
        <v>599</v>
      </c>
      <c r="AP775" t="s">
        <v>599</v>
      </c>
      <c r="AQ775" t="s">
        <v>3399</v>
      </c>
      <c r="AR775" t="s">
        <v>599</v>
      </c>
      <c r="AS775" t="s">
        <v>599</v>
      </c>
      <c r="AT775" t="s">
        <v>599</v>
      </c>
      <c r="AU775" t="s">
        <v>599</v>
      </c>
    </row>
    <row r="776" spans="1:47" ht="210" x14ac:dyDescent="0.25">
      <c r="A776" s="2">
        <v>12231</v>
      </c>
      <c r="B776" s="10">
        <v>381189</v>
      </c>
      <c r="C776" s="10">
        <v>1</v>
      </c>
      <c r="D776" s="9">
        <v>75</v>
      </c>
      <c r="E776" s="11" t="s">
        <v>558</v>
      </c>
      <c r="F776" s="11" t="str">
        <f t="shared" si="36"/>
        <v>https://purl.pt/19851</v>
      </c>
      <c r="G776" s="12" t="s">
        <v>559</v>
      </c>
      <c r="H776" s="9" t="s">
        <v>560</v>
      </c>
      <c r="I776" s="34"/>
      <c r="J776" s="55" t="str">
        <f t="shared" si="37"/>
        <v>https://permalinkbnd.bnportugal.gov.pt/viewer/14628/?offset=#page=75&amp;viewer=picture&amp;o=info&amp;n=0&amp;q=</v>
      </c>
      <c r="K776" s="45"/>
      <c r="L776" s="45"/>
      <c r="M776" s="45"/>
      <c r="N776" t="s">
        <v>558</v>
      </c>
      <c r="O776">
        <v>14628</v>
      </c>
      <c r="P776" t="str">
        <f t="shared" si="38"/>
        <v>https://permalinkbnd.bnportugal.gov.pt/viewer/14628/?offset=#page=75&amp;viewer=picture&amp;o=info&amp;n=0&amp;q=</v>
      </c>
      <c r="Q776">
        <v>381189</v>
      </c>
      <c r="R776" t="s">
        <v>558</v>
      </c>
      <c r="S776" t="s">
        <v>3389</v>
      </c>
      <c r="T776" t="s">
        <v>1178</v>
      </c>
      <c r="U776" t="s">
        <v>1192</v>
      </c>
      <c r="V776" t="s">
        <v>599</v>
      </c>
      <c r="W776" t="s">
        <v>3390</v>
      </c>
      <c r="X776" t="s">
        <v>3391</v>
      </c>
      <c r="Y776" t="s">
        <v>599</v>
      </c>
      <c r="Z776" t="s">
        <v>1182</v>
      </c>
      <c r="AA776" t="s">
        <v>3392</v>
      </c>
      <c r="AB776">
        <v>1880</v>
      </c>
      <c r="AC776">
        <v>1880</v>
      </c>
      <c r="AD776" t="s">
        <v>3393</v>
      </c>
      <c r="AE776" t="s">
        <v>1185</v>
      </c>
      <c r="AF776" t="s">
        <v>599</v>
      </c>
      <c r="AG776" t="s">
        <v>3394</v>
      </c>
      <c r="AH776" t="s">
        <v>3395</v>
      </c>
      <c r="AI776" t="s">
        <v>599</v>
      </c>
      <c r="AJ776" t="s">
        <v>3396</v>
      </c>
      <c r="AK776" t="s">
        <v>3397</v>
      </c>
      <c r="AL776" t="s">
        <v>599</v>
      </c>
      <c r="AM776" t="s">
        <v>3398</v>
      </c>
      <c r="AN776" t="s">
        <v>1190</v>
      </c>
      <c r="AO776" t="s">
        <v>599</v>
      </c>
      <c r="AP776" t="s">
        <v>599</v>
      </c>
      <c r="AQ776" t="s">
        <v>3399</v>
      </c>
      <c r="AR776" t="s">
        <v>599</v>
      </c>
      <c r="AS776" t="s">
        <v>599</v>
      </c>
      <c r="AT776" t="s">
        <v>599</v>
      </c>
      <c r="AU776" t="s">
        <v>599</v>
      </c>
    </row>
    <row r="777" spans="1:47" ht="210" x14ac:dyDescent="0.25">
      <c r="A777" s="2">
        <v>12232</v>
      </c>
      <c r="B777" s="10">
        <v>381189</v>
      </c>
      <c r="C777" s="10">
        <v>1</v>
      </c>
      <c r="D777" s="9">
        <v>79</v>
      </c>
      <c r="E777" s="11" t="s">
        <v>558</v>
      </c>
      <c r="F777" s="11" t="str">
        <f t="shared" si="36"/>
        <v>https://purl.pt/19851</v>
      </c>
      <c r="G777" s="12" t="s">
        <v>559</v>
      </c>
      <c r="H777" s="9" t="s">
        <v>560</v>
      </c>
      <c r="I777" s="34"/>
      <c r="J777" s="55" t="str">
        <f t="shared" si="37"/>
        <v>https://permalinkbnd.bnportugal.gov.pt/viewer/14628/?offset=#page=79&amp;viewer=picture&amp;o=info&amp;n=0&amp;q=</v>
      </c>
      <c r="K777" s="45"/>
      <c r="L777" s="45"/>
      <c r="M777" s="45"/>
      <c r="N777" t="s">
        <v>558</v>
      </c>
      <c r="O777">
        <v>14628</v>
      </c>
      <c r="P777" t="str">
        <f t="shared" si="38"/>
        <v>https://permalinkbnd.bnportugal.gov.pt/viewer/14628/?offset=#page=79&amp;viewer=picture&amp;o=info&amp;n=0&amp;q=</v>
      </c>
      <c r="Q777">
        <v>381189</v>
      </c>
      <c r="R777" t="s">
        <v>558</v>
      </c>
      <c r="S777" t="s">
        <v>3389</v>
      </c>
      <c r="T777" t="s">
        <v>1178</v>
      </c>
      <c r="U777" t="s">
        <v>1192</v>
      </c>
      <c r="V777" t="s">
        <v>599</v>
      </c>
      <c r="W777" t="s">
        <v>3390</v>
      </c>
      <c r="X777" t="s">
        <v>3391</v>
      </c>
      <c r="Y777" t="s">
        <v>599</v>
      </c>
      <c r="Z777" t="s">
        <v>1182</v>
      </c>
      <c r="AA777" t="s">
        <v>3392</v>
      </c>
      <c r="AB777">
        <v>1880</v>
      </c>
      <c r="AC777">
        <v>1880</v>
      </c>
      <c r="AD777" t="s">
        <v>3393</v>
      </c>
      <c r="AE777" t="s">
        <v>1185</v>
      </c>
      <c r="AF777" t="s">
        <v>599</v>
      </c>
      <c r="AG777" t="s">
        <v>3394</v>
      </c>
      <c r="AH777" t="s">
        <v>3395</v>
      </c>
      <c r="AI777" t="s">
        <v>599</v>
      </c>
      <c r="AJ777" t="s">
        <v>3396</v>
      </c>
      <c r="AK777" t="s">
        <v>3397</v>
      </c>
      <c r="AL777" t="s">
        <v>599</v>
      </c>
      <c r="AM777" t="s">
        <v>3398</v>
      </c>
      <c r="AN777" t="s">
        <v>1190</v>
      </c>
      <c r="AO777" t="s">
        <v>599</v>
      </c>
      <c r="AP777" t="s">
        <v>599</v>
      </c>
      <c r="AQ777" t="s">
        <v>3399</v>
      </c>
      <c r="AR777" t="s">
        <v>599</v>
      </c>
      <c r="AS777" t="s">
        <v>599</v>
      </c>
      <c r="AT777" t="s">
        <v>599</v>
      </c>
      <c r="AU777" t="s">
        <v>599</v>
      </c>
    </row>
    <row r="778" spans="1:47" ht="210" x14ac:dyDescent="0.25">
      <c r="A778" s="2">
        <v>12233</v>
      </c>
      <c r="B778" s="10">
        <v>381189</v>
      </c>
      <c r="C778" s="10">
        <v>1</v>
      </c>
      <c r="D778" s="9">
        <v>90</v>
      </c>
      <c r="E778" s="11" t="s">
        <v>558</v>
      </c>
      <c r="F778" s="11" t="str">
        <f t="shared" si="36"/>
        <v>https://purl.pt/19851</v>
      </c>
      <c r="G778" s="12" t="s">
        <v>559</v>
      </c>
      <c r="H778" s="9" t="s">
        <v>560</v>
      </c>
      <c r="I778" s="34"/>
      <c r="J778" s="55" t="str">
        <f t="shared" si="37"/>
        <v>https://permalinkbnd.bnportugal.gov.pt/viewer/14628/?offset=#page=90&amp;viewer=picture&amp;o=info&amp;n=0&amp;q=</v>
      </c>
      <c r="K778" s="45"/>
      <c r="L778" s="45"/>
      <c r="M778" s="45"/>
      <c r="N778" t="s">
        <v>558</v>
      </c>
      <c r="O778">
        <v>14628</v>
      </c>
      <c r="P778" t="str">
        <f t="shared" si="38"/>
        <v>https://permalinkbnd.bnportugal.gov.pt/viewer/14628/?offset=#page=90&amp;viewer=picture&amp;o=info&amp;n=0&amp;q=</v>
      </c>
      <c r="Q778">
        <v>381189</v>
      </c>
      <c r="R778" t="s">
        <v>558</v>
      </c>
      <c r="S778" t="s">
        <v>3389</v>
      </c>
      <c r="T778" t="s">
        <v>1178</v>
      </c>
      <c r="U778" t="s">
        <v>1192</v>
      </c>
      <c r="V778" t="s">
        <v>599</v>
      </c>
      <c r="W778" t="s">
        <v>3390</v>
      </c>
      <c r="X778" t="s">
        <v>3391</v>
      </c>
      <c r="Y778" t="s">
        <v>599</v>
      </c>
      <c r="Z778" t="s">
        <v>1182</v>
      </c>
      <c r="AA778" t="s">
        <v>3392</v>
      </c>
      <c r="AB778">
        <v>1880</v>
      </c>
      <c r="AC778">
        <v>1880</v>
      </c>
      <c r="AD778" t="s">
        <v>3393</v>
      </c>
      <c r="AE778" t="s">
        <v>1185</v>
      </c>
      <c r="AF778" t="s">
        <v>599</v>
      </c>
      <c r="AG778" t="s">
        <v>3394</v>
      </c>
      <c r="AH778" t="s">
        <v>3395</v>
      </c>
      <c r="AI778" t="s">
        <v>599</v>
      </c>
      <c r="AJ778" t="s">
        <v>3396</v>
      </c>
      <c r="AK778" t="s">
        <v>3397</v>
      </c>
      <c r="AL778" t="s">
        <v>599</v>
      </c>
      <c r="AM778" t="s">
        <v>3398</v>
      </c>
      <c r="AN778" t="s">
        <v>1190</v>
      </c>
      <c r="AO778" t="s">
        <v>599</v>
      </c>
      <c r="AP778" t="s">
        <v>599</v>
      </c>
      <c r="AQ778" t="s">
        <v>3399</v>
      </c>
      <c r="AR778" t="s">
        <v>599</v>
      </c>
      <c r="AS778" t="s">
        <v>599</v>
      </c>
      <c r="AT778" t="s">
        <v>599</v>
      </c>
      <c r="AU778" t="s">
        <v>599</v>
      </c>
    </row>
    <row r="779" spans="1:47" ht="210" x14ac:dyDescent="0.25">
      <c r="A779" s="2">
        <v>12234</v>
      </c>
      <c r="B779" s="10">
        <v>381189</v>
      </c>
      <c r="C779" s="10">
        <v>1</v>
      </c>
      <c r="D779" s="9">
        <v>110</v>
      </c>
      <c r="E779" s="11" t="s">
        <v>558</v>
      </c>
      <c r="F779" s="11" t="str">
        <f t="shared" si="36"/>
        <v>https://purl.pt/19851</v>
      </c>
      <c r="G779" s="12" t="s">
        <v>559</v>
      </c>
      <c r="H779" s="9" t="s">
        <v>560</v>
      </c>
      <c r="I779" s="34"/>
      <c r="J779" s="55" t="str">
        <f t="shared" si="37"/>
        <v>https://permalinkbnd.bnportugal.gov.pt/viewer/14628/?offset=#page=110&amp;viewer=picture&amp;o=info&amp;n=0&amp;q=</v>
      </c>
      <c r="K779" s="45"/>
      <c r="L779" s="45"/>
      <c r="M779" s="45"/>
      <c r="N779" t="s">
        <v>558</v>
      </c>
      <c r="O779">
        <v>14628</v>
      </c>
      <c r="P779" t="str">
        <f t="shared" si="38"/>
        <v>https://permalinkbnd.bnportugal.gov.pt/viewer/14628/?offset=#page=110&amp;viewer=picture&amp;o=info&amp;n=0&amp;q=</v>
      </c>
      <c r="Q779">
        <v>381189</v>
      </c>
      <c r="R779" t="s">
        <v>558</v>
      </c>
      <c r="S779" t="s">
        <v>3389</v>
      </c>
      <c r="T779" t="s">
        <v>1178</v>
      </c>
      <c r="U779" t="s">
        <v>1192</v>
      </c>
      <c r="V779" t="s">
        <v>599</v>
      </c>
      <c r="W779" t="s">
        <v>3390</v>
      </c>
      <c r="X779" t="s">
        <v>3391</v>
      </c>
      <c r="Y779" t="s">
        <v>599</v>
      </c>
      <c r="Z779" t="s">
        <v>1182</v>
      </c>
      <c r="AA779" t="s">
        <v>3392</v>
      </c>
      <c r="AB779">
        <v>1880</v>
      </c>
      <c r="AC779">
        <v>1880</v>
      </c>
      <c r="AD779" t="s">
        <v>3393</v>
      </c>
      <c r="AE779" t="s">
        <v>1185</v>
      </c>
      <c r="AF779" t="s">
        <v>599</v>
      </c>
      <c r="AG779" t="s">
        <v>3394</v>
      </c>
      <c r="AH779" t="s">
        <v>3395</v>
      </c>
      <c r="AI779" t="s">
        <v>599</v>
      </c>
      <c r="AJ779" t="s">
        <v>3396</v>
      </c>
      <c r="AK779" t="s">
        <v>3397</v>
      </c>
      <c r="AL779" t="s">
        <v>599</v>
      </c>
      <c r="AM779" t="s">
        <v>3398</v>
      </c>
      <c r="AN779" t="s">
        <v>1190</v>
      </c>
      <c r="AO779" t="s">
        <v>599</v>
      </c>
      <c r="AP779" t="s">
        <v>599</v>
      </c>
      <c r="AQ779" t="s">
        <v>3399</v>
      </c>
      <c r="AR779" t="s">
        <v>599</v>
      </c>
      <c r="AS779" t="s">
        <v>599</v>
      </c>
      <c r="AT779" t="s">
        <v>599</v>
      </c>
      <c r="AU779" t="s">
        <v>599</v>
      </c>
    </row>
    <row r="780" spans="1:47" ht="210" x14ac:dyDescent="0.25">
      <c r="A780" s="2">
        <v>12235</v>
      </c>
      <c r="B780" s="10">
        <v>381189</v>
      </c>
      <c r="C780" s="10">
        <v>1</v>
      </c>
      <c r="D780" s="9">
        <v>118</v>
      </c>
      <c r="E780" s="11" t="s">
        <v>558</v>
      </c>
      <c r="F780" s="11" t="str">
        <f t="shared" si="36"/>
        <v>https://purl.pt/19851</v>
      </c>
      <c r="G780" s="12" t="s">
        <v>559</v>
      </c>
      <c r="H780" s="9" t="s">
        <v>560</v>
      </c>
      <c r="I780" s="34"/>
      <c r="J780" s="55" t="str">
        <f t="shared" si="37"/>
        <v>https://permalinkbnd.bnportugal.gov.pt/viewer/14628/?offset=#page=118&amp;viewer=picture&amp;o=info&amp;n=0&amp;q=</v>
      </c>
      <c r="K780" s="45"/>
      <c r="L780" s="45"/>
      <c r="M780" s="45"/>
      <c r="N780" t="s">
        <v>558</v>
      </c>
      <c r="O780">
        <v>14628</v>
      </c>
      <c r="P780" t="str">
        <f t="shared" si="38"/>
        <v>https://permalinkbnd.bnportugal.gov.pt/viewer/14628/?offset=#page=118&amp;viewer=picture&amp;o=info&amp;n=0&amp;q=</v>
      </c>
      <c r="Q780">
        <v>381189</v>
      </c>
      <c r="R780" t="s">
        <v>558</v>
      </c>
      <c r="S780" t="s">
        <v>3389</v>
      </c>
      <c r="T780" t="s">
        <v>1178</v>
      </c>
      <c r="U780" t="s">
        <v>1192</v>
      </c>
      <c r="V780" t="s">
        <v>599</v>
      </c>
      <c r="W780" t="s">
        <v>3390</v>
      </c>
      <c r="X780" t="s">
        <v>3391</v>
      </c>
      <c r="Y780" t="s">
        <v>599</v>
      </c>
      <c r="Z780" t="s">
        <v>1182</v>
      </c>
      <c r="AA780" t="s">
        <v>3392</v>
      </c>
      <c r="AB780">
        <v>1880</v>
      </c>
      <c r="AC780">
        <v>1880</v>
      </c>
      <c r="AD780" t="s">
        <v>3393</v>
      </c>
      <c r="AE780" t="s">
        <v>1185</v>
      </c>
      <c r="AF780" t="s">
        <v>599</v>
      </c>
      <c r="AG780" t="s">
        <v>3394</v>
      </c>
      <c r="AH780" t="s">
        <v>3395</v>
      </c>
      <c r="AI780" t="s">
        <v>599</v>
      </c>
      <c r="AJ780" t="s">
        <v>3396</v>
      </c>
      <c r="AK780" t="s">
        <v>3397</v>
      </c>
      <c r="AL780" t="s">
        <v>599</v>
      </c>
      <c r="AM780" t="s">
        <v>3398</v>
      </c>
      <c r="AN780" t="s">
        <v>1190</v>
      </c>
      <c r="AO780" t="s">
        <v>599</v>
      </c>
      <c r="AP780" t="s">
        <v>599</v>
      </c>
      <c r="AQ780" t="s">
        <v>3399</v>
      </c>
      <c r="AR780" t="s">
        <v>599</v>
      </c>
      <c r="AS780" t="s">
        <v>599</v>
      </c>
      <c r="AT780" t="s">
        <v>599</v>
      </c>
      <c r="AU780" t="s">
        <v>599</v>
      </c>
    </row>
    <row r="781" spans="1:47" ht="210" x14ac:dyDescent="0.25">
      <c r="A781" s="2">
        <v>12236</v>
      </c>
      <c r="B781" s="10">
        <v>381189</v>
      </c>
      <c r="C781" s="10">
        <v>1</v>
      </c>
      <c r="D781" s="9">
        <v>120</v>
      </c>
      <c r="E781" s="11" t="s">
        <v>558</v>
      </c>
      <c r="F781" s="11" t="str">
        <f t="shared" si="36"/>
        <v>https://purl.pt/19851</v>
      </c>
      <c r="G781" s="12" t="s">
        <v>559</v>
      </c>
      <c r="H781" s="9" t="s">
        <v>560</v>
      </c>
      <c r="I781" s="34"/>
      <c r="J781" s="55" t="str">
        <f t="shared" si="37"/>
        <v>https://permalinkbnd.bnportugal.gov.pt/viewer/14628/?offset=#page=120&amp;viewer=picture&amp;o=info&amp;n=0&amp;q=</v>
      </c>
      <c r="K781" s="45"/>
      <c r="L781" s="45"/>
      <c r="M781" s="45"/>
      <c r="N781" t="s">
        <v>558</v>
      </c>
      <c r="O781">
        <v>14628</v>
      </c>
      <c r="P781" t="str">
        <f t="shared" si="38"/>
        <v>https://permalinkbnd.bnportugal.gov.pt/viewer/14628/?offset=#page=120&amp;viewer=picture&amp;o=info&amp;n=0&amp;q=</v>
      </c>
      <c r="Q781">
        <v>381189</v>
      </c>
      <c r="R781" t="s">
        <v>558</v>
      </c>
      <c r="S781" t="s">
        <v>3389</v>
      </c>
      <c r="T781" t="s">
        <v>1178</v>
      </c>
      <c r="U781" t="s">
        <v>1192</v>
      </c>
      <c r="V781" t="s">
        <v>599</v>
      </c>
      <c r="W781" t="s">
        <v>3390</v>
      </c>
      <c r="X781" t="s">
        <v>3391</v>
      </c>
      <c r="Y781" t="s">
        <v>599</v>
      </c>
      <c r="Z781" t="s">
        <v>1182</v>
      </c>
      <c r="AA781" t="s">
        <v>3392</v>
      </c>
      <c r="AB781">
        <v>1880</v>
      </c>
      <c r="AC781">
        <v>1880</v>
      </c>
      <c r="AD781" t="s">
        <v>3393</v>
      </c>
      <c r="AE781" t="s">
        <v>1185</v>
      </c>
      <c r="AF781" t="s">
        <v>599</v>
      </c>
      <c r="AG781" t="s">
        <v>3394</v>
      </c>
      <c r="AH781" t="s">
        <v>3395</v>
      </c>
      <c r="AI781" t="s">
        <v>599</v>
      </c>
      <c r="AJ781" t="s">
        <v>3396</v>
      </c>
      <c r="AK781" t="s">
        <v>3397</v>
      </c>
      <c r="AL781" t="s">
        <v>599</v>
      </c>
      <c r="AM781" t="s">
        <v>3398</v>
      </c>
      <c r="AN781" t="s">
        <v>1190</v>
      </c>
      <c r="AO781" t="s">
        <v>599</v>
      </c>
      <c r="AP781" t="s">
        <v>599</v>
      </c>
      <c r="AQ781" t="s">
        <v>3399</v>
      </c>
      <c r="AR781" t="s">
        <v>599</v>
      </c>
      <c r="AS781" t="s">
        <v>599</v>
      </c>
      <c r="AT781" t="s">
        <v>599</v>
      </c>
      <c r="AU781" t="s">
        <v>599</v>
      </c>
    </row>
    <row r="782" spans="1:47" ht="210" x14ac:dyDescent="0.25">
      <c r="A782" s="2">
        <v>12237</v>
      </c>
      <c r="B782" s="10">
        <v>381189</v>
      </c>
      <c r="C782" s="10">
        <v>1</v>
      </c>
      <c r="D782" s="9">
        <v>134</v>
      </c>
      <c r="E782" s="11" t="s">
        <v>558</v>
      </c>
      <c r="F782" s="11" t="str">
        <f t="shared" si="36"/>
        <v>https://purl.pt/19851</v>
      </c>
      <c r="G782" s="12" t="s">
        <v>559</v>
      </c>
      <c r="H782" s="9" t="s">
        <v>560</v>
      </c>
      <c r="I782" s="34"/>
      <c r="J782" s="55" t="str">
        <f t="shared" si="37"/>
        <v>https://permalinkbnd.bnportugal.gov.pt/viewer/14628/?offset=#page=134&amp;viewer=picture&amp;o=info&amp;n=0&amp;q=</v>
      </c>
      <c r="K782" s="45"/>
      <c r="L782" s="45"/>
      <c r="M782" s="45"/>
      <c r="N782" t="s">
        <v>558</v>
      </c>
      <c r="O782">
        <v>14628</v>
      </c>
      <c r="P782" t="str">
        <f t="shared" si="38"/>
        <v>https://permalinkbnd.bnportugal.gov.pt/viewer/14628/?offset=#page=134&amp;viewer=picture&amp;o=info&amp;n=0&amp;q=</v>
      </c>
      <c r="Q782">
        <v>381189</v>
      </c>
      <c r="R782" t="s">
        <v>558</v>
      </c>
      <c r="S782" t="s">
        <v>3389</v>
      </c>
      <c r="T782" t="s">
        <v>1178</v>
      </c>
      <c r="U782" t="s">
        <v>1192</v>
      </c>
      <c r="V782" t="s">
        <v>599</v>
      </c>
      <c r="W782" t="s">
        <v>3390</v>
      </c>
      <c r="X782" t="s">
        <v>3391</v>
      </c>
      <c r="Y782" t="s">
        <v>599</v>
      </c>
      <c r="Z782" t="s">
        <v>1182</v>
      </c>
      <c r="AA782" t="s">
        <v>3392</v>
      </c>
      <c r="AB782">
        <v>1880</v>
      </c>
      <c r="AC782">
        <v>1880</v>
      </c>
      <c r="AD782" t="s">
        <v>3393</v>
      </c>
      <c r="AE782" t="s">
        <v>1185</v>
      </c>
      <c r="AF782" t="s">
        <v>599</v>
      </c>
      <c r="AG782" t="s">
        <v>3394</v>
      </c>
      <c r="AH782" t="s">
        <v>3395</v>
      </c>
      <c r="AI782" t="s">
        <v>599</v>
      </c>
      <c r="AJ782" t="s">
        <v>3396</v>
      </c>
      <c r="AK782" t="s">
        <v>3397</v>
      </c>
      <c r="AL782" t="s">
        <v>599</v>
      </c>
      <c r="AM782" t="s">
        <v>3398</v>
      </c>
      <c r="AN782" t="s">
        <v>1190</v>
      </c>
      <c r="AO782" t="s">
        <v>599</v>
      </c>
      <c r="AP782" t="s">
        <v>599</v>
      </c>
      <c r="AQ782" t="s">
        <v>3399</v>
      </c>
      <c r="AR782" t="s">
        <v>599</v>
      </c>
      <c r="AS782" t="s">
        <v>599</v>
      </c>
      <c r="AT782" t="s">
        <v>599</v>
      </c>
      <c r="AU782" t="s">
        <v>599</v>
      </c>
    </row>
    <row r="783" spans="1:47" ht="210" x14ac:dyDescent="0.25">
      <c r="A783" s="2">
        <v>12238</v>
      </c>
      <c r="B783" s="10">
        <v>381189</v>
      </c>
      <c r="C783" s="10">
        <v>1</v>
      </c>
      <c r="D783" s="9">
        <v>156</v>
      </c>
      <c r="E783" s="11" t="s">
        <v>558</v>
      </c>
      <c r="F783" s="11" t="str">
        <f t="shared" si="36"/>
        <v>https://purl.pt/19851</v>
      </c>
      <c r="G783" s="12" t="s">
        <v>559</v>
      </c>
      <c r="H783" s="9" t="s">
        <v>560</v>
      </c>
      <c r="I783" s="34"/>
      <c r="J783" s="55" t="str">
        <f t="shared" si="37"/>
        <v>https://permalinkbnd.bnportugal.gov.pt/viewer/14628/?offset=#page=156&amp;viewer=picture&amp;o=info&amp;n=0&amp;q=</v>
      </c>
      <c r="K783" s="45"/>
      <c r="L783" s="45"/>
      <c r="M783" s="45"/>
      <c r="N783" t="s">
        <v>558</v>
      </c>
      <c r="O783">
        <v>14628</v>
      </c>
      <c r="P783" t="str">
        <f t="shared" si="38"/>
        <v>https://permalinkbnd.bnportugal.gov.pt/viewer/14628/?offset=#page=156&amp;viewer=picture&amp;o=info&amp;n=0&amp;q=</v>
      </c>
      <c r="Q783">
        <v>381189</v>
      </c>
      <c r="R783" t="s">
        <v>558</v>
      </c>
      <c r="S783" t="s">
        <v>3389</v>
      </c>
      <c r="T783" t="s">
        <v>1178</v>
      </c>
      <c r="U783" t="s">
        <v>1192</v>
      </c>
      <c r="V783" t="s">
        <v>599</v>
      </c>
      <c r="W783" t="s">
        <v>3390</v>
      </c>
      <c r="X783" t="s">
        <v>3391</v>
      </c>
      <c r="Y783" t="s">
        <v>599</v>
      </c>
      <c r="Z783" t="s">
        <v>1182</v>
      </c>
      <c r="AA783" t="s">
        <v>3392</v>
      </c>
      <c r="AB783">
        <v>1880</v>
      </c>
      <c r="AC783">
        <v>1880</v>
      </c>
      <c r="AD783" t="s">
        <v>3393</v>
      </c>
      <c r="AE783" t="s">
        <v>1185</v>
      </c>
      <c r="AF783" t="s">
        <v>599</v>
      </c>
      <c r="AG783" t="s">
        <v>3394</v>
      </c>
      <c r="AH783" t="s">
        <v>3395</v>
      </c>
      <c r="AI783" t="s">
        <v>599</v>
      </c>
      <c r="AJ783" t="s">
        <v>3396</v>
      </c>
      <c r="AK783" t="s">
        <v>3397</v>
      </c>
      <c r="AL783" t="s">
        <v>599</v>
      </c>
      <c r="AM783" t="s">
        <v>3398</v>
      </c>
      <c r="AN783" t="s">
        <v>1190</v>
      </c>
      <c r="AO783" t="s">
        <v>599</v>
      </c>
      <c r="AP783" t="s">
        <v>599</v>
      </c>
      <c r="AQ783" t="s">
        <v>3399</v>
      </c>
      <c r="AR783" t="s">
        <v>599</v>
      </c>
      <c r="AS783" t="s">
        <v>599</v>
      </c>
      <c r="AT783" t="s">
        <v>599</v>
      </c>
      <c r="AU783" t="s">
        <v>599</v>
      </c>
    </row>
    <row r="784" spans="1:47" ht="210" x14ac:dyDescent="0.25">
      <c r="A784" s="2">
        <v>12239</v>
      </c>
      <c r="B784" s="10">
        <v>381189</v>
      </c>
      <c r="C784" s="10">
        <v>1</v>
      </c>
      <c r="D784" s="9">
        <v>162</v>
      </c>
      <c r="E784" s="11" t="s">
        <v>558</v>
      </c>
      <c r="F784" s="11" t="str">
        <f t="shared" si="36"/>
        <v>https://purl.pt/19851</v>
      </c>
      <c r="G784" s="12" t="s">
        <v>559</v>
      </c>
      <c r="H784" s="9" t="s">
        <v>560</v>
      </c>
      <c r="I784" s="34"/>
      <c r="J784" s="55" t="str">
        <f t="shared" si="37"/>
        <v>https://permalinkbnd.bnportugal.gov.pt/viewer/14628/?offset=#page=162&amp;viewer=picture&amp;o=info&amp;n=0&amp;q=</v>
      </c>
      <c r="K784" s="45"/>
      <c r="L784" s="45"/>
      <c r="M784" s="45"/>
      <c r="N784" t="s">
        <v>558</v>
      </c>
      <c r="O784">
        <v>14628</v>
      </c>
      <c r="P784" t="str">
        <f t="shared" si="38"/>
        <v>https://permalinkbnd.bnportugal.gov.pt/viewer/14628/?offset=#page=162&amp;viewer=picture&amp;o=info&amp;n=0&amp;q=</v>
      </c>
      <c r="Q784">
        <v>381189</v>
      </c>
      <c r="R784" t="s">
        <v>558</v>
      </c>
      <c r="S784" t="s">
        <v>3389</v>
      </c>
      <c r="T784" t="s">
        <v>1178</v>
      </c>
      <c r="U784" t="s">
        <v>1192</v>
      </c>
      <c r="V784" t="s">
        <v>599</v>
      </c>
      <c r="W784" t="s">
        <v>3390</v>
      </c>
      <c r="X784" t="s">
        <v>3391</v>
      </c>
      <c r="Y784" t="s">
        <v>599</v>
      </c>
      <c r="Z784" t="s">
        <v>1182</v>
      </c>
      <c r="AA784" t="s">
        <v>3392</v>
      </c>
      <c r="AB784">
        <v>1880</v>
      </c>
      <c r="AC784">
        <v>1880</v>
      </c>
      <c r="AD784" t="s">
        <v>3393</v>
      </c>
      <c r="AE784" t="s">
        <v>1185</v>
      </c>
      <c r="AF784" t="s">
        <v>599</v>
      </c>
      <c r="AG784" t="s">
        <v>3394</v>
      </c>
      <c r="AH784" t="s">
        <v>3395</v>
      </c>
      <c r="AI784" t="s">
        <v>599</v>
      </c>
      <c r="AJ784" t="s">
        <v>3396</v>
      </c>
      <c r="AK784" t="s">
        <v>3397</v>
      </c>
      <c r="AL784" t="s">
        <v>599</v>
      </c>
      <c r="AM784" t="s">
        <v>3398</v>
      </c>
      <c r="AN784" t="s">
        <v>1190</v>
      </c>
      <c r="AO784" t="s">
        <v>599</v>
      </c>
      <c r="AP784" t="s">
        <v>599</v>
      </c>
      <c r="AQ784" t="s">
        <v>3399</v>
      </c>
      <c r="AR784" t="s">
        <v>599</v>
      </c>
      <c r="AS784" t="s">
        <v>599</v>
      </c>
      <c r="AT784" t="s">
        <v>599</v>
      </c>
      <c r="AU784" t="s">
        <v>599</v>
      </c>
    </row>
    <row r="785" spans="1:47" ht="210" x14ac:dyDescent="0.25">
      <c r="A785" s="2">
        <v>12240</v>
      </c>
      <c r="B785" s="10">
        <v>381189</v>
      </c>
      <c r="C785" s="10">
        <v>1</v>
      </c>
      <c r="D785" s="9">
        <v>164</v>
      </c>
      <c r="E785" s="11" t="s">
        <v>558</v>
      </c>
      <c r="F785" s="11" t="str">
        <f t="shared" si="36"/>
        <v>https://purl.pt/19851</v>
      </c>
      <c r="G785" s="12" t="s">
        <v>559</v>
      </c>
      <c r="H785" s="9" t="s">
        <v>560</v>
      </c>
      <c r="I785" s="34"/>
      <c r="J785" s="55" t="str">
        <f t="shared" si="37"/>
        <v>https://permalinkbnd.bnportugal.gov.pt/viewer/14628/?offset=#page=164&amp;viewer=picture&amp;o=info&amp;n=0&amp;q=</v>
      </c>
      <c r="K785" s="45"/>
      <c r="L785" s="45"/>
      <c r="M785" s="45"/>
      <c r="N785" t="s">
        <v>558</v>
      </c>
      <c r="O785">
        <v>14628</v>
      </c>
      <c r="P785" t="str">
        <f t="shared" si="38"/>
        <v>https://permalinkbnd.bnportugal.gov.pt/viewer/14628/?offset=#page=164&amp;viewer=picture&amp;o=info&amp;n=0&amp;q=</v>
      </c>
      <c r="Q785">
        <v>381189</v>
      </c>
      <c r="R785" t="s">
        <v>558</v>
      </c>
      <c r="S785" t="s">
        <v>3389</v>
      </c>
      <c r="T785" t="s">
        <v>1178</v>
      </c>
      <c r="U785" t="s">
        <v>1192</v>
      </c>
      <c r="V785" t="s">
        <v>599</v>
      </c>
      <c r="W785" t="s">
        <v>3390</v>
      </c>
      <c r="X785" t="s">
        <v>3391</v>
      </c>
      <c r="Y785" t="s">
        <v>599</v>
      </c>
      <c r="Z785" t="s">
        <v>1182</v>
      </c>
      <c r="AA785" t="s">
        <v>3392</v>
      </c>
      <c r="AB785">
        <v>1880</v>
      </c>
      <c r="AC785">
        <v>1880</v>
      </c>
      <c r="AD785" t="s">
        <v>3393</v>
      </c>
      <c r="AE785" t="s">
        <v>1185</v>
      </c>
      <c r="AF785" t="s">
        <v>599</v>
      </c>
      <c r="AG785" t="s">
        <v>3394</v>
      </c>
      <c r="AH785" t="s">
        <v>3395</v>
      </c>
      <c r="AI785" t="s">
        <v>599</v>
      </c>
      <c r="AJ785" t="s">
        <v>3396</v>
      </c>
      <c r="AK785" t="s">
        <v>3397</v>
      </c>
      <c r="AL785" t="s">
        <v>599</v>
      </c>
      <c r="AM785" t="s">
        <v>3398</v>
      </c>
      <c r="AN785" t="s">
        <v>1190</v>
      </c>
      <c r="AO785" t="s">
        <v>599</v>
      </c>
      <c r="AP785" t="s">
        <v>599</v>
      </c>
      <c r="AQ785" t="s">
        <v>3399</v>
      </c>
      <c r="AR785" t="s">
        <v>599</v>
      </c>
      <c r="AS785" t="s">
        <v>599</v>
      </c>
      <c r="AT785" t="s">
        <v>599</v>
      </c>
      <c r="AU785" t="s">
        <v>599</v>
      </c>
    </row>
    <row r="786" spans="1:47" ht="210" x14ac:dyDescent="0.25">
      <c r="A786" s="2">
        <v>12241</v>
      </c>
      <c r="B786" s="10">
        <v>381189</v>
      </c>
      <c r="C786" s="10">
        <v>1</v>
      </c>
      <c r="D786" s="9">
        <v>205</v>
      </c>
      <c r="E786" s="11" t="s">
        <v>558</v>
      </c>
      <c r="F786" s="11" t="str">
        <f t="shared" si="36"/>
        <v>https://purl.pt/19851</v>
      </c>
      <c r="G786" s="12" t="s">
        <v>559</v>
      </c>
      <c r="H786" s="9" t="s">
        <v>560</v>
      </c>
      <c r="I786" s="34"/>
      <c r="J786" s="55" t="str">
        <f t="shared" si="37"/>
        <v>https://permalinkbnd.bnportugal.gov.pt/viewer/14628/?offset=#page=205&amp;viewer=picture&amp;o=info&amp;n=0&amp;q=</v>
      </c>
      <c r="K786" s="45"/>
      <c r="L786" s="45"/>
      <c r="M786" s="45"/>
      <c r="N786" t="s">
        <v>558</v>
      </c>
      <c r="O786">
        <v>14628</v>
      </c>
      <c r="P786" t="str">
        <f t="shared" si="38"/>
        <v>https://permalinkbnd.bnportugal.gov.pt/viewer/14628/?offset=#page=205&amp;viewer=picture&amp;o=info&amp;n=0&amp;q=</v>
      </c>
      <c r="Q786">
        <v>381189</v>
      </c>
      <c r="R786" t="s">
        <v>558</v>
      </c>
      <c r="S786" t="s">
        <v>3389</v>
      </c>
      <c r="T786" t="s">
        <v>1178</v>
      </c>
      <c r="U786" t="s">
        <v>1192</v>
      </c>
      <c r="V786" t="s">
        <v>599</v>
      </c>
      <c r="W786" t="s">
        <v>3390</v>
      </c>
      <c r="X786" t="s">
        <v>3391</v>
      </c>
      <c r="Y786" t="s">
        <v>599</v>
      </c>
      <c r="Z786" t="s">
        <v>1182</v>
      </c>
      <c r="AA786" t="s">
        <v>3392</v>
      </c>
      <c r="AB786">
        <v>1880</v>
      </c>
      <c r="AC786">
        <v>1880</v>
      </c>
      <c r="AD786" t="s">
        <v>3393</v>
      </c>
      <c r="AE786" t="s">
        <v>1185</v>
      </c>
      <c r="AF786" t="s">
        <v>599</v>
      </c>
      <c r="AG786" t="s">
        <v>3394</v>
      </c>
      <c r="AH786" t="s">
        <v>3395</v>
      </c>
      <c r="AI786" t="s">
        <v>599</v>
      </c>
      <c r="AJ786" t="s">
        <v>3396</v>
      </c>
      <c r="AK786" t="s">
        <v>3397</v>
      </c>
      <c r="AL786" t="s">
        <v>599</v>
      </c>
      <c r="AM786" t="s">
        <v>3398</v>
      </c>
      <c r="AN786" t="s">
        <v>1190</v>
      </c>
      <c r="AO786" t="s">
        <v>599</v>
      </c>
      <c r="AP786" t="s">
        <v>599</v>
      </c>
      <c r="AQ786" t="s">
        <v>3399</v>
      </c>
      <c r="AR786" t="s">
        <v>599</v>
      </c>
      <c r="AS786" t="s">
        <v>599</v>
      </c>
      <c r="AT786" t="s">
        <v>599</v>
      </c>
      <c r="AU786" t="s">
        <v>599</v>
      </c>
    </row>
    <row r="787" spans="1:47" ht="210" x14ac:dyDescent="0.25">
      <c r="A787" s="2">
        <v>12242</v>
      </c>
      <c r="B787" s="10">
        <v>381189</v>
      </c>
      <c r="C787" s="10">
        <v>1</v>
      </c>
      <c r="D787" s="9">
        <v>215</v>
      </c>
      <c r="E787" s="11" t="s">
        <v>558</v>
      </c>
      <c r="F787" s="11" t="str">
        <f t="shared" si="36"/>
        <v>https://purl.pt/19851</v>
      </c>
      <c r="G787" s="12" t="s">
        <v>559</v>
      </c>
      <c r="H787" s="9" t="s">
        <v>560</v>
      </c>
      <c r="I787" s="34"/>
      <c r="J787" s="55" t="str">
        <f t="shared" si="37"/>
        <v>https://permalinkbnd.bnportugal.gov.pt/viewer/14628/?offset=#page=215&amp;viewer=picture&amp;o=info&amp;n=0&amp;q=</v>
      </c>
      <c r="K787" s="45"/>
      <c r="L787" s="45"/>
      <c r="M787" s="45"/>
      <c r="N787" t="s">
        <v>558</v>
      </c>
      <c r="O787">
        <v>14628</v>
      </c>
      <c r="P787" t="str">
        <f t="shared" si="38"/>
        <v>https://permalinkbnd.bnportugal.gov.pt/viewer/14628/?offset=#page=215&amp;viewer=picture&amp;o=info&amp;n=0&amp;q=</v>
      </c>
      <c r="Q787">
        <v>381189</v>
      </c>
      <c r="R787" t="s">
        <v>558</v>
      </c>
      <c r="S787" t="s">
        <v>3389</v>
      </c>
      <c r="T787" t="s">
        <v>1178</v>
      </c>
      <c r="U787" t="s">
        <v>1192</v>
      </c>
      <c r="V787" t="s">
        <v>599</v>
      </c>
      <c r="W787" t="s">
        <v>3390</v>
      </c>
      <c r="X787" t="s">
        <v>3391</v>
      </c>
      <c r="Y787" t="s">
        <v>599</v>
      </c>
      <c r="Z787" t="s">
        <v>1182</v>
      </c>
      <c r="AA787" t="s">
        <v>3392</v>
      </c>
      <c r="AB787">
        <v>1880</v>
      </c>
      <c r="AC787">
        <v>1880</v>
      </c>
      <c r="AD787" t="s">
        <v>3393</v>
      </c>
      <c r="AE787" t="s">
        <v>1185</v>
      </c>
      <c r="AF787" t="s">
        <v>599</v>
      </c>
      <c r="AG787" t="s">
        <v>3394</v>
      </c>
      <c r="AH787" t="s">
        <v>3395</v>
      </c>
      <c r="AI787" t="s">
        <v>599</v>
      </c>
      <c r="AJ787" t="s">
        <v>3396</v>
      </c>
      <c r="AK787" t="s">
        <v>3397</v>
      </c>
      <c r="AL787" t="s">
        <v>599</v>
      </c>
      <c r="AM787" t="s">
        <v>3398</v>
      </c>
      <c r="AN787" t="s">
        <v>1190</v>
      </c>
      <c r="AO787" t="s">
        <v>599</v>
      </c>
      <c r="AP787" t="s">
        <v>599</v>
      </c>
      <c r="AQ787" t="s">
        <v>3399</v>
      </c>
      <c r="AR787" t="s">
        <v>599</v>
      </c>
      <c r="AS787" t="s">
        <v>599</v>
      </c>
      <c r="AT787" t="s">
        <v>599</v>
      </c>
      <c r="AU787" t="s">
        <v>599</v>
      </c>
    </row>
    <row r="788" spans="1:47" ht="210" x14ac:dyDescent="0.25">
      <c r="A788" s="2">
        <v>12243</v>
      </c>
      <c r="B788" s="10">
        <v>381189</v>
      </c>
      <c r="C788" s="10">
        <v>1</v>
      </c>
      <c r="D788" s="9">
        <v>217</v>
      </c>
      <c r="E788" s="11" t="s">
        <v>558</v>
      </c>
      <c r="F788" s="11" t="str">
        <f t="shared" si="36"/>
        <v>https://purl.pt/19851</v>
      </c>
      <c r="G788" s="12" t="s">
        <v>559</v>
      </c>
      <c r="H788" s="9" t="s">
        <v>560</v>
      </c>
      <c r="I788" s="34"/>
      <c r="J788" s="55" t="str">
        <f t="shared" si="37"/>
        <v>https://permalinkbnd.bnportugal.gov.pt/viewer/14628/?offset=#page=217&amp;viewer=picture&amp;o=info&amp;n=0&amp;q=</v>
      </c>
      <c r="K788" s="45"/>
      <c r="L788" s="45"/>
      <c r="M788" s="45"/>
      <c r="N788" t="s">
        <v>558</v>
      </c>
      <c r="O788">
        <v>14628</v>
      </c>
      <c r="P788" t="str">
        <f t="shared" si="38"/>
        <v>https://permalinkbnd.bnportugal.gov.pt/viewer/14628/?offset=#page=217&amp;viewer=picture&amp;o=info&amp;n=0&amp;q=</v>
      </c>
      <c r="Q788">
        <v>381189</v>
      </c>
      <c r="R788" t="s">
        <v>558</v>
      </c>
      <c r="S788" t="s">
        <v>3389</v>
      </c>
      <c r="T788" t="s">
        <v>1178</v>
      </c>
      <c r="U788" t="s">
        <v>1192</v>
      </c>
      <c r="V788" t="s">
        <v>599</v>
      </c>
      <c r="W788" t="s">
        <v>3390</v>
      </c>
      <c r="X788" t="s">
        <v>3391</v>
      </c>
      <c r="Y788" t="s">
        <v>599</v>
      </c>
      <c r="Z788" t="s">
        <v>1182</v>
      </c>
      <c r="AA788" t="s">
        <v>3392</v>
      </c>
      <c r="AB788">
        <v>1880</v>
      </c>
      <c r="AC788">
        <v>1880</v>
      </c>
      <c r="AD788" t="s">
        <v>3393</v>
      </c>
      <c r="AE788" t="s">
        <v>1185</v>
      </c>
      <c r="AF788" t="s">
        <v>599</v>
      </c>
      <c r="AG788" t="s">
        <v>3394</v>
      </c>
      <c r="AH788" t="s">
        <v>3395</v>
      </c>
      <c r="AI788" t="s">
        <v>599</v>
      </c>
      <c r="AJ788" t="s">
        <v>3396</v>
      </c>
      <c r="AK788" t="s">
        <v>3397</v>
      </c>
      <c r="AL788" t="s">
        <v>599</v>
      </c>
      <c r="AM788" t="s">
        <v>3398</v>
      </c>
      <c r="AN788" t="s">
        <v>1190</v>
      </c>
      <c r="AO788" t="s">
        <v>599</v>
      </c>
      <c r="AP788" t="s">
        <v>599</v>
      </c>
      <c r="AQ788" t="s">
        <v>3399</v>
      </c>
      <c r="AR788" t="s">
        <v>599</v>
      </c>
      <c r="AS788" t="s">
        <v>599</v>
      </c>
      <c r="AT788" t="s">
        <v>599</v>
      </c>
      <c r="AU788" t="s">
        <v>599</v>
      </c>
    </row>
    <row r="789" spans="1:47" ht="210" x14ac:dyDescent="0.25">
      <c r="A789" s="2">
        <v>12244</v>
      </c>
      <c r="B789" s="10">
        <v>381189</v>
      </c>
      <c r="C789" s="10">
        <v>1</v>
      </c>
      <c r="D789" s="9">
        <v>242</v>
      </c>
      <c r="E789" s="11" t="s">
        <v>558</v>
      </c>
      <c r="F789" s="11" t="str">
        <f t="shared" si="36"/>
        <v>https://purl.pt/19851</v>
      </c>
      <c r="G789" s="12" t="s">
        <v>559</v>
      </c>
      <c r="H789" s="9" t="s">
        <v>560</v>
      </c>
      <c r="I789" s="34"/>
      <c r="J789" s="55" t="str">
        <f t="shared" si="37"/>
        <v>https://permalinkbnd.bnportugal.gov.pt/viewer/14628/?offset=#page=242&amp;viewer=picture&amp;o=info&amp;n=0&amp;q=</v>
      </c>
      <c r="K789" s="45"/>
      <c r="L789" s="45"/>
      <c r="M789" s="45"/>
      <c r="N789" t="s">
        <v>558</v>
      </c>
      <c r="O789">
        <v>14628</v>
      </c>
      <c r="P789" t="str">
        <f t="shared" si="38"/>
        <v>https://permalinkbnd.bnportugal.gov.pt/viewer/14628/?offset=#page=242&amp;viewer=picture&amp;o=info&amp;n=0&amp;q=</v>
      </c>
      <c r="Q789">
        <v>381189</v>
      </c>
      <c r="R789" t="s">
        <v>558</v>
      </c>
      <c r="S789" t="s">
        <v>3389</v>
      </c>
      <c r="T789" t="s">
        <v>1178</v>
      </c>
      <c r="U789" t="s">
        <v>1192</v>
      </c>
      <c r="V789" t="s">
        <v>599</v>
      </c>
      <c r="W789" t="s">
        <v>3390</v>
      </c>
      <c r="X789" t="s">
        <v>3391</v>
      </c>
      <c r="Y789" t="s">
        <v>599</v>
      </c>
      <c r="Z789" t="s">
        <v>1182</v>
      </c>
      <c r="AA789" t="s">
        <v>3392</v>
      </c>
      <c r="AB789">
        <v>1880</v>
      </c>
      <c r="AC789">
        <v>1880</v>
      </c>
      <c r="AD789" t="s">
        <v>3393</v>
      </c>
      <c r="AE789" t="s">
        <v>1185</v>
      </c>
      <c r="AF789" t="s">
        <v>599</v>
      </c>
      <c r="AG789" t="s">
        <v>3394</v>
      </c>
      <c r="AH789" t="s">
        <v>3395</v>
      </c>
      <c r="AI789" t="s">
        <v>599</v>
      </c>
      <c r="AJ789" t="s">
        <v>3396</v>
      </c>
      <c r="AK789" t="s">
        <v>3397</v>
      </c>
      <c r="AL789" t="s">
        <v>599</v>
      </c>
      <c r="AM789" t="s">
        <v>3398</v>
      </c>
      <c r="AN789" t="s">
        <v>1190</v>
      </c>
      <c r="AO789" t="s">
        <v>599</v>
      </c>
      <c r="AP789" t="s">
        <v>599</v>
      </c>
      <c r="AQ789" t="s">
        <v>3399</v>
      </c>
      <c r="AR789" t="s">
        <v>599</v>
      </c>
      <c r="AS789" t="s">
        <v>599</v>
      </c>
      <c r="AT789" t="s">
        <v>599</v>
      </c>
      <c r="AU789" t="s">
        <v>599</v>
      </c>
    </row>
    <row r="790" spans="1:47" ht="210" x14ac:dyDescent="0.25">
      <c r="A790" s="2">
        <v>12245</v>
      </c>
      <c r="B790" s="10">
        <v>381189</v>
      </c>
      <c r="C790" s="10">
        <v>1</v>
      </c>
      <c r="D790" s="9">
        <v>252</v>
      </c>
      <c r="E790" s="11" t="s">
        <v>558</v>
      </c>
      <c r="F790" s="11" t="str">
        <f t="shared" si="36"/>
        <v>https://purl.pt/19851</v>
      </c>
      <c r="G790" s="12" t="s">
        <v>559</v>
      </c>
      <c r="H790" s="9" t="s">
        <v>560</v>
      </c>
      <c r="I790" s="34"/>
      <c r="J790" s="55" t="str">
        <f t="shared" si="37"/>
        <v>https://permalinkbnd.bnportugal.gov.pt/viewer/14628/?offset=#page=252&amp;viewer=picture&amp;o=info&amp;n=0&amp;q=</v>
      </c>
      <c r="K790" s="45"/>
      <c r="L790" s="45"/>
      <c r="M790" s="45"/>
      <c r="N790" t="s">
        <v>558</v>
      </c>
      <c r="O790">
        <v>14628</v>
      </c>
      <c r="P790" t="str">
        <f t="shared" si="38"/>
        <v>https://permalinkbnd.bnportugal.gov.pt/viewer/14628/?offset=#page=252&amp;viewer=picture&amp;o=info&amp;n=0&amp;q=</v>
      </c>
      <c r="Q790">
        <v>381189</v>
      </c>
      <c r="R790" t="s">
        <v>558</v>
      </c>
      <c r="S790" t="s">
        <v>3389</v>
      </c>
      <c r="T790" t="s">
        <v>1178</v>
      </c>
      <c r="U790" t="s">
        <v>1192</v>
      </c>
      <c r="V790" t="s">
        <v>599</v>
      </c>
      <c r="W790" t="s">
        <v>3390</v>
      </c>
      <c r="X790" t="s">
        <v>3391</v>
      </c>
      <c r="Y790" t="s">
        <v>599</v>
      </c>
      <c r="Z790" t="s">
        <v>1182</v>
      </c>
      <c r="AA790" t="s">
        <v>3392</v>
      </c>
      <c r="AB790">
        <v>1880</v>
      </c>
      <c r="AC790">
        <v>1880</v>
      </c>
      <c r="AD790" t="s">
        <v>3393</v>
      </c>
      <c r="AE790" t="s">
        <v>1185</v>
      </c>
      <c r="AF790" t="s">
        <v>599</v>
      </c>
      <c r="AG790" t="s">
        <v>3394</v>
      </c>
      <c r="AH790" t="s">
        <v>3395</v>
      </c>
      <c r="AI790" t="s">
        <v>599</v>
      </c>
      <c r="AJ790" t="s">
        <v>3396</v>
      </c>
      <c r="AK790" t="s">
        <v>3397</v>
      </c>
      <c r="AL790" t="s">
        <v>599</v>
      </c>
      <c r="AM790" t="s">
        <v>3398</v>
      </c>
      <c r="AN790" t="s">
        <v>1190</v>
      </c>
      <c r="AO790" t="s">
        <v>599</v>
      </c>
      <c r="AP790" t="s">
        <v>599</v>
      </c>
      <c r="AQ790" t="s">
        <v>3399</v>
      </c>
      <c r="AR790" t="s">
        <v>599</v>
      </c>
      <c r="AS790" t="s">
        <v>599</v>
      </c>
      <c r="AT790" t="s">
        <v>599</v>
      </c>
      <c r="AU790" t="s">
        <v>599</v>
      </c>
    </row>
    <row r="791" spans="1:47" ht="210" x14ac:dyDescent="0.25">
      <c r="A791" s="2">
        <v>12246</v>
      </c>
      <c r="B791" s="10">
        <v>381189</v>
      </c>
      <c r="C791" s="10">
        <v>1</v>
      </c>
      <c r="D791" s="9">
        <v>258</v>
      </c>
      <c r="E791" s="11" t="s">
        <v>558</v>
      </c>
      <c r="F791" s="11" t="str">
        <f t="shared" si="36"/>
        <v>https://purl.pt/19851</v>
      </c>
      <c r="G791" s="12" t="s">
        <v>559</v>
      </c>
      <c r="H791" s="9" t="s">
        <v>560</v>
      </c>
      <c r="I791" s="34"/>
      <c r="J791" s="55" t="str">
        <f t="shared" si="37"/>
        <v>https://permalinkbnd.bnportugal.gov.pt/viewer/14628/?offset=#page=258&amp;viewer=picture&amp;o=info&amp;n=0&amp;q=</v>
      </c>
      <c r="K791" s="45"/>
      <c r="L791" s="45"/>
      <c r="M791" s="45"/>
      <c r="N791" t="s">
        <v>558</v>
      </c>
      <c r="O791">
        <v>14628</v>
      </c>
      <c r="P791" t="str">
        <f t="shared" si="38"/>
        <v>https://permalinkbnd.bnportugal.gov.pt/viewer/14628/?offset=#page=258&amp;viewer=picture&amp;o=info&amp;n=0&amp;q=</v>
      </c>
      <c r="Q791">
        <v>381189</v>
      </c>
      <c r="R791" t="s">
        <v>558</v>
      </c>
      <c r="S791" t="s">
        <v>3389</v>
      </c>
      <c r="T791" t="s">
        <v>1178</v>
      </c>
      <c r="U791" t="s">
        <v>1192</v>
      </c>
      <c r="V791" t="s">
        <v>599</v>
      </c>
      <c r="W791" t="s">
        <v>3390</v>
      </c>
      <c r="X791" t="s">
        <v>3391</v>
      </c>
      <c r="Y791" t="s">
        <v>599</v>
      </c>
      <c r="Z791" t="s">
        <v>1182</v>
      </c>
      <c r="AA791" t="s">
        <v>3392</v>
      </c>
      <c r="AB791">
        <v>1880</v>
      </c>
      <c r="AC791">
        <v>1880</v>
      </c>
      <c r="AD791" t="s">
        <v>3393</v>
      </c>
      <c r="AE791" t="s">
        <v>1185</v>
      </c>
      <c r="AF791" t="s">
        <v>599</v>
      </c>
      <c r="AG791" t="s">
        <v>3394</v>
      </c>
      <c r="AH791" t="s">
        <v>3395</v>
      </c>
      <c r="AI791" t="s">
        <v>599</v>
      </c>
      <c r="AJ791" t="s">
        <v>3396</v>
      </c>
      <c r="AK791" t="s">
        <v>3397</v>
      </c>
      <c r="AL791" t="s">
        <v>599</v>
      </c>
      <c r="AM791" t="s">
        <v>3398</v>
      </c>
      <c r="AN791" t="s">
        <v>1190</v>
      </c>
      <c r="AO791" t="s">
        <v>599</v>
      </c>
      <c r="AP791" t="s">
        <v>599</v>
      </c>
      <c r="AQ791" t="s">
        <v>3399</v>
      </c>
      <c r="AR791" t="s">
        <v>599</v>
      </c>
      <c r="AS791" t="s">
        <v>599</v>
      </c>
      <c r="AT791" t="s">
        <v>599</v>
      </c>
      <c r="AU791" t="s">
        <v>599</v>
      </c>
    </row>
    <row r="792" spans="1:47" ht="210" x14ac:dyDescent="0.25">
      <c r="A792" s="2">
        <v>12247</v>
      </c>
      <c r="B792" s="10">
        <v>381189</v>
      </c>
      <c r="C792" s="10">
        <v>1</v>
      </c>
      <c r="D792" s="9">
        <v>260</v>
      </c>
      <c r="E792" s="11" t="s">
        <v>558</v>
      </c>
      <c r="F792" s="11" t="str">
        <f t="shared" si="36"/>
        <v>https://purl.pt/19851</v>
      </c>
      <c r="G792" s="12" t="s">
        <v>559</v>
      </c>
      <c r="H792" s="9" t="s">
        <v>560</v>
      </c>
      <c r="I792" s="34"/>
      <c r="J792" s="55" t="str">
        <f t="shared" si="37"/>
        <v>https://permalinkbnd.bnportugal.gov.pt/viewer/14628/?offset=#page=260&amp;viewer=picture&amp;o=info&amp;n=0&amp;q=</v>
      </c>
      <c r="K792" s="45"/>
      <c r="L792" s="45"/>
      <c r="M792" s="45"/>
      <c r="N792" t="s">
        <v>558</v>
      </c>
      <c r="O792">
        <v>14628</v>
      </c>
      <c r="P792" t="str">
        <f t="shared" si="38"/>
        <v>https://permalinkbnd.bnportugal.gov.pt/viewer/14628/?offset=#page=260&amp;viewer=picture&amp;o=info&amp;n=0&amp;q=</v>
      </c>
      <c r="Q792">
        <v>381189</v>
      </c>
      <c r="R792" t="s">
        <v>558</v>
      </c>
      <c r="S792" t="s">
        <v>3389</v>
      </c>
      <c r="T792" t="s">
        <v>1178</v>
      </c>
      <c r="U792" t="s">
        <v>1192</v>
      </c>
      <c r="V792" t="s">
        <v>599</v>
      </c>
      <c r="W792" t="s">
        <v>3390</v>
      </c>
      <c r="X792" t="s">
        <v>3391</v>
      </c>
      <c r="Y792" t="s">
        <v>599</v>
      </c>
      <c r="Z792" t="s">
        <v>1182</v>
      </c>
      <c r="AA792" t="s">
        <v>3392</v>
      </c>
      <c r="AB792">
        <v>1880</v>
      </c>
      <c r="AC792">
        <v>1880</v>
      </c>
      <c r="AD792" t="s">
        <v>3393</v>
      </c>
      <c r="AE792" t="s">
        <v>1185</v>
      </c>
      <c r="AF792" t="s">
        <v>599</v>
      </c>
      <c r="AG792" t="s">
        <v>3394</v>
      </c>
      <c r="AH792" t="s">
        <v>3395</v>
      </c>
      <c r="AI792" t="s">
        <v>599</v>
      </c>
      <c r="AJ792" t="s">
        <v>3396</v>
      </c>
      <c r="AK792" t="s">
        <v>3397</v>
      </c>
      <c r="AL792" t="s">
        <v>599</v>
      </c>
      <c r="AM792" t="s">
        <v>3398</v>
      </c>
      <c r="AN792" t="s">
        <v>1190</v>
      </c>
      <c r="AO792" t="s">
        <v>599</v>
      </c>
      <c r="AP792" t="s">
        <v>599</v>
      </c>
      <c r="AQ792" t="s">
        <v>3399</v>
      </c>
      <c r="AR792" t="s">
        <v>599</v>
      </c>
      <c r="AS792" t="s">
        <v>599</v>
      </c>
      <c r="AT792" t="s">
        <v>599</v>
      </c>
      <c r="AU792" t="s">
        <v>599</v>
      </c>
    </row>
    <row r="793" spans="1:47" ht="210" x14ac:dyDescent="0.25">
      <c r="A793" s="2">
        <v>12248</v>
      </c>
      <c r="B793" s="10">
        <v>381189</v>
      </c>
      <c r="C793" s="10">
        <v>1</v>
      </c>
      <c r="D793" s="9">
        <v>277</v>
      </c>
      <c r="E793" s="11" t="s">
        <v>558</v>
      </c>
      <c r="F793" s="11" t="str">
        <f t="shared" si="36"/>
        <v>https://purl.pt/19851</v>
      </c>
      <c r="G793" s="12" t="s">
        <v>559</v>
      </c>
      <c r="H793" s="9" t="s">
        <v>560</v>
      </c>
      <c r="I793" s="34"/>
      <c r="J793" s="55" t="str">
        <f t="shared" si="37"/>
        <v>https://permalinkbnd.bnportugal.gov.pt/viewer/14628/?offset=#page=277&amp;viewer=picture&amp;o=info&amp;n=0&amp;q=</v>
      </c>
      <c r="K793" s="45"/>
      <c r="L793" s="45"/>
      <c r="M793" s="45"/>
      <c r="N793" t="s">
        <v>558</v>
      </c>
      <c r="O793">
        <v>14628</v>
      </c>
      <c r="P793" t="str">
        <f t="shared" si="38"/>
        <v>https://permalinkbnd.bnportugal.gov.pt/viewer/14628/?offset=#page=277&amp;viewer=picture&amp;o=info&amp;n=0&amp;q=</v>
      </c>
      <c r="Q793">
        <v>381189</v>
      </c>
      <c r="R793" t="s">
        <v>558</v>
      </c>
      <c r="S793" t="s">
        <v>3389</v>
      </c>
      <c r="T793" t="s">
        <v>1178</v>
      </c>
      <c r="U793" t="s">
        <v>1192</v>
      </c>
      <c r="V793" t="s">
        <v>599</v>
      </c>
      <c r="W793" t="s">
        <v>3390</v>
      </c>
      <c r="X793" t="s">
        <v>3391</v>
      </c>
      <c r="Y793" t="s">
        <v>599</v>
      </c>
      <c r="Z793" t="s">
        <v>1182</v>
      </c>
      <c r="AA793" t="s">
        <v>3392</v>
      </c>
      <c r="AB793">
        <v>1880</v>
      </c>
      <c r="AC793">
        <v>1880</v>
      </c>
      <c r="AD793" t="s">
        <v>3393</v>
      </c>
      <c r="AE793" t="s">
        <v>1185</v>
      </c>
      <c r="AF793" t="s">
        <v>599</v>
      </c>
      <c r="AG793" t="s">
        <v>3394</v>
      </c>
      <c r="AH793" t="s">
        <v>3395</v>
      </c>
      <c r="AI793" t="s">
        <v>599</v>
      </c>
      <c r="AJ793" t="s">
        <v>3396</v>
      </c>
      <c r="AK793" t="s">
        <v>3397</v>
      </c>
      <c r="AL793" t="s">
        <v>599</v>
      </c>
      <c r="AM793" t="s">
        <v>3398</v>
      </c>
      <c r="AN793" t="s">
        <v>1190</v>
      </c>
      <c r="AO793" t="s">
        <v>599</v>
      </c>
      <c r="AP793" t="s">
        <v>599</v>
      </c>
      <c r="AQ793" t="s">
        <v>3399</v>
      </c>
      <c r="AR793" t="s">
        <v>599</v>
      </c>
      <c r="AS793" t="s">
        <v>599</v>
      </c>
      <c r="AT793" t="s">
        <v>599</v>
      </c>
      <c r="AU793" t="s">
        <v>599</v>
      </c>
    </row>
    <row r="794" spans="1:47" ht="210" x14ac:dyDescent="0.25">
      <c r="A794" s="2">
        <v>12249</v>
      </c>
      <c r="B794" s="10">
        <v>381189</v>
      </c>
      <c r="C794" s="10">
        <v>1</v>
      </c>
      <c r="D794" s="9">
        <v>291</v>
      </c>
      <c r="E794" s="11" t="s">
        <v>558</v>
      </c>
      <c r="F794" s="11" t="str">
        <f t="shared" si="36"/>
        <v>https://purl.pt/19851</v>
      </c>
      <c r="G794" s="12" t="s">
        <v>559</v>
      </c>
      <c r="H794" s="9" t="s">
        <v>560</v>
      </c>
      <c r="I794" s="34"/>
      <c r="J794" s="55" t="str">
        <f t="shared" si="37"/>
        <v>https://permalinkbnd.bnportugal.gov.pt/viewer/14628/?offset=#page=291&amp;viewer=picture&amp;o=info&amp;n=0&amp;q=</v>
      </c>
      <c r="K794" s="45"/>
      <c r="L794" s="45"/>
      <c r="M794" s="45"/>
      <c r="N794" t="s">
        <v>558</v>
      </c>
      <c r="O794">
        <v>14628</v>
      </c>
      <c r="P794" t="str">
        <f t="shared" si="38"/>
        <v>https://permalinkbnd.bnportugal.gov.pt/viewer/14628/?offset=#page=291&amp;viewer=picture&amp;o=info&amp;n=0&amp;q=</v>
      </c>
      <c r="Q794">
        <v>381189</v>
      </c>
      <c r="R794" t="s">
        <v>558</v>
      </c>
      <c r="S794" t="s">
        <v>3389</v>
      </c>
      <c r="T794" t="s">
        <v>1178</v>
      </c>
      <c r="U794" t="s">
        <v>1192</v>
      </c>
      <c r="V794" t="s">
        <v>599</v>
      </c>
      <c r="W794" t="s">
        <v>3390</v>
      </c>
      <c r="X794" t="s">
        <v>3391</v>
      </c>
      <c r="Y794" t="s">
        <v>599</v>
      </c>
      <c r="Z794" t="s">
        <v>1182</v>
      </c>
      <c r="AA794" t="s">
        <v>3392</v>
      </c>
      <c r="AB794">
        <v>1880</v>
      </c>
      <c r="AC794">
        <v>1880</v>
      </c>
      <c r="AD794" t="s">
        <v>3393</v>
      </c>
      <c r="AE794" t="s">
        <v>1185</v>
      </c>
      <c r="AF794" t="s">
        <v>599</v>
      </c>
      <c r="AG794" t="s">
        <v>3394</v>
      </c>
      <c r="AH794" t="s">
        <v>3395</v>
      </c>
      <c r="AI794" t="s">
        <v>599</v>
      </c>
      <c r="AJ794" t="s">
        <v>3396</v>
      </c>
      <c r="AK794" t="s">
        <v>3397</v>
      </c>
      <c r="AL794" t="s">
        <v>599</v>
      </c>
      <c r="AM794" t="s">
        <v>3398</v>
      </c>
      <c r="AN794" t="s">
        <v>1190</v>
      </c>
      <c r="AO794" t="s">
        <v>599</v>
      </c>
      <c r="AP794" t="s">
        <v>599</v>
      </c>
      <c r="AQ794" t="s">
        <v>3399</v>
      </c>
      <c r="AR794" t="s">
        <v>599</v>
      </c>
      <c r="AS794" t="s">
        <v>599</v>
      </c>
      <c r="AT794" t="s">
        <v>599</v>
      </c>
      <c r="AU794" t="s">
        <v>599</v>
      </c>
    </row>
    <row r="795" spans="1:47" ht="210" x14ac:dyDescent="0.25">
      <c r="A795" s="2">
        <v>12250</v>
      </c>
      <c r="B795" s="10">
        <v>381189</v>
      </c>
      <c r="C795" s="10">
        <v>1</v>
      </c>
      <c r="D795" s="9">
        <v>299</v>
      </c>
      <c r="E795" s="11" t="s">
        <v>558</v>
      </c>
      <c r="F795" s="11" t="str">
        <f t="shared" si="36"/>
        <v>https://purl.pt/19851</v>
      </c>
      <c r="G795" s="12" t="s">
        <v>559</v>
      </c>
      <c r="H795" s="9" t="s">
        <v>560</v>
      </c>
      <c r="I795" s="34"/>
      <c r="J795" s="55" t="str">
        <f t="shared" si="37"/>
        <v>https://permalinkbnd.bnportugal.gov.pt/viewer/14628/?offset=#page=299&amp;viewer=picture&amp;o=info&amp;n=0&amp;q=</v>
      </c>
      <c r="K795" s="45"/>
      <c r="L795" s="45"/>
      <c r="M795" s="45"/>
      <c r="N795" t="s">
        <v>558</v>
      </c>
      <c r="O795">
        <v>14628</v>
      </c>
      <c r="P795" t="str">
        <f t="shared" si="38"/>
        <v>https://permalinkbnd.bnportugal.gov.pt/viewer/14628/?offset=#page=299&amp;viewer=picture&amp;o=info&amp;n=0&amp;q=</v>
      </c>
      <c r="Q795">
        <v>381189</v>
      </c>
      <c r="R795" t="s">
        <v>558</v>
      </c>
      <c r="S795" t="s">
        <v>3389</v>
      </c>
      <c r="T795" t="s">
        <v>1178</v>
      </c>
      <c r="U795" t="s">
        <v>1192</v>
      </c>
      <c r="V795" t="s">
        <v>599</v>
      </c>
      <c r="W795" t="s">
        <v>3390</v>
      </c>
      <c r="X795" t="s">
        <v>3391</v>
      </c>
      <c r="Y795" t="s">
        <v>599</v>
      </c>
      <c r="Z795" t="s">
        <v>1182</v>
      </c>
      <c r="AA795" t="s">
        <v>3392</v>
      </c>
      <c r="AB795">
        <v>1880</v>
      </c>
      <c r="AC795">
        <v>1880</v>
      </c>
      <c r="AD795" t="s">
        <v>3393</v>
      </c>
      <c r="AE795" t="s">
        <v>1185</v>
      </c>
      <c r="AF795" t="s">
        <v>599</v>
      </c>
      <c r="AG795" t="s">
        <v>3394</v>
      </c>
      <c r="AH795" t="s">
        <v>3395</v>
      </c>
      <c r="AI795" t="s">
        <v>599</v>
      </c>
      <c r="AJ795" t="s">
        <v>3396</v>
      </c>
      <c r="AK795" t="s">
        <v>3397</v>
      </c>
      <c r="AL795" t="s">
        <v>599</v>
      </c>
      <c r="AM795" t="s">
        <v>3398</v>
      </c>
      <c r="AN795" t="s">
        <v>1190</v>
      </c>
      <c r="AO795" t="s">
        <v>599</v>
      </c>
      <c r="AP795" t="s">
        <v>599</v>
      </c>
      <c r="AQ795" t="s">
        <v>3399</v>
      </c>
      <c r="AR795" t="s">
        <v>599</v>
      </c>
      <c r="AS795" t="s">
        <v>599</v>
      </c>
      <c r="AT795" t="s">
        <v>599</v>
      </c>
      <c r="AU795" t="s">
        <v>599</v>
      </c>
    </row>
    <row r="796" spans="1:47" ht="210" x14ac:dyDescent="0.25">
      <c r="A796" s="2">
        <v>12251</v>
      </c>
      <c r="B796" s="10">
        <v>381189</v>
      </c>
      <c r="C796" s="10">
        <v>1</v>
      </c>
      <c r="D796" s="9">
        <v>301</v>
      </c>
      <c r="E796" s="11" t="s">
        <v>558</v>
      </c>
      <c r="F796" s="11" t="str">
        <f t="shared" si="36"/>
        <v>https://purl.pt/19851</v>
      </c>
      <c r="G796" s="12" t="s">
        <v>559</v>
      </c>
      <c r="H796" s="9" t="s">
        <v>560</v>
      </c>
      <c r="I796" s="34"/>
      <c r="J796" s="55" t="str">
        <f t="shared" si="37"/>
        <v>https://permalinkbnd.bnportugal.gov.pt/viewer/14628/?offset=#page=301&amp;viewer=picture&amp;o=info&amp;n=0&amp;q=</v>
      </c>
      <c r="K796" s="45"/>
      <c r="L796" s="45"/>
      <c r="M796" s="45"/>
      <c r="N796" t="s">
        <v>558</v>
      </c>
      <c r="O796">
        <v>14628</v>
      </c>
      <c r="P796" t="str">
        <f t="shared" si="38"/>
        <v>https://permalinkbnd.bnportugal.gov.pt/viewer/14628/?offset=#page=301&amp;viewer=picture&amp;o=info&amp;n=0&amp;q=</v>
      </c>
      <c r="Q796">
        <v>381189</v>
      </c>
      <c r="R796" t="s">
        <v>558</v>
      </c>
      <c r="S796" t="s">
        <v>3389</v>
      </c>
      <c r="T796" t="s">
        <v>1178</v>
      </c>
      <c r="U796" t="s">
        <v>1192</v>
      </c>
      <c r="V796" t="s">
        <v>599</v>
      </c>
      <c r="W796" t="s">
        <v>3390</v>
      </c>
      <c r="X796" t="s">
        <v>3391</v>
      </c>
      <c r="Y796" t="s">
        <v>599</v>
      </c>
      <c r="Z796" t="s">
        <v>1182</v>
      </c>
      <c r="AA796" t="s">
        <v>3392</v>
      </c>
      <c r="AB796">
        <v>1880</v>
      </c>
      <c r="AC796">
        <v>1880</v>
      </c>
      <c r="AD796" t="s">
        <v>3393</v>
      </c>
      <c r="AE796" t="s">
        <v>1185</v>
      </c>
      <c r="AF796" t="s">
        <v>599</v>
      </c>
      <c r="AG796" t="s">
        <v>3394</v>
      </c>
      <c r="AH796" t="s">
        <v>3395</v>
      </c>
      <c r="AI796" t="s">
        <v>599</v>
      </c>
      <c r="AJ796" t="s">
        <v>3396</v>
      </c>
      <c r="AK796" t="s">
        <v>3397</v>
      </c>
      <c r="AL796" t="s">
        <v>599</v>
      </c>
      <c r="AM796" t="s">
        <v>3398</v>
      </c>
      <c r="AN796" t="s">
        <v>1190</v>
      </c>
      <c r="AO796" t="s">
        <v>599</v>
      </c>
      <c r="AP796" t="s">
        <v>599</v>
      </c>
      <c r="AQ796" t="s">
        <v>3399</v>
      </c>
      <c r="AR796" t="s">
        <v>599</v>
      </c>
      <c r="AS796" t="s">
        <v>599</v>
      </c>
      <c r="AT796" t="s">
        <v>599</v>
      </c>
      <c r="AU796" t="s">
        <v>599</v>
      </c>
    </row>
    <row r="797" spans="1:47" ht="210" x14ac:dyDescent="0.25">
      <c r="A797" s="2">
        <v>12252</v>
      </c>
      <c r="B797" s="10">
        <v>381189</v>
      </c>
      <c r="C797" s="10">
        <v>1</v>
      </c>
      <c r="D797" s="9">
        <v>311</v>
      </c>
      <c r="E797" s="11" t="s">
        <v>558</v>
      </c>
      <c r="F797" s="11" t="str">
        <f t="shared" si="36"/>
        <v>https://purl.pt/19851</v>
      </c>
      <c r="G797" s="12" t="s">
        <v>559</v>
      </c>
      <c r="H797" s="9" t="s">
        <v>560</v>
      </c>
      <c r="I797" s="34"/>
      <c r="J797" s="55" t="str">
        <f t="shared" si="37"/>
        <v>https://permalinkbnd.bnportugal.gov.pt/viewer/14628/?offset=#page=311&amp;viewer=picture&amp;o=info&amp;n=0&amp;q=</v>
      </c>
      <c r="K797" s="45"/>
      <c r="L797" s="45"/>
      <c r="M797" s="45"/>
      <c r="N797" t="s">
        <v>558</v>
      </c>
      <c r="O797">
        <v>14628</v>
      </c>
      <c r="P797" t="str">
        <f t="shared" si="38"/>
        <v>https://permalinkbnd.bnportugal.gov.pt/viewer/14628/?offset=#page=311&amp;viewer=picture&amp;o=info&amp;n=0&amp;q=</v>
      </c>
      <c r="Q797">
        <v>381189</v>
      </c>
      <c r="R797" t="s">
        <v>558</v>
      </c>
      <c r="S797" t="s">
        <v>3389</v>
      </c>
      <c r="T797" t="s">
        <v>1178</v>
      </c>
      <c r="U797" t="s">
        <v>1192</v>
      </c>
      <c r="V797" t="s">
        <v>599</v>
      </c>
      <c r="W797" t="s">
        <v>3390</v>
      </c>
      <c r="X797" t="s">
        <v>3391</v>
      </c>
      <c r="Y797" t="s">
        <v>599</v>
      </c>
      <c r="Z797" t="s">
        <v>1182</v>
      </c>
      <c r="AA797" t="s">
        <v>3392</v>
      </c>
      <c r="AB797">
        <v>1880</v>
      </c>
      <c r="AC797">
        <v>1880</v>
      </c>
      <c r="AD797" t="s">
        <v>3393</v>
      </c>
      <c r="AE797" t="s">
        <v>1185</v>
      </c>
      <c r="AF797" t="s">
        <v>599</v>
      </c>
      <c r="AG797" t="s">
        <v>3394</v>
      </c>
      <c r="AH797" t="s">
        <v>3395</v>
      </c>
      <c r="AI797" t="s">
        <v>599</v>
      </c>
      <c r="AJ797" t="s">
        <v>3396</v>
      </c>
      <c r="AK797" t="s">
        <v>3397</v>
      </c>
      <c r="AL797" t="s">
        <v>599</v>
      </c>
      <c r="AM797" t="s">
        <v>3398</v>
      </c>
      <c r="AN797" t="s">
        <v>1190</v>
      </c>
      <c r="AO797" t="s">
        <v>599</v>
      </c>
      <c r="AP797" t="s">
        <v>599</v>
      </c>
      <c r="AQ797" t="s">
        <v>3399</v>
      </c>
      <c r="AR797" t="s">
        <v>599</v>
      </c>
      <c r="AS797" t="s">
        <v>599</v>
      </c>
      <c r="AT797" t="s">
        <v>599</v>
      </c>
      <c r="AU797" t="s">
        <v>599</v>
      </c>
    </row>
    <row r="798" spans="1:47" ht="210" x14ac:dyDescent="0.25">
      <c r="A798" s="2">
        <v>12253</v>
      </c>
      <c r="B798" s="10">
        <v>381189</v>
      </c>
      <c r="C798" s="10">
        <v>1</v>
      </c>
      <c r="D798" s="9">
        <v>334</v>
      </c>
      <c r="E798" s="11" t="s">
        <v>558</v>
      </c>
      <c r="F798" s="11" t="str">
        <f t="shared" si="36"/>
        <v>https://purl.pt/19851</v>
      </c>
      <c r="G798" s="12" t="s">
        <v>559</v>
      </c>
      <c r="H798" s="9" t="s">
        <v>560</v>
      </c>
      <c r="I798" s="34"/>
      <c r="J798" s="55" t="str">
        <f t="shared" si="37"/>
        <v>https://permalinkbnd.bnportugal.gov.pt/viewer/14628/?offset=#page=334&amp;viewer=picture&amp;o=info&amp;n=0&amp;q=</v>
      </c>
      <c r="K798" s="45"/>
      <c r="L798" s="45"/>
      <c r="M798" s="45"/>
      <c r="N798" t="s">
        <v>558</v>
      </c>
      <c r="O798">
        <v>14628</v>
      </c>
      <c r="P798" t="str">
        <f t="shared" si="38"/>
        <v>https://permalinkbnd.bnportugal.gov.pt/viewer/14628/?offset=#page=334&amp;viewer=picture&amp;o=info&amp;n=0&amp;q=</v>
      </c>
      <c r="Q798">
        <v>381189</v>
      </c>
      <c r="R798" t="s">
        <v>558</v>
      </c>
      <c r="S798" t="s">
        <v>3389</v>
      </c>
      <c r="T798" t="s">
        <v>1178</v>
      </c>
      <c r="U798" t="s">
        <v>1192</v>
      </c>
      <c r="V798" t="s">
        <v>599</v>
      </c>
      <c r="W798" t="s">
        <v>3390</v>
      </c>
      <c r="X798" t="s">
        <v>3391</v>
      </c>
      <c r="Y798" t="s">
        <v>599</v>
      </c>
      <c r="Z798" t="s">
        <v>1182</v>
      </c>
      <c r="AA798" t="s">
        <v>3392</v>
      </c>
      <c r="AB798">
        <v>1880</v>
      </c>
      <c r="AC798">
        <v>1880</v>
      </c>
      <c r="AD798" t="s">
        <v>3393</v>
      </c>
      <c r="AE798" t="s">
        <v>1185</v>
      </c>
      <c r="AF798" t="s">
        <v>599</v>
      </c>
      <c r="AG798" t="s">
        <v>3394</v>
      </c>
      <c r="AH798" t="s">
        <v>3395</v>
      </c>
      <c r="AI798" t="s">
        <v>599</v>
      </c>
      <c r="AJ798" t="s">
        <v>3396</v>
      </c>
      <c r="AK798" t="s">
        <v>3397</v>
      </c>
      <c r="AL798" t="s">
        <v>599</v>
      </c>
      <c r="AM798" t="s">
        <v>3398</v>
      </c>
      <c r="AN798" t="s">
        <v>1190</v>
      </c>
      <c r="AO798" t="s">
        <v>599</v>
      </c>
      <c r="AP798" t="s">
        <v>599</v>
      </c>
      <c r="AQ798" t="s">
        <v>3399</v>
      </c>
      <c r="AR798" t="s">
        <v>599</v>
      </c>
      <c r="AS798" t="s">
        <v>599</v>
      </c>
      <c r="AT798" t="s">
        <v>599</v>
      </c>
      <c r="AU798" t="s">
        <v>599</v>
      </c>
    </row>
    <row r="799" spans="1:47" ht="210" x14ac:dyDescent="0.25">
      <c r="A799" s="2">
        <v>12254</v>
      </c>
      <c r="B799" s="10">
        <v>381189</v>
      </c>
      <c r="C799" s="10">
        <v>1</v>
      </c>
      <c r="D799" s="9">
        <v>340</v>
      </c>
      <c r="E799" s="11" t="s">
        <v>558</v>
      </c>
      <c r="F799" s="11" t="str">
        <f t="shared" si="36"/>
        <v>https://purl.pt/19851</v>
      </c>
      <c r="G799" s="12" t="s">
        <v>559</v>
      </c>
      <c r="H799" s="9" t="s">
        <v>560</v>
      </c>
      <c r="I799" s="34"/>
      <c r="J799" s="55" t="str">
        <f t="shared" si="37"/>
        <v>https://permalinkbnd.bnportugal.gov.pt/viewer/14628/?offset=#page=340&amp;viewer=picture&amp;o=info&amp;n=0&amp;q=</v>
      </c>
      <c r="K799" s="45"/>
      <c r="L799" s="45"/>
      <c r="M799" s="45"/>
      <c r="N799" t="s">
        <v>558</v>
      </c>
      <c r="O799">
        <v>14628</v>
      </c>
      <c r="P799" t="str">
        <f t="shared" si="38"/>
        <v>https://permalinkbnd.bnportugal.gov.pt/viewer/14628/?offset=#page=340&amp;viewer=picture&amp;o=info&amp;n=0&amp;q=</v>
      </c>
      <c r="Q799">
        <v>381189</v>
      </c>
      <c r="R799" t="s">
        <v>558</v>
      </c>
      <c r="S799" t="s">
        <v>3389</v>
      </c>
      <c r="T799" t="s">
        <v>1178</v>
      </c>
      <c r="U799" t="s">
        <v>1192</v>
      </c>
      <c r="V799" t="s">
        <v>599</v>
      </c>
      <c r="W799" t="s">
        <v>3390</v>
      </c>
      <c r="X799" t="s">
        <v>3391</v>
      </c>
      <c r="Y799" t="s">
        <v>599</v>
      </c>
      <c r="Z799" t="s">
        <v>1182</v>
      </c>
      <c r="AA799" t="s">
        <v>3392</v>
      </c>
      <c r="AB799">
        <v>1880</v>
      </c>
      <c r="AC799">
        <v>1880</v>
      </c>
      <c r="AD799" t="s">
        <v>3393</v>
      </c>
      <c r="AE799" t="s">
        <v>1185</v>
      </c>
      <c r="AF799" t="s">
        <v>599</v>
      </c>
      <c r="AG799" t="s">
        <v>3394</v>
      </c>
      <c r="AH799" t="s">
        <v>3395</v>
      </c>
      <c r="AI799" t="s">
        <v>599</v>
      </c>
      <c r="AJ799" t="s">
        <v>3396</v>
      </c>
      <c r="AK799" t="s">
        <v>3397</v>
      </c>
      <c r="AL799" t="s">
        <v>599</v>
      </c>
      <c r="AM799" t="s">
        <v>3398</v>
      </c>
      <c r="AN799" t="s">
        <v>1190</v>
      </c>
      <c r="AO799" t="s">
        <v>599</v>
      </c>
      <c r="AP799" t="s">
        <v>599</v>
      </c>
      <c r="AQ799" t="s">
        <v>3399</v>
      </c>
      <c r="AR799" t="s">
        <v>599</v>
      </c>
      <c r="AS799" t="s">
        <v>599</v>
      </c>
      <c r="AT799" t="s">
        <v>599</v>
      </c>
      <c r="AU799" t="s">
        <v>599</v>
      </c>
    </row>
    <row r="800" spans="1:47" ht="210" x14ac:dyDescent="0.25">
      <c r="A800" s="2">
        <v>12255</v>
      </c>
      <c r="B800" s="10">
        <v>381189</v>
      </c>
      <c r="C800" s="10">
        <v>1</v>
      </c>
      <c r="D800" s="9">
        <v>342</v>
      </c>
      <c r="E800" s="11" t="s">
        <v>558</v>
      </c>
      <c r="F800" s="11" t="str">
        <f t="shared" si="36"/>
        <v>https://purl.pt/19851</v>
      </c>
      <c r="G800" s="12" t="s">
        <v>559</v>
      </c>
      <c r="H800" s="9" t="s">
        <v>560</v>
      </c>
      <c r="I800" s="34"/>
      <c r="J800" s="55" t="str">
        <f t="shared" si="37"/>
        <v>https://permalinkbnd.bnportugal.gov.pt/viewer/14628/?offset=#page=342&amp;viewer=picture&amp;o=info&amp;n=0&amp;q=</v>
      </c>
      <c r="K800" s="45"/>
      <c r="L800" s="45"/>
      <c r="M800" s="45"/>
      <c r="N800" t="s">
        <v>558</v>
      </c>
      <c r="O800">
        <v>14628</v>
      </c>
      <c r="P800" t="str">
        <f t="shared" si="38"/>
        <v>https://permalinkbnd.bnportugal.gov.pt/viewer/14628/?offset=#page=342&amp;viewer=picture&amp;o=info&amp;n=0&amp;q=</v>
      </c>
      <c r="Q800">
        <v>381189</v>
      </c>
      <c r="R800" t="s">
        <v>558</v>
      </c>
      <c r="S800" t="s">
        <v>3389</v>
      </c>
      <c r="T800" t="s">
        <v>1178</v>
      </c>
      <c r="U800" t="s">
        <v>1192</v>
      </c>
      <c r="V800" t="s">
        <v>599</v>
      </c>
      <c r="W800" t="s">
        <v>3390</v>
      </c>
      <c r="X800" t="s">
        <v>3391</v>
      </c>
      <c r="Y800" t="s">
        <v>599</v>
      </c>
      <c r="Z800" t="s">
        <v>1182</v>
      </c>
      <c r="AA800" t="s">
        <v>3392</v>
      </c>
      <c r="AB800">
        <v>1880</v>
      </c>
      <c r="AC800">
        <v>1880</v>
      </c>
      <c r="AD800" t="s">
        <v>3393</v>
      </c>
      <c r="AE800" t="s">
        <v>1185</v>
      </c>
      <c r="AF800" t="s">
        <v>599</v>
      </c>
      <c r="AG800" t="s">
        <v>3394</v>
      </c>
      <c r="AH800" t="s">
        <v>3395</v>
      </c>
      <c r="AI800" t="s">
        <v>599</v>
      </c>
      <c r="AJ800" t="s">
        <v>3396</v>
      </c>
      <c r="AK800" t="s">
        <v>3397</v>
      </c>
      <c r="AL800" t="s">
        <v>599</v>
      </c>
      <c r="AM800" t="s">
        <v>3398</v>
      </c>
      <c r="AN800" t="s">
        <v>1190</v>
      </c>
      <c r="AO800" t="s">
        <v>599</v>
      </c>
      <c r="AP800" t="s">
        <v>599</v>
      </c>
      <c r="AQ800" t="s">
        <v>3399</v>
      </c>
      <c r="AR800" t="s">
        <v>599</v>
      </c>
      <c r="AS800" t="s">
        <v>599</v>
      </c>
      <c r="AT800" t="s">
        <v>599</v>
      </c>
      <c r="AU800" t="s">
        <v>599</v>
      </c>
    </row>
    <row r="801" spans="1:47" ht="210" x14ac:dyDescent="0.25">
      <c r="A801" s="2">
        <v>12256</v>
      </c>
      <c r="B801" s="10">
        <v>381189</v>
      </c>
      <c r="C801" s="10">
        <v>1</v>
      </c>
      <c r="D801" s="9">
        <v>357</v>
      </c>
      <c r="E801" s="11" t="s">
        <v>558</v>
      </c>
      <c r="F801" s="11" t="str">
        <f t="shared" si="36"/>
        <v>https://purl.pt/19851</v>
      </c>
      <c r="G801" s="12" t="s">
        <v>559</v>
      </c>
      <c r="H801" s="9" t="s">
        <v>560</v>
      </c>
      <c r="I801" s="34"/>
      <c r="J801" s="55" t="str">
        <f t="shared" si="37"/>
        <v>https://permalinkbnd.bnportugal.gov.pt/viewer/14628/?offset=#page=357&amp;viewer=picture&amp;o=info&amp;n=0&amp;q=</v>
      </c>
      <c r="K801" s="45"/>
      <c r="L801" s="45"/>
      <c r="M801" s="45"/>
      <c r="N801" t="s">
        <v>558</v>
      </c>
      <c r="O801">
        <v>14628</v>
      </c>
      <c r="P801" t="str">
        <f t="shared" si="38"/>
        <v>https://permalinkbnd.bnportugal.gov.pt/viewer/14628/?offset=#page=357&amp;viewer=picture&amp;o=info&amp;n=0&amp;q=</v>
      </c>
      <c r="Q801">
        <v>381189</v>
      </c>
      <c r="R801" t="s">
        <v>558</v>
      </c>
      <c r="S801" t="s">
        <v>3389</v>
      </c>
      <c r="T801" t="s">
        <v>1178</v>
      </c>
      <c r="U801" t="s">
        <v>1192</v>
      </c>
      <c r="V801" t="s">
        <v>599</v>
      </c>
      <c r="W801" t="s">
        <v>3390</v>
      </c>
      <c r="X801" t="s">
        <v>3391</v>
      </c>
      <c r="Y801" t="s">
        <v>599</v>
      </c>
      <c r="Z801" t="s">
        <v>1182</v>
      </c>
      <c r="AA801" t="s">
        <v>3392</v>
      </c>
      <c r="AB801">
        <v>1880</v>
      </c>
      <c r="AC801">
        <v>1880</v>
      </c>
      <c r="AD801" t="s">
        <v>3393</v>
      </c>
      <c r="AE801" t="s">
        <v>1185</v>
      </c>
      <c r="AF801" t="s">
        <v>599</v>
      </c>
      <c r="AG801" t="s">
        <v>3394</v>
      </c>
      <c r="AH801" t="s">
        <v>3395</v>
      </c>
      <c r="AI801" t="s">
        <v>599</v>
      </c>
      <c r="AJ801" t="s">
        <v>3396</v>
      </c>
      <c r="AK801" t="s">
        <v>3397</v>
      </c>
      <c r="AL801" t="s">
        <v>599</v>
      </c>
      <c r="AM801" t="s">
        <v>3398</v>
      </c>
      <c r="AN801" t="s">
        <v>1190</v>
      </c>
      <c r="AO801" t="s">
        <v>599</v>
      </c>
      <c r="AP801" t="s">
        <v>599</v>
      </c>
      <c r="AQ801" t="s">
        <v>3399</v>
      </c>
      <c r="AR801" t="s">
        <v>599</v>
      </c>
      <c r="AS801" t="s">
        <v>599</v>
      </c>
      <c r="AT801" t="s">
        <v>599</v>
      </c>
      <c r="AU801" t="s">
        <v>599</v>
      </c>
    </row>
    <row r="802" spans="1:47" ht="210" x14ac:dyDescent="0.25">
      <c r="A802" s="2">
        <v>12257</v>
      </c>
      <c r="B802" s="10">
        <v>381189</v>
      </c>
      <c r="C802" s="10">
        <v>1</v>
      </c>
      <c r="D802" s="9">
        <v>371</v>
      </c>
      <c r="E802" s="11" t="s">
        <v>558</v>
      </c>
      <c r="F802" s="11" t="str">
        <f t="shared" si="36"/>
        <v>https://purl.pt/19851</v>
      </c>
      <c r="G802" s="12" t="s">
        <v>559</v>
      </c>
      <c r="H802" s="9" t="s">
        <v>560</v>
      </c>
      <c r="I802" s="34"/>
      <c r="J802" s="55" t="str">
        <f t="shared" si="37"/>
        <v>https://permalinkbnd.bnportugal.gov.pt/viewer/14628/?offset=#page=371&amp;viewer=picture&amp;o=info&amp;n=0&amp;q=</v>
      </c>
      <c r="K802" s="45"/>
      <c r="L802" s="45"/>
      <c r="M802" s="45"/>
      <c r="N802" t="s">
        <v>558</v>
      </c>
      <c r="O802">
        <v>14628</v>
      </c>
      <c r="P802" t="str">
        <f t="shared" si="38"/>
        <v>https://permalinkbnd.bnportugal.gov.pt/viewer/14628/?offset=#page=371&amp;viewer=picture&amp;o=info&amp;n=0&amp;q=</v>
      </c>
      <c r="Q802">
        <v>381189</v>
      </c>
      <c r="R802" t="s">
        <v>558</v>
      </c>
      <c r="S802" t="s">
        <v>3389</v>
      </c>
      <c r="T802" t="s">
        <v>1178</v>
      </c>
      <c r="U802" t="s">
        <v>1192</v>
      </c>
      <c r="V802" t="s">
        <v>599</v>
      </c>
      <c r="W802" t="s">
        <v>3390</v>
      </c>
      <c r="X802" t="s">
        <v>3391</v>
      </c>
      <c r="Y802" t="s">
        <v>599</v>
      </c>
      <c r="Z802" t="s">
        <v>1182</v>
      </c>
      <c r="AA802" t="s">
        <v>3392</v>
      </c>
      <c r="AB802">
        <v>1880</v>
      </c>
      <c r="AC802">
        <v>1880</v>
      </c>
      <c r="AD802" t="s">
        <v>3393</v>
      </c>
      <c r="AE802" t="s">
        <v>1185</v>
      </c>
      <c r="AF802" t="s">
        <v>599</v>
      </c>
      <c r="AG802" t="s">
        <v>3394</v>
      </c>
      <c r="AH802" t="s">
        <v>3395</v>
      </c>
      <c r="AI802" t="s">
        <v>599</v>
      </c>
      <c r="AJ802" t="s">
        <v>3396</v>
      </c>
      <c r="AK802" t="s">
        <v>3397</v>
      </c>
      <c r="AL802" t="s">
        <v>599</v>
      </c>
      <c r="AM802" t="s">
        <v>3398</v>
      </c>
      <c r="AN802" t="s">
        <v>1190</v>
      </c>
      <c r="AO802" t="s">
        <v>599</v>
      </c>
      <c r="AP802" t="s">
        <v>599</v>
      </c>
      <c r="AQ802" t="s">
        <v>3399</v>
      </c>
      <c r="AR802" t="s">
        <v>599</v>
      </c>
      <c r="AS802" t="s">
        <v>599</v>
      </c>
      <c r="AT802" t="s">
        <v>599</v>
      </c>
      <c r="AU802" t="s">
        <v>599</v>
      </c>
    </row>
    <row r="803" spans="1:47" ht="210" x14ac:dyDescent="0.25">
      <c r="A803" s="2">
        <v>12258</v>
      </c>
      <c r="B803" s="10">
        <v>381189</v>
      </c>
      <c r="C803" s="10">
        <v>1</v>
      </c>
      <c r="D803" s="9">
        <v>377</v>
      </c>
      <c r="E803" s="11" t="s">
        <v>558</v>
      </c>
      <c r="F803" s="11" t="str">
        <f t="shared" si="36"/>
        <v>https://purl.pt/19851</v>
      </c>
      <c r="G803" s="12" t="s">
        <v>559</v>
      </c>
      <c r="H803" s="9" t="s">
        <v>560</v>
      </c>
      <c r="I803" s="34"/>
      <c r="J803" s="55" t="str">
        <f t="shared" si="37"/>
        <v>https://permalinkbnd.bnportugal.gov.pt/viewer/14628/?offset=#page=377&amp;viewer=picture&amp;o=info&amp;n=0&amp;q=</v>
      </c>
      <c r="K803" s="45"/>
      <c r="L803" s="45"/>
      <c r="M803" s="45"/>
      <c r="N803" t="s">
        <v>558</v>
      </c>
      <c r="O803">
        <v>14628</v>
      </c>
      <c r="P803" t="str">
        <f t="shared" si="38"/>
        <v>https://permalinkbnd.bnportugal.gov.pt/viewer/14628/?offset=#page=377&amp;viewer=picture&amp;o=info&amp;n=0&amp;q=</v>
      </c>
      <c r="Q803">
        <v>381189</v>
      </c>
      <c r="R803" t="s">
        <v>558</v>
      </c>
      <c r="S803" t="s">
        <v>3389</v>
      </c>
      <c r="T803" t="s">
        <v>1178</v>
      </c>
      <c r="U803" t="s">
        <v>1192</v>
      </c>
      <c r="V803" t="s">
        <v>599</v>
      </c>
      <c r="W803" t="s">
        <v>3390</v>
      </c>
      <c r="X803" t="s">
        <v>3391</v>
      </c>
      <c r="Y803" t="s">
        <v>599</v>
      </c>
      <c r="Z803" t="s">
        <v>1182</v>
      </c>
      <c r="AA803" t="s">
        <v>3392</v>
      </c>
      <c r="AB803">
        <v>1880</v>
      </c>
      <c r="AC803">
        <v>1880</v>
      </c>
      <c r="AD803" t="s">
        <v>3393</v>
      </c>
      <c r="AE803" t="s">
        <v>1185</v>
      </c>
      <c r="AF803" t="s">
        <v>599</v>
      </c>
      <c r="AG803" t="s">
        <v>3394</v>
      </c>
      <c r="AH803" t="s">
        <v>3395</v>
      </c>
      <c r="AI803" t="s">
        <v>599</v>
      </c>
      <c r="AJ803" t="s">
        <v>3396</v>
      </c>
      <c r="AK803" t="s">
        <v>3397</v>
      </c>
      <c r="AL803" t="s">
        <v>599</v>
      </c>
      <c r="AM803" t="s">
        <v>3398</v>
      </c>
      <c r="AN803" t="s">
        <v>1190</v>
      </c>
      <c r="AO803" t="s">
        <v>599</v>
      </c>
      <c r="AP803" t="s">
        <v>599</v>
      </c>
      <c r="AQ803" t="s">
        <v>3399</v>
      </c>
      <c r="AR803" t="s">
        <v>599</v>
      </c>
      <c r="AS803" t="s">
        <v>599</v>
      </c>
      <c r="AT803" t="s">
        <v>599</v>
      </c>
      <c r="AU803" t="s">
        <v>599</v>
      </c>
    </row>
    <row r="804" spans="1:47" ht="210" x14ac:dyDescent="0.25">
      <c r="A804" s="2">
        <v>12259</v>
      </c>
      <c r="B804" s="10">
        <v>381189</v>
      </c>
      <c r="C804" s="10">
        <v>1</v>
      </c>
      <c r="D804" s="9">
        <v>379</v>
      </c>
      <c r="E804" s="11" t="s">
        <v>558</v>
      </c>
      <c r="F804" s="11" t="str">
        <f t="shared" si="36"/>
        <v>https://purl.pt/19851</v>
      </c>
      <c r="G804" s="12" t="s">
        <v>559</v>
      </c>
      <c r="H804" s="9" t="s">
        <v>560</v>
      </c>
      <c r="I804" s="34"/>
      <c r="J804" s="55" t="str">
        <f t="shared" si="37"/>
        <v>https://permalinkbnd.bnportugal.gov.pt/viewer/14628/?offset=#page=379&amp;viewer=picture&amp;o=info&amp;n=0&amp;q=</v>
      </c>
      <c r="K804" s="45"/>
      <c r="L804" s="45"/>
      <c r="M804" s="45"/>
      <c r="N804" t="s">
        <v>558</v>
      </c>
      <c r="O804">
        <v>14628</v>
      </c>
      <c r="P804" t="str">
        <f t="shared" si="38"/>
        <v>https://permalinkbnd.bnportugal.gov.pt/viewer/14628/?offset=#page=379&amp;viewer=picture&amp;o=info&amp;n=0&amp;q=</v>
      </c>
      <c r="Q804">
        <v>381189</v>
      </c>
      <c r="R804" t="s">
        <v>558</v>
      </c>
      <c r="S804" t="s">
        <v>3389</v>
      </c>
      <c r="T804" t="s">
        <v>1178</v>
      </c>
      <c r="U804" t="s">
        <v>1192</v>
      </c>
      <c r="V804" t="s">
        <v>599</v>
      </c>
      <c r="W804" t="s">
        <v>3390</v>
      </c>
      <c r="X804" t="s">
        <v>3391</v>
      </c>
      <c r="Y804" t="s">
        <v>599</v>
      </c>
      <c r="Z804" t="s">
        <v>1182</v>
      </c>
      <c r="AA804" t="s">
        <v>3392</v>
      </c>
      <c r="AB804">
        <v>1880</v>
      </c>
      <c r="AC804">
        <v>1880</v>
      </c>
      <c r="AD804" t="s">
        <v>3393</v>
      </c>
      <c r="AE804" t="s">
        <v>1185</v>
      </c>
      <c r="AF804" t="s">
        <v>599</v>
      </c>
      <c r="AG804" t="s">
        <v>3394</v>
      </c>
      <c r="AH804" t="s">
        <v>3395</v>
      </c>
      <c r="AI804" t="s">
        <v>599</v>
      </c>
      <c r="AJ804" t="s">
        <v>3396</v>
      </c>
      <c r="AK804" t="s">
        <v>3397</v>
      </c>
      <c r="AL804" t="s">
        <v>599</v>
      </c>
      <c r="AM804" t="s">
        <v>3398</v>
      </c>
      <c r="AN804" t="s">
        <v>1190</v>
      </c>
      <c r="AO804" t="s">
        <v>599</v>
      </c>
      <c r="AP804" t="s">
        <v>599</v>
      </c>
      <c r="AQ804" t="s">
        <v>3399</v>
      </c>
      <c r="AR804" t="s">
        <v>599</v>
      </c>
      <c r="AS804" t="s">
        <v>599</v>
      </c>
      <c r="AT804" t="s">
        <v>599</v>
      </c>
      <c r="AU804" t="s">
        <v>599</v>
      </c>
    </row>
    <row r="805" spans="1:47" ht="210" x14ac:dyDescent="0.25">
      <c r="A805" s="2">
        <v>12260</v>
      </c>
      <c r="B805" s="10">
        <v>381189</v>
      </c>
      <c r="C805" s="10">
        <v>1</v>
      </c>
      <c r="D805" s="9">
        <v>381</v>
      </c>
      <c r="E805" s="11" t="s">
        <v>558</v>
      </c>
      <c r="F805" s="11" t="str">
        <f t="shared" si="36"/>
        <v>https://purl.pt/19851</v>
      </c>
      <c r="G805" s="12" t="s">
        <v>559</v>
      </c>
      <c r="H805" s="9" t="s">
        <v>560</v>
      </c>
      <c r="I805" s="34"/>
      <c r="J805" s="55" t="str">
        <f t="shared" si="37"/>
        <v>https://permalinkbnd.bnportugal.gov.pt/viewer/14628/?offset=#page=381&amp;viewer=picture&amp;o=info&amp;n=0&amp;q=</v>
      </c>
      <c r="K805" s="45"/>
      <c r="L805" s="45"/>
      <c r="M805" s="45"/>
      <c r="N805" t="s">
        <v>558</v>
      </c>
      <c r="O805">
        <v>14628</v>
      </c>
      <c r="P805" t="str">
        <f t="shared" si="38"/>
        <v>https://permalinkbnd.bnportugal.gov.pt/viewer/14628/?offset=#page=381&amp;viewer=picture&amp;o=info&amp;n=0&amp;q=</v>
      </c>
      <c r="Q805">
        <v>381189</v>
      </c>
      <c r="R805" t="s">
        <v>558</v>
      </c>
      <c r="S805" t="s">
        <v>3389</v>
      </c>
      <c r="T805" t="s">
        <v>1178</v>
      </c>
      <c r="U805" t="s">
        <v>1192</v>
      </c>
      <c r="V805" t="s">
        <v>599</v>
      </c>
      <c r="W805" t="s">
        <v>3390</v>
      </c>
      <c r="X805" t="s">
        <v>3391</v>
      </c>
      <c r="Y805" t="s">
        <v>599</v>
      </c>
      <c r="Z805" t="s">
        <v>1182</v>
      </c>
      <c r="AA805" t="s">
        <v>3392</v>
      </c>
      <c r="AB805">
        <v>1880</v>
      </c>
      <c r="AC805">
        <v>1880</v>
      </c>
      <c r="AD805" t="s">
        <v>3393</v>
      </c>
      <c r="AE805" t="s">
        <v>1185</v>
      </c>
      <c r="AF805" t="s">
        <v>599</v>
      </c>
      <c r="AG805" t="s">
        <v>3394</v>
      </c>
      <c r="AH805" t="s">
        <v>3395</v>
      </c>
      <c r="AI805" t="s">
        <v>599</v>
      </c>
      <c r="AJ805" t="s">
        <v>3396</v>
      </c>
      <c r="AK805" t="s">
        <v>3397</v>
      </c>
      <c r="AL805" t="s">
        <v>599</v>
      </c>
      <c r="AM805" t="s">
        <v>3398</v>
      </c>
      <c r="AN805" t="s">
        <v>1190</v>
      </c>
      <c r="AO805" t="s">
        <v>599</v>
      </c>
      <c r="AP805" t="s">
        <v>599</v>
      </c>
      <c r="AQ805" t="s">
        <v>3399</v>
      </c>
      <c r="AR805" t="s">
        <v>599</v>
      </c>
      <c r="AS805" t="s">
        <v>599</v>
      </c>
      <c r="AT805" t="s">
        <v>599</v>
      </c>
      <c r="AU805" t="s">
        <v>599</v>
      </c>
    </row>
    <row r="806" spans="1:47" ht="210" x14ac:dyDescent="0.25">
      <c r="A806" s="2">
        <v>12261</v>
      </c>
      <c r="B806" s="10">
        <v>381189</v>
      </c>
      <c r="C806" s="10">
        <v>1</v>
      </c>
      <c r="D806" s="9">
        <v>402</v>
      </c>
      <c r="E806" s="11" t="s">
        <v>558</v>
      </c>
      <c r="F806" s="11" t="str">
        <f t="shared" si="36"/>
        <v>https://purl.pt/19851</v>
      </c>
      <c r="G806" s="12" t="s">
        <v>559</v>
      </c>
      <c r="H806" s="9" t="s">
        <v>560</v>
      </c>
      <c r="I806" s="34"/>
      <c r="J806" s="55" t="str">
        <f t="shared" si="37"/>
        <v>https://permalinkbnd.bnportugal.gov.pt/viewer/14628/?offset=#page=402&amp;viewer=picture&amp;o=info&amp;n=0&amp;q=</v>
      </c>
      <c r="K806" s="45"/>
      <c r="L806" s="45"/>
      <c r="M806" s="45"/>
      <c r="N806" t="s">
        <v>558</v>
      </c>
      <c r="O806">
        <v>14628</v>
      </c>
      <c r="P806" t="str">
        <f t="shared" si="38"/>
        <v>https://permalinkbnd.bnportugal.gov.pt/viewer/14628/?offset=#page=402&amp;viewer=picture&amp;o=info&amp;n=0&amp;q=</v>
      </c>
      <c r="Q806">
        <v>381189</v>
      </c>
      <c r="R806" t="s">
        <v>558</v>
      </c>
      <c r="S806" t="s">
        <v>3389</v>
      </c>
      <c r="T806" t="s">
        <v>1178</v>
      </c>
      <c r="U806" t="s">
        <v>1192</v>
      </c>
      <c r="V806" t="s">
        <v>599</v>
      </c>
      <c r="W806" t="s">
        <v>3390</v>
      </c>
      <c r="X806" t="s">
        <v>3391</v>
      </c>
      <c r="Y806" t="s">
        <v>599</v>
      </c>
      <c r="Z806" t="s">
        <v>1182</v>
      </c>
      <c r="AA806" t="s">
        <v>3392</v>
      </c>
      <c r="AB806">
        <v>1880</v>
      </c>
      <c r="AC806">
        <v>1880</v>
      </c>
      <c r="AD806" t="s">
        <v>3393</v>
      </c>
      <c r="AE806" t="s">
        <v>1185</v>
      </c>
      <c r="AF806" t="s">
        <v>599</v>
      </c>
      <c r="AG806" t="s">
        <v>3394</v>
      </c>
      <c r="AH806" t="s">
        <v>3395</v>
      </c>
      <c r="AI806" t="s">
        <v>599</v>
      </c>
      <c r="AJ806" t="s">
        <v>3396</v>
      </c>
      <c r="AK806" t="s">
        <v>3397</v>
      </c>
      <c r="AL806" t="s">
        <v>599</v>
      </c>
      <c r="AM806" t="s">
        <v>3398</v>
      </c>
      <c r="AN806" t="s">
        <v>1190</v>
      </c>
      <c r="AO806" t="s">
        <v>599</v>
      </c>
      <c r="AP806" t="s">
        <v>599</v>
      </c>
      <c r="AQ806" t="s">
        <v>3399</v>
      </c>
      <c r="AR806" t="s">
        <v>599</v>
      </c>
      <c r="AS806" t="s">
        <v>599</v>
      </c>
      <c r="AT806" t="s">
        <v>599</v>
      </c>
      <c r="AU806" t="s">
        <v>599</v>
      </c>
    </row>
    <row r="807" spans="1:47" ht="210" x14ac:dyDescent="0.25">
      <c r="A807" s="2">
        <v>12262</v>
      </c>
      <c r="B807" s="10">
        <v>381189</v>
      </c>
      <c r="C807" s="10">
        <v>1</v>
      </c>
      <c r="D807" s="9">
        <v>418</v>
      </c>
      <c r="E807" s="11" t="s">
        <v>558</v>
      </c>
      <c r="F807" s="11" t="str">
        <f t="shared" si="36"/>
        <v>https://purl.pt/19851</v>
      </c>
      <c r="G807" s="12" t="s">
        <v>559</v>
      </c>
      <c r="H807" s="9" t="s">
        <v>560</v>
      </c>
      <c r="I807" s="34"/>
      <c r="J807" s="55" t="str">
        <f t="shared" si="37"/>
        <v>https://permalinkbnd.bnportugal.gov.pt/viewer/14628/?offset=#page=418&amp;viewer=picture&amp;o=info&amp;n=0&amp;q=</v>
      </c>
      <c r="K807" s="45"/>
      <c r="L807" s="45"/>
      <c r="M807" s="45"/>
      <c r="N807" t="s">
        <v>558</v>
      </c>
      <c r="O807">
        <v>14628</v>
      </c>
      <c r="P807" t="str">
        <f t="shared" si="38"/>
        <v>https://permalinkbnd.bnportugal.gov.pt/viewer/14628/?offset=#page=418&amp;viewer=picture&amp;o=info&amp;n=0&amp;q=</v>
      </c>
      <c r="Q807">
        <v>381189</v>
      </c>
      <c r="R807" t="s">
        <v>558</v>
      </c>
      <c r="S807" t="s">
        <v>3389</v>
      </c>
      <c r="T807" t="s">
        <v>1178</v>
      </c>
      <c r="U807" t="s">
        <v>1192</v>
      </c>
      <c r="V807" t="s">
        <v>599</v>
      </c>
      <c r="W807" t="s">
        <v>3390</v>
      </c>
      <c r="X807" t="s">
        <v>3391</v>
      </c>
      <c r="Y807" t="s">
        <v>599</v>
      </c>
      <c r="Z807" t="s">
        <v>1182</v>
      </c>
      <c r="AA807" t="s">
        <v>3392</v>
      </c>
      <c r="AB807">
        <v>1880</v>
      </c>
      <c r="AC807">
        <v>1880</v>
      </c>
      <c r="AD807" t="s">
        <v>3393</v>
      </c>
      <c r="AE807" t="s">
        <v>1185</v>
      </c>
      <c r="AF807" t="s">
        <v>599</v>
      </c>
      <c r="AG807" t="s">
        <v>3394</v>
      </c>
      <c r="AH807" t="s">
        <v>3395</v>
      </c>
      <c r="AI807" t="s">
        <v>599</v>
      </c>
      <c r="AJ807" t="s">
        <v>3396</v>
      </c>
      <c r="AK807" t="s">
        <v>3397</v>
      </c>
      <c r="AL807" t="s">
        <v>599</v>
      </c>
      <c r="AM807" t="s">
        <v>3398</v>
      </c>
      <c r="AN807" t="s">
        <v>1190</v>
      </c>
      <c r="AO807" t="s">
        <v>599</v>
      </c>
      <c r="AP807" t="s">
        <v>599</v>
      </c>
      <c r="AQ807" t="s">
        <v>3399</v>
      </c>
      <c r="AR807" t="s">
        <v>599</v>
      </c>
      <c r="AS807" t="s">
        <v>599</v>
      </c>
      <c r="AT807" t="s">
        <v>599</v>
      </c>
      <c r="AU807" t="s">
        <v>599</v>
      </c>
    </row>
    <row r="808" spans="1:47" ht="210" x14ac:dyDescent="0.25">
      <c r="A808" s="2">
        <v>12263</v>
      </c>
      <c r="B808" s="10">
        <v>381189</v>
      </c>
      <c r="C808" s="10">
        <v>1</v>
      </c>
      <c r="D808" s="9">
        <v>420</v>
      </c>
      <c r="E808" s="11" t="s">
        <v>558</v>
      </c>
      <c r="F808" s="11" t="str">
        <f t="shared" si="36"/>
        <v>https://purl.pt/19851</v>
      </c>
      <c r="G808" s="12" t="s">
        <v>559</v>
      </c>
      <c r="H808" s="9" t="s">
        <v>560</v>
      </c>
      <c r="I808" s="34"/>
      <c r="J808" s="55" t="str">
        <f t="shared" si="37"/>
        <v>https://permalinkbnd.bnportugal.gov.pt/viewer/14628/?offset=#page=420&amp;viewer=picture&amp;o=info&amp;n=0&amp;q=</v>
      </c>
      <c r="K808" s="45"/>
      <c r="L808" s="45"/>
      <c r="M808" s="45"/>
      <c r="N808" t="s">
        <v>558</v>
      </c>
      <c r="O808">
        <v>14628</v>
      </c>
      <c r="P808" t="str">
        <f t="shared" si="38"/>
        <v>https://permalinkbnd.bnportugal.gov.pt/viewer/14628/?offset=#page=420&amp;viewer=picture&amp;o=info&amp;n=0&amp;q=</v>
      </c>
      <c r="Q808">
        <v>381189</v>
      </c>
      <c r="R808" t="s">
        <v>558</v>
      </c>
      <c r="S808" t="s">
        <v>3389</v>
      </c>
      <c r="T808" t="s">
        <v>1178</v>
      </c>
      <c r="U808" t="s">
        <v>1192</v>
      </c>
      <c r="V808" t="s">
        <v>599</v>
      </c>
      <c r="W808" t="s">
        <v>3390</v>
      </c>
      <c r="X808" t="s">
        <v>3391</v>
      </c>
      <c r="Y808" t="s">
        <v>599</v>
      </c>
      <c r="Z808" t="s">
        <v>1182</v>
      </c>
      <c r="AA808" t="s">
        <v>3392</v>
      </c>
      <c r="AB808">
        <v>1880</v>
      </c>
      <c r="AC808">
        <v>1880</v>
      </c>
      <c r="AD808" t="s">
        <v>3393</v>
      </c>
      <c r="AE808" t="s">
        <v>1185</v>
      </c>
      <c r="AF808" t="s">
        <v>599</v>
      </c>
      <c r="AG808" t="s">
        <v>3394</v>
      </c>
      <c r="AH808" t="s">
        <v>3395</v>
      </c>
      <c r="AI808" t="s">
        <v>599</v>
      </c>
      <c r="AJ808" t="s">
        <v>3396</v>
      </c>
      <c r="AK808" t="s">
        <v>3397</v>
      </c>
      <c r="AL808" t="s">
        <v>599</v>
      </c>
      <c r="AM808" t="s">
        <v>3398</v>
      </c>
      <c r="AN808" t="s">
        <v>1190</v>
      </c>
      <c r="AO808" t="s">
        <v>599</v>
      </c>
      <c r="AP808" t="s">
        <v>599</v>
      </c>
      <c r="AQ808" t="s">
        <v>3399</v>
      </c>
      <c r="AR808" t="s">
        <v>599</v>
      </c>
      <c r="AS808" t="s">
        <v>599</v>
      </c>
      <c r="AT808" t="s">
        <v>599</v>
      </c>
      <c r="AU808" t="s">
        <v>599</v>
      </c>
    </row>
    <row r="809" spans="1:47" ht="210" x14ac:dyDescent="0.25">
      <c r="A809" s="2">
        <v>12264</v>
      </c>
      <c r="B809" s="10">
        <v>381189</v>
      </c>
      <c r="C809" s="10">
        <v>1</v>
      </c>
      <c r="D809" s="9">
        <v>436</v>
      </c>
      <c r="E809" s="11" t="s">
        <v>558</v>
      </c>
      <c r="F809" s="11" t="str">
        <f t="shared" si="36"/>
        <v>https://purl.pt/19851</v>
      </c>
      <c r="G809" s="12" t="s">
        <v>559</v>
      </c>
      <c r="H809" s="9" t="s">
        <v>560</v>
      </c>
      <c r="I809" s="34"/>
      <c r="J809" s="55" t="str">
        <f t="shared" si="37"/>
        <v>https://permalinkbnd.bnportugal.gov.pt/viewer/14628/?offset=#page=436&amp;viewer=picture&amp;o=info&amp;n=0&amp;q=</v>
      </c>
      <c r="K809" s="45"/>
      <c r="L809" s="45"/>
      <c r="M809" s="45"/>
      <c r="N809" t="s">
        <v>558</v>
      </c>
      <c r="O809">
        <v>14628</v>
      </c>
      <c r="P809" t="str">
        <f t="shared" si="38"/>
        <v>https://permalinkbnd.bnportugal.gov.pt/viewer/14628/?offset=#page=436&amp;viewer=picture&amp;o=info&amp;n=0&amp;q=</v>
      </c>
      <c r="Q809">
        <v>381189</v>
      </c>
      <c r="R809" t="s">
        <v>558</v>
      </c>
      <c r="S809" t="s">
        <v>3389</v>
      </c>
      <c r="T809" t="s">
        <v>1178</v>
      </c>
      <c r="U809" t="s">
        <v>1192</v>
      </c>
      <c r="V809" t="s">
        <v>599</v>
      </c>
      <c r="W809" t="s">
        <v>3390</v>
      </c>
      <c r="X809" t="s">
        <v>3391</v>
      </c>
      <c r="Y809" t="s">
        <v>599</v>
      </c>
      <c r="Z809" t="s">
        <v>1182</v>
      </c>
      <c r="AA809" t="s">
        <v>3392</v>
      </c>
      <c r="AB809">
        <v>1880</v>
      </c>
      <c r="AC809">
        <v>1880</v>
      </c>
      <c r="AD809" t="s">
        <v>3393</v>
      </c>
      <c r="AE809" t="s">
        <v>1185</v>
      </c>
      <c r="AF809" t="s">
        <v>599</v>
      </c>
      <c r="AG809" t="s">
        <v>3394</v>
      </c>
      <c r="AH809" t="s">
        <v>3395</v>
      </c>
      <c r="AI809" t="s">
        <v>599</v>
      </c>
      <c r="AJ809" t="s">
        <v>3396</v>
      </c>
      <c r="AK809" t="s">
        <v>3397</v>
      </c>
      <c r="AL809" t="s">
        <v>599</v>
      </c>
      <c r="AM809" t="s">
        <v>3398</v>
      </c>
      <c r="AN809" t="s">
        <v>1190</v>
      </c>
      <c r="AO809" t="s">
        <v>599</v>
      </c>
      <c r="AP809" t="s">
        <v>599</v>
      </c>
      <c r="AQ809" t="s">
        <v>3399</v>
      </c>
      <c r="AR809" t="s">
        <v>599</v>
      </c>
      <c r="AS809" t="s">
        <v>599</v>
      </c>
      <c r="AT809" t="s">
        <v>599</v>
      </c>
      <c r="AU809" t="s">
        <v>599</v>
      </c>
    </row>
    <row r="810" spans="1:47" ht="210" x14ac:dyDescent="0.25">
      <c r="A810" s="2">
        <v>12265</v>
      </c>
      <c r="B810" s="10">
        <v>381189</v>
      </c>
      <c r="C810" s="10">
        <v>1</v>
      </c>
      <c r="D810" s="9">
        <v>444</v>
      </c>
      <c r="E810" s="11" t="s">
        <v>558</v>
      </c>
      <c r="F810" s="11" t="str">
        <f t="shared" si="36"/>
        <v>https://purl.pt/19851</v>
      </c>
      <c r="G810" s="12" t="s">
        <v>559</v>
      </c>
      <c r="H810" s="9" t="s">
        <v>560</v>
      </c>
      <c r="I810" s="34"/>
      <c r="J810" s="55" t="str">
        <f t="shared" si="37"/>
        <v>https://permalinkbnd.bnportugal.gov.pt/viewer/14628/?offset=#page=444&amp;viewer=picture&amp;o=info&amp;n=0&amp;q=</v>
      </c>
      <c r="K810" s="45"/>
      <c r="L810" s="45"/>
      <c r="M810" s="45"/>
      <c r="N810" t="s">
        <v>558</v>
      </c>
      <c r="O810">
        <v>14628</v>
      </c>
      <c r="P810" t="str">
        <f t="shared" si="38"/>
        <v>https://permalinkbnd.bnportugal.gov.pt/viewer/14628/?offset=#page=444&amp;viewer=picture&amp;o=info&amp;n=0&amp;q=</v>
      </c>
      <c r="Q810">
        <v>381189</v>
      </c>
      <c r="R810" t="s">
        <v>558</v>
      </c>
      <c r="S810" t="s">
        <v>3389</v>
      </c>
      <c r="T810" t="s">
        <v>1178</v>
      </c>
      <c r="U810" t="s">
        <v>1192</v>
      </c>
      <c r="V810" t="s">
        <v>599</v>
      </c>
      <c r="W810" t="s">
        <v>3390</v>
      </c>
      <c r="X810" t="s">
        <v>3391</v>
      </c>
      <c r="Y810" t="s">
        <v>599</v>
      </c>
      <c r="Z810" t="s">
        <v>1182</v>
      </c>
      <c r="AA810" t="s">
        <v>3392</v>
      </c>
      <c r="AB810">
        <v>1880</v>
      </c>
      <c r="AC810">
        <v>1880</v>
      </c>
      <c r="AD810" t="s">
        <v>3393</v>
      </c>
      <c r="AE810" t="s">
        <v>1185</v>
      </c>
      <c r="AF810" t="s">
        <v>599</v>
      </c>
      <c r="AG810" t="s">
        <v>3394</v>
      </c>
      <c r="AH810" t="s">
        <v>3395</v>
      </c>
      <c r="AI810" t="s">
        <v>599</v>
      </c>
      <c r="AJ810" t="s">
        <v>3396</v>
      </c>
      <c r="AK810" t="s">
        <v>3397</v>
      </c>
      <c r="AL810" t="s">
        <v>599</v>
      </c>
      <c r="AM810" t="s">
        <v>3398</v>
      </c>
      <c r="AN810" t="s">
        <v>1190</v>
      </c>
      <c r="AO810" t="s">
        <v>599</v>
      </c>
      <c r="AP810" t="s">
        <v>599</v>
      </c>
      <c r="AQ810" t="s">
        <v>3399</v>
      </c>
      <c r="AR810" t="s">
        <v>599</v>
      </c>
      <c r="AS810" t="s">
        <v>599</v>
      </c>
      <c r="AT810" t="s">
        <v>599</v>
      </c>
      <c r="AU810" t="s">
        <v>599</v>
      </c>
    </row>
    <row r="811" spans="1:47" ht="210" x14ac:dyDescent="0.25">
      <c r="A811" s="2">
        <v>12266</v>
      </c>
      <c r="B811" s="10">
        <v>381189</v>
      </c>
      <c r="C811" s="10">
        <v>1</v>
      </c>
      <c r="D811" s="9">
        <v>453</v>
      </c>
      <c r="E811" s="11" t="s">
        <v>558</v>
      </c>
      <c r="F811" s="11" t="str">
        <f t="shared" si="36"/>
        <v>https://purl.pt/19851</v>
      </c>
      <c r="G811" s="12" t="s">
        <v>559</v>
      </c>
      <c r="H811" s="9" t="s">
        <v>560</v>
      </c>
      <c r="I811" s="34"/>
      <c r="J811" s="55" t="str">
        <f t="shared" si="37"/>
        <v>https://permalinkbnd.bnportugal.gov.pt/viewer/14628/?offset=#page=453&amp;viewer=picture&amp;o=info&amp;n=0&amp;q=</v>
      </c>
      <c r="K811" s="45"/>
      <c r="L811" s="45"/>
      <c r="M811" s="45"/>
      <c r="N811" t="s">
        <v>558</v>
      </c>
      <c r="O811">
        <v>14628</v>
      </c>
      <c r="P811" t="str">
        <f t="shared" si="38"/>
        <v>https://permalinkbnd.bnportugal.gov.pt/viewer/14628/?offset=#page=453&amp;viewer=picture&amp;o=info&amp;n=0&amp;q=</v>
      </c>
      <c r="Q811">
        <v>381189</v>
      </c>
      <c r="R811" t="s">
        <v>558</v>
      </c>
      <c r="S811" t="s">
        <v>3389</v>
      </c>
      <c r="T811" t="s">
        <v>1178</v>
      </c>
      <c r="U811" t="s">
        <v>1192</v>
      </c>
      <c r="V811" t="s">
        <v>599</v>
      </c>
      <c r="W811" t="s">
        <v>3390</v>
      </c>
      <c r="X811" t="s">
        <v>3391</v>
      </c>
      <c r="Y811" t="s">
        <v>599</v>
      </c>
      <c r="Z811" t="s">
        <v>1182</v>
      </c>
      <c r="AA811" t="s">
        <v>3392</v>
      </c>
      <c r="AB811">
        <v>1880</v>
      </c>
      <c r="AC811">
        <v>1880</v>
      </c>
      <c r="AD811" t="s">
        <v>3393</v>
      </c>
      <c r="AE811" t="s">
        <v>1185</v>
      </c>
      <c r="AF811" t="s">
        <v>599</v>
      </c>
      <c r="AG811" t="s">
        <v>3394</v>
      </c>
      <c r="AH811" t="s">
        <v>3395</v>
      </c>
      <c r="AI811" t="s">
        <v>599</v>
      </c>
      <c r="AJ811" t="s">
        <v>3396</v>
      </c>
      <c r="AK811" t="s">
        <v>3397</v>
      </c>
      <c r="AL811" t="s">
        <v>599</v>
      </c>
      <c r="AM811" t="s">
        <v>3398</v>
      </c>
      <c r="AN811" t="s">
        <v>1190</v>
      </c>
      <c r="AO811" t="s">
        <v>599</v>
      </c>
      <c r="AP811" t="s">
        <v>599</v>
      </c>
      <c r="AQ811" t="s">
        <v>3399</v>
      </c>
      <c r="AR811" t="s">
        <v>599</v>
      </c>
      <c r="AS811" t="s">
        <v>599</v>
      </c>
      <c r="AT811" t="s">
        <v>599</v>
      </c>
      <c r="AU811" t="s">
        <v>599</v>
      </c>
    </row>
    <row r="812" spans="1:47" ht="210" x14ac:dyDescent="0.25">
      <c r="A812" s="2">
        <v>12267</v>
      </c>
      <c r="B812" s="10">
        <v>381189</v>
      </c>
      <c r="C812" s="10">
        <v>1</v>
      </c>
      <c r="D812" s="9">
        <v>459</v>
      </c>
      <c r="E812" s="11" t="s">
        <v>558</v>
      </c>
      <c r="F812" s="11" t="str">
        <f t="shared" si="36"/>
        <v>https://purl.pt/19851</v>
      </c>
      <c r="G812" s="12" t="s">
        <v>559</v>
      </c>
      <c r="H812" s="9" t="s">
        <v>560</v>
      </c>
      <c r="I812" s="34"/>
      <c r="J812" s="55" t="str">
        <f t="shared" si="37"/>
        <v>https://permalinkbnd.bnportugal.gov.pt/viewer/14628/?offset=#page=459&amp;viewer=picture&amp;o=info&amp;n=0&amp;q=</v>
      </c>
      <c r="K812" s="45"/>
      <c r="L812" s="45"/>
      <c r="M812" s="45"/>
      <c r="N812" t="s">
        <v>558</v>
      </c>
      <c r="O812">
        <v>14628</v>
      </c>
      <c r="P812" t="str">
        <f t="shared" si="38"/>
        <v>https://permalinkbnd.bnportugal.gov.pt/viewer/14628/?offset=#page=459&amp;viewer=picture&amp;o=info&amp;n=0&amp;q=</v>
      </c>
      <c r="Q812">
        <v>381189</v>
      </c>
      <c r="R812" t="s">
        <v>558</v>
      </c>
      <c r="S812" t="s">
        <v>3389</v>
      </c>
      <c r="T812" t="s">
        <v>1178</v>
      </c>
      <c r="U812" t="s">
        <v>1192</v>
      </c>
      <c r="V812" t="s">
        <v>599</v>
      </c>
      <c r="W812" t="s">
        <v>3390</v>
      </c>
      <c r="X812" t="s">
        <v>3391</v>
      </c>
      <c r="Y812" t="s">
        <v>599</v>
      </c>
      <c r="Z812" t="s">
        <v>1182</v>
      </c>
      <c r="AA812" t="s">
        <v>3392</v>
      </c>
      <c r="AB812">
        <v>1880</v>
      </c>
      <c r="AC812">
        <v>1880</v>
      </c>
      <c r="AD812" t="s">
        <v>3393</v>
      </c>
      <c r="AE812" t="s">
        <v>1185</v>
      </c>
      <c r="AF812" t="s">
        <v>599</v>
      </c>
      <c r="AG812" t="s">
        <v>3394</v>
      </c>
      <c r="AH812" t="s">
        <v>3395</v>
      </c>
      <c r="AI812" t="s">
        <v>599</v>
      </c>
      <c r="AJ812" t="s">
        <v>3396</v>
      </c>
      <c r="AK812" t="s">
        <v>3397</v>
      </c>
      <c r="AL812" t="s">
        <v>599</v>
      </c>
      <c r="AM812" t="s">
        <v>3398</v>
      </c>
      <c r="AN812" t="s">
        <v>1190</v>
      </c>
      <c r="AO812" t="s">
        <v>599</v>
      </c>
      <c r="AP812" t="s">
        <v>599</v>
      </c>
      <c r="AQ812" t="s">
        <v>3399</v>
      </c>
      <c r="AR812" t="s">
        <v>599</v>
      </c>
      <c r="AS812" t="s">
        <v>599</v>
      </c>
      <c r="AT812" t="s">
        <v>599</v>
      </c>
      <c r="AU812" t="s">
        <v>599</v>
      </c>
    </row>
    <row r="813" spans="1:47" ht="210" x14ac:dyDescent="0.25">
      <c r="A813" s="2">
        <v>12268</v>
      </c>
      <c r="B813" s="10">
        <v>381189</v>
      </c>
      <c r="C813" s="10">
        <v>1</v>
      </c>
      <c r="D813" s="9">
        <v>461</v>
      </c>
      <c r="E813" s="11" t="s">
        <v>558</v>
      </c>
      <c r="F813" s="11" t="str">
        <f t="shared" si="36"/>
        <v>https://purl.pt/19851</v>
      </c>
      <c r="G813" s="12" t="s">
        <v>559</v>
      </c>
      <c r="H813" s="9" t="s">
        <v>560</v>
      </c>
      <c r="I813" s="34"/>
      <c r="J813" s="55" t="str">
        <f t="shared" si="37"/>
        <v>https://permalinkbnd.bnportugal.gov.pt/viewer/14628/?offset=#page=461&amp;viewer=picture&amp;o=info&amp;n=0&amp;q=</v>
      </c>
      <c r="K813" s="45"/>
      <c r="L813" s="45"/>
      <c r="M813" s="45"/>
      <c r="N813" t="s">
        <v>558</v>
      </c>
      <c r="O813">
        <v>14628</v>
      </c>
      <c r="P813" t="str">
        <f t="shared" si="38"/>
        <v>https://permalinkbnd.bnportugal.gov.pt/viewer/14628/?offset=#page=461&amp;viewer=picture&amp;o=info&amp;n=0&amp;q=</v>
      </c>
      <c r="Q813">
        <v>381189</v>
      </c>
      <c r="R813" t="s">
        <v>558</v>
      </c>
      <c r="S813" t="s">
        <v>3389</v>
      </c>
      <c r="T813" t="s">
        <v>1178</v>
      </c>
      <c r="U813" t="s">
        <v>1192</v>
      </c>
      <c r="V813" t="s">
        <v>599</v>
      </c>
      <c r="W813" t="s">
        <v>3390</v>
      </c>
      <c r="X813" t="s">
        <v>3391</v>
      </c>
      <c r="Y813" t="s">
        <v>599</v>
      </c>
      <c r="Z813" t="s">
        <v>1182</v>
      </c>
      <c r="AA813" t="s">
        <v>3392</v>
      </c>
      <c r="AB813">
        <v>1880</v>
      </c>
      <c r="AC813">
        <v>1880</v>
      </c>
      <c r="AD813" t="s">
        <v>3393</v>
      </c>
      <c r="AE813" t="s">
        <v>1185</v>
      </c>
      <c r="AF813" t="s">
        <v>599</v>
      </c>
      <c r="AG813" t="s">
        <v>3394</v>
      </c>
      <c r="AH813" t="s">
        <v>3395</v>
      </c>
      <c r="AI813" t="s">
        <v>599</v>
      </c>
      <c r="AJ813" t="s">
        <v>3396</v>
      </c>
      <c r="AK813" t="s">
        <v>3397</v>
      </c>
      <c r="AL813" t="s">
        <v>599</v>
      </c>
      <c r="AM813" t="s">
        <v>3398</v>
      </c>
      <c r="AN813" t="s">
        <v>1190</v>
      </c>
      <c r="AO813" t="s">
        <v>599</v>
      </c>
      <c r="AP813" t="s">
        <v>599</v>
      </c>
      <c r="AQ813" t="s">
        <v>3399</v>
      </c>
      <c r="AR813" t="s">
        <v>599</v>
      </c>
      <c r="AS813" t="s">
        <v>599</v>
      </c>
      <c r="AT813" t="s">
        <v>599</v>
      </c>
      <c r="AU813" t="s">
        <v>599</v>
      </c>
    </row>
    <row r="814" spans="1:47" ht="210" x14ac:dyDescent="0.25">
      <c r="A814" s="2">
        <v>12269</v>
      </c>
      <c r="B814" s="10">
        <v>381189</v>
      </c>
      <c r="C814" s="10">
        <v>1</v>
      </c>
      <c r="D814" s="9">
        <v>463</v>
      </c>
      <c r="E814" s="11" t="s">
        <v>558</v>
      </c>
      <c r="F814" s="11" t="str">
        <f t="shared" si="36"/>
        <v>https://purl.pt/19851</v>
      </c>
      <c r="G814" s="12" t="s">
        <v>559</v>
      </c>
      <c r="H814" s="9" t="s">
        <v>560</v>
      </c>
      <c r="I814" s="34"/>
      <c r="J814" s="55" t="str">
        <f t="shared" si="37"/>
        <v>https://permalinkbnd.bnportugal.gov.pt/viewer/14628/?offset=#page=463&amp;viewer=picture&amp;o=info&amp;n=0&amp;q=</v>
      </c>
      <c r="K814" s="45"/>
      <c r="L814" s="45"/>
      <c r="M814" s="45"/>
      <c r="N814" t="s">
        <v>558</v>
      </c>
      <c r="O814">
        <v>14628</v>
      </c>
      <c r="P814" t="str">
        <f t="shared" si="38"/>
        <v>https://permalinkbnd.bnportugal.gov.pt/viewer/14628/?offset=#page=463&amp;viewer=picture&amp;o=info&amp;n=0&amp;q=</v>
      </c>
      <c r="Q814">
        <v>381189</v>
      </c>
      <c r="R814" t="s">
        <v>558</v>
      </c>
      <c r="S814" t="s">
        <v>3389</v>
      </c>
      <c r="T814" t="s">
        <v>1178</v>
      </c>
      <c r="U814" t="s">
        <v>1192</v>
      </c>
      <c r="V814" t="s">
        <v>599</v>
      </c>
      <c r="W814" t="s">
        <v>3390</v>
      </c>
      <c r="X814" t="s">
        <v>3391</v>
      </c>
      <c r="Y814" t="s">
        <v>599</v>
      </c>
      <c r="Z814" t="s">
        <v>1182</v>
      </c>
      <c r="AA814" t="s">
        <v>3392</v>
      </c>
      <c r="AB814">
        <v>1880</v>
      </c>
      <c r="AC814">
        <v>1880</v>
      </c>
      <c r="AD814" t="s">
        <v>3393</v>
      </c>
      <c r="AE814" t="s">
        <v>1185</v>
      </c>
      <c r="AF814" t="s">
        <v>599</v>
      </c>
      <c r="AG814" t="s">
        <v>3394</v>
      </c>
      <c r="AH814" t="s">
        <v>3395</v>
      </c>
      <c r="AI814" t="s">
        <v>599</v>
      </c>
      <c r="AJ814" t="s">
        <v>3396</v>
      </c>
      <c r="AK814" t="s">
        <v>3397</v>
      </c>
      <c r="AL814" t="s">
        <v>599</v>
      </c>
      <c r="AM814" t="s">
        <v>3398</v>
      </c>
      <c r="AN814" t="s">
        <v>1190</v>
      </c>
      <c r="AO814" t="s">
        <v>599</v>
      </c>
      <c r="AP814" t="s">
        <v>599</v>
      </c>
      <c r="AQ814" t="s">
        <v>3399</v>
      </c>
      <c r="AR814" t="s">
        <v>599</v>
      </c>
      <c r="AS814" t="s">
        <v>599</v>
      </c>
      <c r="AT814" t="s">
        <v>599</v>
      </c>
      <c r="AU814" t="s">
        <v>599</v>
      </c>
    </row>
    <row r="815" spans="1:47" ht="210" x14ac:dyDescent="0.25">
      <c r="A815" s="2">
        <v>12270</v>
      </c>
      <c r="B815" s="10">
        <v>381189</v>
      </c>
      <c r="C815" s="10">
        <v>1</v>
      </c>
      <c r="D815" s="9">
        <v>512</v>
      </c>
      <c r="E815" s="11" t="s">
        <v>558</v>
      </c>
      <c r="F815" s="11" t="str">
        <f t="shared" si="36"/>
        <v>https://purl.pt/19851</v>
      </c>
      <c r="G815" s="12" t="s">
        <v>559</v>
      </c>
      <c r="H815" s="9" t="s">
        <v>560</v>
      </c>
      <c r="I815" s="34"/>
      <c r="J815" s="55" t="str">
        <f t="shared" si="37"/>
        <v>https://permalinkbnd.bnportugal.gov.pt/viewer/14628/?offset=#page=512&amp;viewer=picture&amp;o=info&amp;n=0&amp;q=</v>
      </c>
      <c r="K815" s="45"/>
      <c r="L815" s="45"/>
      <c r="M815" s="45"/>
      <c r="N815" t="s">
        <v>558</v>
      </c>
      <c r="O815">
        <v>14628</v>
      </c>
      <c r="P815" t="str">
        <f t="shared" si="38"/>
        <v>https://permalinkbnd.bnportugal.gov.pt/viewer/14628/?offset=#page=512&amp;viewer=picture&amp;o=info&amp;n=0&amp;q=</v>
      </c>
      <c r="Q815">
        <v>381189</v>
      </c>
      <c r="R815" t="s">
        <v>558</v>
      </c>
      <c r="S815" t="s">
        <v>3389</v>
      </c>
      <c r="T815" t="s">
        <v>1178</v>
      </c>
      <c r="U815" t="s">
        <v>1192</v>
      </c>
      <c r="V815" t="s">
        <v>599</v>
      </c>
      <c r="W815" t="s">
        <v>3390</v>
      </c>
      <c r="X815" t="s">
        <v>3391</v>
      </c>
      <c r="Y815" t="s">
        <v>599</v>
      </c>
      <c r="Z815" t="s">
        <v>1182</v>
      </c>
      <c r="AA815" t="s">
        <v>3392</v>
      </c>
      <c r="AB815">
        <v>1880</v>
      </c>
      <c r="AC815">
        <v>1880</v>
      </c>
      <c r="AD815" t="s">
        <v>3393</v>
      </c>
      <c r="AE815" t="s">
        <v>1185</v>
      </c>
      <c r="AF815" t="s">
        <v>599</v>
      </c>
      <c r="AG815" t="s">
        <v>3394</v>
      </c>
      <c r="AH815" t="s">
        <v>3395</v>
      </c>
      <c r="AI815" t="s">
        <v>599</v>
      </c>
      <c r="AJ815" t="s">
        <v>3396</v>
      </c>
      <c r="AK815" t="s">
        <v>3397</v>
      </c>
      <c r="AL815" t="s">
        <v>599</v>
      </c>
      <c r="AM815" t="s">
        <v>3398</v>
      </c>
      <c r="AN815" t="s">
        <v>1190</v>
      </c>
      <c r="AO815" t="s">
        <v>599</v>
      </c>
      <c r="AP815" t="s">
        <v>599</v>
      </c>
      <c r="AQ815" t="s">
        <v>3399</v>
      </c>
      <c r="AR815" t="s">
        <v>599</v>
      </c>
      <c r="AS815" t="s">
        <v>599</v>
      </c>
      <c r="AT815" t="s">
        <v>599</v>
      </c>
      <c r="AU815" t="s">
        <v>599</v>
      </c>
    </row>
    <row r="816" spans="1:47" ht="150" x14ac:dyDescent="0.25">
      <c r="A816" s="2">
        <v>12271</v>
      </c>
      <c r="B816" s="10">
        <v>381297</v>
      </c>
      <c r="C816" s="10">
        <v>1</v>
      </c>
      <c r="D816" s="9">
        <v>10</v>
      </c>
      <c r="E816" s="11" t="s">
        <v>561</v>
      </c>
      <c r="F816" s="11" t="str">
        <f t="shared" si="36"/>
        <v>https://purl.pt/37881</v>
      </c>
      <c r="G816" s="12" t="s">
        <v>562</v>
      </c>
      <c r="H816" s="9" t="s">
        <v>563</v>
      </c>
      <c r="I816" s="34"/>
      <c r="J816" s="55" t="str">
        <f t="shared" si="37"/>
        <v>https://permalinkbnd.bnportugal.gov.pt/viewer/14598/?offset=#page=10&amp;viewer=picture&amp;o=info&amp;n=0&amp;q=</v>
      </c>
      <c r="K816" s="45"/>
      <c r="L816" s="45"/>
      <c r="M816" s="45"/>
      <c r="N816" t="s">
        <v>561</v>
      </c>
      <c r="O816">
        <v>14598</v>
      </c>
      <c r="P816" t="str">
        <f t="shared" si="38"/>
        <v>https://permalinkbnd.bnportugal.gov.pt/viewer/14598/?offset=#page=10&amp;viewer=picture&amp;o=info&amp;n=0&amp;q=</v>
      </c>
      <c r="Q816">
        <v>381297</v>
      </c>
      <c r="R816" t="s">
        <v>561</v>
      </c>
      <c r="S816" t="s">
        <v>3400</v>
      </c>
      <c r="T816" t="s">
        <v>1178</v>
      </c>
      <c r="U816" t="s">
        <v>1192</v>
      </c>
      <c r="V816" t="s">
        <v>599</v>
      </c>
      <c r="W816" t="s">
        <v>1193</v>
      </c>
      <c r="X816" t="s">
        <v>3401</v>
      </c>
      <c r="Y816" t="s">
        <v>599</v>
      </c>
      <c r="Z816" t="s">
        <v>3402</v>
      </c>
      <c r="AA816" t="s">
        <v>3403</v>
      </c>
      <c r="AB816">
        <v>1817</v>
      </c>
      <c r="AC816">
        <v>1817</v>
      </c>
      <c r="AD816" t="s">
        <v>3404</v>
      </c>
      <c r="AE816" t="s">
        <v>1185</v>
      </c>
      <c r="AF816" t="s">
        <v>599</v>
      </c>
      <c r="AG816" t="s">
        <v>599</v>
      </c>
      <c r="AH816" t="s">
        <v>3405</v>
      </c>
      <c r="AI816" t="s">
        <v>599</v>
      </c>
      <c r="AJ816" t="s">
        <v>599</v>
      </c>
      <c r="AK816" t="s">
        <v>3406</v>
      </c>
      <c r="AL816" t="s">
        <v>599</v>
      </c>
      <c r="AM816" t="s">
        <v>3407</v>
      </c>
      <c r="AN816" t="s">
        <v>1190</v>
      </c>
      <c r="AO816" t="s">
        <v>599</v>
      </c>
      <c r="AP816" t="s">
        <v>599</v>
      </c>
      <c r="AQ816" t="s">
        <v>599</v>
      </c>
      <c r="AR816" t="s">
        <v>599</v>
      </c>
      <c r="AS816" t="s">
        <v>599</v>
      </c>
      <c r="AT816" t="s">
        <v>599</v>
      </c>
      <c r="AU816" t="s">
        <v>599</v>
      </c>
    </row>
    <row r="817" spans="1:47" ht="150" x14ac:dyDescent="0.25">
      <c r="A817" s="2">
        <v>12272</v>
      </c>
      <c r="B817" s="10">
        <v>381297</v>
      </c>
      <c r="C817" s="10">
        <v>1</v>
      </c>
      <c r="D817" s="9">
        <v>69</v>
      </c>
      <c r="E817" s="11" t="s">
        <v>561</v>
      </c>
      <c r="F817" s="11" t="str">
        <f t="shared" si="36"/>
        <v>https://purl.pt/37881</v>
      </c>
      <c r="G817" s="12" t="s">
        <v>562</v>
      </c>
      <c r="H817" s="9" t="s">
        <v>563</v>
      </c>
      <c r="I817" s="34"/>
      <c r="J817" s="55" t="str">
        <f t="shared" si="37"/>
        <v>https://permalinkbnd.bnportugal.gov.pt/viewer/14598/?offset=#page=69&amp;viewer=picture&amp;o=info&amp;n=0&amp;q=</v>
      </c>
      <c r="K817" s="45"/>
      <c r="L817" s="45"/>
      <c r="M817" s="45"/>
      <c r="N817" t="s">
        <v>561</v>
      </c>
      <c r="O817">
        <v>14598</v>
      </c>
      <c r="P817" t="str">
        <f t="shared" si="38"/>
        <v>https://permalinkbnd.bnportugal.gov.pt/viewer/14598/?offset=#page=69&amp;viewer=picture&amp;o=info&amp;n=0&amp;q=</v>
      </c>
      <c r="Q817">
        <v>381297</v>
      </c>
      <c r="R817" t="s">
        <v>561</v>
      </c>
      <c r="S817" t="s">
        <v>3400</v>
      </c>
      <c r="T817" t="s">
        <v>1178</v>
      </c>
      <c r="U817" t="s">
        <v>1192</v>
      </c>
      <c r="V817" t="s">
        <v>599</v>
      </c>
      <c r="W817" t="s">
        <v>1193</v>
      </c>
      <c r="X817" t="s">
        <v>3401</v>
      </c>
      <c r="Y817" t="s">
        <v>599</v>
      </c>
      <c r="Z817" t="s">
        <v>3402</v>
      </c>
      <c r="AA817" t="s">
        <v>3403</v>
      </c>
      <c r="AB817">
        <v>1817</v>
      </c>
      <c r="AC817">
        <v>1817</v>
      </c>
      <c r="AD817" t="s">
        <v>3404</v>
      </c>
      <c r="AE817" t="s">
        <v>1185</v>
      </c>
      <c r="AF817" t="s">
        <v>599</v>
      </c>
      <c r="AG817" t="s">
        <v>599</v>
      </c>
      <c r="AH817" t="s">
        <v>3405</v>
      </c>
      <c r="AI817" t="s">
        <v>599</v>
      </c>
      <c r="AJ817" t="s">
        <v>599</v>
      </c>
      <c r="AK817" t="s">
        <v>3406</v>
      </c>
      <c r="AL817" t="s">
        <v>599</v>
      </c>
      <c r="AM817" t="s">
        <v>3407</v>
      </c>
      <c r="AN817" t="s">
        <v>1190</v>
      </c>
      <c r="AO817" t="s">
        <v>599</v>
      </c>
      <c r="AP817" t="s">
        <v>599</v>
      </c>
      <c r="AQ817" t="s">
        <v>599</v>
      </c>
      <c r="AR817" t="s">
        <v>599</v>
      </c>
      <c r="AS817" t="s">
        <v>599</v>
      </c>
      <c r="AT817" t="s">
        <v>599</v>
      </c>
      <c r="AU817" t="s">
        <v>599</v>
      </c>
    </row>
    <row r="818" spans="1:47" ht="150" x14ac:dyDescent="0.25">
      <c r="A818" s="2">
        <v>12273</v>
      </c>
      <c r="B818" s="10">
        <v>381297</v>
      </c>
      <c r="C818" s="10">
        <v>1</v>
      </c>
      <c r="D818" s="9">
        <v>156</v>
      </c>
      <c r="E818" s="11" t="s">
        <v>561</v>
      </c>
      <c r="F818" s="11" t="str">
        <f t="shared" si="36"/>
        <v>https://purl.pt/37881</v>
      </c>
      <c r="G818" s="12" t="s">
        <v>562</v>
      </c>
      <c r="H818" s="9" t="s">
        <v>563</v>
      </c>
      <c r="I818" s="34"/>
      <c r="J818" s="55" t="str">
        <f t="shared" si="37"/>
        <v>https://permalinkbnd.bnportugal.gov.pt/viewer/14598/?offset=#page=156&amp;viewer=picture&amp;o=info&amp;n=0&amp;q=</v>
      </c>
      <c r="K818" s="45"/>
      <c r="L818" s="45"/>
      <c r="M818" s="45"/>
      <c r="N818" t="s">
        <v>561</v>
      </c>
      <c r="O818">
        <v>14598</v>
      </c>
      <c r="P818" t="str">
        <f t="shared" si="38"/>
        <v>https://permalinkbnd.bnportugal.gov.pt/viewer/14598/?offset=#page=156&amp;viewer=picture&amp;o=info&amp;n=0&amp;q=</v>
      </c>
      <c r="Q818">
        <v>381297</v>
      </c>
      <c r="R818" t="s">
        <v>561</v>
      </c>
      <c r="S818" t="s">
        <v>3400</v>
      </c>
      <c r="T818" t="s">
        <v>1178</v>
      </c>
      <c r="U818" t="s">
        <v>1192</v>
      </c>
      <c r="V818" t="s">
        <v>599</v>
      </c>
      <c r="W818" t="s">
        <v>1193</v>
      </c>
      <c r="X818" t="s">
        <v>3401</v>
      </c>
      <c r="Y818" t="s">
        <v>599</v>
      </c>
      <c r="Z818" t="s">
        <v>3402</v>
      </c>
      <c r="AA818" t="s">
        <v>3403</v>
      </c>
      <c r="AB818">
        <v>1817</v>
      </c>
      <c r="AC818">
        <v>1817</v>
      </c>
      <c r="AD818" t="s">
        <v>3404</v>
      </c>
      <c r="AE818" t="s">
        <v>1185</v>
      </c>
      <c r="AF818" t="s">
        <v>599</v>
      </c>
      <c r="AG818" t="s">
        <v>599</v>
      </c>
      <c r="AH818" t="s">
        <v>3405</v>
      </c>
      <c r="AI818" t="s">
        <v>599</v>
      </c>
      <c r="AJ818" t="s">
        <v>599</v>
      </c>
      <c r="AK818" t="s">
        <v>3406</v>
      </c>
      <c r="AL818" t="s">
        <v>599</v>
      </c>
      <c r="AM818" t="s">
        <v>3407</v>
      </c>
      <c r="AN818" t="s">
        <v>1190</v>
      </c>
      <c r="AO818" t="s">
        <v>599</v>
      </c>
      <c r="AP818" t="s">
        <v>599</v>
      </c>
      <c r="AQ818" t="s">
        <v>599</v>
      </c>
      <c r="AR818" t="s">
        <v>599</v>
      </c>
      <c r="AS818" t="s">
        <v>599</v>
      </c>
      <c r="AT818" t="s">
        <v>599</v>
      </c>
      <c r="AU818" t="s">
        <v>599</v>
      </c>
    </row>
    <row r="819" spans="1:47" ht="150" x14ac:dyDescent="0.25">
      <c r="A819" s="2">
        <v>12274</v>
      </c>
      <c r="B819" s="10">
        <v>381297</v>
      </c>
      <c r="C819" s="10">
        <v>1</v>
      </c>
      <c r="D819" s="9">
        <v>196</v>
      </c>
      <c r="E819" s="11" t="s">
        <v>561</v>
      </c>
      <c r="F819" s="11" t="str">
        <f t="shared" si="36"/>
        <v>https://purl.pt/37881</v>
      </c>
      <c r="G819" s="12" t="s">
        <v>562</v>
      </c>
      <c r="H819" s="9" t="s">
        <v>563</v>
      </c>
      <c r="I819" s="34"/>
      <c r="J819" s="55" t="str">
        <f t="shared" si="37"/>
        <v>https://permalinkbnd.bnportugal.gov.pt/viewer/14598/?offset=#page=196&amp;viewer=picture&amp;o=info&amp;n=0&amp;q=</v>
      </c>
      <c r="K819" s="45"/>
      <c r="L819" s="45"/>
      <c r="M819" s="45"/>
      <c r="N819" t="s">
        <v>561</v>
      </c>
      <c r="O819">
        <v>14598</v>
      </c>
      <c r="P819" t="str">
        <f t="shared" si="38"/>
        <v>https://permalinkbnd.bnportugal.gov.pt/viewer/14598/?offset=#page=196&amp;viewer=picture&amp;o=info&amp;n=0&amp;q=</v>
      </c>
      <c r="Q819">
        <v>381297</v>
      </c>
      <c r="R819" t="s">
        <v>561</v>
      </c>
      <c r="S819" t="s">
        <v>3400</v>
      </c>
      <c r="T819" t="s">
        <v>1178</v>
      </c>
      <c r="U819" t="s">
        <v>1192</v>
      </c>
      <c r="V819" t="s">
        <v>599</v>
      </c>
      <c r="W819" t="s">
        <v>1193</v>
      </c>
      <c r="X819" t="s">
        <v>3401</v>
      </c>
      <c r="Y819" t="s">
        <v>599</v>
      </c>
      <c r="Z819" t="s">
        <v>3402</v>
      </c>
      <c r="AA819" t="s">
        <v>3403</v>
      </c>
      <c r="AB819">
        <v>1817</v>
      </c>
      <c r="AC819">
        <v>1817</v>
      </c>
      <c r="AD819" t="s">
        <v>3404</v>
      </c>
      <c r="AE819" t="s">
        <v>1185</v>
      </c>
      <c r="AF819" t="s">
        <v>599</v>
      </c>
      <c r="AG819" t="s">
        <v>599</v>
      </c>
      <c r="AH819" t="s">
        <v>3405</v>
      </c>
      <c r="AI819" t="s">
        <v>599</v>
      </c>
      <c r="AJ819" t="s">
        <v>599</v>
      </c>
      <c r="AK819" t="s">
        <v>3406</v>
      </c>
      <c r="AL819" t="s">
        <v>599</v>
      </c>
      <c r="AM819" t="s">
        <v>3407</v>
      </c>
      <c r="AN819" t="s">
        <v>1190</v>
      </c>
      <c r="AO819" t="s">
        <v>599</v>
      </c>
      <c r="AP819" t="s">
        <v>599</v>
      </c>
      <c r="AQ819" t="s">
        <v>599</v>
      </c>
      <c r="AR819" t="s">
        <v>599</v>
      </c>
      <c r="AS819" t="s">
        <v>599</v>
      </c>
      <c r="AT819" t="s">
        <v>599</v>
      </c>
      <c r="AU819" t="s">
        <v>599</v>
      </c>
    </row>
    <row r="820" spans="1:47" ht="150" x14ac:dyDescent="0.25">
      <c r="A820" s="2">
        <v>12275</v>
      </c>
      <c r="B820" s="10">
        <v>381297</v>
      </c>
      <c r="C820" s="10">
        <v>1</v>
      </c>
      <c r="D820" s="9">
        <v>238</v>
      </c>
      <c r="E820" s="11" t="s">
        <v>561</v>
      </c>
      <c r="F820" s="11" t="str">
        <f t="shared" si="36"/>
        <v>https://purl.pt/37881</v>
      </c>
      <c r="G820" s="12" t="s">
        <v>562</v>
      </c>
      <c r="H820" s="9" t="s">
        <v>563</v>
      </c>
      <c r="I820" s="34"/>
      <c r="J820" s="55" t="str">
        <f t="shared" si="37"/>
        <v>https://permalinkbnd.bnportugal.gov.pt/viewer/14598/?offset=#page=238&amp;viewer=picture&amp;o=info&amp;n=0&amp;q=</v>
      </c>
      <c r="K820" s="45"/>
      <c r="L820" s="45"/>
      <c r="M820" s="45"/>
      <c r="N820" t="s">
        <v>561</v>
      </c>
      <c r="O820">
        <v>14598</v>
      </c>
      <c r="P820" t="str">
        <f t="shared" si="38"/>
        <v>https://permalinkbnd.bnportugal.gov.pt/viewer/14598/?offset=#page=238&amp;viewer=picture&amp;o=info&amp;n=0&amp;q=</v>
      </c>
      <c r="Q820">
        <v>381297</v>
      </c>
      <c r="R820" t="s">
        <v>561</v>
      </c>
      <c r="S820" t="s">
        <v>3400</v>
      </c>
      <c r="T820" t="s">
        <v>1178</v>
      </c>
      <c r="U820" t="s">
        <v>1192</v>
      </c>
      <c r="V820" t="s">
        <v>599</v>
      </c>
      <c r="W820" t="s">
        <v>1193</v>
      </c>
      <c r="X820" t="s">
        <v>3401</v>
      </c>
      <c r="Y820" t="s">
        <v>599</v>
      </c>
      <c r="Z820" t="s">
        <v>3402</v>
      </c>
      <c r="AA820" t="s">
        <v>3403</v>
      </c>
      <c r="AB820">
        <v>1817</v>
      </c>
      <c r="AC820">
        <v>1817</v>
      </c>
      <c r="AD820" t="s">
        <v>3404</v>
      </c>
      <c r="AE820" t="s">
        <v>1185</v>
      </c>
      <c r="AF820" t="s">
        <v>599</v>
      </c>
      <c r="AG820" t="s">
        <v>599</v>
      </c>
      <c r="AH820" t="s">
        <v>3405</v>
      </c>
      <c r="AI820" t="s">
        <v>599</v>
      </c>
      <c r="AJ820" t="s">
        <v>599</v>
      </c>
      <c r="AK820" t="s">
        <v>3406</v>
      </c>
      <c r="AL820" t="s">
        <v>599</v>
      </c>
      <c r="AM820" t="s">
        <v>3407</v>
      </c>
      <c r="AN820" t="s">
        <v>1190</v>
      </c>
      <c r="AO820" t="s">
        <v>599</v>
      </c>
      <c r="AP820" t="s">
        <v>599</v>
      </c>
      <c r="AQ820" t="s">
        <v>599</v>
      </c>
      <c r="AR820" t="s">
        <v>599</v>
      </c>
      <c r="AS820" t="s">
        <v>599</v>
      </c>
      <c r="AT820" t="s">
        <v>599</v>
      </c>
      <c r="AU820" t="s">
        <v>599</v>
      </c>
    </row>
    <row r="821" spans="1:47" ht="150" x14ac:dyDescent="0.25">
      <c r="A821" s="2">
        <v>12276</v>
      </c>
      <c r="B821" s="10">
        <v>381297</v>
      </c>
      <c r="C821" s="10">
        <v>1</v>
      </c>
      <c r="D821" s="9">
        <v>290</v>
      </c>
      <c r="E821" s="11" t="s">
        <v>561</v>
      </c>
      <c r="F821" s="11" t="str">
        <f t="shared" si="36"/>
        <v>https://purl.pt/37881</v>
      </c>
      <c r="G821" s="12" t="s">
        <v>562</v>
      </c>
      <c r="H821" s="9" t="s">
        <v>563</v>
      </c>
      <c r="I821" s="34"/>
      <c r="J821" s="55" t="str">
        <f t="shared" si="37"/>
        <v>https://permalinkbnd.bnportugal.gov.pt/viewer/14598/?offset=#page=290&amp;viewer=picture&amp;o=info&amp;n=0&amp;q=</v>
      </c>
      <c r="K821" s="45"/>
      <c r="L821" s="45"/>
      <c r="M821" s="45"/>
      <c r="N821" t="s">
        <v>561</v>
      </c>
      <c r="O821">
        <v>14598</v>
      </c>
      <c r="P821" t="str">
        <f t="shared" si="38"/>
        <v>https://permalinkbnd.bnportugal.gov.pt/viewer/14598/?offset=#page=290&amp;viewer=picture&amp;o=info&amp;n=0&amp;q=</v>
      </c>
      <c r="Q821">
        <v>381297</v>
      </c>
      <c r="R821" t="s">
        <v>561</v>
      </c>
      <c r="S821" t="s">
        <v>3400</v>
      </c>
      <c r="T821" t="s">
        <v>1178</v>
      </c>
      <c r="U821" t="s">
        <v>1192</v>
      </c>
      <c r="V821" t="s">
        <v>599</v>
      </c>
      <c r="W821" t="s">
        <v>1193</v>
      </c>
      <c r="X821" t="s">
        <v>3401</v>
      </c>
      <c r="Y821" t="s">
        <v>599</v>
      </c>
      <c r="Z821" t="s">
        <v>3402</v>
      </c>
      <c r="AA821" t="s">
        <v>3403</v>
      </c>
      <c r="AB821">
        <v>1817</v>
      </c>
      <c r="AC821">
        <v>1817</v>
      </c>
      <c r="AD821" t="s">
        <v>3404</v>
      </c>
      <c r="AE821" t="s">
        <v>1185</v>
      </c>
      <c r="AF821" t="s">
        <v>599</v>
      </c>
      <c r="AG821" t="s">
        <v>599</v>
      </c>
      <c r="AH821" t="s">
        <v>3405</v>
      </c>
      <c r="AI821" t="s">
        <v>599</v>
      </c>
      <c r="AJ821" t="s">
        <v>599</v>
      </c>
      <c r="AK821" t="s">
        <v>3406</v>
      </c>
      <c r="AL821" t="s">
        <v>599</v>
      </c>
      <c r="AM821" t="s">
        <v>3407</v>
      </c>
      <c r="AN821" t="s">
        <v>1190</v>
      </c>
      <c r="AO821" t="s">
        <v>599</v>
      </c>
      <c r="AP821" t="s">
        <v>599</v>
      </c>
      <c r="AQ821" t="s">
        <v>599</v>
      </c>
      <c r="AR821" t="s">
        <v>599</v>
      </c>
      <c r="AS821" t="s">
        <v>599</v>
      </c>
      <c r="AT821" t="s">
        <v>599</v>
      </c>
      <c r="AU821" t="s">
        <v>599</v>
      </c>
    </row>
    <row r="822" spans="1:47" ht="150" x14ac:dyDescent="0.25">
      <c r="A822" s="2">
        <v>12277</v>
      </c>
      <c r="B822" s="10">
        <v>381297</v>
      </c>
      <c r="C822" s="10">
        <v>1</v>
      </c>
      <c r="D822" s="9">
        <v>330</v>
      </c>
      <c r="E822" s="11" t="s">
        <v>561</v>
      </c>
      <c r="F822" s="11" t="str">
        <f t="shared" si="36"/>
        <v>https://purl.pt/37881</v>
      </c>
      <c r="G822" s="12" t="s">
        <v>562</v>
      </c>
      <c r="H822" s="9" t="s">
        <v>563</v>
      </c>
      <c r="I822" s="34"/>
      <c r="J822" s="55" t="str">
        <f t="shared" si="37"/>
        <v>https://permalinkbnd.bnportugal.gov.pt/viewer/14598/?offset=#page=330&amp;viewer=picture&amp;o=info&amp;n=0&amp;q=</v>
      </c>
      <c r="K822" s="45"/>
      <c r="L822" s="45"/>
      <c r="M822" s="45"/>
      <c r="N822" t="s">
        <v>561</v>
      </c>
      <c r="O822">
        <v>14598</v>
      </c>
      <c r="P822" t="str">
        <f t="shared" si="38"/>
        <v>https://permalinkbnd.bnportugal.gov.pt/viewer/14598/?offset=#page=330&amp;viewer=picture&amp;o=info&amp;n=0&amp;q=</v>
      </c>
      <c r="Q822">
        <v>381297</v>
      </c>
      <c r="R822" t="s">
        <v>561</v>
      </c>
      <c r="S822" t="s">
        <v>3400</v>
      </c>
      <c r="T822" t="s">
        <v>1178</v>
      </c>
      <c r="U822" t="s">
        <v>1192</v>
      </c>
      <c r="V822" t="s">
        <v>599</v>
      </c>
      <c r="W822" t="s">
        <v>1193</v>
      </c>
      <c r="X822" t="s">
        <v>3401</v>
      </c>
      <c r="Y822" t="s">
        <v>599</v>
      </c>
      <c r="Z822" t="s">
        <v>3402</v>
      </c>
      <c r="AA822" t="s">
        <v>3403</v>
      </c>
      <c r="AB822">
        <v>1817</v>
      </c>
      <c r="AC822">
        <v>1817</v>
      </c>
      <c r="AD822" t="s">
        <v>3404</v>
      </c>
      <c r="AE822" t="s">
        <v>1185</v>
      </c>
      <c r="AF822" t="s">
        <v>599</v>
      </c>
      <c r="AG822" t="s">
        <v>599</v>
      </c>
      <c r="AH822" t="s">
        <v>3405</v>
      </c>
      <c r="AI822" t="s">
        <v>599</v>
      </c>
      <c r="AJ822" t="s">
        <v>599</v>
      </c>
      <c r="AK822" t="s">
        <v>3406</v>
      </c>
      <c r="AL822" t="s">
        <v>599</v>
      </c>
      <c r="AM822" t="s">
        <v>3407</v>
      </c>
      <c r="AN822" t="s">
        <v>1190</v>
      </c>
      <c r="AO822" t="s">
        <v>599</v>
      </c>
      <c r="AP822" t="s">
        <v>599</v>
      </c>
      <c r="AQ822" t="s">
        <v>599</v>
      </c>
      <c r="AR822" t="s">
        <v>599</v>
      </c>
      <c r="AS822" t="s">
        <v>599</v>
      </c>
      <c r="AT822" t="s">
        <v>599</v>
      </c>
      <c r="AU822" t="s">
        <v>599</v>
      </c>
    </row>
    <row r="823" spans="1:47" ht="150" x14ac:dyDescent="0.25">
      <c r="A823" s="2">
        <v>12278</v>
      </c>
      <c r="B823" s="10">
        <v>381297</v>
      </c>
      <c r="C823" s="10">
        <v>1</v>
      </c>
      <c r="D823" s="9">
        <v>368</v>
      </c>
      <c r="E823" s="11" t="s">
        <v>561</v>
      </c>
      <c r="F823" s="11" t="str">
        <f t="shared" si="36"/>
        <v>https://purl.pt/37881</v>
      </c>
      <c r="G823" s="12" t="s">
        <v>562</v>
      </c>
      <c r="H823" s="9" t="s">
        <v>563</v>
      </c>
      <c r="I823" s="34"/>
      <c r="J823" s="55" t="str">
        <f t="shared" si="37"/>
        <v>https://permalinkbnd.bnportugal.gov.pt/viewer/14598/?offset=#page=368&amp;viewer=picture&amp;o=info&amp;n=0&amp;q=</v>
      </c>
      <c r="K823" s="45"/>
      <c r="L823" s="45"/>
      <c r="M823" s="45"/>
      <c r="N823" t="s">
        <v>561</v>
      </c>
      <c r="O823">
        <v>14598</v>
      </c>
      <c r="P823" t="str">
        <f t="shared" si="38"/>
        <v>https://permalinkbnd.bnportugal.gov.pt/viewer/14598/?offset=#page=368&amp;viewer=picture&amp;o=info&amp;n=0&amp;q=</v>
      </c>
      <c r="Q823">
        <v>381297</v>
      </c>
      <c r="R823" t="s">
        <v>561</v>
      </c>
      <c r="S823" t="s">
        <v>3400</v>
      </c>
      <c r="T823" t="s">
        <v>1178</v>
      </c>
      <c r="U823" t="s">
        <v>1192</v>
      </c>
      <c r="V823" t="s">
        <v>599</v>
      </c>
      <c r="W823" t="s">
        <v>1193</v>
      </c>
      <c r="X823" t="s">
        <v>3401</v>
      </c>
      <c r="Y823" t="s">
        <v>599</v>
      </c>
      <c r="Z823" t="s">
        <v>3402</v>
      </c>
      <c r="AA823" t="s">
        <v>3403</v>
      </c>
      <c r="AB823">
        <v>1817</v>
      </c>
      <c r="AC823">
        <v>1817</v>
      </c>
      <c r="AD823" t="s">
        <v>3404</v>
      </c>
      <c r="AE823" t="s">
        <v>1185</v>
      </c>
      <c r="AF823" t="s">
        <v>599</v>
      </c>
      <c r="AG823" t="s">
        <v>599</v>
      </c>
      <c r="AH823" t="s">
        <v>3405</v>
      </c>
      <c r="AI823" t="s">
        <v>599</v>
      </c>
      <c r="AJ823" t="s">
        <v>599</v>
      </c>
      <c r="AK823" t="s">
        <v>3406</v>
      </c>
      <c r="AL823" t="s">
        <v>599</v>
      </c>
      <c r="AM823" t="s">
        <v>3407</v>
      </c>
      <c r="AN823" t="s">
        <v>1190</v>
      </c>
      <c r="AO823" t="s">
        <v>599</v>
      </c>
      <c r="AP823" t="s">
        <v>599</v>
      </c>
      <c r="AQ823" t="s">
        <v>599</v>
      </c>
      <c r="AR823" t="s">
        <v>599</v>
      </c>
      <c r="AS823" t="s">
        <v>599</v>
      </c>
      <c r="AT823" t="s">
        <v>599</v>
      </c>
      <c r="AU823" t="s">
        <v>599</v>
      </c>
    </row>
    <row r="824" spans="1:47" ht="150" x14ac:dyDescent="0.25">
      <c r="A824" s="2">
        <v>12279</v>
      </c>
      <c r="B824" s="10">
        <v>381297</v>
      </c>
      <c r="C824" s="10">
        <v>1</v>
      </c>
      <c r="D824" s="9">
        <v>406</v>
      </c>
      <c r="E824" s="11" t="s">
        <v>561</v>
      </c>
      <c r="F824" s="11" t="str">
        <f t="shared" si="36"/>
        <v>https://purl.pt/37881</v>
      </c>
      <c r="G824" s="12" t="s">
        <v>562</v>
      </c>
      <c r="H824" s="9" t="s">
        <v>563</v>
      </c>
      <c r="I824" s="34"/>
      <c r="J824" s="55" t="str">
        <f t="shared" si="37"/>
        <v>https://permalinkbnd.bnportugal.gov.pt/viewer/14598/?offset=#page=406&amp;viewer=picture&amp;o=info&amp;n=0&amp;q=</v>
      </c>
      <c r="K824" s="45"/>
      <c r="L824" s="45"/>
      <c r="M824" s="45"/>
      <c r="N824" t="s">
        <v>561</v>
      </c>
      <c r="O824">
        <v>14598</v>
      </c>
      <c r="P824" t="str">
        <f t="shared" si="38"/>
        <v>https://permalinkbnd.bnportugal.gov.pt/viewer/14598/?offset=#page=406&amp;viewer=picture&amp;o=info&amp;n=0&amp;q=</v>
      </c>
      <c r="Q824">
        <v>381297</v>
      </c>
      <c r="R824" t="s">
        <v>561</v>
      </c>
      <c r="S824" t="s">
        <v>3400</v>
      </c>
      <c r="T824" t="s">
        <v>1178</v>
      </c>
      <c r="U824" t="s">
        <v>1192</v>
      </c>
      <c r="V824" t="s">
        <v>599</v>
      </c>
      <c r="W824" t="s">
        <v>1193</v>
      </c>
      <c r="X824" t="s">
        <v>3401</v>
      </c>
      <c r="Y824" t="s">
        <v>599</v>
      </c>
      <c r="Z824" t="s">
        <v>3402</v>
      </c>
      <c r="AA824" t="s">
        <v>3403</v>
      </c>
      <c r="AB824">
        <v>1817</v>
      </c>
      <c r="AC824">
        <v>1817</v>
      </c>
      <c r="AD824" t="s">
        <v>3404</v>
      </c>
      <c r="AE824" t="s">
        <v>1185</v>
      </c>
      <c r="AF824" t="s">
        <v>599</v>
      </c>
      <c r="AG824" t="s">
        <v>599</v>
      </c>
      <c r="AH824" t="s">
        <v>3405</v>
      </c>
      <c r="AI824" t="s">
        <v>599</v>
      </c>
      <c r="AJ824" t="s">
        <v>599</v>
      </c>
      <c r="AK824" t="s">
        <v>3406</v>
      </c>
      <c r="AL824" t="s">
        <v>599</v>
      </c>
      <c r="AM824" t="s">
        <v>3407</v>
      </c>
      <c r="AN824" t="s">
        <v>1190</v>
      </c>
      <c r="AO824" t="s">
        <v>599</v>
      </c>
      <c r="AP824" t="s">
        <v>599</v>
      </c>
      <c r="AQ824" t="s">
        <v>599</v>
      </c>
      <c r="AR824" t="s">
        <v>599</v>
      </c>
      <c r="AS824" t="s">
        <v>599</v>
      </c>
      <c r="AT824" t="s">
        <v>599</v>
      </c>
      <c r="AU824" t="s">
        <v>599</v>
      </c>
    </row>
    <row r="825" spans="1:47" ht="150" x14ac:dyDescent="0.25">
      <c r="A825" s="2">
        <v>12280</v>
      </c>
      <c r="B825" s="10">
        <v>381297</v>
      </c>
      <c r="C825" s="10">
        <v>1</v>
      </c>
      <c r="D825" s="9">
        <v>440</v>
      </c>
      <c r="E825" s="11" t="s">
        <v>561</v>
      </c>
      <c r="F825" s="11" t="str">
        <f t="shared" si="36"/>
        <v>https://purl.pt/37881</v>
      </c>
      <c r="G825" s="12" t="s">
        <v>562</v>
      </c>
      <c r="H825" s="9" t="s">
        <v>563</v>
      </c>
      <c r="I825" s="34"/>
      <c r="J825" s="55" t="str">
        <f t="shared" si="37"/>
        <v>https://permalinkbnd.bnportugal.gov.pt/viewer/14598/?offset=#page=440&amp;viewer=picture&amp;o=info&amp;n=0&amp;q=</v>
      </c>
      <c r="K825" s="45"/>
      <c r="L825" s="45"/>
      <c r="M825" s="45"/>
      <c r="N825" t="s">
        <v>561</v>
      </c>
      <c r="O825">
        <v>14598</v>
      </c>
      <c r="P825" t="str">
        <f t="shared" si="38"/>
        <v>https://permalinkbnd.bnportugal.gov.pt/viewer/14598/?offset=#page=440&amp;viewer=picture&amp;o=info&amp;n=0&amp;q=</v>
      </c>
      <c r="Q825">
        <v>381297</v>
      </c>
      <c r="R825" t="s">
        <v>561</v>
      </c>
      <c r="S825" t="s">
        <v>3400</v>
      </c>
      <c r="T825" t="s">
        <v>1178</v>
      </c>
      <c r="U825" t="s">
        <v>1192</v>
      </c>
      <c r="V825" t="s">
        <v>599</v>
      </c>
      <c r="W825" t="s">
        <v>1193</v>
      </c>
      <c r="X825" t="s">
        <v>3401</v>
      </c>
      <c r="Y825" t="s">
        <v>599</v>
      </c>
      <c r="Z825" t="s">
        <v>3402</v>
      </c>
      <c r="AA825" t="s">
        <v>3403</v>
      </c>
      <c r="AB825">
        <v>1817</v>
      </c>
      <c r="AC825">
        <v>1817</v>
      </c>
      <c r="AD825" t="s">
        <v>3404</v>
      </c>
      <c r="AE825" t="s">
        <v>1185</v>
      </c>
      <c r="AF825" t="s">
        <v>599</v>
      </c>
      <c r="AG825" t="s">
        <v>599</v>
      </c>
      <c r="AH825" t="s">
        <v>3405</v>
      </c>
      <c r="AI825" t="s">
        <v>599</v>
      </c>
      <c r="AJ825" t="s">
        <v>599</v>
      </c>
      <c r="AK825" t="s">
        <v>3406</v>
      </c>
      <c r="AL825" t="s">
        <v>599</v>
      </c>
      <c r="AM825" t="s">
        <v>3407</v>
      </c>
      <c r="AN825" t="s">
        <v>1190</v>
      </c>
      <c r="AO825" t="s">
        <v>599</v>
      </c>
      <c r="AP825" t="s">
        <v>599</v>
      </c>
      <c r="AQ825" t="s">
        <v>599</v>
      </c>
      <c r="AR825" t="s">
        <v>599</v>
      </c>
      <c r="AS825" t="s">
        <v>599</v>
      </c>
      <c r="AT825" t="s">
        <v>599</v>
      </c>
      <c r="AU825" t="s">
        <v>599</v>
      </c>
    </row>
    <row r="826" spans="1:47" ht="150" x14ac:dyDescent="0.25">
      <c r="A826" s="2">
        <v>12281</v>
      </c>
      <c r="B826" s="10">
        <v>381297</v>
      </c>
      <c r="C826" s="10">
        <v>1</v>
      </c>
      <c r="D826" s="9">
        <v>478</v>
      </c>
      <c r="E826" s="11" t="s">
        <v>561</v>
      </c>
      <c r="F826" s="11" t="str">
        <f t="shared" si="36"/>
        <v>https://purl.pt/37881</v>
      </c>
      <c r="G826" s="12" t="s">
        <v>562</v>
      </c>
      <c r="H826" s="9" t="s">
        <v>563</v>
      </c>
      <c r="I826" s="34"/>
      <c r="J826" s="55" t="str">
        <f t="shared" si="37"/>
        <v>https://permalinkbnd.bnportugal.gov.pt/viewer/14598/?offset=#page=478&amp;viewer=picture&amp;o=info&amp;n=0&amp;q=</v>
      </c>
      <c r="K826" s="45"/>
      <c r="L826" s="45"/>
      <c r="M826" s="45"/>
      <c r="N826" t="s">
        <v>561</v>
      </c>
      <c r="O826">
        <v>14598</v>
      </c>
      <c r="P826" t="str">
        <f t="shared" si="38"/>
        <v>https://permalinkbnd.bnportugal.gov.pt/viewer/14598/?offset=#page=478&amp;viewer=picture&amp;o=info&amp;n=0&amp;q=</v>
      </c>
      <c r="Q826">
        <v>381297</v>
      </c>
      <c r="R826" t="s">
        <v>561</v>
      </c>
      <c r="S826" t="s">
        <v>3400</v>
      </c>
      <c r="T826" t="s">
        <v>1178</v>
      </c>
      <c r="U826" t="s">
        <v>1192</v>
      </c>
      <c r="V826" t="s">
        <v>599</v>
      </c>
      <c r="W826" t="s">
        <v>1193</v>
      </c>
      <c r="X826" t="s">
        <v>3401</v>
      </c>
      <c r="Y826" t="s">
        <v>599</v>
      </c>
      <c r="Z826" t="s">
        <v>3402</v>
      </c>
      <c r="AA826" t="s">
        <v>3403</v>
      </c>
      <c r="AB826">
        <v>1817</v>
      </c>
      <c r="AC826">
        <v>1817</v>
      </c>
      <c r="AD826" t="s">
        <v>3404</v>
      </c>
      <c r="AE826" t="s">
        <v>1185</v>
      </c>
      <c r="AF826" t="s">
        <v>599</v>
      </c>
      <c r="AG826" t="s">
        <v>599</v>
      </c>
      <c r="AH826" t="s">
        <v>3405</v>
      </c>
      <c r="AI826" t="s">
        <v>599</v>
      </c>
      <c r="AJ826" t="s">
        <v>599</v>
      </c>
      <c r="AK826" t="s">
        <v>3406</v>
      </c>
      <c r="AL826" t="s">
        <v>599</v>
      </c>
      <c r="AM826" t="s">
        <v>3407</v>
      </c>
      <c r="AN826" t="s">
        <v>1190</v>
      </c>
      <c r="AO826" t="s">
        <v>599</v>
      </c>
      <c r="AP826" t="s">
        <v>599</v>
      </c>
      <c r="AQ826" t="s">
        <v>599</v>
      </c>
      <c r="AR826" t="s">
        <v>599</v>
      </c>
      <c r="AS826" t="s">
        <v>599</v>
      </c>
      <c r="AT826" t="s">
        <v>599</v>
      </c>
      <c r="AU826" t="s">
        <v>599</v>
      </c>
    </row>
    <row r="827" spans="1:47" ht="150" x14ac:dyDescent="0.25">
      <c r="A827" s="2">
        <v>12282</v>
      </c>
      <c r="B827" s="10">
        <v>381297</v>
      </c>
      <c r="C827" s="10">
        <v>1</v>
      </c>
      <c r="D827" s="9">
        <v>514</v>
      </c>
      <c r="E827" s="11" t="s">
        <v>561</v>
      </c>
      <c r="F827" s="11" t="str">
        <f t="shared" si="36"/>
        <v>https://purl.pt/37881</v>
      </c>
      <c r="G827" s="12" t="s">
        <v>562</v>
      </c>
      <c r="H827" s="9" t="s">
        <v>563</v>
      </c>
      <c r="I827" s="34"/>
      <c r="J827" s="55" t="str">
        <f t="shared" si="37"/>
        <v>https://permalinkbnd.bnportugal.gov.pt/viewer/14598/?offset=#page=514&amp;viewer=picture&amp;o=info&amp;n=0&amp;q=</v>
      </c>
      <c r="K827" s="45"/>
      <c r="L827" s="45"/>
      <c r="M827" s="45"/>
      <c r="N827" t="s">
        <v>561</v>
      </c>
      <c r="O827">
        <v>14598</v>
      </c>
      <c r="P827" t="str">
        <f t="shared" si="38"/>
        <v>https://permalinkbnd.bnportugal.gov.pt/viewer/14598/?offset=#page=514&amp;viewer=picture&amp;o=info&amp;n=0&amp;q=</v>
      </c>
      <c r="Q827">
        <v>381297</v>
      </c>
      <c r="R827" t="s">
        <v>561</v>
      </c>
      <c r="S827" t="s">
        <v>3400</v>
      </c>
      <c r="T827" t="s">
        <v>1178</v>
      </c>
      <c r="U827" t="s">
        <v>1192</v>
      </c>
      <c r="V827" t="s">
        <v>599</v>
      </c>
      <c r="W827" t="s">
        <v>1193</v>
      </c>
      <c r="X827" t="s">
        <v>3401</v>
      </c>
      <c r="Y827" t="s">
        <v>599</v>
      </c>
      <c r="Z827" t="s">
        <v>3402</v>
      </c>
      <c r="AA827" t="s">
        <v>3403</v>
      </c>
      <c r="AB827">
        <v>1817</v>
      </c>
      <c r="AC827">
        <v>1817</v>
      </c>
      <c r="AD827" t="s">
        <v>3404</v>
      </c>
      <c r="AE827" t="s">
        <v>1185</v>
      </c>
      <c r="AF827" t="s">
        <v>599</v>
      </c>
      <c r="AG827" t="s">
        <v>599</v>
      </c>
      <c r="AH827" t="s">
        <v>3405</v>
      </c>
      <c r="AI827" t="s">
        <v>599</v>
      </c>
      <c r="AJ827" t="s">
        <v>599</v>
      </c>
      <c r="AK827" t="s">
        <v>3406</v>
      </c>
      <c r="AL827" t="s">
        <v>599</v>
      </c>
      <c r="AM827" t="s">
        <v>3407</v>
      </c>
      <c r="AN827" t="s">
        <v>1190</v>
      </c>
      <c r="AO827" t="s">
        <v>599</v>
      </c>
      <c r="AP827" t="s">
        <v>599</v>
      </c>
      <c r="AQ827" t="s">
        <v>599</v>
      </c>
      <c r="AR827" t="s">
        <v>599</v>
      </c>
      <c r="AS827" t="s">
        <v>599</v>
      </c>
      <c r="AT827" t="s">
        <v>599</v>
      </c>
      <c r="AU827" t="s">
        <v>599</v>
      </c>
    </row>
    <row r="828" spans="1:47" ht="30" x14ac:dyDescent="0.25">
      <c r="A828" s="2">
        <v>12283</v>
      </c>
      <c r="B828" s="10">
        <v>381496</v>
      </c>
      <c r="C828" s="10">
        <v>1</v>
      </c>
      <c r="D828" s="9">
        <v>10</v>
      </c>
      <c r="E828" s="11" t="s">
        <v>564</v>
      </c>
      <c r="F828" s="11" t="str">
        <f t="shared" si="36"/>
        <v>https://purl.pt/37776</v>
      </c>
      <c r="G828" s="12" t="s">
        <v>565</v>
      </c>
      <c r="H828" s="9" t="s">
        <v>566</v>
      </c>
      <c r="I828" s="34"/>
      <c r="J828" s="55" t="str">
        <f t="shared" si="37"/>
        <v>https://permalinkbnd.bnportugal.gov.pt/viewer/14581/?offset=#page=10&amp;viewer=picture&amp;o=info&amp;n=0&amp;q=</v>
      </c>
      <c r="K828" s="45"/>
      <c r="L828" s="45"/>
      <c r="M828" s="45"/>
      <c r="N828" t="s">
        <v>564</v>
      </c>
      <c r="O828">
        <v>14581</v>
      </c>
      <c r="P828" t="str">
        <f t="shared" si="38"/>
        <v>https://permalinkbnd.bnportugal.gov.pt/viewer/14581/?offset=#page=10&amp;viewer=picture&amp;o=info&amp;n=0&amp;q=</v>
      </c>
      <c r="Q828">
        <v>381496</v>
      </c>
      <c r="R828" t="s">
        <v>564</v>
      </c>
      <c r="S828" t="s">
        <v>3408</v>
      </c>
      <c r="T828" t="s">
        <v>1178</v>
      </c>
      <c r="U828" t="s">
        <v>1321</v>
      </c>
      <c r="V828" t="s">
        <v>599</v>
      </c>
      <c r="W828" t="s">
        <v>1193</v>
      </c>
      <c r="X828" t="s">
        <v>3409</v>
      </c>
      <c r="Y828" t="s">
        <v>599</v>
      </c>
      <c r="Z828" t="s">
        <v>1182</v>
      </c>
      <c r="AA828" t="s">
        <v>1221</v>
      </c>
      <c r="AB828">
        <v>1878</v>
      </c>
      <c r="AC828">
        <v>1878</v>
      </c>
      <c r="AD828" t="s">
        <v>3410</v>
      </c>
      <c r="AE828" t="s">
        <v>1185</v>
      </c>
      <c r="AF828" t="s">
        <v>599</v>
      </c>
      <c r="AG828" t="s">
        <v>599</v>
      </c>
      <c r="AH828" t="s">
        <v>3411</v>
      </c>
      <c r="AI828" t="s">
        <v>599</v>
      </c>
      <c r="AJ828" t="s">
        <v>599</v>
      </c>
      <c r="AK828" t="s">
        <v>3412</v>
      </c>
      <c r="AL828" t="s">
        <v>599</v>
      </c>
      <c r="AM828" t="s">
        <v>3413</v>
      </c>
      <c r="AN828" t="s">
        <v>1190</v>
      </c>
      <c r="AO828" t="s">
        <v>599</v>
      </c>
      <c r="AP828" t="s">
        <v>599</v>
      </c>
      <c r="AQ828" t="s">
        <v>599</v>
      </c>
      <c r="AR828" t="s">
        <v>599</v>
      </c>
      <c r="AS828" t="s">
        <v>599</v>
      </c>
      <c r="AT828" t="s">
        <v>599</v>
      </c>
      <c r="AU828" t="s">
        <v>599</v>
      </c>
    </row>
    <row r="829" spans="1:47" ht="30" x14ac:dyDescent="0.25">
      <c r="A829" s="2">
        <v>12284</v>
      </c>
      <c r="B829" s="10">
        <v>381496</v>
      </c>
      <c r="C829" s="10">
        <v>1</v>
      </c>
      <c r="D829" s="9">
        <v>49</v>
      </c>
      <c r="E829" s="11" t="s">
        <v>564</v>
      </c>
      <c r="F829" s="11" t="str">
        <f t="shared" si="36"/>
        <v>https://purl.pt/37776</v>
      </c>
      <c r="G829" s="12" t="s">
        <v>565</v>
      </c>
      <c r="H829" s="9" t="s">
        <v>566</v>
      </c>
      <c r="I829" s="34"/>
      <c r="J829" s="55" t="str">
        <f t="shared" si="37"/>
        <v>https://permalinkbnd.bnportugal.gov.pt/viewer/14581/?offset=#page=49&amp;viewer=picture&amp;o=info&amp;n=0&amp;q=</v>
      </c>
      <c r="K829" s="45"/>
      <c r="L829" s="45"/>
      <c r="M829" s="45"/>
      <c r="N829" t="s">
        <v>564</v>
      </c>
      <c r="O829">
        <v>14581</v>
      </c>
      <c r="P829" t="str">
        <f t="shared" si="38"/>
        <v>https://permalinkbnd.bnportugal.gov.pt/viewer/14581/?offset=#page=49&amp;viewer=picture&amp;o=info&amp;n=0&amp;q=</v>
      </c>
      <c r="Q829">
        <v>381496</v>
      </c>
      <c r="R829" t="s">
        <v>564</v>
      </c>
      <c r="S829" t="s">
        <v>3408</v>
      </c>
      <c r="T829" t="s">
        <v>1178</v>
      </c>
      <c r="U829" t="s">
        <v>1321</v>
      </c>
      <c r="V829" t="s">
        <v>599</v>
      </c>
      <c r="W829" t="s">
        <v>1193</v>
      </c>
      <c r="X829" t="s">
        <v>3409</v>
      </c>
      <c r="Y829" t="s">
        <v>599</v>
      </c>
      <c r="Z829" t="s">
        <v>1182</v>
      </c>
      <c r="AA829" t="s">
        <v>1221</v>
      </c>
      <c r="AB829">
        <v>1878</v>
      </c>
      <c r="AC829">
        <v>1878</v>
      </c>
      <c r="AD829" t="s">
        <v>3410</v>
      </c>
      <c r="AE829" t="s">
        <v>1185</v>
      </c>
      <c r="AF829" t="s">
        <v>599</v>
      </c>
      <c r="AG829" t="s">
        <v>599</v>
      </c>
      <c r="AH829" t="s">
        <v>3411</v>
      </c>
      <c r="AI829" t="s">
        <v>599</v>
      </c>
      <c r="AJ829" t="s">
        <v>599</v>
      </c>
      <c r="AK829" t="s">
        <v>3412</v>
      </c>
      <c r="AL829" t="s">
        <v>599</v>
      </c>
      <c r="AM829" t="s">
        <v>3413</v>
      </c>
      <c r="AN829" t="s">
        <v>1190</v>
      </c>
      <c r="AO829" t="s">
        <v>599</v>
      </c>
      <c r="AP829" t="s">
        <v>599</v>
      </c>
      <c r="AQ829" t="s">
        <v>599</v>
      </c>
      <c r="AR829" t="s">
        <v>599</v>
      </c>
      <c r="AS829" t="s">
        <v>599</v>
      </c>
      <c r="AT829" t="s">
        <v>599</v>
      </c>
      <c r="AU829" t="s">
        <v>599</v>
      </c>
    </row>
    <row r="830" spans="1:47" ht="30" x14ac:dyDescent="0.25">
      <c r="A830" s="2">
        <v>12285</v>
      </c>
      <c r="B830" s="10">
        <v>381496</v>
      </c>
      <c r="C830" s="10">
        <v>1</v>
      </c>
      <c r="D830" s="9">
        <v>83</v>
      </c>
      <c r="E830" s="11" t="s">
        <v>564</v>
      </c>
      <c r="F830" s="11" t="str">
        <f t="shared" si="36"/>
        <v>https://purl.pt/37776</v>
      </c>
      <c r="G830" s="12" t="s">
        <v>565</v>
      </c>
      <c r="H830" s="9" t="s">
        <v>566</v>
      </c>
      <c r="I830" s="34"/>
      <c r="J830" s="55" t="str">
        <f t="shared" si="37"/>
        <v>https://permalinkbnd.bnportugal.gov.pt/viewer/14581/?offset=#page=83&amp;viewer=picture&amp;o=info&amp;n=0&amp;q=</v>
      </c>
      <c r="K830" s="45"/>
      <c r="L830" s="45"/>
      <c r="M830" s="45"/>
      <c r="N830" t="s">
        <v>564</v>
      </c>
      <c r="O830">
        <v>14581</v>
      </c>
      <c r="P830" t="str">
        <f t="shared" si="38"/>
        <v>https://permalinkbnd.bnportugal.gov.pt/viewer/14581/?offset=#page=83&amp;viewer=picture&amp;o=info&amp;n=0&amp;q=</v>
      </c>
      <c r="Q830">
        <v>381496</v>
      </c>
      <c r="R830" t="s">
        <v>564</v>
      </c>
      <c r="S830" t="s">
        <v>3408</v>
      </c>
      <c r="T830" t="s">
        <v>1178</v>
      </c>
      <c r="U830" t="s">
        <v>1321</v>
      </c>
      <c r="V830" t="s">
        <v>599</v>
      </c>
      <c r="W830" t="s">
        <v>1193</v>
      </c>
      <c r="X830" t="s">
        <v>3409</v>
      </c>
      <c r="Y830" t="s">
        <v>599</v>
      </c>
      <c r="Z830" t="s">
        <v>1182</v>
      </c>
      <c r="AA830" t="s">
        <v>1221</v>
      </c>
      <c r="AB830">
        <v>1878</v>
      </c>
      <c r="AC830">
        <v>1878</v>
      </c>
      <c r="AD830" t="s">
        <v>3410</v>
      </c>
      <c r="AE830" t="s">
        <v>1185</v>
      </c>
      <c r="AF830" t="s">
        <v>599</v>
      </c>
      <c r="AG830" t="s">
        <v>599</v>
      </c>
      <c r="AH830" t="s">
        <v>3411</v>
      </c>
      <c r="AI830" t="s">
        <v>599</v>
      </c>
      <c r="AJ830" t="s">
        <v>599</v>
      </c>
      <c r="AK830" t="s">
        <v>3412</v>
      </c>
      <c r="AL830" t="s">
        <v>599</v>
      </c>
      <c r="AM830" t="s">
        <v>3413</v>
      </c>
      <c r="AN830" t="s">
        <v>1190</v>
      </c>
      <c r="AO830" t="s">
        <v>599</v>
      </c>
      <c r="AP830" t="s">
        <v>599</v>
      </c>
      <c r="AQ830" t="s">
        <v>599</v>
      </c>
      <c r="AR830" t="s">
        <v>599</v>
      </c>
      <c r="AS830" t="s">
        <v>599</v>
      </c>
      <c r="AT830" t="s">
        <v>599</v>
      </c>
      <c r="AU830" t="s">
        <v>599</v>
      </c>
    </row>
    <row r="831" spans="1:47" ht="30" x14ac:dyDescent="0.25">
      <c r="A831" s="2">
        <v>12286</v>
      </c>
      <c r="B831" s="10">
        <v>381496</v>
      </c>
      <c r="C831" s="10">
        <v>1</v>
      </c>
      <c r="D831" s="9">
        <v>119</v>
      </c>
      <c r="E831" s="11" t="s">
        <v>564</v>
      </c>
      <c r="F831" s="11" t="str">
        <f t="shared" si="36"/>
        <v>https://purl.pt/37776</v>
      </c>
      <c r="G831" s="12" t="s">
        <v>565</v>
      </c>
      <c r="H831" s="9" t="s">
        <v>566</v>
      </c>
      <c r="I831" s="34"/>
      <c r="J831" s="55" t="str">
        <f t="shared" si="37"/>
        <v>https://permalinkbnd.bnportugal.gov.pt/viewer/14581/?offset=#page=119&amp;viewer=picture&amp;o=info&amp;n=0&amp;q=</v>
      </c>
      <c r="K831" s="45"/>
      <c r="L831" s="45"/>
      <c r="M831" s="45"/>
      <c r="N831" t="s">
        <v>564</v>
      </c>
      <c r="O831">
        <v>14581</v>
      </c>
      <c r="P831" t="str">
        <f t="shared" si="38"/>
        <v>https://permalinkbnd.bnportugal.gov.pt/viewer/14581/?offset=#page=119&amp;viewer=picture&amp;o=info&amp;n=0&amp;q=</v>
      </c>
      <c r="Q831">
        <v>381496</v>
      </c>
      <c r="R831" t="s">
        <v>564</v>
      </c>
      <c r="S831" t="s">
        <v>3408</v>
      </c>
      <c r="T831" t="s">
        <v>1178</v>
      </c>
      <c r="U831" t="s">
        <v>1321</v>
      </c>
      <c r="V831" t="s">
        <v>599</v>
      </c>
      <c r="W831" t="s">
        <v>1193</v>
      </c>
      <c r="X831" t="s">
        <v>3409</v>
      </c>
      <c r="Y831" t="s">
        <v>599</v>
      </c>
      <c r="Z831" t="s">
        <v>1182</v>
      </c>
      <c r="AA831" t="s">
        <v>1221</v>
      </c>
      <c r="AB831">
        <v>1878</v>
      </c>
      <c r="AC831">
        <v>1878</v>
      </c>
      <c r="AD831" t="s">
        <v>3410</v>
      </c>
      <c r="AE831" t="s">
        <v>1185</v>
      </c>
      <c r="AF831" t="s">
        <v>599</v>
      </c>
      <c r="AG831" t="s">
        <v>599</v>
      </c>
      <c r="AH831" t="s">
        <v>3411</v>
      </c>
      <c r="AI831" t="s">
        <v>599</v>
      </c>
      <c r="AJ831" t="s">
        <v>599</v>
      </c>
      <c r="AK831" t="s">
        <v>3412</v>
      </c>
      <c r="AL831" t="s">
        <v>599</v>
      </c>
      <c r="AM831" t="s">
        <v>3413</v>
      </c>
      <c r="AN831" t="s">
        <v>1190</v>
      </c>
      <c r="AO831" t="s">
        <v>599</v>
      </c>
      <c r="AP831" t="s">
        <v>599</v>
      </c>
      <c r="AQ831" t="s">
        <v>599</v>
      </c>
      <c r="AR831" t="s">
        <v>599</v>
      </c>
      <c r="AS831" t="s">
        <v>599</v>
      </c>
      <c r="AT831" t="s">
        <v>599</v>
      </c>
      <c r="AU831" t="s">
        <v>599</v>
      </c>
    </row>
    <row r="832" spans="1:47" ht="30" x14ac:dyDescent="0.25">
      <c r="A832" s="2">
        <v>12287</v>
      </c>
      <c r="B832" s="10">
        <v>381496</v>
      </c>
      <c r="C832" s="10">
        <v>1</v>
      </c>
      <c r="D832" s="9">
        <v>161</v>
      </c>
      <c r="E832" s="11" t="s">
        <v>564</v>
      </c>
      <c r="F832" s="11" t="str">
        <f t="shared" ref="F832:F867" si="39">HYPERLINK(E832)</f>
        <v>https://purl.pt/37776</v>
      </c>
      <c r="G832" s="12" t="s">
        <v>565</v>
      </c>
      <c r="H832" s="9" t="s">
        <v>566</v>
      </c>
      <c r="I832" s="34"/>
      <c r="J832" s="55" t="str">
        <f t="shared" si="37"/>
        <v>https://permalinkbnd.bnportugal.gov.pt/viewer/14581/?offset=#page=161&amp;viewer=picture&amp;o=info&amp;n=0&amp;q=</v>
      </c>
      <c r="K832" s="45"/>
      <c r="L832" s="45"/>
      <c r="M832" s="45"/>
      <c r="N832" t="s">
        <v>564</v>
      </c>
      <c r="O832">
        <v>14581</v>
      </c>
      <c r="P832" t="str">
        <f t="shared" si="38"/>
        <v>https://permalinkbnd.bnportugal.gov.pt/viewer/14581/?offset=#page=161&amp;viewer=picture&amp;o=info&amp;n=0&amp;q=</v>
      </c>
      <c r="Q832">
        <v>381496</v>
      </c>
      <c r="R832" t="s">
        <v>564</v>
      </c>
      <c r="S832" t="s">
        <v>3408</v>
      </c>
      <c r="T832" t="s">
        <v>1178</v>
      </c>
      <c r="U832" t="s">
        <v>1321</v>
      </c>
      <c r="V832" t="s">
        <v>599</v>
      </c>
      <c r="W832" t="s">
        <v>1193</v>
      </c>
      <c r="X832" t="s">
        <v>3409</v>
      </c>
      <c r="Y832" t="s">
        <v>599</v>
      </c>
      <c r="Z832" t="s">
        <v>1182</v>
      </c>
      <c r="AA832" t="s">
        <v>1221</v>
      </c>
      <c r="AB832">
        <v>1878</v>
      </c>
      <c r="AC832">
        <v>1878</v>
      </c>
      <c r="AD832" t="s">
        <v>3410</v>
      </c>
      <c r="AE832" t="s">
        <v>1185</v>
      </c>
      <c r="AF832" t="s">
        <v>599</v>
      </c>
      <c r="AG832" t="s">
        <v>599</v>
      </c>
      <c r="AH832" t="s">
        <v>3411</v>
      </c>
      <c r="AI832" t="s">
        <v>599</v>
      </c>
      <c r="AJ832" t="s">
        <v>599</v>
      </c>
      <c r="AK832" t="s">
        <v>3412</v>
      </c>
      <c r="AL832" t="s">
        <v>599</v>
      </c>
      <c r="AM832" t="s">
        <v>3413</v>
      </c>
      <c r="AN832" t="s">
        <v>1190</v>
      </c>
      <c r="AO832" t="s">
        <v>599</v>
      </c>
      <c r="AP832" t="s">
        <v>599</v>
      </c>
      <c r="AQ832" t="s">
        <v>599</v>
      </c>
      <c r="AR832" t="s">
        <v>599</v>
      </c>
      <c r="AS832" t="s">
        <v>599</v>
      </c>
      <c r="AT832" t="s">
        <v>599</v>
      </c>
      <c r="AU832" t="s">
        <v>599</v>
      </c>
    </row>
    <row r="833" spans="1:47" ht="30" x14ac:dyDescent="0.25">
      <c r="A833" s="2">
        <v>12288</v>
      </c>
      <c r="B833" s="10">
        <v>381496</v>
      </c>
      <c r="C833" s="10">
        <v>1</v>
      </c>
      <c r="D833" s="9">
        <v>195</v>
      </c>
      <c r="E833" s="11" t="s">
        <v>564</v>
      </c>
      <c r="F833" s="11" t="str">
        <f t="shared" si="39"/>
        <v>https://purl.pt/37776</v>
      </c>
      <c r="G833" s="12" t="s">
        <v>565</v>
      </c>
      <c r="H833" s="9" t="s">
        <v>566</v>
      </c>
      <c r="I833" s="34"/>
      <c r="J833" s="55" t="str">
        <f t="shared" si="37"/>
        <v>https://permalinkbnd.bnportugal.gov.pt/viewer/14581/?offset=#page=195&amp;viewer=picture&amp;o=info&amp;n=0&amp;q=</v>
      </c>
      <c r="K833" s="45"/>
      <c r="L833" s="45"/>
      <c r="M833" s="45"/>
      <c r="N833" t="s">
        <v>564</v>
      </c>
      <c r="O833">
        <v>14581</v>
      </c>
      <c r="P833" t="str">
        <f t="shared" si="38"/>
        <v>https://permalinkbnd.bnportugal.gov.pt/viewer/14581/?offset=#page=195&amp;viewer=picture&amp;o=info&amp;n=0&amp;q=</v>
      </c>
      <c r="Q833">
        <v>381496</v>
      </c>
      <c r="R833" t="s">
        <v>564</v>
      </c>
      <c r="S833" t="s">
        <v>3408</v>
      </c>
      <c r="T833" t="s">
        <v>1178</v>
      </c>
      <c r="U833" t="s">
        <v>1321</v>
      </c>
      <c r="V833" t="s">
        <v>599</v>
      </c>
      <c r="W833" t="s">
        <v>1193</v>
      </c>
      <c r="X833" t="s">
        <v>3409</v>
      </c>
      <c r="Y833" t="s">
        <v>599</v>
      </c>
      <c r="Z833" t="s">
        <v>1182</v>
      </c>
      <c r="AA833" t="s">
        <v>1221</v>
      </c>
      <c r="AB833">
        <v>1878</v>
      </c>
      <c r="AC833">
        <v>1878</v>
      </c>
      <c r="AD833" t="s">
        <v>3410</v>
      </c>
      <c r="AE833" t="s">
        <v>1185</v>
      </c>
      <c r="AF833" t="s">
        <v>599</v>
      </c>
      <c r="AG833" t="s">
        <v>599</v>
      </c>
      <c r="AH833" t="s">
        <v>3411</v>
      </c>
      <c r="AI833" t="s">
        <v>599</v>
      </c>
      <c r="AJ833" t="s">
        <v>599</v>
      </c>
      <c r="AK833" t="s">
        <v>3412</v>
      </c>
      <c r="AL833" t="s">
        <v>599</v>
      </c>
      <c r="AM833" t="s">
        <v>3413</v>
      </c>
      <c r="AN833" t="s">
        <v>1190</v>
      </c>
      <c r="AO833" t="s">
        <v>599</v>
      </c>
      <c r="AP833" t="s">
        <v>599</v>
      </c>
      <c r="AQ833" t="s">
        <v>599</v>
      </c>
      <c r="AR833" t="s">
        <v>599</v>
      </c>
      <c r="AS833" t="s">
        <v>599</v>
      </c>
      <c r="AT833" t="s">
        <v>599</v>
      </c>
      <c r="AU833" t="s">
        <v>599</v>
      </c>
    </row>
    <row r="834" spans="1:47" ht="30" x14ac:dyDescent="0.25">
      <c r="A834" s="2">
        <v>12289</v>
      </c>
      <c r="B834" s="10">
        <v>381496</v>
      </c>
      <c r="C834" s="10">
        <v>1</v>
      </c>
      <c r="D834" s="9">
        <v>227</v>
      </c>
      <c r="E834" s="11" t="s">
        <v>564</v>
      </c>
      <c r="F834" s="11" t="str">
        <f t="shared" si="39"/>
        <v>https://purl.pt/37776</v>
      </c>
      <c r="G834" s="12" t="s">
        <v>565</v>
      </c>
      <c r="H834" s="9" t="s">
        <v>566</v>
      </c>
      <c r="I834" s="34"/>
      <c r="J834" s="55" t="str">
        <f t="shared" si="37"/>
        <v>https://permalinkbnd.bnportugal.gov.pt/viewer/14581/?offset=#page=227&amp;viewer=picture&amp;o=info&amp;n=0&amp;q=</v>
      </c>
      <c r="K834" s="45"/>
      <c r="L834" s="45"/>
      <c r="M834" s="45"/>
      <c r="N834" t="s">
        <v>564</v>
      </c>
      <c r="O834">
        <v>14581</v>
      </c>
      <c r="P834" t="str">
        <f t="shared" si="38"/>
        <v>https://permalinkbnd.bnportugal.gov.pt/viewer/14581/?offset=#page=227&amp;viewer=picture&amp;o=info&amp;n=0&amp;q=</v>
      </c>
      <c r="Q834">
        <v>381496</v>
      </c>
      <c r="R834" t="s">
        <v>564</v>
      </c>
      <c r="S834" t="s">
        <v>3408</v>
      </c>
      <c r="T834" t="s">
        <v>1178</v>
      </c>
      <c r="U834" t="s">
        <v>1321</v>
      </c>
      <c r="V834" t="s">
        <v>599</v>
      </c>
      <c r="W834" t="s">
        <v>1193</v>
      </c>
      <c r="X834" t="s">
        <v>3409</v>
      </c>
      <c r="Y834" t="s">
        <v>599</v>
      </c>
      <c r="Z834" t="s">
        <v>1182</v>
      </c>
      <c r="AA834" t="s">
        <v>1221</v>
      </c>
      <c r="AB834">
        <v>1878</v>
      </c>
      <c r="AC834">
        <v>1878</v>
      </c>
      <c r="AD834" t="s">
        <v>3410</v>
      </c>
      <c r="AE834" t="s">
        <v>1185</v>
      </c>
      <c r="AF834" t="s">
        <v>599</v>
      </c>
      <c r="AG834" t="s">
        <v>599</v>
      </c>
      <c r="AH834" t="s">
        <v>3411</v>
      </c>
      <c r="AI834" t="s">
        <v>599</v>
      </c>
      <c r="AJ834" t="s">
        <v>599</v>
      </c>
      <c r="AK834" t="s">
        <v>3412</v>
      </c>
      <c r="AL834" t="s">
        <v>599</v>
      </c>
      <c r="AM834" t="s">
        <v>3413</v>
      </c>
      <c r="AN834" t="s">
        <v>1190</v>
      </c>
      <c r="AO834" t="s">
        <v>599</v>
      </c>
      <c r="AP834" t="s">
        <v>599</v>
      </c>
      <c r="AQ834" t="s">
        <v>599</v>
      </c>
      <c r="AR834" t="s">
        <v>599</v>
      </c>
      <c r="AS834" t="s">
        <v>599</v>
      </c>
      <c r="AT834" t="s">
        <v>599</v>
      </c>
      <c r="AU834" t="s">
        <v>599</v>
      </c>
    </row>
    <row r="835" spans="1:47" ht="30" x14ac:dyDescent="0.25">
      <c r="A835" s="2">
        <v>12290</v>
      </c>
      <c r="B835" s="10">
        <v>381496</v>
      </c>
      <c r="C835" s="10">
        <v>1</v>
      </c>
      <c r="D835" s="9">
        <v>259</v>
      </c>
      <c r="E835" s="11" t="s">
        <v>564</v>
      </c>
      <c r="F835" s="11" t="str">
        <f t="shared" si="39"/>
        <v>https://purl.pt/37776</v>
      </c>
      <c r="G835" s="12" t="s">
        <v>565</v>
      </c>
      <c r="H835" s="9" t="s">
        <v>566</v>
      </c>
      <c r="I835" s="34"/>
      <c r="J835" s="55" t="str">
        <f t="shared" ref="J835:J867" si="40">HYPERLINK(P835)</f>
        <v>https://permalinkbnd.bnportugal.gov.pt/viewer/14581/?offset=#page=259&amp;viewer=picture&amp;o=info&amp;n=0&amp;q=</v>
      </c>
      <c r="K835" s="45"/>
      <c r="L835" s="45"/>
      <c r="M835" s="45"/>
      <c r="N835" t="s">
        <v>564</v>
      </c>
      <c r="O835">
        <v>14581</v>
      </c>
      <c r="P835" t="str">
        <f t="shared" ref="P835:P867" si="41">CONCATENATE("https://permalinkbnd.bnportugal.gov.pt/viewer/",O835,"/?offset=#page=",D835,"&amp;viewer=picture&amp;o=info&amp;n=0&amp;q=")</f>
        <v>https://permalinkbnd.bnportugal.gov.pt/viewer/14581/?offset=#page=259&amp;viewer=picture&amp;o=info&amp;n=0&amp;q=</v>
      </c>
      <c r="Q835">
        <v>381496</v>
      </c>
      <c r="R835" t="s">
        <v>564</v>
      </c>
      <c r="S835" t="s">
        <v>3408</v>
      </c>
      <c r="T835" t="s">
        <v>1178</v>
      </c>
      <c r="U835" t="s">
        <v>1321</v>
      </c>
      <c r="V835" t="s">
        <v>599</v>
      </c>
      <c r="W835" t="s">
        <v>1193</v>
      </c>
      <c r="X835" t="s">
        <v>3409</v>
      </c>
      <c r="Y835" t="s">
        <v>599</v>
      </c>
      <c r="Z835" t="s">
        <v>1182</v>
      </c>
      <c r="AA835" t="s">
        <v>1221</v>
      </c>
      <c r="AB835">
        <v>1878</v>
      </c>
      <c r="AC835">
        <v>1878</v>
      </c>
      <c r="AD835" t="s">
        <v>3410</v>
      </c>
      <c r="AE835" t="s">
        <v>1185</v>
      </c>
      <c r="AF835" t="s">
        <v>599</v>
      </c>
      <c r="AG835" t="s">
        <v>599</v>
      </c>
      <c r="AH835" t="s">
        <v>3411</v>
      </c>
      <c r="AI835" t="s">
        <v>599</v>
      </c>
      <c r="AJ835" t="s">
        <v>599</v>
      </c>
      <c r="AK835" t="s">
        <v>3412</v>
      </c>
      <c r="AL835" t="s">
        <v>599</v>
      </c>
      <c r="AM835" t="s">
        <v>3413</v>
      </c>
      <c r="AN835" t="s">
        <v>1190</v>
      </c>
      <c r="AO835" t="s">
        <v>599</v>
      </c>
      <c r="AP835" t="s">
        <v>599</v>
      </c>
      <c r="AQ835" t="s">
        <v>599</v>
      </c>
      <c r="AR835" t="s">
        <v>599</v>
      </c>
      <c r="AS835" t="s">
        <v>599</v>
      </c>
      <c r="AT835" t="s">
        <v>599</v>
      </c>
      <c r="AU835" t="s">
        <v>599</v>
      </c>
    </row>
    <row r="836" spans="1:47" ht="30" x14ac:dyDescent="0.25">
      <c r="A836" s="2">
        <v>12291</v>
      </c>
      <c r="B836" s="10">
        <v>381496</v>
      </c>
      <c r="C836" s="10">
        <v>1</v>
      </c>
      <c r="D836" s="9">
        <v>287</v>
      </c>
      <c r="E836" s="11" t="s">
        <v>564</v>
      </c>
      <c r="F836" s="11" t="str">
        <f t="shared" si="39"/>
        <v>https://purl.pt/37776</v>
      </c>
      <c r="G836" s="12" t="s">
        <v>565</v>
      </c>
      <c r="H836" s="9" t="s">
        <v>566</v>
      </c>
      <c r="I836" s="34"/>
      <c r="J836" s="55" t="str">
        <f t="shared" si="40"/>
        <v>https://permalinkbnd.bnportugal.gov.pt/viewer/14581/?offset=#page=287&amp;viewer=picture&amp;o=info&amp;n=0&amp;q=</v>
      </c>
      <c r="K836" s="45"/>
      <c r="L836" s="45"/>
      <c r="M836" s="45"/>
      <c r="N836" t="s">
        <v>564</v>
      </c>
      <c r="O836">
        <v>14581</v>
      </c>
      <c r="P836" t="str">
        <f t="shared" si="41"/>
        <v>https://permalinkbnd.bnportugal.gov.pt/viewer/14581/?offset=#page=287&amp;viewer=picture&amp;o=info&amp;n=0&amp;q=</v>
      </c>
      <c r="Q836">
        <v>381496</v>
      </c>
      <c r="R836" t="s">
        <v>564</v>
      </c>
      <c r="S836" t="s">
        <v>3408</v>
      </c>
      <c r="T836" t="s">
        <v>1178</v>
      </c>
      <c r="U836" t="s">
        <v>1321</v>
      </c>
      <c r="V836" t="s">
        <v>599</v>
      </c>
      <c r="W836" t="s">
        <v>1193</v>
      </c>
      <c r="X836" t="s">
        <v>3409</v>
      </c>
      <c r="Y836" t="s">
        <v>599</v>
      </c>
      <c r="Z836" t="s">
        <v>1182</v>
      </c>
      <c r="AA836" t="s">
        <v>1221</v>
      </c>
      <c r="AB836">
        <v>1878</v>
      </c>
      <c r="AC836">
        <v>1878</v>
      </c>
      <c r="AD836" t="s">
        <v>3410</v>
      </c>
      <c r="AE836" t="s">
        <v>1185</v>
      </c>
      <c r="AF836" t="s">
        <v>599</v>
      </c>
      <c r="AG836" t="s">
        <v>599</v>
      </c>
      <c r="AH836" t="s">
        <v>3411</v>
      </c>
      <c r="AI836" t="s">
        <v>599</v>
      </c>
      <c r="AJ836" t="s">
        <v>599</v>
      </c>
      <c r="AK836" t="s">
        <v>3412</v>
      </c>
      <c r="AL836" t="s">
        <v>599</v>
      </c>
      <c r="AM836" t="s">
        <v>3413</v>
      </c>
      <c r="AN836" t="s">
        <v>1190</v>
      </c>
      <c r="AO836" t="s">
        <v>599</v>
      </c>
      <c r="AP836" t="s">
        <v>599</v>
      </c>
      <c r="AQ836" t="s">
        <v>599</v>
      </c>
      <c r="AR836" t="s">
        <v>599</v>
      </c>
      <c r="AS836" t="s">
        <v>599</v>
      </c>
      <c r="AT836" t="s">
        <v>599</v>
      </c>
      <c r="AU836" t="s">
        <v>599</v>
      </c>
    </row>
    <row r="837" spans="1:47" ht="30" x14ac:dyDescent="0.25">
      <c r="A837" s="2">
        <v>12292</v>
      </c>
      <c r="B837" s="10">
        <v>381496</v>
      </c>
      <c r="C837" s="10">
        <v>1</v>
      </c>
      <c r="D837" s="9">
        <v>319</v>
      </c>
      <c r="E837" s="11" t="s">
        <v>564</v>
      </c>
      <c r="F837" s="11" t="str">
        <f t="shared" si="39"/>
        <v>https://purl.pt/37776</v>
      </c>
      <c r="G837" s="12" t="s">
        <v>565</v>
      </c>
      <c r="H837" s="9" t="s">
        <v>566</v>
      </c>
      <c r="I837" s="34"/>
      <c r="J837" s="55" t="str">
        <f t="shared" si="40"/>
        <v>https://permalinkbnd.bnportugal.gov.pt/viewer/14581/?offset=#page=319&amp;viewer=picture&amp;o=info&amp;n=0&amp;q=</v>
      </c>
      <c r="K837" s="45"/>
      <c r="L837" s="45"/>
      <c r="M837" s="45"/>
      <c r="N837" t="s">
        <v>564</v>
      </c>
      <c r="O837">
        <v>14581</v>
      </c>
      <c r="P837" t="str">
        <f t="shared" si="41"/>
        <v>https://permalinkbnd.bnportugal.gov.pt/viewer/14581/?offset=#page=319&amp;viewer=picture&amp;o=info&amp;n=0&amp;q=</v>
      </c>
      <c r="Q837">
        <v>381496</v>
      </c>
      <c r="R837" t="s">
        <v>564</v>
      </c>
      <c r="S837" t="s">
        <v>3408</v>
      </c>
      <c r="T837" t="s">
        <v>1178</v>
      </c>
      <c r="U837" t="s">
        <v>1321</v>
      </c>
      <c r="V837" t="s">
        <v>599</v>
      </c>
      <c r="W837" t="s">
        <v>1193</v>
      </c>
      <c r="X837" t="s">
        <v>3409</v>
      </c>
      <c r="Y837" t="s">
        <v>599</v>
      </c>
      <c r="Z837" t="s">
        <v>1182</v>
      </c>
      <c r="AA837" t="s">
        <v>1221</v>
      </c>
      <c r="AB837">
        <v>1878</v>
      </c>
      <c r="AC837">
        <v>1878</v>
      </c>
      <c r="AD837" t="s">
        <v>3410</v>
      </c>
      <c r="AE837" t="s">
        <v>1185</v>
      </c>
      <c r="AF837" t="s">
        <v>599</v>
      </c>
      <c r="AG837" t="s">
        <v>599</v>
      </c>
      <c r="AH837" t="s">
        <v>3411</v>
      </c>
      <c r="AI837" t="s">
        <v>599</v>
      </c>
      <c r="AJ837" t="s">
        <v>599</v>
      </c>
      <c r="AK837" t="s">
        <v>3412</v>
      </c>
      <c r="AL837" t="s">
        <v>599</v>
      </c>
      <c r="AM837" t="s">
        <v>3413</v>
      </c>
      <c r="AN837" t="s">
        <v>1190</v>
      </c>
      <c r="AO837" t="s">
        <v>599</v>
      </c>
      <c r="AP837" t="s">
        <v>599</v>
      </c>
      <c r="AQ837" t="s">
        <v>599</v>
      </c>
      <c r="AR837" t="s">
        <v>599</v>
      </c>
      <c r="AS837" t="s">
        <v>599</v>
      </c>
      <c r="AT837" t="s">
        <v>599</v>
      </c>
      <c r="AU837" t="s">
        <v>599</v>
      </c>
    </row>
    <row r="838" spans="1:47" ht="30" x14ac:dyDescent="0.25">
      <c r="A838" s="2">
        <v>12293</v>
      </c>
      <c r="B838" s="10">
        <v>381496</v>
      </c>
      <c r="C838" s="10">
        <v>1</v>
      </c>
      <c r="D838" s="9">
        <v>349</v>
      </c>
      <c r="E838" s="11" t="s">
        <v>564</v>
      </c>
      <c r="F838" s="11" t="str">
        <f t="shared" si="39"/>
        <v>https://purl.pt/37776</v>
      </c>
      <c r="G838" s="12" t="s">
        <v>565</v>
      </c>
      <c r="H838" s="9" t="s">
        <v>566</v>
      </c>
      <c r="I838" s="34"/>
      <c r="J838" s="55" t="str">
        <f t="shared" si="40"/>
        <v>https://permalinkbnd.bnportugal.gov.pt/viewer/14581/?offset=#page=349&amp;viewer=picture&amp;o=info&amp;n=0&amp;q=</v>
      </c>
      <c r="K838" s="45"/>
      <c r="L838" s="45"/>
      <c r="M838" s="45"/>
      <c r="N838" t="s">
        <v>564</v>
      </c>
      <c r="O838">
        <v>14581</v>
      </c>
      <c r="P838" t="str">
        <f t="shared" si="41"/>
        <v>https://permalinkbnd.bnportugal.gov.pt/viewer/14581/?offset=#page=349&amp;viewer=picture&amp;o=info&amp;n=0&amp;q=</v>
      </c>
      <c r="Q838">
        <v>381496</v>
      </c>
      <c r="R838" t="s">
        <v>564</v>
      </c>
      <c r="S838" t="s">
        <v>3408</v>
      </c>
      <c r="T838" t="s">
        <v>1178</v>
      </c>
      <c r="U838" t="s">
        <v>1321</v>
      </c>
      <c r="V838" t="s">
        <v>599</v>
      </c>
      <c r="W838" t="s">
        <v>1193</v>
      </c>
      <c r="X838" t="s">
        <v>3409</v>
      </c>
      <c r="Y838" t="s">
        <v>599</v>
      </c>
      <c r="Z838" t="s">
        <v>1182</v>
      </c>
      <c r="AA838" t="s">
        <v>1221</v>
      </c>
      <c r="AB838">
        <v>1878</v>
      </c>
      <c r="AC838">
        <v>1878</v>
      </c>
      <c r="AD838" t="s">
        <v>3410</v>
      </c>
      <c r="AE838" t="s">
        <v>1185</v>
      </c>
      <c r="AF838" t="s">
        <v>599</v>
      </c>
      <c r="AG838" t="s">
        <v>599</v>
      </c>
      <c r="AH838" t="s">
        <v>3411</v>
      </c>
      <c r="AI838" t="s">
        <v>599</v>
      </c>
      <c r="AJ838" t="s">
        <v>599</v>
      </c>
      <c r="AK838" t="s">
        <v>3412</v>
      </c>
      <c r="AL838" t="s">
        <v>599</v>
      </c>
      <c r="AM838" t="s">
        <v>3413</v>
      </c>
      <c r="AN838" t="s">
        <v>1190</v>
      </c>
      <c r="AO838" t="s">
        <v>599</v>
      </c>
      <c r="AP838" t="s">
        <v>599</v>
      </c>
      <c r="AQ838" t="s">
        <v>599</v>
      </c>
      <c r="AR838" t="s">
        <v>599</v>
      </c>
      <c r="AS838" t="s">
        <v>599</v>
      </c>
      <c r="AT838" t="s">
        <v>599</v>
      </c>
      <c r="AU838" t="s">
        <v>599</v>
      </c>
    </row>
    <row r="839" spans="1:47" ht="30" x14ac:dyDescent="0.25">
      <c r="A839" s="2">
        <v>12294</v>
      </c>
      <c r="B839" s="10">
        <v>384309</v>
      </c>
      <c r="C839" s="10">
        <v>1</v>
      </c>
      <c r="D839" s="9">
        <v>1</v>
      </c>
      <c r="E839" s="11" t="s">
        <v>567</v>
      </c>
      <c r="F839" s="11" t="str">
        <f t="shared" si="39"/>
        <v>https://purl.pt/15053</v>
      </c>
      <c r="G839" s="12" t="s">
        <v>568</v>
      </c>
      <c r="H839" s="9" t="s">
        <v>569</v>
      </c>
      <c r="I839" s="34"/>
      <c r="J839" s="55" t="str">
        <f t="shared" si="40"/>
        <v>https://permalinkbnd.bnportugal.gov.pt/viewer/86181/?offset=#page=1&amp;viewer=picture&amp;o=info&amp;n=0&amp;q=</v>
      </c>
      <c r="K839" s="45"/>
      <c r="L839" s="45"/>
      <c r="M839" s="45"/>
      <c r="N839" t="s">
        <v>567</v>
      </c>
      <c r="O839">
        <v>86181</v>
      </c>
      <c r="P839" t="str">
        <f t="shared" si="41"/>
        <v>https://permalinkbnd.bnportugal.gov.pt/viewer/86181/?offset=#page=1&amp;viewer=picture&amp;o=info&amp;n=0&amp;q=</v>
      </c>
      <c r="Q839">
        <v>384309</v>
      </c>
      <c r="R839" t="s">
        <v>567</v>
      </c>
      <c r="S839" t="s">
        <v>3414</v>
      </c>
      <c r="T839" t="s">
        <v>1178</v>
      </c>
      <c r="U839" t="s">
        <v>1209</v>
      </c>
      <c r="V839" t="s">
        <v>599</v>
      </c>
      <c r="W839" t="s">
        <v>3415</v>
      </c>
      <c r="X839" t="s">
        <v>599</v>
      </c>
      <c r="Y839" t="s">
        <v>599</v>
      </c>
      <c r="Z839" t="s">
        <v>1182</v>
      </c>
      <c r="AA839" t="s">
        <v>3416</v>
      </c>
      <c r="AB839">
        <v>1880</v>
      </c>
      <c r="AC839">
        <v>1880</v>
      </c>
      <c r="AD839" t="s">
        <v>3417</v>
      </c>
      <c r="AE839" t="s">
        <v>599</v>
      </c>
      <c r="AF839" t="s">
        <v>599</v>
      </c>
      <c r="AG839" t="s">
        <v>599</v>
      </c>
      <c r="AH839" t="s">
        <v>599</v>
      </c>
      <c r="AI839" t="s">
        <v>599</v>
      </c>
      <c r="AJ839" t="s">
        <v>599</v>
      </c>
      <c r="AK839" t="s">
        <v>3418</v>
      </c>
      <c r="AL839" t="s">
        <v>599</v>
      </c>
      <c r="AM839" t="s">
        <v>3419</v>
      </c>
      <c r="AN839" t="s">
        <v>1190</v>
      </c>
      <c r="AO839" t="s">
        <v>599</v>
      </c>
      <c r="AP839" t="s">
        <v>599</v>
      </c>
      <c r="AQ839" t="s">
        <v>599</v>
      </c>
      <c r="AR839" t="s">
        <v>599</v>
      </c>
      <c r="AS839" t="s">
        <v>599</v>
      </c>
      <c r="AT839" t="s">
        <v>599</v>
      </c>
      <c r="AU839" t="s">
        <v>599</v>
      </c>
    </row>
    <row r="840" spans="1:47" ht="30" x14ac:dyDescent="0.25">
      <c r="A840" s="2">
        <v>12295</v>
      </c>
      <c r="B840" s="10">
        <v>384309</v>
      </c>
      <c r="C840" s="10">
        <v>1</v>
      </c>
      <c r="D840" s="9">
        <v>3</v>
      </c>
      <c r="E840" s="11" t="s">
        <v>567</v>
      </c>
      <c r="F840" s="11" t="str">
        <f t="shared" si="39"/>
        <v>https://purl.pt/15053</v>
      </c>
      <c r="G840" s="12" t="s">
        <v>568</v>
      </c>
      <c r="H840" s="9" t="s">
        <v>569</v>
      </c>
      <c r="I840" s="34"/>
      <c r="J840" s="55" t="str">
        <f t="shared" si="40"/>
        <v>https://permalinkbnd.bnportugal.gov.pt/viewer/86181/?offset=#page=3&amp;viewer=picture&amp;o=info&amp;n=0&amp;q=</v>
      </c>
      <c r="K840" s="45"/>
      <c r="L840" s="45"/>
      <c r="M840" s="45"/>
      <c r="N840" t="s">
        <v>567</v>
      </c>
      <c r="O840">
        <v>86181</v>
      </c>
      <c r="P840" t="str">
        <f t="shared" si="41"/>
        <v>https://permalinkbnd.bnportugal.gov.pt/viewer/86181/?offset=#page=3&amp;viewer=picture&amp;o=info&amp;n=0&amp;q=</v>
      </c>
      <c r="Q840">
        <v>384309</v>
      </c>
      <c r="R840" t="s">
        <v>567</v>
      </c>
      <c r="S840" t="s">
        <v>3414</v>
      </c>
      <c r="T840" t="s">
        <v>1178</v>
      </c>
      <c r="U840" t="s">
        <v>1209</v>
      </c>
      <c r="V840" t="s">
        <v>599</v>
      </c>
      <c r="W840" t="s">
        <v>3415</v>
      </c>
      <c r="X840" t="s">
        <v>599</v>
      </c>
      <c r="Y840" t="s">
        <v>599</v>
      </c>
      <c r="Z840" t="s">
        <v>1182</v>
      </c>
      <c r="AA840" t="s">
        <v>3416</v>
      </c>
      <c r="AB840">
        <v>1880</v>
      </c>
      <c r="AC840">
        <v>1880</v>
      </c>
      <c r="AD840" t="s">
        <v>3417</v>
      </c>
      <c r="AE840" t="s">
        <v>599</v>
      </c>
      <c r="AF840" t="s">
        <v>599</v>
      </c>
      <c r="AG840" t="s">
        <v>599</v>
      </c>
      <c r="AH840" t="s">
        <v>599</v>
      </c>
      <c r="AI840" t="s">
        <v>599</v>
      </c>
      <c r="AJ840" t="s">
        <v>599</v>
      </c>
      <c r="AK840" t="s">
        <v>3418</v>
      </c>
      <c r="AL840" t="s">
        <v>599</v>
      </c>
      <c r="AM840" t="s">
        <v>3419</v>
      </c>
      <c r="AN840" t="s">
        <v>1190</v>
      </c>
      <c r="AO840" t="s">
        <v>599</v>
      </c>
      <c r="AP840" t="s">
        <v>599</v>
      </c>
      <c r="AQ840" t="s">
        <v>599</v>
      </c>
      <c r="AR840" t="s">
        <v>599</v>
      </c>
      <c r="AS840" t="s">
        <v>599</v>
      </c>
      <c r="AT840" t="s">
        <v>599</v>
      </c>
      <c r="AU840" t="s">
        <v>599</v>
      </c>
    </row>
    <row r="841" spans="1:47" ht="30" x14ac:dyDescent="0.25">
      <c r="A841" s="2">
        <v>12296</v>
      </c>
      <c r="B841" s="10">
        <v>384309</v>
      </c>
      <c r="C841" s="10">
        <v>1</v>
      </c>
      <c r="D841" s="9">
        <v>7</v>
      </c>
      <c r="E841" s="11" t="s">
        <v>567</v>
      </c>
      <c r="F841" s="11" t="str">
        <f t="shared" si="39"/>
        <v>https://purl.pt/15053</v>
      </c>
      <c r="G841" s="12" t="s">
        <v>568</v>
      </c>
      <c r="H841" s="9" t="s">
        <v>569</v>
      </c>
      <c r="I841" s="34"/>
      <c r="J841" s="55" t="str">
        <f t="shared" si="40"/>
        <v>https://permalinkbnd.bnportugal.gov.pt/viewer/86181/?offset=#page=7&amp;viewer=picture&amp;o=info&amp;n=0&amp;q=</v>
      </c>
      <c r="K841" s="45"/>
      <c r="L841" s="45"/>
      <c r="M841" s="45"/>
      <c r="N841" t="s">
        <v>567</v>
      </c>
      <c r="O841">
        <v>86181</v>
      </c>
      <c r="P841" t="str">
        <f t="shared" si="41"/>
        <v>https://permalinkbnd.bnportugal.gov.pt/viewer/86181/?offset=#page=7&amp;viewer=picture&amp;o=info&amp;n=0&amp;q=</v>
      </c>
      <c r="Q841">
        <v>384309</v>
      </c>
      <c r="R841" t="s">
        <v>567</v>
      </c>
      <c r="S841" t="s">
        <v>3414</v>
      </c>
      <c r="T841" t="s">
        <v>1178</v>
      </c>
      <c r="U841" t="s">
        <v>1209</v>
      </c>
      <c r="V841" t="s">
        <v>599</v>
      </c>
      <c r="W841" t="s">
        <v>3415</v>
      </c>
      <c r="X841" t="s">
        <v>599</v>
      </c>
      <c r="Y841" t="s">
        <v>599</v>
      </c>
      <c r="Z841" t="s">
        <v>1182</v>
      </c>
      <c r="AA841" t="s">
        <v>3416</v>
      </c>
      <c r="AB841">
        <v>1880</v>
      </c>
      <c r="AC841">
        <v>1880</v>
      </c>
      <c r="AD841" t="s">
        <v>3417</v>
      </c>
      <c r="AE841" t="s">
        <v>599</v>
      </c>
      <c r="AF841" t="s">
        <v>599</v>
      </c>
      <c r="AG841" t="s">
        <v>599</v>
      </c>
      <c r="AH841" t="s">
        <v>599</v>
      </c>
      <c r="AI841" t="s">
        <v>599</v>
      </c>
      <c r="AJ841" t="s">
        <v>599</v>
      </c>
      <c r="AK841" t="s">
        <v>3418</v>
      </c>
      <c r="AL841" t="s">
        <v>599</v>
      </c>
      <c r="AM841" t="s">
        <v>3419</v>
      </c>
      <c r="AN841" t="s">
        <v>1190</v>
      </c>
      <c r="AO841" t="s">
        <v>599</v>
      </c>
      <c r="AP841" t="s">
        <v>599</v>
      </c>
      <c r="AQ841" t="s">
        <v>599</v>
      </c>
      <c r="AR841" t="s">
        <v>599</v>
      </c>
      <c r="AS841" t="s">
        <v>599</v>
      </c>
      <c r="AT841" t="s">
        <v>599</v>
      </c>
      <c r="AU841" t="s">
        <v>599</v>
      </c>
    </row>
    <row r="842" spans="1:47" ht="30" x14ac:dyDescent="0.25">
      <c r="A842" s="2">
        <v>12300</v>
      </c>
      <c r="B842" s="10">
        <v>410603</v>
      </c>
      <c r="C842" s="10">
        <v>1</v>
      </c>
      <c r="D842" s="9">
        <v>13</v>
      </c>
      <c r="E842" s="11" t="s">
        <v>570</v>
      </c>
      <c r="F842" s="11" t="str">
        <f t="shared" si="39"/>
        <v>https://purl.pt/25652</v>
      </c>
      <c r="G842" s="12">
        <v>13</v>
      </c>
      <c r="H842" s="9">
        <v>13</v>
      </c>
      <c r="I842" s="34"/>
      <c r="J842" s="55" t="str">
        <f t="shared" si="40"/>
        <v>https://permalinkbnd.bnportugal.gov.pt/viewer/14678/?offset=#page=13&amp;viewer=picture&amp;o=info&amp;n=0&amp;q=</v>
      </c>
      <c r="K842" s="45"/>
      <c r="L842" s="45"/>
      <c r="M842" s="45"/>
      <c r="N842" t="s">
        <v>570</v>
      </c>
      <c r="O842">
        <v>14678</v>
      </c>
      <c r="P842" t="str">
        <f t="shared" si="41"/>
        <v>https://permalinkbnd.bnportugal.gov.pt/viewer/14678/?offset=#page=13&amp;viewer=picture&amp;o=info&amp;n=0&amp;q=</v>
      </c>
      <c r="Q842">
        <v>410603</v>
      </c>
      <c r="R842" t="s">
        <v>570</v>
      </c>
      <c r="S842" t="s">
        <v>3420</v>
      </c>
      <c r="T842" t="s">
        <v>1178</v>
      </c>
      <c r="U842" t="s">
        <v>1192</v>
      </c>
      <c r="V842" t="s">
        <v>599</v>
      </c>
      <c r="W842" t="s">
        <v>3421</v>
      </c>
      <c r="X842" t="s">
        <v>599</v>
      </c>
      <c r="Y842" t="s">
        <v>599</v>
      </c>
      <c r="Z842" t="s">
        <v>1182</v>
      </c>
      <c r="AA842" t="s">
        <v>1275</v>
      </c>
      <c r="AB842">
        <v>1880</v>
      </c>
      <c r="AC842">
        <v>1880</v>
      </c>
      <c r="AD842" t="s">
        <v>1276</v>
      </c>
      <c r="AE842" t="s">
        <v>599</v>
      </c>
      <c r="AF842" t="s">
        <v>599</v>
      </c>
      <c r="AG842" t="s">
        <v>599</v>
      </c>
      <c r="AH842" t="s">
        <v>599</v>
      </c>
      <c r="AI842" t="s">
        <v>599</v>
      </c>
      <c r="AJ842" t="s">
        <v>599</v>
      </c>
      <c r="AK842" t="s">
        <v>3422</v>
      </c>
      <c r="AL842" t="s">
        <v>599</v>
      </c>
      <c r="AM842" t="s">
        <v>3423</v>
      </c>
      <c r="AN842" t="s">
        <v>1190</v>
      </c>
      <c r="AO842" t="s">
        <v>599</v>
      </c>
      <c r="AP842" t="s">
        <v>599</v>
      </c>
      <c r="AQ842" t="s">
        <v>599</v>
      </c>
      <c r="AR842" t="s">
        <v>599</v>
      </c>
      <c r="AS842" t="s">
        <v>599</v>
      </c>
      <c r="AT842" t="s">
        <v>599</v>
      </c>
      <c r="AU842" t="s">
        <v>599</v>
      </c>
    </row>
    <row r="843" spans="1:47" ht="30" x14ac:dyDescent="0.25">
      <c r="A843" s="2">
        <v>12324</v>
      </c>
      <c r="B843" s="10">
        <v>475467</v>
      </c>
      <c r="C843" s="10">
        <v>1</v>
      </c>
      <c r="D843" s="9">
        <v>1</v>
      </c>
      <c r="E843" s="11" t="s">
        <v>571</v>
      </c>
      <c r="F843" s="11" t="str">
        <f t="shared" si="39"/>
        <v>https://purl.pt/26367</v>
      </c>
      <c r="G843" s="12">
        <v>1</v>
      </c>
      <c r="H843" s="9">
        <v>1</v>
      </c>
      <c r="I843" s="34"/>
      <c r="J843" s="55" t="str">
        <f t="shared" si="40"/>
        <v>https://permalinkbnd.bnportugal.gov.pt/viewer/86483/?offset=#page=1&amp;viewer=picture&amp;o=info&amp;n=0&amp;q=</v>
      </c>
      <c r="K843" s="45"/>
      <c r="L843" s="45"/>
      <c r="M843" s="45"/>
      <c r="N843" t="s">
        <v>571</v>
      </c>
      <c r="O843">
        <v>86483</v>
      </c>
      <c r="P843" t="str">
        <f t="shared" si="41"/>
        <v>https://permalinkbnd.bnportugal.gov.pt/viewer/86483/?offset=#page=1&amp;viewer=picture&amp;o=info&amp;n=0&amp;q=</v>
      </c>
      <c r="Q843">
        <v>475467</v>
      </c>
      <c r="R843" t="s">
        <v>571</v>
      </c>
      <c r="S843" t="s">
        <v>3424</v>
      </c>
      <c r="T843" t="s">
        <v>1178</v>
      </c>
      <c r="U843" t="s">
        <v>1192</v>
      </c>
      <c r="V843" t="s">
        <v>599</v>
      </c>
      <c r="W843" t="s">
        <v>3425</v>
      </c>
      <c r="X843" t="s">
        <v>3426</v>
      </c>
      <c r="Y843" t="s">
        <v>599</v>
      </c>
      <c r="Z843" t="s">
        <v>1182</v>
      </c>
      <c r="AA843" t="s">
        <v>1909</v>
      </c>
      <c r="AB843">
        <v>1881</v>
      </c>
      <c r="AC843">
        <v>1881</v>
      </c>
      <c r="AD843" t="s">
        <v>1872</v>
      </c>
      <c r="AE843" t="s">
        <v>3427</v>
      </c>
      <c r="AF843" t="s">
        <v>599</v>
      </c>
      <c r="AG843" t="s">
        <v>1185</v>
      </c>
      <c r="AH843" t="s">
        <v>599</v>
      </c>
      <c r="AI843" t="s">
        <v>599</v>
      </c>
      <c r="AJ843" t="s">
        <v>599</v>
      </c>
      <c r="AK843" t="s">
        <v>3428</v>
      </c>
      <c r="AL843" t="s">
        <v>599</v>
      </c>
      <c r="AM843" t="s">
        <v>3429</v>
      </c>
      <c r="AN843" t="s">
        <v>1190</v>
      </c>
      <c r="AO843" t="s">
        <v>599</v>
      </c>
      <c r="AP843" t="s">
        <v>599</v>
      </c>
      <c r="AQ843" t="s">
        <v>599</v>
      </c>
      <c r="AR843" t="s">
        <v>599</v>
      </c>
      <c r="AS843" t="s">
        <v>599</v>
      </c>
      <c r="AT843" t="s">
        <v>599</v>
      </c>
      <c r="AU843" t="s">
        <v>599</v>
      </c>
    </row>
    <row r="844" spans="1:47" ht="30" x14ac:dyDescent="0.25">
      <c r="A844" s="2">
        <v>12327</v>
      </c>
      <c r="B844" s="10">
        <v>640093</v>
      </c>
      <c r="C844" s="10">
        <v>1</v>
      </c>
      <c r="D844" s="9">
        <v>1</v>
      </c>
      <c r="E844" s="11" t="s">
        <v>572</v>
      </c>
      <c r="F844" s="11" t="str">
        <f t="shared" si="39"/>
        <v>https://purl.pt/5416</v>
      </c>
      <c r="G844" s="12">
        <v>1</v>
      </c>
      <c r="H844" s="9">
        <v>1</v>
      </c>
      <c r="I844" s="34"/>
      <c r="J844" s="55" t="str">
        <f t="shared" si="40"/>
        <v>https://permalinkbnd.bnportugal.gov.pt/viewer/35163/?offset=#page=1&amp;viewer=picture&amp;o=info&amp;n=0&amp;q=</v>
      </c>
      <c r="K844" s="45"/>
      <c r="L844" s="45"/>
      <c r="M844" s="45"/>
      <c r="N844" t="s">
        <v>572</v>
      </c>
      <c r="O844">
        <v>35163</v>
      </c>
      <c r="P844" t="str">
        <f t="shared" si="41"/>
        <v>https://permalinkbnd.bnportugal.gov.pt/viewer/35163/?offset=#page=1&amp;viewer=picture&amp;o=info&amp;n=0&amp;q=</v>
      </c>
      <c r="Q844">
        <v>640093</v>
      </c>
      <c r="R844" t="s">
        <v>572</v>
      </c>
      <c r="S844" t="s">
        <v>3430</v>
      </c>
      <c r="T844" t="s">
        <v>1312</v>
      </c>
      <c r="U844" t="s">
        <v>1192</v>
      </c>
      <c r="V844" t="s">
        <v>599</v>
      </c>
      <c r="W844" t="s">
        <v>3431</v>
      </c>
      <c r="X844" t="s">
        <v>599</v>
      </c>
      <c r="Y844" t="s">
        <v>599</v>
      </c>
      <c r="Z844" t="s">
        <v>1182</v>
      </c>
      <c r="AA844" t="s">
        <v>1453</v>
      </c>
      <c r="AB844">
        <v>1937</v>
      </c>
      <c r="AC844">
        <v>1937</v>
      </c>
      <c r="AD844" t="s">
        <v>1454</v>
      </c>
      <c r="AE844" t="s">
        <v>3432</v>
      </c>
      <c r="AF844" t="s">
        <v>599</v>
      </c>
      <c r="AG844" t="s">
        <v>599</v>
      </c>
      <c r="AH844" t="s">
        <v>599</v>
      </c>
      <c r="AI844" t="s">
        <v>599</v>
      </c>
      <c r="AJ844" t="s">
        <v>599</v>
      </c>
      <c r="AK844" t="s">
        <v>3433</v>
      </c>
      <c r="AL844" t="s">
        <v>599</v>
      </c>
      <c r="AM844" t="s">
        <v>3434</v>
      </c>
      <c r="AN844" t="s">
        <v>1319</v>
      </c>
      <c r="AO844" t="s">
        <v>599</v>
      </c>
      <c r="AP844" t="s">
        <v>599</v>
      </c>
      <c r="AQ844" t="s">
        <v>599</v>
      </c>
      <c r="AR844" t="s">
        <v>599</v>
      </c>
      <c r="AS844" t="s">
        <v>599</v>
      </c>
      <c r="AT844" t="s">
        <v>599</v>
      </c>
      <c r="AU844" t="s">
        <v>599</v>
      </c>
    </row>
    <row r="845" spans="1:47" ht="30" x14ac:dyDescent="0.25">
      <c r="A845" s="2">
        <v>12337</v>
      </c>
      <c r="B845" s="10">
        <v>765484</v>
      </c>
      <c r="C845" s="10">
        <v>1</v>
      </c>
      <c r="D845" s="9">
        <v>5</v>
      </c>
      <c r="E845" s="11" t="s">
        <v>573</v>
      </c>
      <c r="F845" s="11" t="str">
        <f t="shared" si="39"/>
        <v>https://purl.pt/21930</v>
      </c>
      <c r="G845" s="12" t="s">
        <v>574</v>
      </c>
      <c r="H845" s="9"/>
      <c r="I845" s="34"/>
      <c r="J845" s="55" t="str">
        <f t="shared" si="40"/>
        <v>https://permalinkbnd.bnportugal.gov.pt/viewer/14644/?offset=#page=5&amp;viewer=picture&amp;o=info&amp;n=0&amp;q=</v>
      </c>
      <c r="K845" s="45"/>
      <c r="L845" s="45"/>
      <c r="M845" s="45"/>
      <c r="N845" t="s">
        <v>573</v>
      </c>
      <c r="O845">
        <v>14644</v>
      </c>
      <c r="P845" t="str">
        <f t="shared" si="41"/>
        <v>https://permalinkbnd.bnportugal.gov.pt/viewer/14644/?offset=#page=5&amp;viewer=picture&amp;o=info&amp;n=0&amp;q=</v>
      </c>
      <c r="Q845">
        <v>765484</v>
      </c>
      <c r="R845" t="s">
        <v>573</v>
      </c>
      <c r="S845" t="s">
        <v>3435</v>
      </c>
      <c r="T845" t="s">
        <v>1178</v>
      </c>
      <c r="U845" t="s">
        <v>1192</v>
      </c>
      <c r="V845" t="s">
        <v>599</v>
      </c>
      <c r="W845" t="s">
        <v>2478</v>
      </c>
      <c r="X845" t="s">
        <v>599</v>
      </c>
      <c r="Y845" t="s">
        <v>599</v>
      </c>
      <c r="Z845" t="s">
        <v>3436</v>
      </c>
      <c r="AA845" t="s">
        <v>3437</v>
      </c>
      <c r="AB845">
        <v>1632</v>
      </c>
      <c r="AC845">
        <v>1632</v>
      </c>
      <c r="AD845" t="s">
        <v>3438</v>
      </c>
      <c r="AE845" t="s">
        <v>1185</v>
      </c>
      <c r="AF845" t="s">
        <v>599</v>
      </c>
      <c r="AG845" t="s">
        <v>599</v>
      </c>
      <c r="AH845" t="s">
        <v>3439</v>
      </c>
      <c r="AI845" t="s">
        <v>599</v>
      </c>
      <c r="AJ845" t="s">
        <v>599</v>
      </c>
      <c r="AK845" t="s">
        <v>3440</v>
      </c>
      <c r="AL845" t="s">
        <v>2967</v>
      </c>
      <c r="AM845" t="s">
        <v>3441</v>
      </c>
      <c r="AN845" t="s">
        <v>1190</v>
      </c>
      <c r="AO845" t="s">
        <v>599</v>
      </c>
      <c r="AP845" t="s">
        <v>599</v>
      </c>
      <c r="AQ845" t="s">
        <v>3442</v>
      </c>
      <c r="AR845" t="s">
        <v>599</v>
      </c>
      <c r="AS845" t="s">
        <v>599</v>
      </c>
      <c r="AT845" t="s">
        <v>599</v>
      </c>
      <c r="AU845" t="s">
        <v>599</v>
      </c>
    </row>
    <row r="846" spans="1:47" ht="30" x14ac:dyDescent="0.25">
      <c r="A846" s="2"/>
      <c r="B846" s="10">
        <v>765484</v>
      </c>
      <c r="C846" s="10">
        <v>2</v>
      </c>
      <c r="D846" s="9">
        <v>2</v>
      </c>
      <c r="E846" s="11" t="s">
        <v>573</v>
      </c>
      <c r="F846" s="11" t="str">
        <f t="shared" si="39"/>
        <v>https://purl.pt/21930</v>
      </c>
      <c r="G846" s="12" t="s">
        <v>574</v>
      </c>
      <c r="H846" s="9"/>
      <c r="I846" s="34"/>
      <c r="J846" s="55" t="str">
        <f t="shared" si="40"/>
        <v>https://permalinkbnd.bnportugal.gov.pt/viewer/14644/?offset=#page=2&amp;viewer=picture&amp;o=info&amp;n=0&amp;q=</v>
      </c>
      <c r="K846" s="45"/>
      <c r="L846" s="45"/>
      <c r="M846" s="45"/>
      <c r="N846" t="s">
        <v>573</v>
      </c>
      <c r="O846">
        <v>14644</v>
      </c>
      <c r="P846" t="str">
        <f t="shared" si="41"/>
        <v>https://permalinkbnd.bnportugal.gov.pt/viewer/14644/?offset=#page=2&amp;viewer=picture&amp;o=info&amp;n=0&amp;q=</v>
      </c>
      <c r="Q846">
        <v>765484</v>
      </c>
      <c r="R846" t="s">
        <v>573</v>
      </c>
      <c r="S846" t="s">
        <v>3435</v>
      </c>
      <c r="T846" t="s">
        <v>1178</v>
      </c>
      <c r="U846" t="s">
        <v>1192</v>
      </c>
      <c r="V846" t="s">
        <v>599</v>
      </c>
      <c r="W846" t="s">
        <v>2478</v>
      </c>
      <c r="X846" t="s">
        <v>599</v>
      </c>
      <c r="Y846" t="s">
        <v>599</v>
      </c>
      <c r="Z846" t="s">
        <v>3436</v>
      </c>
      <c r="AA846" t="s">
        <v>3437</v>
      </c>
      <c r="AB846">
        <v>1632</v>
      </c>
      <c r="AC846">
        <v>1632</v>
      </c>
      <c r="AD846" t="s">
        <v>3438</v>
      </c>
      <c r="AE846" t="s">
        <v>1185</v>
      </c>
      <c r="AF846" t="s">
        <v>599</v>
      </c>
      <c r="AG846" t="s">
        <v>599</v>
      </c>
      <c r="AH846" t="s">
        <v>3439</v>
      </c>
      <c r="AI846" t="s">
        <v>599</v>
      </c>
      <c r="AJ846" t="s">
        <v>599</v>
      </c>
      <c r="AK846" t="s">
        <v>3440</v>
      </c>
      <c r="AL846" t="s">
        <v>2967</v>
      </c>
      <c r="AM846" t="s">
        <v>3441</v>
      </c>
      <c r="AN846" t="s">
        <v>1190</v>
      </c>
      <c r="AO846" t="s">
        <v>599</v>
      </c>
      <c r="AP846" t="s">
        <v>599</v>
      </c>
      <c r="AQ846" t="s">
        <v>3442</v>
      </c>
      <c r="AR846" t="s">
        <v>599</v>
      </c>
      <c r="AS846" t="s">
        <v>599</v>
      </c>
      <c r="AT846" t="s">
        <v>599</v>
      </c>
      <c r="AU846" t="s">
        <v>599</v>
      </c>
    </row>
    <row r="847" spans="1:47" ht="30" x14ac:dyDescent="0.25">
      <c r="A847" s="2">
        <v>12345</v>
      </c>
      <c r="B847" s="29">
        <v>808818</v>
      </c>
      <c r="C847" s="29">
        <v>1</v>
      </c>
      <c r="D847" s="28">
        <v>8</v>
      </c>
      <c r="E847" s="30" t="s">
        <v>575</v>
      </c>
      <c r="F847" s="30" t="str">
        <f t="shared" si="39"/>
        <v>https://purl.pt/15027</v>
      </c>
      <c r="G847" s="31" t="s">
        <v>576</v>
      </c>
      <c r="H847" s="28" t="s">
        <v>577</v>
      </c>
      <c r="I847" s="35" t="s">
        <v>613</v>
      </c>
      <c r="J847" s="55" t="str">
        <f t="shared" si="40"/>
        <v>https://permalinkbnd.bnportugal.gov.pt/viewer/14613/?offset=#page=8&amp;viewer=picture&amp;o=info&amp;n=0&amp;q=</v>
      </c>
      <c r="K847" s="45"/>
      <c r="L847" s="45"/>
      <c r="M847" s="45"/>
      <c r="N847" t="s">
        <v>575</v>
      </c>
      <c r="O847">
        <v>14613</v>
      </c>
      <c r="P847" t="str">
        <f t="shared" si="41"/>
        <v>https://permalinkbnd.bnportugal.gov.pt/viewer/14613/?offset=#page=8&amp;viewer=picture&amp;o=info&amp;n=0&amp;q=</v>
      </c>
      <c r="Q847">
        <v>808818</v>
      </c>
      <c r="R847" t="s">
        <v>575</v>
      </c>
      <c r="S847" t="s">
        <v>3443</v>
      </c>
      <c r="T847" t="s">
        <v>1178</v>
      </c>
      <c r="U847" t="s">
        <v>1192</v>
      </c>
      <c r="V847" t="s">
        <v>599</v>
      </c>
      <c r="W847" t="s">
        <v>1219</v>
      </c>
      <c r="X847" t="s">
        <v>3444</v>
      </c>
      <c r="Y847" t="s">
        <v>599</v>
      </c>
      <c r="Z847" t="s">
        <v>1182</v>
      </c>
      <c r="AA847" t="s">
        <v>3445</v>
      </c>
      <c r="AB847">
        <v>1880</v>
      </c>
      <c r="AC847">
        <v>1880</v>
      </c>
      <c r="AD847" t="s">
        <v>3446</v>
      </c>
      <c r="AE847" t="s">
        <v>1967</v>
      </c>
      <c r="AF847" t="s">
        <v>599</v>
      </c>
      <c r="AG847" t="s">
        <v>599</v>
      </c>
      <c r="AH847" t="s">
        <v>3447</v>
      </c>
      <c r="AI847" t="s">
        <v>599</v>
      </c>
      <c r="AJ847" t="s">
        <v>599</v>
      </c>
      <c r="AK847" t="s">
        <v>3448</v>
      </c>
      <c r="AL847" t="s">
        <v>599</v>
      </c>
      <c r="AM847" t="s">
        <v>3449</v>
      </c>
      <c r="AN847" t="s">
        <v>1190</v>
      </c>
      <c r="AO847" t="s">
        <v>599</v>
      </c>
      <c r="AP847" t="s">
        <v>599</v>
      </c>
      <c r="AQ847" t="s">
        <v>599</v>
      </c>
      <c r="AR847" t="s">
        <v>599</v>
      </c>
      <c r="AS847" t="s">
        <v>599</v>
      </c>
      <c r="AT847" t="s">
        <v>599</v>
      </c>
      <c r="AU847" t="s">
        <v>599</v>
      </c>
    </row>
    <row r="848" spans="1:47" ht="30" x14ac:dyDescent="0.25">
      <c r="A848" s="2">
        <v>12346</v>
      </c>
      <c r="B848" s="29">
        <v>808818</v>
      </c>
      <c r="C848" s="29">
        <v>1</v>
      </c>
      <c r="D848" s="28">
        <v>9</v>
      </c>
      <c r="E848" s="30" t="s">
        <v>575</v>
      </c>
      <c r="F848" s="30" t="str">
        <f t="shared" si="39"/>
        <v>https://purl.pt/15027</v>
      </c>
      <c r="G848" s="31" t="s">
        <v>576</v>
      </c>
      <c r="H848" s="28" t="s">
        <v>577</v>
      </c>
      <c r="I848" s="35" t="s">
        <v>613</v>
      </c>
      <c r="J848" s="55" t="str">
        <f t="shared" si="40"/>
        <v>https://permalinkbnd.bnportugal.gov.pt/viewer/14613/?offset=#page=9&amp;viewer=picture&amp;o=info&amp;n=0&amp;q=</v>
      </c>
      <c r="K848" s="45"/>
      <c r="L848" s="45"/>
      <c r="M848" s="45"/>
      <c r="N848" t="s">
        <v>575</v>
      </c>
      <c r="O848">
        <v>14613</v>
      </c>
      <c r="P848" t="str">
        <f t="shared" si="41"/>
        <v>https://permalinkbnd.bnportugal.gov.pt/viewer/14613/?offset=#page=9&amp;viewer=picture&amp;o=info&amp;n=0&amp;q=</v>
      </c>
      <c r="Q848">
        <v>808818</v>
      </c>
      <c r="R848" t="s">
        <v>575</v>
      </c>
      <c r="S848" t="s">
        <v>3443</v>
      </c>
      <c r="T848" t="s">
        <v>1178</v>
      </c>
      <c r="U848" t="s">
        <v>1192</v>
      </c>
      <c r="V848" t="s">
        <v>599</v>
      </c>
      <c r="W848" t="s">
        <v>1219</v>
      </c>
      <c r="X848" t="s">
        <v>3444</v>
      </c>
      <c r="Y848" t="s">
        <v>599</v>
      </c>
      <c r="Z848" t="s">
        <v>1182</v>
      </c>
      <c r="AA848" t="s">
        <v>3445</v>
      </c>
      <c r="AB848">
        <v>1880</v>
      </c>
      <c r="AC848">
        <v>1880</v>
      </c>
      <c r="AD848" t="s">
        <v>3446</v>
      </c>
      <c r="AE848" t="s">
        <v>1967</v>
      </c>
      <c r="AF848" t="s">
        <v>599</v>
      </c>
      <c r="AG848" t="s">
        <v>599</v>
      </c>
      <c r="AH848" t="s">
        <v>3447</v>
      </c>
      <c r="AI848" t="s">
        <v>599</v>
      </c>
      <c r="AJ848" t="s">
        <v>599</v>
      </c>
      <c r="AK848" t="s">
        <v>3448</v>
      </c>
      <c r="AL848" t="s">
        <v>599</v>
      </c>
      <c r="AM848" t="s">
        <v>3449</v>
      </c>
      <c r="AN848" t="s">
        <v>1190</v>
      </c>
      <c r="AO848" t="s">
        <v>599</v>
      </c>
      <c r="AP848" t="s">
        <v>599</v>
      </c>
      <c r="AQ848" t="s">
        <v>599</v>
      </c>
      <c r="AR848" t="s">
        <v>599</v>
      </c>
      <c r="AS848" t="s">
        <v>599</v>
      </c>
      <c r="AT848" t="s">
        <v>599</v>
      </c>
      <c r="AU848" t="s">
        <v>599</v>
      </c>
    </row>
    <row r="849" spans="1:47" ht="30" x14ac:dyDescent="0.25">
      <c r="A849" s="2">
        <v>12347</v>
      </c>
      <c r="B849" s="29">
        <v>808818</v>
      </c>
      <c r="C849" s="29">
        <v>1</v>
      </c>
      <c r="D849" s="28">
        <v>39</v>
      </c>
      <c r="E849" s="30" t="s">
        <v>575</v>
      </c>
      <c r="F849" s="30" t="str">
        <f t="shared" si="39"/>
        <v>https://purl.pt/15027</v>
      </c>
      <c r="G849" s="31" t="s">
        <v>576</v>
      </c>
      <c r="H849" s="28" t="s">
        <v>577</v>
      </c>
      <c r="I849" s="35" t="s">
        <v>613</v>
      </c>
      <c r="J849" s="55" t="str">
        <f t="shared" si="40"/>
        <v>https://permalinkbnd.bnportugal.gov.pt/viewer/14613/?offset=#page=39&amp;viewer=picture&amp;o=info&amp;n=0&amp;q=</v>
      </c>
      <c r="K849" s="45"/>
      <c r="L849" s="45"/>
      <c r="M849" s="45"/>
      <c r="N849" t="s">
        <v>575</v>
      </c>
      <c r="O849">
        <v>14613</v>
      </c>
      <c r="P849" t="str">
        <f t="shared" si="41"/>
        <v>https://permalinkbnd.bnportugal.gov.pt/viewer/14613/?offset=#page=39&amp;viewer=picture&amp;o=info&amp;n=0&amp;q=</v>
      </c>
      <c r="Q849">
        <v>808818</v>
      </c>
      <c r="R849" t="s">
        <v>575</v>
      </c>
      <c r="S849" t="s">
        <v>3443</v>
      </c>
      <c r="T849" t="s">
        <v>1178</v>
      </c>
      <c r="U849" t="s">
        <v>1192</v>
      </c>
      <c r="V849" t="s">
        <v>599</v>
      </c>
      <c r="W849" t="s">
        <v>1219</v>
      </c>
      <c r="X849" t="s">
        <v>3444</v>
      </c>
      <c r="Y849" t="s">
        <v>599</v>
      </c>
      <c r="Z849" t="s">
        <v>1182</v>
      </c>
      <c r="AA849" t="s">
        <v>3445</v>
      </c>
      <c r="AB849">
        <v>1880</v>
      </c>
      <c r="AC849">
        <v>1880</v>
      </c>
      <c r="AD849" t="s">
        <v>3446</v>
      </c>
      <c r="AE849" t="s">
        <v>1967</v>
      </c>
      <c r="AF849" t="s">
        <v>599</v>
      </c>
      <c r="AG849" t="s">
        <v>599</v>
      </c>
      <c r="AH849" t="s">
        <v>3447</v>
      </c>
      <c r="AI849" t="s">
        <v>599</v>
      </c>
      <c r="AJ849" t="s">
        <v>599</v>
      </c>
      <c r="AK849" t="s">
        <v>3448</v>
      </c>
      <c r="AL849" t="s">
        <v>599</v>
      </c>
      <c r="AM849" t="s">
        <v>3449</v>
      </c>
      <c r="AN849" t="s">
        <v>1190</v>
      </c>
      <c r="AO849" t="s">
        <v>599</v>
      </c>
      <c r="AP849" t="s">
        <v>599</v>
      </c>
      <c r="AQ849" t="s">
        <v>599</v>
      </c>
      <c r="AR849" t="s">
        <v>599</v>
      </c>
      <c r="AS849" t="s">
        <v>599</v>
      </c>
      <c r="AT849" t="s">
        <v>599</v>
      </c>
      <c r="AU849" t="s">
        <v>599</v>
      </c>
    </row>
    <row r="850" spans="1:47" ht="30" x14ac:dyDescent="0.25">
      <c r="A850" s="2">
        <v>12357</v>
      </c>
      <c r="B850" s="18">
        <v>865343</v>
      </c>
      <c r="C850" s="18">
        <v>1</v>
      </c>
      <c r="D850" s="17">
        <v>120</v>
      </c>
      <c r="E850" s="19" t="s">
        <v>578</v>
      </c>
      <c r="F850" s="19" t="str">
        <f t="shared" si="39"/>
        <v>https://purl.pt/26342</v>
      </c>
      <c r="G850" s="20" t="s">
        <v>579</v>
      </c>
      <c r="H850" s="17"/>
      <c r="I850" s="36" t="s">
        <v>1141</v>
      </c>
      <c r="J850" s="55" t="str">
        <f t="shared" si="40"/>
        <v>https://permalinkbnd.bnportugal.gov.pt/viewer/7634/?offset=#page=120&amp;viewer=picture&amp;o=info&amp;n=0&amp;q=</v>
      </c>
      <c r="K850" s="45"/>
      <c r="L850" s="45"/>
      <c r="M850" s="45"/>
      <c r="N850" t="s">
        <v>578</v>
      </c>
      <c r="O850">
        <v>7634</v>
      </c>
      <c r="P850" t="str">
        <f t="shared" si="41"/>
        <v>https://permalinkbnd.bnportugal.gov.pt/viewer/7634/?offset=#page=120&amp;viewer=picture&amp;o=info&amp;n=0&amp;q=</v>
      </c>
      <c r="Q850">
        <v>865343</v>
      </c>
      <c r="R850" t="s">
        <v>578</v>
      </c>
      <c r="S850" t="s">
        <v>3450</v>
      </c>
      <c r="T850" t="s">
        <v>1226</v>
      </c>
      <c r="U850" t="s">
        <v>1192</v>
      </c>
      <c r="V850" t="s">
        <v>599</v>
      </c>
      <c r="W850" t="s">
        <v>3451</v>
      </c>
      <c r="X850" t="s">
        <v>3452</v>
      </c>
      <c r="Y850" t="s">
        <v>599</v>
      </c>
      <c r="Z850" t="s">
        <v>1182</v>
      </c>
      <c r="AA850" t="s">
        <v>3453</v>
      </c>
      <c r="AB850">
        <v>1838</v>
      </c>
      <c r="AC850">
        <v>1838</v>
      </c>
      <c r="AD850" t="s">
        <v>599</v>
      </c>
      <c r="AE850" t="s">
        <v>599</v>
      </c>
      <c r="AF850" t="s">
        <v>599</v>
      </c>
      <c r="AG850" t="s">
        <v>599</v>
      </c>
      <c r="AH850" t="s">
        <v>599</v>
      </c>
      <c r="AI850" t="s">
        <v>599</v>
      </c>
      <c r="AJ850" t="s">
        <v>599</v>
      </c>
      <c r="AK850" t="s">
        <v>3454</v>
      </c>
      <c r="AL850" t="s">
        <v>599</v>
      </c>
      <c r="AM850" t="s">
        <v>3455</v>
      </c>
      <c r="AN850" t="s">
        <v>1190</v>
      </c>
      <c r="AO850" t="s">
        <v>599</v>
      </c>
      <c r="AP850" t="s">
        <v>599</v>
      </c>
      <c r="AQ850" t="s">
        <v>599</v>
      </c>
      <c r="AR850" t="s">
        <v>599</v>
      </c>
      <c r="AS850" t="s">
        <v>599</v>
      </c>
      <c r="AT850" t="s">
        <v>599</v>
      </c>
      <c r="AU850" t="s">
        <v>599</v>
      </c>
    </row>
    <row r="851" spans="1:47" ht="30" x14ac:dyDescent="0.25">
      <c r="A851" s="2">
        <v>12366</v>
      </c>
      <c r="B851" s="10">
        <v>2194758</v>
      </c>
      <c r="C851" s="10">
        <v>1</v>
      </c>
      <c r="D851" s="9">
        <v>1</v>
      </c>
      <c r="E851" s="11" t="s">
        <v>580</v>
      </c>
      <c r="F851" s="11" t="str">
        <f t="shared" si="39"/>
        <v>https://purl.pt/44208</v>
      </c>
      <c r="G851" s="12" t="s">
        <v>581</v>
      </c>
      <c r="H851" s="9" t="s">
        <v>582</v>
      </c>
      <c r="I851" s="34"/>
      <c r="J851" s="55" t="str">
        <f t="shared" si="40"/>
        <v>https://permalinkbnd.bnportugal.gov.pt/viewer/1880/?offset=#page=1&amp;viewer=picture&amp;o=info&amp;n=0&amp;q=</v>
      </c>
      <c r="K851" s="45"/>
      <c r="L851" s="45"/>
      <c r="M851" s="45"/>
      <c r="N851" t="s">
        <v>580</v>
      </c>
      <c r="O851">
        <v>1880</v>
      </c>
      <c r="P851" t="str">
        <f t="shared" si="41"/>
        <v>https://permalinkbnd.bnportugal.gov.pt/viewer/1880/?offset=#page=1&amp;viewer=picture&amp;o=info&amp;n=0&amp;q=</v>
      </c>
      <c r="Q851">
        <v>2194758</v>
      </c>
      <c r="R851" t="s">
        <v>580</v>
      </c>
      <c r="S851" t="s">
        <v>3456</v>
      </c>
      <c r="T851" t="s">
        <v>1178</v>
      </c>
      <c r="U851" t="s">
        <v>1192</v>
      </c>
      <c r="V851" t="s">
        <v>599</v>
      </c>
      <c r="W851" t="s">
        <v>3457</v>
      </c>
      <c r="X851" t="s">
        <v>3458</v>
      </c>
      <c r="Y851" t="s">
        <v>599</v>
      </c>
      <c r="Z851" t="s">
        <v>1182</v>
      </c>
      <c r="AA851" t="s">
        <v>3459</v>
      </c>
      <c r="AB851">
        <v>1880</v>
      </c>
      <c r="AC851">
        <v>1880</v>
      </c>
      <c r="AD851" t="s">
        <v>1872</v>
      </c>
      <c r="AE851" t="s">
        <v>599</v>
      </c>
      <c r="AF851" t="s">
        <v>599</v>
      </c>
      <c r="AG851" t="s">
        <v>599</v>
      </c>
      <c r="AH851" t="s">
        <v>599</v>
      </c>
      <c r="AI851" t="s">
        <v>599</v>
      </c>
      <c r="AJ851" t="s">
        <v>599</v>
      </c>
      <c r="AK851" t="s">
        <v>3460</v>
      </c>
      <c r="AL851" t="s">
        <v>599</v>
      </c>
      <c r="AM851" t="s">
        <v>3461</v>
      </c>
      <c r="AN851" t="s">
        <v>1190</v>
      </c>
      <c r="AO851" t="s">
        <v>599</v>
      </c>
      <c r="AP851" t="s">
        <v>599</v>
      </c>
      <c r="AQ851" t="s">
        <v>599</v>
      </c>
      <c r="AR851" t="s">
        <v>599</v>
      </c>
      <c r="AS851" t="s">
        <v>599</v>
      </c>
      <c r="AT851" t="s">
        <v>599</v>
      </c>
      <c r="AU851" t="s">
        <v>599</v>
      </c>
    </row>
    <row r="852" spans="1:47" ht="30" x14ac:dyDescent="0.25">
      <c r="A852" s="2">
        <v>12367</v>
      </c>
      <c r="B852" s="10">
        <v>2194758</v>
      </c>
      <c r="C852" s="10">
        <v>1</v>
      </c>
      <c r="D852" s="9">
        <v>2</v>
      </c>
      <c r="E852" s="11" t="s">
        <v>580</v>
      </c>
      <c r="F852" s="11" t="str">
        <f t="shared" si="39"/>
        <v>https://purl.pt/44208</v>
      </c>
      <c r="G852" s="12" t="s">
        <v>581</v>
      </c>
      <c r="H852" s="9" t="s">
        <v>582</v>
      </c>
      <c r="I852" s="34"/>
      <c r="J852" s="55" t="str">
        <f t="shared" si="40"/>
        <v>https://permalinkbnd.bnportugal.gov.pt/viewer/1880/?offset=#page=2&amp;viewer=picture&amp;o=info&amp;n=0&amp;q=</v>
      </c>
      <c r="K852" s="45"/>
      <c r="L852" s="45"/>
      <c r="M852" s="45"/>
      <c r="N852" t="s">
        <v>580</v>
      </c>
      <c r="O852">
        <v>1880</v>
      </c>
      <c r="P852" t="str">
        <f t="shared" si="41"/>
        <v>https://permalinkbnd.bnportugal.gov.pt/viewer/1880/?offset=#page=2&amp;viewer=picture&amp;o=info&amp;n=0&amp;q=</v>
      </c>
      <c r="Q852">
        <v>2194758</v>
      </c>
      <c r="R852" t="s">
        <v>580</v>
      </c>
      <c r="S852" t="s">
        <v>3456</v>
      </c>
      <c r="T852" t="s">
        <v>1178</v>
      </c>
      <c r="U852" t="s">
        <v>1192</v>
      </c>
      <c r="V852" t="s">
        <v>599</v>
      </c>
      <c r="W852" t="s">
        <v>3457</v>
      </c>
      <c r="X852" t="s">
        <v>3458</v>
      </c>
      <c r="Y852" t="s">
        <v>599</v>
      </c>
      <c r="Z852" t="s">
        <v>1182</v>
      </c>
      <c r="AA852" t="s">
        <v>3459</v>
      </c>
      <c r="AB852">
        <v>1880</v>
      </c>
      <c r="AC852">
        <v>1880</v>
      </c>
      <c r="AD852" t="s">
        <v>1872</v>
      </c>
      <c r="AE852" t="s">
        <v>599</v>
      </c>
      <c r="AF852" t="s">
        <v>599</v>
      </c>
      <c r="AG852" t="s">
        <v>599</v>
      </c>
      <c r="AH852" t="s">
        <v>599</v>
      </c>
      <c r="AI852" t="s">
        <v>599</v>
      </c>
      <c r="AJ852" t="s">
        <v>599</v>
      </c>
      <c r="AK852" t="s">
        <v>3460</v>
      </c>
      <c r="AL852" t="s">
        <v>599</v>
      </c>
      <c r="AM852" t="s">
        <v>3461</v>
      </c>
      <c r="AN852" t="s">
        <v>1190</v>
      </c>
      <c r="AO852" t="s">
        <v>599</v>
      </c>
      <c r="AP852" t="s">
        <v>599</v>
      </c>
      <c r="AQ852" t="s">
        <v>599</v>
      </c>
      <c r="AR852" t="s">
        <v>599</v>
      </c>
      <c r="AS852" t="s">
        <v>599</v>
      </c>
      <c r="AT852" t="s">
        <v>599</v>
      </c>
      <c r="AU852" t="s">
        <v>599</v>
      </c>
    </row>
    <row r="853" spans="1:47" ht="30" x14ac:dyDescent="0.25">
      <c r="A853" s="2">
        <v>12368</v>
      </c>
      <c r="B853" s="10">
        <v>2194758</v>
      </c>
      <c r="C853" s="10">
        <v>1</v>
      </c>
      <c r="D853" s="9">
        <v>3</v>
      </c>
      <c r="E853" s="11" t="s">
        <v>580</v>
      </c>
      <c r="F853" s="11" t="str">
        <f t="shared" si="39"/>
        <v>https://purl.pt/44208</v>
      </c>
      <c r="G853" s="12" t="s">
        <v>581</v>
      </c>
      <c r="H853" s="9" t="s">
        <v>582</v>
      </c>
      <c r="I853" s="34"/>
      <c r="J853" s="55" t="str">
        <f t="shared" si="40"/>
        <v>https://permalinkbnd.bnportugal.gov.pt/viewer/1880/?offset=#page=3&amp;viewer=picture&amp;o=info&amp;n=0&amp;q=</v>
      </c>
      <c r="K853" s="45"/>
      <c r="L853" s="45"/>
      <c r="M853" s="45"/>
      <c r="N853" t="s">
        <v>580</v>
      </c>
      <c r="O853">
        <v>1880</v>
      </c>
      <c r="P853" t="str">
        <f t="shared" si="41"/>
        <v>https://permalinkbnd.bnportugal.gov.pt/viewer/1880/?offset=#page=3&amp;viewer=picture&amp;o=info&amp;n=0&amp;q=</v>
      </c>
      <c r="Q853">
        <v>2194758</v>
      </c>
      <c r="R853" t="s">
        <v>580</v>
      </c>
      <c r="S853" t="s">
        <v>3456</v>
      </c>
      <c r="T853" t="s">
        <v>1178</v>
      </c>
      <c r="U853" t="s">
        <v>1192</v>
      </c>
      <c r="V853" t="s">
        <v>599</v>
      </c>
      <c r="W853" t="s">
        <v>3457</v>
      </c>
      <c r="X853" t="s">
        <v>3458</v>
      </c>
      <c r="Y853" t="s">
        <v>599</v>
      </c>
      <c r="Z853" t="s">
        <v>1182</v>
      </c>
      <c r="AA853" t="s">
        <v>3459</v>
      </c>
      <c r="AB853">
        <v>1880</v>
      </c>
      <c r="AC853">
        <v>1880</v>
      </c>
      <c r="AD853" t="s">
        <v>1872</v>
      </c>
      <c r="AE853" t="s">
        <v>599</v>
      </c>
      <c r="AF853" t="s">
        <v>599</v>
      </c>
      <c r="AG853" t="s">
        <v>599</v>
      </c>
      <c r="AH853" t="s">
        <v>599</v>
      </c>
      <c r="AI853" t="s">
        <v>599</v>
      </c>
      <c r="AJ853" t="s">
        <v>599</v>
      </c>
      <c r="AK853" t="s">
        <v>3460</v>
      </c>
      <c r="AL853" t="s">
        <v>599</v>
      </c>
      <c r="AM853" t="s">
        <v>3461</v>
      </c>
      <c r="AN853" t="s">
        <v>1190</v>
      </c>
      <c r="AO853" t="s">
        <v>599</v>
      </c>
      <c r="AP853" t="s">
        <v>599</v>
      </c>
      <c r="AQ853" t="s">
        <v>599</v>
      </c>
      <c r="AR853" t="s">
        <v>599</v>
      </c>
      <c r="AS853" t="s">
        <v>599</v>
      </c>
      <c r="AT853" t="s">
        <v>599</v>
      </c>
      <c r="AU853" t="s">
        <v>599</v>
      </c>
    </row>
    <row r="854" spans="1:47" ht="30" x14ac:dyDescent="0.25">
      <c r="A854" s="2">
        <v>12371</v>
      </c>
      <c r="B854" s="10">
        <v>2194827</v>
      </c>
      <c r="C854" s="10">
        <v>1</v>
      </c>
      <c r="D854" s="9">
        <v>1</v>
      </c>
      <c r="E854" s="11" t="s">
        <v>583</v>
      </c>
      <c r="F854" s="11" t="str">
        <f t="shared" si="39"/>
        <v>https://purl.pt/43905</v>
      </c>
      <c r="G854" s="12" t="s">
        <v>584</v>
      </c>
      <c r="H854" s="9">
        <v>1</v>
      </c>
      <c r="I854" s="34"/>
      <c r="J854" s="55" t="str">
        <f t="shared" si="40"/>
        <v>https://permalinkbnd.bnportugal.gov.pt/viewer/275033/?offset=#page=1&amp;viewer=picture&amp;o=info&amp;n=0&amp;q=</v>
      </c>
      <c r="K854" s="45"/>
      <c r="L854" s="45"/>
      <c r="M854" s="45"/>
      <c r="N854" t="s">
        <v>583</v>
      </c>
      <c r="O854">
        <v>275033</v>
      </c>
      <c r="P854" t="str">
        <f t="shared" si="41"/>
        <v>https://permalinkbnd.bnportugal.gov.pt/viewer/275033/?offset=#page=1&amp;viewer=picture&amp;o=info&amp;n=0&amp;q=</v>
      </c>
      <c r="Q854">
        <v>2194827</v>
      </c>
      <c r="R854" t="s">
        <v>583</v>
      </c>
      <c r="S854" t="s">
        <v>3462</v>
      </c>
      <c r="T854" t="s">
        <v>1178</v>
      </c>
      <c r="U854" t="s">
        <v>1192</v>
      </c>
      <c r="V854" t="s">
        <v>599</v>
      </c>
      <c r="W854" t="s">
        <v>1293</v>
      </c>
      <c r="X854" t="s">
        <v>3463</v>
      </c>
      <c r="Y854" t="s">
        <v>599</v>
      </c>
      <c r="Z854" t="s">
        <v>1182</v>
      </c>
      <c r="AA854" t="s">
        <v>3464</v>
      </c>
      <c r="AB854">
        <v>1880</v>
      </c>
      <c r="AC854">
        <v>1880</v>
      </c>
      <c r="AD854" t="s">
        <v>1872</v>
      </c>
      <c r="AE854" t="s">
        <v>599</v>
      </c>
      <c r="AF854" t="s">
        <v>599</v>
      </c>
      <c r="AG854" t="s">
        <v>599</v>
      </c>
      <c r="AH854" t="s">
        <v>599</v>
      </c>
      <c r="AI854" t="s">
        <v>599</v>
      </c>
      <c r="AJ854" t="s">
        <v>599</v>
      </c>
      <c r="AK854" t="s">
        <v>3465</v>
      </c>
      <c r="AL854" t="s">
        <v>599</v>
      </c>
      <c r="AM854" t="s">
        <v>3466</v>
      </c>
      <c r="AN854" t="s">
        <v>1190</v>
      </c>
      <c r="AO854" t="s">
        <v>599</v>
      </c>
      <c r="AP854" t="s">
        <v>599</v>
      </c>
      <c r="AQ854" t="s">
        <v>599</v>
      </c>
      <c r="AR854" t="s">
        <v>599</v>
      </c>
      <c r="AS854" t="s">
        <v>599</v>
      </c>
      <c r="AT854" t="s">
        <v>599</v>
      </c>
      <c r="AU854" t="s">
        <v>599</v>
      </c>
    </row>
    <row r="855" spans="1:47" ht="30" x14ac:dyDescent="0.25">
      <c r="A855" s="2">
        <v>12375</v>
      </c>
      <c r="B855" s="10">
        <v>2194848</v>
      </c>
      <c r="C855" s="10">
        <v>1</v>
      </c>
      <c r="D855" s="9">
        <v>1</v>
      </c>
      <c r="E855" s="11" t="s">
        <v>585</v>
      </c>
      <c r="F855" s="11" t="str">
        <f t="shared" si="39"/>
        <v>https://purl.pt/43900</v>
      </c>
      <c r="G855" s="12" t="s">
        <v>586</v>
      </c>
      <c r="H855" s="9">
        <v>1</v>
      </c>
      <c r="I855" s="34"/>
      <c r="J855" s="55" t="str">
        <f t="shared" si="40"/>
        <v>https://permalinkbnd.bnportugal.gov.pt/viewer/275038/?offset=#page=1&amp;viewer=picture&amp;o=info&amp;n=0&amp;q=</v>
      </c>
      <c r="K855" s="45"/>
      <c r="L855" s="45"/>
      <c r="M855" s="45"/>
      <c r="N855" t="s">
        <v>585</v>
      </c>
      <c r="O855">
        <v>275038</v>
      </c>
      <c r="P855" t="str">
        <f t="shared" si="41"/>
        <v>https://permalinkbnd.bnportugal.gov.pt/viewer/275038/?offset=#page=1&amp;viewer=picture&amp;o=info&amp;n=0&amp;q=</v>
      </c>
      <c r="Q855">
        <v>2194848</v>
      </c>
      <c r="R855" t="s">
        <v>585</v>
      </c>
      <c r="S855" t="s">
        <v>3467</v>
      </c>
      <c r="T855" t="s">
        <v>1178</v>
      </c>
      <c r="U855" t="s">
        <v>1192</v>
      </c>
      <c r="V855" t="s">
        <v>599</v>
      </c>
      <c r="W855" t="s">
        <v>1654</v>
      </c>
      <c r="X855" t="s">
        <v>3468</v>
      </c>
      <c r="Y855" t="s">
        <v>599</v>
      </c>
      <c r="Z855" t="s">
        <v>1182</v>
      </c>
      <c r="AA855" t="s">
        <v>3469</v>
      </c>
      <c r="AB855">
        <v>1880</v>
      </c>
      <c r="AC855">
        <v>1880</v>
      </c>
      <c r="AD855" t="s">
        <v>1872</v>
      </c>
      <c r="AE855" t="s">
        <v>599</v>
      </c>
      <c r="AF855" t="s">
        <v>599</v>
      </c>
      <c r="AG855" t="s">
        <v>599</v>
      </c>
      <c r="AH855" t="s">
        <v>599</v>
      </c>
      <c r="AI855" t="s">
        <v>599</v>
      </c>
      <c r="AJ855" t="s">
        <v>599</v>
      </c>
      <c r="AK855" t="s">
        <v>3470</v>
      </c>
      <c r="AL855" t="s">
        <v>599</v>
      </c>
      <c r="AM855" t="s">
        <v>3471</v>
      </c>
      <c r="AN855" t="s">
        <v>1190</v>
      </c>
      <c r="AO855" t="s">
        <v>599</v>
      </c>
      <c r="AP855" t="s">
        <v>599</v>
      </c>
      <c r="AQ855" t="s">
        <v>599</v>
      </c>
      <c r="AR855" t="s">
        <v>599</v>
      </c>
      <c r="AS855" t="s">
        <v>599</v>
      </c>
      <c r="AT855" t="s">
        <v>599</v>
      </c>
      <c r="AU855" t="s">
        <v>599</v>
      </c>
    </row>
    <row r="856" spans="1:47" ht="30" x14ac:dyDescent="0.25">
      <c r="A856" s="2">
        <v>12377</v>
      </c>
      <c r="B856" s="10">
        <v>2194859</v>
      </c>
      <c r="C856" s="10">
        <v>1</v>
      </c>
      <c r="D856" s="9">
        <v>1</v>
      </c>
      <c r="E856" s="11" t="s">
        <v>587</v>
      </c>
      <c r="F856" s="11" t="str">
        <f t="shared" si="39"/>
        <v>https://purl.pt/44169</v>
      </c>
      <c r="G856" s="12" t="s">
        <v>449</v>
      </c>
      <c r="H856" s="9">
        <v>1</v>
      </c>
      <c r="I856" s="34"/>
      <c r="J856" s="55" t="str">
        <f t="shared" si="40"/>
        <v>https://permalinkbnd.bnportugal.gov.pt/viewer/273677/?offset=#page=1&amp;viewer=picture&amp;o=info&amp;n=0&amp;q=</v>
      </c>
      <c r="K856" s="45"/>
      <c r="L856" s="45"/>
      <c r="M856" s="45"/>
      <c r="N856" t="s">
        <v>587</v>
      </c>
      <c r="O856">
        <v>273677</v>
      </c>
      <c r="P856" t="str">
        <f t="shared" si="41"/>
        <v>https://permalinkbnd.bnportugal.gov.pt/viewer/273677/?offset=#page=1&amp;viewer=picture&amp;o=info&amp;n=0&amp;q=</v>
      </c>
      <c r="Q856">
        <v>2194859</v>
      </c>
      <c r="R856" t="s">
        <v>587</v>
      </c>
      <c r="S856" t="s">
        <v>3472</v>
      </c>
      <c r="T856" t="s">
        <v>1178</v>
      </c>
      <c r="U856" t="s">
        <v>1192</v>
      </c>
      <c r="V856" t="s">
        <v>599</v>
      </c>
      <c r="W856" t="s">
        <v>1821</v>
      </c>
      <c r="X856" t="s">
        <v>3473</v>
      </c>
      <c r="Y856" t="s">
        <v>599</v>
      </c>
      <c r="Z856" t="s">
        <v>1182</v>
      </c>
      <c r="AA856" t="s">
        <v>3474</v>
      </c>
      <c r="AB856">
        <v>1880</v>
      </c>
      <c r="AC856">
        <v>1880</v>
      </c>
      <c r="AD856" t="s">
        <v>1872</v>
      </c>
      <c r="AE856" t="s">
        <v>599</v>
      </c>
      <c r="AF856" t="s">
        <v>599</v>
      </c>
      <c r="AG856" t="s">
        <v>599</v>
      </c>
      <c r="AH856" t="s">
        <v>599</v>
      </c>
      <c r="AI856" t="s">
        <v>599</v>
      </c>
      <c r="AJ856" t="s">
        <v>599</v>
      </c>
      <c r="AK856" t="s">
        <v>3475</v>
      </c>
      <c r="AL856" t="s">
        <v>599</v>
      </c>
      <c r="AM856" t="s">
        <v>3476</v>
      </c>
      <c r="AN856" t="s">
        <v>1190</v>
      </c>
      <c r="AO856" t="s">
        <v>599</v>
      </c>
      <c r="AP856" t="s">
        <v>599</v>
      </c>
      <c r="AQ856" t="s">
        <v>599</v>
      </c>
      <c r="AR856" t="s">
        <v>599</v>
      </c>
      <c r="AS856" t="s">
        <v>599</v>
      </c>
      <c r="AT856" t="s">
        <v>599</v>
      </c>
      <c r="AU856" t="s">
        <v>599</v>
      </c>
    </row>
    <row r="857" spans="1:47" ht="30" x14ac:dyDescent="0.25">
      <c r="A857" s="2">
        <v>12386</v>
      </c>
      <c r="B857" s="10">
        <v>2195077</v>
      </c>
      <c r="C857" s="10">
        <v>1</v>
      </c>
      <c r="D857" s="9">
        <v>9</v>
      </c>
      <c r="E857" s="11" t="s">
        <v>588</v>
      </c>
      <c r="F857" s="11" t="str">
        <f t="shared" si="39"/>
        <v>https://purl.pt/44206</v>
      </c>
      <c r="G857" s="12">
        <v>9</v>
      </c>
      <c r="H857" s="9">
        <v>9</v>
      </c>
      <c r="I857" s="34"/>
      <c r="J857" s="55" t="str">
        <f t="shared" si="40"/>
        <v>https://permalinkbnd.bnportugal.gov.pt/viewer/1880/?offset=#page=9&amp;viewer=picture&amp;o=info&amp;n=0&amp;q=</v>
      </c>
      <c r="K857" s="45"/>
      <c r="L857" s="45"/>
      <c r="M857" s="45"/>
      <c r="N857" t="s">
        <v>588</v>
      </c>
      <c r="O857">
        <v>1880</v>
      </c>
      <c r="P857" t="str">
        <f t="shared" si="41"/>
        <v>https://permalinkbnd.bnportugal.gov.pt/viewer/1880/?offset=#page=9&amp;viewer=picture&amp;o=info&amp;n=0&amp;q=</v>
      </c>
      <c r="Q857">
        <v>2195077</v>
      </c>
      <c r="R857" t="s">
        <v>588</v>
      </c>
      <c r="S857" t="s">
        <v>3477</v>
      </c>
      <c r="T857" t="s">
        <v>1178</v>
      </c>
      <c r="U857" t="s">
        <v>1192</v>
      </c>
      <c r="V857" t="s">
        <v>599</v>
      </c>
      <c r="W857" t="s">
        <v>3478</v>
      </c>
      <c r="X857" t="s">
        <v>3479</v>
      </c>
      <c r="Y857" t="s">
        <v>599</v>
      </c>
      <c r="Z857" t="s">
        <v>1182</v>
      </c>
      <c r="AA857" t="s">
        <v>3480</v>
      </c>
      <c r="AB857">
        <v>1880</v>
      </c>
      <c r="AC857">
        <v>1880</v>
      </c>
      <c r="AD857" t="s">
        <v>3481</v>
      </c>
      <c r="AE857" t="s">
        <v>599</v>
      </c>
      <c r="AF857" t="s">
        <v>599</v>
      </c>
      <c r="AG857" t="s">
        <v>599</v>
      </c>
      <c r="AH857" t="s">
        <v>599</v>
      </c>
      <c r="AI857" t="s">
        <v>599</v>
      </c>
      <c r="AJ857" t="s">
        <v>599</v>
      </c>
      <c r="AK857" t="s">
        <v>3482</v>
      </c>
      <c r="AL857" t="s">
        <v>599</v>
      </c>
      <c r="AM857" t="s">
        <v>3483</v>
      </c>
      <c r="AN857" t="s">
        <v>1190</v>
      </c>
      <c r="AO857" t="s">
        <v>599</v>
      </c>
      <c r="AP857" t="s">
        <v>599</v>
      </c>
      <c r="AQ857" t="s">
        <v>599</v>
      </c>
      <c r="AR857" t="s">
        <v>599</v>
      </c>
      <c r="AS857" t="s">
        <v>599</v>
      </c>
      <c r="AT857" t="s">
        <v>599</v>
      </c>
      <c r="AU857" t="s">
        <v>599</v>
      </c>
    </row>
    <row r="858" spans="1:47" ht="30" x14ac:dyDescent="0.25">
      <c r="A858" s="2">
        <v>12389</v>
      </c>
      <c r="B858" s="10">
        <v>2195085</v>
      </c>
      <c r="C858" s="10">
        <v>1</v>
      </c>
      <c r="D858" s="9">
        <v>1</v>
      </c>
      <c r="E858" s="11" t="s">
        <v>589</v>
      </c>
      <c r="F858" s="11" t="str">
        <f t="shared" si="39"/>
        <v>https://purl.pt/44170</v>
      </c>
      <c r="G858" s="12" t="s">
        <v>449</v>
      </c>
      <c r="H858" s="9">
        <v>1</v>
      </c>
      <c r="I858" s="34"/>
      <c r="J858" s="55" t="str">
        <f t="shared" si="40"/>
        <v>https://permalinkbnd.bnportugal.gov.pt/viewer/273687/?offset=#page=1&amp;viewer=picture&amp;o=info&amp;n=0&amp;q=</v>
      </c>
      <c r="K858" s="45"/>
      <c r="L858" s="45"/>
      <c r="M858" s="45"/>
      <c r="N858" t="s">
        <v>589</v>
      </c>
      <c r="O858">
        <v>273687</v>
      </c>
      <c r="P858" t="str">
        <f t="shared" si="41"/>
        <v>https://permalinkbnd.bnportugal.gov.pt/viewer/273687/?offset=#page=1&amp;viewer=picture&amp;o=info&amp;n=0&amp;q=</v>
      </c>
      <c r="Q858">
        <v>2195085</v>
      </c>
      <c r="R858" t="s">
        <v>589</v>
      </c>
      <c r="S858" t="s">
        <v>3484</v>
      </c>
      <c r="T858" t="s">
        <v>1178</v>
      </c>
      <c r="U858" t="s">
        <v>1192</v>
      </c>
      <c r="V858" t="s">
        <v>599</v>
      </c>
      <c r="W858" t="s">
        <v>1654</v>
      </c>
      <c r="X858" t="s">
        <v>599</v>
      </c>
      <c r="Y858" t="s">
        <v>599</v>
      </c>
      <c r="Z858" t="s">
        <v>1182</v>
      </c>
      <c r="AA858" t="s">
        <v>3485</v>
      </c>
      <c r="AB858">
        <v>1880</v>
      </c>
      <c r="AC858">
        <v>1880</v>
      </c>
      <c r="AD858" t="s">
        <v>1391</v>
      </c>
      <c r="AE858" t="s">
        <v>599</v>
      </c>
      <c r="AF858" t="s">
        <v>599</v>
      </c>
      <c r="AG858" t="s">
        <v>599</v>
      </c>
      <c r="AH858" t="s">
        <v>599</v>
      </c>
      <c r="AI858" t="s">
        <v>599</v>
      </c>
      <c r="AJ858" t="s">
        <v>599</v>
      </c>
      <c r="AK858" t="s">
        <v>3486</v>
      </c>
      <c r="AL858" t="s">
        <v>599</v>
      </c>
      <c r="AM858" t="s">
        <v>3487</v>
      </c>
      <c r="AN858" t="s">
        <v>1190</v>
      </c>
      <c r="AO858" t="s">
        <v>599</v>
      </c>
      <c r="AP858" t="s">
        <v>599</v>
      </c>
      <c r="AQ858" t="s">
        <v>599</v>
      </c>
      <c r="AR858" t="s">
        <v>599</v>
      </c>
      <c r="AS858" t="s">
        <v>599</v>
      </c>
      <c r="AT858" t="s">
        <v>599</v>
      </c>
      <c r="AU858" t="s">
        <v>599</v>
      </c>
    </row>
    <row r="859" spans="1:47" ht="30" x14ac:dyDescent="0.25">
      <c r="A859" s="2">
        <v>12390</v>
      </c>
      <c r="B859" s="10">
        <v>2195086</v>
      </c>
      <c r="C859" s="10">
        <v>1</v>
      </c>
      <c r="D859" s="9">
        <v>1</v>
      </c>
      <c r="E859" s="11" t="s">
        <v>590</v>
      </c>
      <c r="F859" s="11" t="str">
        <f t="shared" si="39"/>
        <v>https://purl.pt/43942</v>
      </c>
      <c r="G859" s="12" t="s">
        <v>449</v>
      </c>
      <c r="H859" s="9">
        <v>1</v>
      </c>
      <c r="I859" s="34"/>
      <c r="J859" s="55" t="str">
        <f t="shared" si="40"/>
        <v>https://permalinkbnd.bnportugal.gov.pt/viewer/273688/?offset=#page=1&amp;viewer=picture&amp;o=info&amp;n=0&amp;q=</v>
      </c>
      <c r="K859" s="45"/>
      <c r="L859" s="45"/>
      <c r="M859" s="45"/>
      <c r="N859" t="s">
        <v>590</v>
      </c>
      <c r="O859">
        <v>273688</v>
      </c>
      <c r="P859" t="str">
        <f t="shared" si="41"/>
        <v>https://permalinkbnd.bnportugal.gov.pt/viewer/273688/?offset=#page=1&amp;viewer=picture&amp;o=info&amp;n=0&amp;q=</v>
      </c>
      <c r="Q859">
        <v>2195086</v>
      </c>
      <c r="R859" t="s">
        <v>590</v>
      </c>
      <c r="S859" t="s">
        <v>3488</v>
      </c>
      <c r="T859" t="s">
        <v>1178</v>
      </c>
      <c r="U859" t="s">
        <v>1192</v>
      </c>
      <c r="V859" t="s">
        <v>599</v>
      </c>
      <c r="W859" t="s">
        <v>1603</v>
      </c>
      <c r="X859" t="s">
        <v>3489</v>
      </c>
      <c r="Y859" t="s">
        <v>599</v>
      </c>
      <c r="Z859" t="s">
        <v>1182</v>
      </c>
      <c r="AA859" t="s">
        <v>3490</v>
      </c>
      <c r="AB859">
        <v>1880</v>
      </c>
      <c r="AC859">
        <v>1880</v>
      </c>
      <c r="AD859" t="s">
        <v>1391</v>
      </c>
      <c r="AE859" t="s">
        <v>599</v>
      </c>
      <c r="AF859" t="s">
        <v>599</v>
      </c>
      <c r="AG859" t="s">
        <v>599</v>
      </c>
      <c r="AH859" t="s">
        <v>599</v>
      </c>
      <c r="AI859" t="s">
        <v>599</v>
      </c>
      <c r="AJ859" t="s">
        <v>599</v>
      </c>
      <c r="AK859" t="s">
        <v>3491</v>
      </c>
      <c r="AL859" t="s">
        <v>599</v>
      </c>
      <c r="AM859" t="s">
        <v>3492</v>
      </c>
      <c r="AN859" t="s">
        <v>1190</v>
      </c>
      <c r="AO859" t="s">
        <v>599</v>
      </c>
      <c r="AP859" t="s">
        <v>599</v>
      </c>
      <c r="AQ859" t="s">
        <v>599</v>
      </c>
      <c r="AR859" t="s">
        <v>599</v>
      </c>
      <c r="AS859" t="s">
        <v>599</v>
      </c>
      <c r="AT859" t="s">
        <v>599</v>
      </c>
      <c r="AU859" t="s">
        <v>599</v>
      </c>
    </row>
    <row r="860" spans="1:47" ht="60" x14ac:dyDescent="0.25">
      <c r="A860" s="2">
        <v>12393</v>
      </c>
      <c r="B860" s="10">
        <v>2195089</v>
      </c>
      <c r="C860" s="10">
        <v>1</v>
      </c>
      <c r="D860" s="9">
        <v>5</v>
      </c>
      <c r="E860" s="11" t="s">
        <v>591</v>
      </c>
      <c r="F860" s="11" t="str">
        <f t="shared" si="39"/>
        <v>https://purl.pt/44323</v>
      </c>
      <c r="G860" s="12" t="s">
        <v>592</v>
      </c>
      <c r="H860" s="9" t="s">
        <v>593</v>
      </c>
      <c r="I860" s="34"/>
      <c r="J860" s="55" t="str">
        <f t="shared" si="40"/>
        <v>https://permalinkbnd.bnportugal.gov.pt/viewer/277330/?offset=#page=5&amp;viewer=picture&amp;o=info&amp;n=0&amp;q=</v>
      </c>
      <c r="K860" s="45"/>
      <c r="L860" s="45"/>
      <c r="M860" s="45"/>
      <c r="N860" t="s">
        <v>591</v>
      </c>
      <c r="O860">
        <v>277330</v>
      </c>
      <c r="P860" t="str">
        <f t="shared" si="41"/>
        <v>https://permalinkbnd.bnportugal.gov.pt/viewer/277330/?offset=#page=5&amp;viewer=picture&amp;o=info&amp;n=0&amp;q=</v>
      </c>
      <c r="Q860">
        <v>2195089</v>
      </c>
      <c r="R860" t="s">
        <v>591</v>
      </c>
      <c r="S860" t="s">
        <v>3493</v>
      </c>
      <c r="T860" t="s">
        <v>1178</v>
      </c>
      <c r="U860" t="s">
        <v>1192</v>
      </c>
      <c r="V860" t="s">
        <v>599</v>
      </c>
      <c r="W860" t="s">
        <v>3494</v>
      </c>
      <c r="X860" t="s">
        <v>599</v>
      </c>
      <c r="Y860" t="s">
        <v>599</v>
      </c>
      <c r="Z860" t="s">
        <v>1182</v>
      </c>
      <c r="AA860" t="s">
        <v>3495</v>
      </c>
      <c r="AB860">
        <v>1880</v>
      </c>
      <c r="AC860">
        <v>1880</v>
      </c>
      <c r="AD860" t="s">
        <v>1802</v>
      </c>
      <c r="AE860" t="s">
        <v>599</v>
      </c>
      <c r="AF860" t="s">
        <v>599</v>
      </c>
      <c r="AG860" t="s">
        <v>599</v>
      </c>
      <c r="AH860" t="s">
        <v>3496</v>
      </c>
      <c r="AI860" t="s">
        <v>599</v>
      </c>
      <c r="AJ860" t="s">
        <v>599</v>
      </c>
      <c r="AK860" t="s">
        <v>3497</v>
      </c>
      <c r="AL860" t="s">
        <v>599</v>
      </c>
      <c r="AM860" t="s">
        <v>3498</v>
      </c>
      <c r="AN860" t="s">
        <v>1190</v>
      </c>
      <c r="AO860" t="s">
        <v>599</v>
      </c>
      <c r="AP860" t="s">
        <v>599</v>
      </c>
      <c r="AQ860" t="s">
        <v>599</v>
      </c>
      <c r="AR860" t="s">
        <v>599</v>
      </c>
      <c r="AS860" t="s">
        <v>599</v>
      </c>
      <c r="AT860" t="s">
        <v>599</v>
      </c>
      <c r="AU860" t="s">
        <v>599</v>
      </c>
    </row>
    <row r="861" spans="1:47" ht="60" x14ac:dyDescent="0.25">
      <c r="A861" s="2">
        <v>12394</v>
      </c>
      <c r="B861" s="10">
        <v>2195089</v>
      </c>
      <c r="C861" s="10">
        <v>1</v>
      </c>
      <c r="D861" s="9">
        <v>7</v>
      </c>
      <c r="E861" s="11" t="s">
        <v>591</v>
      </c>
      <c r="F861" s="11" t="str">
        <f t="shared" si="39"/>
        <v>https://purl.pt/44323</v>
      </c>
      <c r="G861" s="12" t="s">
        <v>592</v>
      </c>
      <c r="H861" s="9" t="s">
        <v>593</v>
      </c>
      <c r="I861" s="34"/>
      <c r="J861" s="55" t="str">
        <f t="shared" si="40"/>
        <v>https://permalinkbnd.bnportugal.gov.pt/viewer/277330/?offset=#page=7&amp;viewer=picture&amp;o=info&amp;n=0&amp;q=</v>
      </c>
      <c r="K861" s="45"/>
      <c r="L861" s="45"/>
      <c r="M861" s="45"/>
      <c r="N861" t="s">
        <v>591</v>
      </c>
      <c r="O861">
        <v>277330</v>
      </c>
      <c r="P861" t="str">
        <f t="shared" si="41"/>
        <v>https://permalinkbnd.bnportugal.gov.pt/viewer/277330/?offset=#page=7&amp;viewer=picture&amp;o=info&amp;n=0&amp;q=</v>
      </c>
      <c r="Q861">
        <v>2195089</v>
      </c>
      <c r="R861" t="s">
        <v>591</v>
      </c>
      <c r="S861" t="s">
        <v>3493</v>
      </c>
      <c r="T861" t="s">
        <v>1178</v>
      </c>
      <c r="U861" t="s">
        <v>1192</v>
      </c>
      <c r="V861" t="s">
        <v>599</v>
      </c>
      <c r="W861" t="s">
        <v>3494</v>
      </c>
      <c r="X861" t="s">
        <v>599</v>
      </c>
      <c r="Y861" t="s">
        <v>599</v>
      </c>
      <c r="Z861" t="s">
        <v>1182</v>
      </c>
      <c r="AA861" t="s">
        <v>3495</v>
      </c>
      <c r="AB861">
        <v>1880</v>
      </c>
      <c r="AC861">
        <v>1880</v>
      </c>
      <c r="AD861" t="s">
        <v>1802</v>
      </c>
      <c r="AE861" t="s">
        <v>599</v>
      </c>
      <c r="AF861" t="s">
        <v>599</v>
      </c>
      <c r="AG861" t="s">
        <v>599</v>
      </c>
      <c r="AH861" t="s">
        <v>3496</v>
      </c>
      <c r="AI861" t="s">
        <v>599</v>
      </c>
      <c r="AJ861" t="s">
        <v>599</v>
      </c>
      <c r="AK861" t="s">
        <v>3497</v>
      </c>
      <c r="AL861" t="s">
        <v>599</v>
      </c>
      <c r="AM861" t="s">
        <v>3498</v>
      </c>
      <c r="AN861" t="s">
        <v>1190</v>
      </c>
      <c r="AO861" t="s">
        <v>599</v>
      </c>
      <c r="AP861" t="s">
        <v>599</v>
      </c>
      <c r="AQ861" t="s">
        <v>599</v>
      </c>
      <c r="AR861" t="s">
        <v>599</v>
      </c>
      <c r="AS861" t="s">
        <v>599</v>
      </c>
      <c r="AT861" t="s">
        <v>599</v>
      </c>
      <c r="AU861" t="s">
        <v>599</v>
      </c>
    </row>
    <row r="862" spans="1:47" ht="60" x14ac:dyDescent="0.25">
      <c r="A862" s="2">
        <v>12395</v>
      </c>
      <c r="B862" s="10">
        <v>2195089</v>
      </c>
      <c r="C862" s="10">
        <v>1</v>
      </c>
      <c r="D862" s="9">
        <v>8</v>
      </c>
      <c r="E862" s="11" t="s">
        <v>591</v>
      </c>
      <c r="F862" s="11" t="str">
        <f t="shared" si="39"/>
        <v>https://purl.pt/44323</v>
      </c>
      <c r="G862" s="12" t="s">
        <v>592</v>
      </c>
      <c r="H862" s="9" t="s">
        <v>593</v>
      </c>
      <c r="I862" s="34"/>
      <c r="J862" s="55" t="str">
        <f t="shared" si="40"/>
        <v>https://permalinkbnd.bnportugal.gov.pt/viewer/277330/?offset=#page=8&amp;viewer=picture&amp;o=info&amp;n=0&amp;q=</v>
      </c>
      <c r="K862" s="45"/>
      <c r="L862" s="45"/>
      <c r="M862" s="45"/>
      <c r="N862" t="s">
        <v>591</v>
      </c>
      <c r="O862">
        <v>277330</v>
      </c>
      <c r="P862" t="str">
        <f t="shared" si="41"/>
        <v>https://permalinkbnd.bnportugal.gov.pt/viewer/277330/?offset=#page=8&amp;viewer=picture&amp;o=info&amp;n=0&amp;q=</v>
      </c>
      <c r="Q862">
        <v>2195089</v>
      </c>
      <c r="R862" t="s">
        <v>591</v>
      </c>
      <c r="S862" t="s">
        <v>3493</v>
      </c>
      <c r="T862" t="s">
        <v>1178</v>
      </c>
      <c r="U862" t="s">
        <v>1192</v>
      </c>
      <c r="V862" t="s">
        <v>599</v>
      </c>
      <c r="W862" t="s">
        <v>3494</v>
      </c>
      <c r="X862" t="s">
        <v>599</v>
      </c>
      <c r="Y862" t="s">
        <v>599</v>
      </c>
      <c r="Z862" t="s">
        <v>1182</v>
      </c>
      <c r="AA862" t="s">
        <v>3495</v>
      </c>
      <c r="AB862">
        <v>1880</v>
      </c>
      <c r="AC862">
        <v>1880</v>
      </c>
      <c r="AD862" t="s">
        <v>1802</v>
      </c>
      <c r="AE862" t="s">
        <v>599</v>
      </c>
      <c r="AF862" t="s">
        <v>599</v>
      </c>
      <c r="AG862" t="s">
        <v>599</v>
      </c>
      <c r="AH862" t="s">
        <v>3496</v>
      </c>
      <c r="AI862" t="s">
        <v>599</v>
      </c>
      <c r="AJ862" t="s">
        <v>599</v>
      </c>
      <c r="AK862" t="s">
        <v>3497</v>
      </c>
      <c r="AL862" t="s">
        <v>599</v>
      </c>
      <c r="AM862" t="s">
        <v>3498</v>
      </c>
      <c r="AN862" t="s">
        <v>1190</v>
      </c>
      <c r="AO862" t="s">
        <v>599</v>
      </c>
      <c r="AP862" t="s">
        <v>599</v>
      </c>
      <c r="AQ862" t="s">
        <v>599</v>
      </c>
      <c r="AR862" t="s">
        <v>599</v>
      </c>
      <c r="AS862" t="s">
        <v>599</v>
      </c>
      <c r="AT862" t="s">
        <v>599</v>
      </c>
      <c r="AU862" t="s">
        <v>599</v>
      </c>
    </row>
    <row r="863" spans="1:47" ht="60" x14ac:dyDescent="0.25">
      <c r="A863" s="2">
        <v>12396</v>
      </c>
      <c r="B863" s="10">
        <v>2195089</v>
      </c>
      <c r="C863" s="10">
        <v>1</v>
      </c>
      <c r="D863" s="9">
        <v>9</v>
      </c>
      <c r="E863" s="11" t="s">
        <v>591</v>
      </c>
      <c r="F863" s="11" t="str">
        <f t="shared" si="39"/>
        <v>https://purl.pt/44323</v>
      </c>
      <c r="G863" s="12" t="s">
        <v>592</v>
      </c>
      <c r="H863" s="9" t="s">
        <v>593</v>
      </c>
      <c r="I863" s="34"/>
      <c r="J863" s="55" t="str">
        <f t="shared" si="40"/>
        <v>https://permalinkbnd.bnportugal.gov.pt/viewer/277330/?offset=#page=9&amp;viewer=picture&amp;o=info&amp;n=0&amp;q=</v>
      </c>
      <c r="K863" s="45"/>
      <c r="L863" s="45"/>
      <c r="M863" s="45"/>
      <c r="N863" t="s">
        <v>591</v>
      </c>
      <c r="O863">
        <v>277330</v>
      </c>
      <c r="P863" t="str">
        <f t="shared" si="41"/>
        <v>https://permalinkbnd.bnportugal.gov.pt/viewer/277330/?offset=#page=9&amp;viewer=picture&amp;o=info&amp;n=0&amp;q=</v>
      </c>
      <c r="Q863">
        <v>2195089</v>
      </c>
      <c r="R863" t="s">
        <v>591</v>
      </c>
      <c r="S863" t="s">
        <v>3493</v>
      </c>
      <c r="T863" t="s">
        <v>1178</v>
      </c>
      <c r="U863" t="s">
        <v>1192</v>
      </c>
      <c r="V863" t="s">
        <v>599</v>
      </c>
      <c r="W863" t="s">
        <v>3494</v>
      </c>
      <c r="X863" t="s">
        <v>599</v>
      </c>
      <c r="Y863" t="s">
        <v>599</v>
      </c>
      <c r="Z863" t="s">
        <v>1182</v>
      </c>
      <c r="AA863" t="s">
        <v>3495</v>
      </c>
      <c r="AB863">
        <v>1880</v>
      </c>
      <c r="AC863">
        <v>1880</v>
      </c>
      <c r="AD863" t="s">
        <v>1802</v>
      </c>
      <c r="AE863" t="s">
        <v>599</v>
      </c>
      <c r="AF863" t="s">
        <v>599</v>
      </c>
      <c r="AG863" t="s">
        <v>599</v>
      </c>
      <c r="AH863" t="s">
        <v>3496</v>
      </c>
      <c r="AI863" t="s">
        <v>599</v>
      </c>
      <c r="AJ863" t="s">
        <v>599</v>
      </c>
      <c r="AK863" t="s">
        <v>3497</v>
      </c>
      <c r="AL863" t="s">
        <v>599</v>
      </c>
      <c r="AM863" t="s">
        <v>3498</v>
      </c>
      <c r="AN863" t="s">
        <v>1190</v>
      </c>
      <c r="AO863" t="s">
        <v>599</v>
      </c>
      <c r="AP863" t="s">
        <v>599</v>
      </c>
      <c r="AQ863" t="s">
        <v>599</v>
      </c>
      <c r="AR863" t="s">
        <v>599</v>
      </c>
      <c r="AS863" t="s">
        <v>599</v>
      </c>
      <c r="AT863" t="s">
        <v>599</v>
      </c>
      <c r="AU863" t="s">
        <v>599</v>
      </c>
    </row>
    <row r="864" spans="1:47" ht="60" x14ac:dyDescent="0.25">
      <c r="A864" s="2">
        <v>12397</v>
      </c>
      <c r="B864" s="10">
        <v>2195089</v>
      </c>
      <c r="C864" s="10">
        <v>1</v>
      </c>
      <c r="D864" s="9">
        <v>10</v>
      </c>
      <c r="E864" s="11" t="s">
        <v>591</v>
      </c>
      <c r="F864" s="11" t="str">
        <f t="shared" si="39"/>
        <v>https://purl.pt/44323</v>
      </c>
      <c r="G864" s="12" t="s">
        <v>592</v>
      </c>
      <c r="H864" s="9" t="s">
        <v>593</v>
      </c>
      <c r="I864" s="34"/>
      <c r="J864" s="55" t="str">
        <f t="shared" si="40"/>
        <v>https://permalinkbnd.bnportugal.gov.pt/viewer/277330/?offset=#page=10&amp;viewer=picture&amp;o=info&amp;n=0&amp;q=</v>
      </c>
      <c r="K864" s="45"/>
      <c r="L864" s="45"/>
      <c r="M864" s="45"/>
      <c r="N864" t="s">
        <v>591</v>
      </c>
      <c r="O864">
        <v>277330</v>
      </c>
      <c r="P864" t="str">
        <f t="shared" si="41"/>
        <v>https://permalinkbnd.bnportugal.gov.pt/viewer/277330/?offset=#page=10&amp;viewer=picture&amp;o=info&amp;n=0&amp;q=</v>
      </c>
      <c r="Q864">
        <v>2195089</v>
      </c>
      <c r="R864" t="s">
        <v>591</v>
      </c>
      <c r="S864" t="s">
        <v>3493</v>
      </c>
      <c r="T864" t="s">
        <v>1178</v>
      </c>
      <c r="U864" t="s">
        <v>1192</v>
      </c>
      <c r="V864" t="s">
        <v>599</v>
      </c>
      <c r="W864" t="s">
        <v>3494</v>
      </c>
      <c r="X864" t="s">
        <v>599</v>
      </c>
      <c r="Y864" t="s">
        <v>599</v>
      </c>
      <c r="Z864" t="s">
        <v>1182</v>
      </c>
      <c r="AA864" t="s">
        <v>3495</v>
      </c>
      <c r="AB864">
        <v>1880</v>
      </c>
      <c r="AC864">
        <v>1880</v>
      </c>
      <c r="AD864" t="s">
        <v>1802</v>
      </c>
      <c r="AE864" t="s">
        <v>599</v>
      </c>
      <c r="AF864" t="s">
        <v>599</v>
      </c>
      <c r="AG864" t="s">
        <v>599</v>
      </c>
      <c r="AH864" t="s">
        <v>3496</v>
      </c>
      <c r="AI864" t="s">
        <v>599</v>
      </c>
      <c r="AJ864" t="s">
        <v>599</v>
      </c>
      <c r="AK864" t="s">
        <v>3497</v>
      </c>
      <c r="AL864" t="s">
        <v>599</v>
      </c>
      <c r="AM864" t="s">
        <v>3498</v>
      </c>
      <c r="AN864" t="s">
        <v>1190</v>
      </c>
      <c r="AO864" t="s">
        <v>599</v>
      </c>
      <c r="AP864" t="s">
        <v>599</v>
      </c>
      <c r="AQ864" t="s">
        <v>599</v>
      </c>
      <c r="AR864" t="s">
        <v>599</v>
      </c>
      <c r="AS864" t="s">
        <v>599</v>
      </c>
      <c r="AT864" t="s">
        <v>599</v>
      </c>
      <c r="AU864" t="s">
        <v>599</v>
      </c>
    </row>
    <row r="865" spans="1:47" ht="60" x14ac:dyDescent="0.25">
      <c r="A865" s="2">
        <v>12398</v>
      </c>
      <c r="B865" s="10">
        <v>2195089</v>
      </c>
      <c r="C865" s="10">
        <v>1</v>
      </c>
      <c r="D865" s="9">
        <v>11</v>
      </c>
      <c r="E865" s="11" t="s">
        <v>591</v>
      </c>
      <c r="F865" s="11" t="str">
        <f t="shared" si="39"/>
        <v>https://purl.pt/44323</v>
      </c>
      <c r="G865" s="12" t="s">
        <v>592</v>
      </c>
      <c r="H865" s="9" t="s">
        <v>593</v>
      </c>
      <c r="I865" s="34"/>
      <c r="J865" s="55" t="str">
        <f t="shared" si="40"/>
        <v>https://permalinkbnd.bnportugal.gov.pt/viewer/277330/?offset=#page=11&amp;viewer=picture&amp;o=info&amp;n=0&amp;q=</v>
      </c>
      <c r="K865" s="45"/>
      <c r="L865" s="45"/>
      <c r="M865" s="45"/>
      <c r="N865" t="s">
        <v>591</v>
      </c>
      <c r="O865">
        <v>277330</v>
      </c>
      <c r="P865" t="str">
        <f t="shared" si="41"/>
        <v>https://permalinkbnd.bnportugal.gov.pt/viewer/277330/?offset=#page=11&amp;viewer=picture&amp;o=info&amp;n=0&amp;q=</v>
      </c>
      <c r="Q865">
        <v>2195089</v>
      </c>
      <c r="R865" t="s">
        <v>591</v>
      </c>
      <c r="S865" t="s">
        <v>3493</v>
      </c>
      <c r="T865" t="s">
        <v>1178</v>
      </c>
      <c r="U865" t="s">
        <v>1192</v>
      </c>
      <c r="V865" t="s">
        <v>599</v>
      </c>
      <c r="W865" t="s">
        <v>3494</v>
      </c>
      <c r="X865" t="s">
        <v>599</v>
      </c>
      <c r="Y865" t="s">
        <v>599</v>
      </c>
      <c r="Z865" t="s">
        <v>1182</v>
      </c>
      <c r="AA865" t="s">
        <v>3495</v>
      </c>
      <c r="AB865">
        <v>1880</v>
      </c>
      <c r="AC865">
        <v>1880</v>
      </c>
      <c r="AD865" t="s">
        <v>1802</v>
      </c>
      <c r="AE865" t="s">
        <v>599</v>
      </c>
      <c r="AF865" t="s">
        <v>599</v>
      </c>
      <c r="AG865" t="s">
        <v>599</v>
      </c>
      <c r="AH865" t="s">
        <v>3496</v>
      </c>
      <c r="AI865" t="s">
        <v>599</v>
      </c>
      <c r="AJ865" t="s">
        <v>599</v>
      </c>
      <c r="AK865" t="s">
        <v>3497</v>
      </c>
      <c r="AL865" t="s">
        <v>599</v>
      </c>
      <c r="AM865" t="s">
        <v>3498</v>
      </c>
      <c r="AN865" t="s">
        <v>1190</v>
      </c>
      <c r="AO865" t="s">
        <v>599</v>
      </c>
      <c r="AP865" t="s">
        <v>599</v>
      </c>
      <c r="AQ865" t="s">
        <v>599</v>
      </c>
      <c r="AR865" t="s">
        <v>599</v>
      </c>
      <c r="AS865" t="s">
        <v>599</v>
      </c>
      <c r="AT865" t="s">
        <v>599</v>
      </c>
      <c r="AU865" t="s">
        <v>599</v>
      </c>
    </row>
    <row r="866" spans="1:47" ht="30" x14ac:dyDescent="0.25">
      <c r="A866" s="2">
        <v>12400</v>
      </c>
      <c r="B866" s="10">
        <v>2195091</v>
      </c>
      <c r="C866" s="10">
        <v>1</v>
      </c>
      <c r="D866" s="9">
        <v>5</v>
      </c>
      <c r="E866" s="11" t="s">
        <v>594</v>
      </c>
      <c r="F866" s="11" t="str">
        <f t="shared" si="39"/>
        <v>https://purl.pt/44319</v>
      </c>
      <c r="G866" s="12" t="s">
        <v>529</v>
      </c>
      <c r="H866" s="9">
        <v>5</v>
      </c>
      <c r="I866" s="34"/>
      <c r="J866" s="55" t="str">
        <f t="shared" si="40"/>
        <v>https://permalinkbnd.bnportugal.gov.pt/viewer/277332/?offset=#page=5&amp;viewer=picture&amp;o=info&amp;n=0&amp;q=</v>
      </c>
      <c r="K866" s="45"/>
      <c r="L866" s="45"/>
      <c r="M866" s="45"/>
      <c r="N866" t="s">
        <v>594</v>
      </c>
      <c r="O866">
        <v>277332</v>
      </c>
      <c r="P866" t="str">
        <f t="shared" si="41"/>
        <v>https://permalinkbnd.bnportugal.gov.pt/viewer/277332/?offset=#page=5&amp;viewer=picture&amp;o=info&amp;n=0&amp;q=</v>
      </c>
      <c r="Q866">
        <v>2195091</v>
      </c>
      <c r="R866" t="s">
        <v>594</v>
      </c>
      <c r="S866" t="s">
        <v>3499</v>
      </c>
      <c r="T866" t="s">
        <v>1178</v>
      </c>
      <c r="U866" t="s">
        <v>1192</v>
      </c>
      <c r="V866" t="s">
        <v>599</v>
      </c>
      <c r="W866" t="s">
        <v>3500</v>
      </c>
      <c r="X866" t="s">
        <v>3501</v>
      </c>
      <c r="Y866" t="s">
        <v>599</v>
      </c>
      <c r="Z866" t="s">
        <v>1182</v>
      </c>
      <c r="AA866" t="s">
        <v>3502</v>
      </c>
      <c r="AB866">
        <v>1880</v>
      </c>
      <c r="AC866">
        <v>1880</v>
      </c>
      <c r="AD866" t="s">
        <v>1872</v>
      </c>
      <c r="AE866" t="s">
        <v>599</v>
      </c>
      <c r="AF866" t="s">
        <v>599</v>
      </c>
      <c r="AG866" t="s">
        <v>599</v>
      </c>
      <c r="AH866" t="s">
        <v>599</v>
      </c>
      <c r="AI866" t="s">
        <v>599</v>
      </c>
      <c r="AJ866" t="s">
        <v>599</v>
      </c>
      <c r="AK866" t="s">
        <v>3503</v>
      </c>
      <c r="AL866" t="s">
        <v>599</v>
      </c>
      <c r="AM866" t="s">
        <v>3504</v>
      </c>
      <c r="AN866" t="s">
        <v>1190</v>
      </c>
      <c r="AO866" t="s">
        <v>599</v>
      </c>
      <c r="AP866" t="s">
        <v>599</v>
      </c>
      <c r="AQ866" t="s">
        <v>599</v>
      </c>
      <c r="AR866" t="s">
        <v>599</v>
      </c>
      <c r="AS866" t="s">
        <v>599</v>
      </c>
      <c r="AT866" t="s">
        <v>599</v>
      </c>
      <c r="AU866" t="s">
        <v>599</v>
      </c>
    </row>
    <row r="867" spans="1:47" ht="30" x14ac:dyDescent="0.25">
      <c r="A867" s="2">
        <v>12405</v>
      </c>
      <c r="B867" s="10">
        <v>2195211</v>
      </c>
      <c r="C867" s="10">
        <v>1</v>
      </c>
      <c r="D867" s="9">
        <v>11</v>
      </c>
      <c r="E867" s="11" t="s">
        <v>595</v>
      </c>
      <c r="F867" s="11" t="str">
        <f t="shared" si="39"/>
        <v>https://purl.pt/44445</v>
      </c>
      <c r="G867" s="12" t="s">
        <v>596</v>
      </c>
      <c r="H867" s="9"/>
      <c r="I867" s="34"/>
      <c r="J867" s="55" t="str">
        <f t="shared" si="40"/>
        <v>https://permalinkbnd.bnportugal.gov.pt/viewer/277834/?offset=#page=11&amp;viewer=picture&amp;o=info&amp;n=0&amp;q=</v>
      </c>
      <c r="K867" s="45"/>
      <c r="L867" s="45"/>
      <c r="M867" s="45"/>
      <c r="N867" t="s">
        <v>595</v>
      </c>
      <c r="O867">
        <v>277834</v>
      </c>
      <c r="P867" t="str">
        <f t="shared" si="41"/>
        <v>https://permalinkbnd.bnportugal.gov.pt/viewer/277834/?offset=#page=11&amp;viewer=picture&amp;o=info&amp;n=0&amp;q=</v>
      </c>
      <c r="Q867">
        <v>2195211</v>
      </c>
      <c r="R867" t="s">
        <v>595</v>
      </c>
      <c r="S867" t="s">
        <v>3505</v>
      </c>
      <c r="T867" t="s">
        <v>1178</v>
      </c>
      <c r="U867" t="s">
        <v>1192</v>
      </c>
      <c r="V867" t="s">
        <v>599</v>
      </c>
      <c r="W867" t="s">
        <v>3506</v>
      </c>
      <c r="X867" t="s">
        <v>599</v>
      </c>
      <c r="Y867" t="s">
        <v>599</v>
      </c>
      <c r="Z867" t="s">
        <v>1182</v>
      </c>
      <c r="AA867" t="s">
        <v>3507</v>
      </c>
      <c r="AB867">
        <v>1880</v>
      </c>
      <c r="AC867">
        <v>1880</v>
      </c>
      <c r="AD867" t="s">
        <v>3508</v>
      </c>
      <c r="AE867" t="s">
        <v>599</v>
      </c>
      <c r="AF867" t="s">
        <v>599</v>
      </c>
      <c r="AG867" t="s">
        <v>599</v>
      </c>
      <c r="AH867" t="s">
        <v>599</v>
      </c>
      <c r="AI867" t="s">
        <v>599</v>
      </c>
      <c r="AJ867" t="s">
        <v>599</v>
      </c>
      <c r="AK867" t="s">
        <v>3509</v>
      </c>
      <c r="AL867" t="s">
        <v>599</v>
      </c>
      <c r="AM867" t="s">
        <v>3510</v>
      </c>
      <c r="AN867" t="s">
        <v>1190</v>
      </c>
      <c r="AO867" t="s">
        <v>599</v>
      </c>
      <c r="AP867" t="s">
        <v>599</v>
      </c>
      <c r="AQ867" t="s">
        <v>3511</v>
      </c>
      <c r="AR867" t="s">
        <v>599</v>
      </c>
      <c r="AS867" t="s">
        <v>599</v>
      </c>
      <c r="AT867" t="s">
        <v>599</v>
      </c>
      <c r="AU867" t="s">
        <v>599</v>
      </c>
    </row>
  </sheetData>
  <phoneticPr fontId="1" type="noConversion"/>
  <hyperlinks>
    <hyperlink ref="E27" r:id="rId1" xr:uid="{DCF7786F-7257-4C3E-A7DD-832B2943F2F2}"/>
    <hyperlink ref="E473" r:id="rId2" xr:uid="{6489718D-F4A7-446D-B7BC-47769AE4A33F}"/>
    <hyperlink ref="E474" r:id="rId3" xr:uid="{9A52B7A7-FB26-4270-BF24-17D39F5B0356}"/>
    <hyperlink ref="E475:E479" r:id="rId4" display="https://purl.pt/44192" xr:uid="{9811DF7F-0798-4083-9B98-B362C52AD296}"/>
    <hyperlink ref="E480" r:id="rId5" xr:uid="{F0E7B4FE-A49A-4489-9288-C7A5DBD9D654}"/>
    <hyperlink ref="E45" r:id="rId6" xr:uid="{34680AF4-FA90-4C63-BE9A-F44EFFD40668}"/>
    <hyperlink ref="E3" r:id="rId7" xr:uid="{B0A62CB5-2FE7-4B7C-9F15-14FF4EF03518}"/>
    <hyperlink ref="E2" r:id="rId8" xr:uid="{2B88AF6E-C0C3-4533-8BA3-0836963DBB8F}"/>
    <hyperlink ref="F481" r:id="rId9" xr:uid="{D980C849-35A3-4537-80CF-0D023F42DFE1}"/>
  </hyperlinks>
  <pageMargins left="0.7" right="0.7" top="0.75" bottom="0.75" header="0.3" footer="0.3"/>
  <pageSetup paperSize="9" orientation="portrait" r:id="rId10"/>
  <tableParts count="2">
    <tablePart r:id="rId11"/>
    <tablePart r:id="rId1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36C0BC-74DA-4252-ACDB-1D6EB3CAF657}">
          <x14:formula1>
            <xm:f>categorias!$D$1:$D$28</xm:f>
          </x14:formula1>
          <xm:sqref>K2:O867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7E28-1AAE-4074-BE3C-47480C11EEF8}">
  <dimension ref="A1:A306"/>
  <sheetViews>
    <sheetView topLeftCell="A270" workbookViewId="0">
      <selection sqref="A1:A306"/>
    </sheetView>
  </sheetViews>
  <sheetFormatPr defaultRowHeight="15" x14ac:dyDescent="0.25"/>
  <sheetData>
    <row r="1" spans="1:1" x14ac:dyDescent="0.25">
      <c r="A1">
        <v>2284</v>
      </c>
    </row>
    <row r="2" spans="1:1" x14ac:dyDescent="0.25">
      <c r="A2">
        <v>9413</v>
      </c>
    </row>
    <row r="3" spans="1:1" x14ac:dyDescent="0.25">
      <c r="A3">
        <v>26169</v>
      </c>
    </row>
    <row r="4" spans="1:1" x14ac:dyDescent="0.25">
      <c r="A4">
        <v>98840</v>
      </c>
    </row>
    <row r="5" spans="1:1" x14ac:dyDescent="0.25">
      <c r="A5">
        <v>189268</v>
      </c>
    </row>
    <row r="6" spans="1:1" x14ac:dyDescent="0.25">
      <c r="A6">
        <v>196562</v>
      </c>
    </row>
    <row r="7" spans="1:1" x14ac:dyDescent="0.25">
      <c r="A7">
        <v>197071</v>
      </c>
    </row>
    <row r="8" spans="1:1" x14ac:dyDescent="0.25">
      <c r="A8">
        <v>197154</v>
      </c>
    </row>
    <row r="9" spans="1:1" x14ac:dyDescent="0.25">
      <c r="A9">
        <v>217530</v>
      </c>
    </row>
    <row r="10" spans="1:1" x14ac:dyDescent="0.25">
      <c r="A10">
        <v>220128</v>
      </c>
    </row>
    <row r="11" spans="1:1" x14ac:dyDescent="0.25">
      <c r="A11">
        <v>246717</v>
      </c>
    </row>
    <row r="12" spans="1:1" x14ac:dyDescent="0.25">
      <c r="A12">
        <v>251973</v>
      </c>
    </row>
    <row r="13" spans="1:1" x14ac:dyDescent="0.25">
      <c r="A13">
        <v>251998</v>
      </c>
    </row>
    <row r="14" spans="1:1" x14ac:dyDescent="0.25">
      <c r="A14">
        <v>252299</v>
      </c>
    </row>
    <row r="15" spans="1:1" x14ac:dyDescent="0.25">
      <c r="A15">
        <v>252303</v>
      </c>
    </row>
    <row r="16" spans="1:1" x14ac:dyDescent="0.25">
      <c r="A16">
        <v>252438</v>
      </c>
    </row>
    <row r="17" spans="1:1" x14ac:dyDescent="0.25">
      <c r="A17">
        <v>252578</v>
      </c>
    </row>
    <row r="18" spans="1:1" x14ac:dyDescent="0.25">
      <c r="A18">
        <v>252584</v>
      </c>
    </row>
    <row r="19" spans="1:1" x14ac:dyDescent="0.25">
      <c r="A19">
        <v>253094</v>
      </c>
    </row>
    <row r="20" spans="1:1" x14ac:dyDescent="0.25">
      <c r="A20">
        <v>254896</v>
      </c>
    </row>
    <row r="21" spans="1:1" x14ac:dyDescent="0.25">
      <c r="A21">
        <v>254916</v>
      </c>
    </row>
    <row r="22" spans="1:1" x14ac:dyDescent="0.25">
      <c r="A22">
        <v>254962</v>
      </c>
    </row>
    <row r="23" spans="1:1" x14ac:dyDescent="0.25">
      <c r="A23">
        <v>254985</v>
      </c>
    </row>
    <row r="24" spans="1:1" x14ac:dyDescent="0.25">
      <c r="A24">
        <v>255944</v>
      </c>
    </row>
    <row r="25" spans="1:1" x14ac:dyDescent="0.25">
      <c r="A25">
        <v>255993</v>
      </c>
    </row>
    <row r="26" spans="1:1" x14ac:dyDescent="0.25">
      <c r="A26">
        <v>256073</v>
      </c>
    </row>
    <row r="27" spans="1:1" x14ac:dyDescent="0.25">
      <c r="A27">
        <v>256114</v>
      </c>
    </row>
    <row r="28" spans="1:1" x14ac:dyDescent="0.25">
      <c r="A28">
        <v>256271</v>
      </c>
    </row>
    <row r="29" spans="1:1" x14ac:dyDescent="0.25">
      <c r="A29">
        <v>256272</v>
      </c>
    </row>
    <row r="30" spans="1:1" x14ac:dyDescent="0.25">
      <c r="A30">
        <v>256299</v>
      </c>
    </row>
    <row r="31" spans="1:1" x14ac:dyDescent="0.25">
      <c r="A31">
        <v>256319</v>
      </c>
    </row>
    <row r="32" spans="1:1" x14ac:dyDescent="0.25">
      <c r="A32">
        <v>256426</v>
      </c>
    </row>
    <row r="33" spans="1:1" x14ac:dyDescent="0.25">
      <c r="A33">
        <v>256432</v>
      </c>
    </row>
    <row r="34" spans="1:1" x14ac:dyDescent="0.25">
      <c r="A34">
        <v>256560</v>
      </c>
    </row>
    <row r="35" spans="1:1" x14ac:dyDescent="0.25">
      <c r="A35">
        <v>256563</v>
      </c>
    </row>
    <row r="36" spans="1:1" x14ac:dyDescent="0.25">
      <c r="A36">
        <v>256620</v>
      </c>
    </row>
    <row r="37" spans="1:1" x14ac:dyDescent="0.25">
      <c r="A37">
        <v>257364</v>
      </c>
    </row>
    <row r="38" spans="1:1" x14ac:dyDescent="0.25">
      <c r="A38">
        <v>257368</v>
      </c>
    </row>
    <row r="39" spans="1:1" x14ac:dyDescent="0.25">
      <c r="A39">
        <v>257404</v>
      </c>
    </row>
    <row r="40" spans="1:1" x14ac:dyDescent="0.25">
      <c r="A40">
        <v>258477</v>
      </c>
    </row>
    <row r="41" spans="1:1" x14ac:dyDescent="0.25">
      <c r="A41">
        <v>258484</v>
      </c>
    </row>
    <row r="42" spans="1:1" x14ac:dyDescent="0.25">
      <c r="A42">
        <v>258485</v>
      </c>
    </row>
    <row r="43" spans="1:1" x14ac:dyDescent="0.25">
      <c r="A43">
        <v>258492</v>
      </c>
    </row>
    <row r="44" spans="1:1" x14ac:dyDescent="0.25">
      <c r="A44">
        <v>258529</v>
      </c>
    </row>
    <row r="45" spans="1:1" x14ac:dyDescent="0.25">
      <c r="A45">
        <v>258643</v>
      </c>
    </row>
    <row r="46" spans="1:1" x14ac:dyDescent="0.25">
      <c r="A46">
        <v>258720</v>
      </c>
    </row>
    <row r="47" spans="1:1" x14ac:dyDescent="0.25">
      <c r="A47">
        <v>258798</v>
      </c>
    </row>
    <row r="48" spans="1:1" x14ac:dyDescent="0.25">
      <c r="A48">
        <v>259033</v>
      </c>
    </row>
    <row r="49" spans="1:1" x14ac:dyDescent="0.25">
      <c r="A49">
        <v>259103</v>
      </c>
    </row>
    <row r="50" spans="1:1" x14ac:dyDescent="0.25">
      <c r="A50">
        <v>259140</v>
      </c>
    </row>
    <row r="51" spans="1:1" x14ac:dyDescent="0.25">
      <c r="A51">
        <v>259434</v>
      </c>
    </row>
    <row r="52" spans="1:1" x14ac:dyDescent="0.25">
      <c r="A52">
        <v>259566</v>
      </c>
    </row>
    <row r="53" spans="1:1" x14ac:dyDescent="0.25">
      <c r="A53">
        <v>259614</v>
      </c>
    </row>
    <row r="54" spans="1:1" x14ac:dyDescent="0.25">
      <c r="A54">
        <v>259828</v>
      </c>
    </row>
    <row r="55" spans="1:1" x14ac:dyDescent="0.25">
      <c r="A55">
        <v>259979</v>
      </c>
    </row>
    <row r="56" spans="1:1" x14ac:dyDescent="0.25">
      <c r="A56">
        <v>264232</v>
      </c>
    </row>
    <row r="57" spans="1:1" x14ac:dyDescent="0.25">
      <c r="A57">
        <v>289933</v>
      </c>
    </row>
    <row r="58" spans="1:1" x14ac:dyDescent="0.25">
      <c r="A58">
        <v>303896</v>
      </c>
    </row>
    <row r="59" spans="1:1" x14ac:dyDescent="0.25">
      <c r="A59">
        <v>303898</v>
      </c>
    </row>
    <row r="60" spans="1:1" x14ac:dyDescent="0.25">
      <c r="A60">
        <v>321756</v>
      </c>
    </row>
    <row r="61" spans="1:1" x14ac:dyDescent="0.25">
      <c r="A61">
        <v>321765</v>
      </c>
    </row>
    <row r="62" spans="1:1" x14ac:dyDescent="0.25">
      <c r="A62">
        <v>322212</v>
      </c>
    </row>
    <row r="63" spans="1:1" x14ac:dyDescent="0.25">
      <c r="A63">
        <v>322214</v>
      </c>
    </row>
    <row r="64" spans="1:1" x14ac:dyDescent="0.25">
      <c r="A64">
        <v>322260</v>
      </c>
    </row>
    <row r="65" spans="1:1" x14ac:dyDescent="0.25">
      <c r="A65">
        <v>323039</v>
      </c>
    </row>
    <row r="66" spans="1:1" x14ac:dyDescent="0.25">
      <c r="A66">
        <v>323121</v>
      </c>
    </row>
    <row r="67" spans="1:1" x14ac:dyDescent="0.25">
      <c r="A67">
        <v>323612</v>
      </c>
    </row>
    <row r="68" spans="1:1" x14ac:dyDescent="0.25">
      <c r="A68">
        <v>323613</v>
      </c>
    </row>
    <row r="69" spans="1:1" x14ac:dyDescent="0.25">
      <c r="A69">
        <v>323614</v>
      </c>
    </row>
    <row r="70" spans="1:1" x14ac:dyDescent="0.25">
      <c r="A70">
        <v>323615</v>
      </c>
    </row>
    <row r="71" spans="1:1" x14ac:dyDescent="0.25">
      <c r="A71">
        <v>323616</v>
      </c>
    </row>
    <row r="72" spans="1:1" x14ac:dyDescent="0.25">
      <c r="A72">
        <v>323617</v>
      </c>
    </row>
    <row r="73" spans="1:1" x14ac:dyDescent="0.25">
      <c r="A73">
        <v>328432</v>
      </c>
    </row>
    <row r="74" spans="1:1" x14ac:dyDescent="0.25">
      <c r="A74">
        <v>328922</v>
      </c>
    </row>
    <row r="75" spans="1:1" x14ac:dyDescent="0.25">
      <c r="A75">
        <v>329068</v>
      </c>
    </row>
    <row r="76" spans="1:1" x14ac:dyDescent="0.25">
      <c r="A76">
        <v>329698</v>
      </c>
    </row>
    <row r="77" spans="1:1" x14ac:dyDescent="0.25">
      <c r="A77">
        <v>330080</v>
      </c>
    </row>
    <row r="78" spans="1:1" x14ac:dyDescent="0.25">
      <c r="A78">
        <v>330133</v>
      </c>
    </row>
    <row r="79" spans="1:1" x14ac:dyDescent="0.25">
      <c r="A79">
        <v>330264</v>
      </c>
    </row>
    <row r="80" spans="1:1" x14ac:dyDescent="0.25">
      <c r="A80">
        <v>330274</v>
      </c>
    </row>
    <row r="81" spans="1:1" x14ac:dyDescent="0.25">
      <c r="A81">
        <v>330575</v>
      </c>
    </row>
    <row r="82" spans="1:1" x14ac:dyDescent="0.25">
      <c r="A82">
        <v>331252</v>
      </c>
    </row>
    <row r="83" spans="1:1" x14ac:dyDescent="0.25">
      <c r="A83">
        <v>331265</v>
      </c>
    </row>
    <row r="84" spans="1:1" x14ac:dyDescent="0.25">
      <c r="A84">
        <v>331404</v>
      </c>
    </row>
    <row r="85" spans="1:1" x14ac:dyDescent="0.25">
      <c r="A85">
        <v>331411</v>
      </c>
    </row>
    <row r="86" spans="1:1" x14ac:dyDescent="0.25">
      <c r="A86">
        <v>334184</v>
      </c>
    </row>
    <row r="87" spans="1:1" x14ac:dyDescent="0.25">
      <c r="A87">
        <v>335235</v>
      </c>
    </row>
    <row r="88" spans="1:1" x14ac:dyDescent="0.25">
      <c r="A88">
        <v>335427</v>
      </c>
    </row>
    <row r="89" spans="1:1" x14ac:dyDescent="0.25">
      <c r="A89">
        <v>335758</v>
      </c>
    </row>
    <row r="90" spans="1:1" x14ac:dyDescent="0.25">
      <c r="A90">
        <v>347365</v>
      </c>
    </row>
    <row r="91" spans="1:1" x14ac:dyDescent="0.25">
      <c r="A91">
        <v>352640</v>
      </c>
    </row>
    <row r="92" spans="1:1" x14ac:dyDescent="0.25">
      <c r="A92">
        <v>357080</v>
      </c>
    </row>
    <row r="93" spans="1:1" x14ac:dyDescent="0.25">
      <c r="A93">
        <v>357297</v>
      </c>
    </row>
    <row r="94" spans="1:1" x14ac:dyDescent="0.25">
      <c r="A94">
        <v>367315</v>
      </c>
    </row>
    <row r="95" spans="1:1" x14ac:dyDescent="0.25">
      <c r="A95">
        <v>367321</v>
      </c>
    </row>
    <row r="96" spans="1:1" x14ac:dyDescent="0.25">
      <c r="A96">
        <v>367428</v>
      </c>
    </row>
    <row r="97" spans="1:1" x14ac:dyDescent="0.25">
      <c r="A97">
        <v>369142</v>
      </c>
    </row>
    <row r="98" spans="1:1" x14ac:dyDescent="0.25">
      <c r="A98">
        <v>369151</v>
      </c>
    </row>
    <row r="99" spans="1:1" x14ac:dyDescent="0.25">
      <c r="A99">
        <v>371694</v>
      </c>
    </row>
    <row r="100" spans="1:1" x14ac:dyDescent="0.25">
      <c r="A100">
        <v>380835</v>
      </c>
    </row>
    <row r="101" spans="1:1" x14ac:dyDescent="0.25">
      <c r="A101">
        <v>381074</v>
      </c>
    </row>
    <row r="102" spans="1:1" x14ac:dyDescent="0.25">
      <c r="A102">
        <v>381189</v>
      </c>
    </row>
    <row r="103" spans="1:1" x14ac:dyDescent="0.25">
      <c r="A103">
        <v>381202</v>
      </c>
    </row>
    <row r="104" spans="1:1" x14ac:dyDescent="0.25">
      <c r="A104">
        <v>381260</v>
      </c>
    </row>
    <row r="105" spans="1:1" x14ac:dyDescent="0.25">
      <c r="A105">
        <v>381297</v>
      </c>
    </row>
    <row r="106" spans="1:1" x14ac:dyDescent="0.25">
      <c r="A106">
        <v>381381</v>
      </c>
    </row>
    <row r="107" spans="1:1" x14ac:dyDescent="0.25">
      <c r="A107">
        <v>381386</v>
      </c>
    </row>
    <row r="108" spans="1:1" x14ac:dyDescent="0.25">
      <c r="A108">
        <v>381444</v>
      </c>
    </row>
    <row r="109" spans="1:1" x14ac:dyDescent="0.25">
      <c r="A109">
        <v>381465</v>
      </c>
    </row>
    <row r="110" spans="1:1" x14ac:dyDescent="0.25">
      <c r="A110">
        <v>381468</v>
      </c>
    </row>
    <row r="111" spans="1:1" x14ac:dyDescent="0.25">
      <c r="A111">
        <v>381496</v>
      </c>
    </row>
    <row r="112" spans="1:1" x14ac:dyDescent="0.25">
      <c r="A112">
        <v>381504</v>
      </c>
    </row>
    <row r="113" spans="1:1" x14ac:dyDescent="0.25">
      <c r="A113">
        <v>381588</v>
      </c>
    </row>
    <row r="114" spans="1:1" x14ac:dyDescent="0.25">
      <c r="A114">
        <v>381701</v>
      </c>
    </row>
    <row r="115" spans="1:1" x14ac:dyDescent="0.25">
      <c r="A115">
        <v>381889</v>
      </c>
    </row>
    <row r="116" spans="1:1" x14ac:dyDescent="0.25">
      <c r="A116">
        <v>381903</v>
      </c>
    </row>
    <row r="117" spans="1:1" x14ac:dyDescent="0.25">
      <c r="A117">
        <v>382834</v>
      </c>
    </row>
    <row r="118" spans="1:1" x14ac:dyDescent="0.25">
      <c r="A118">
        <v>382847</v>
      </c>
    </row>
    <row r="119" spans="1:1" x14ac:dyDescent="0.25">
      <c r="A119">
        <v>382955</v>
      </c>
    </row>
    <row r="120" spans="1:1" x14ac:dyDescent="0.25">
      <c r="A120">
        <v>382972</v>
      </c>
    </row>
    <row r="121" spans="1:1" x14ac:dyDescent="0.25">
      <c r="A121">
        <v>382978</v>
      </c>
    </row>
    <row r="122" spans="1:1" x14ac:dyDescent="0.25">
      <c r="A122">
        <v>384309</v>
      </c>
    </row>
    <row r="123" spans="1:1" x14ac:dyDescent="0.25">
      <c r="A123">
        <v>385945</v>
      </c>
    </row>
    <row r="124" spans="1:1" x14ac:dyDescent="0.25">
      <c r="A124">
        <v>385949</v>
      </c>
    </row>
    <row r="125" spans="1:1" x14ac:dyDescent="0.25">
      <c r="A125">
        <v>386992</v>
      </c>
    </row>
    <row r="126" spans="1:1" x14ac:dyDescent="0.25">
      <c r="A126">
        <v>388329</v>
      </c>
    </row>
    <row r="127" spans="1:1" x14ac:dyDescent="0.25">
      <c r="A127">
        <v>396405</v>
      </c>
    </row>
    <row r="128" spans="1:1" x14ac:dyDescent="0.25">
      <c r="A128">
        <v>397670</v>
      </c>
    </row>
    <row r="129" spans="1:1" x14ac:dyDescent="0.25">
      <c r="A129">
        <v>397744</v>
      </c>
    </row>
    <row r="130" spans="1:1" x14ac:dyDescent="0.25">
      <c r="A130">
        <v>397754</v>
      </c>
    </row>
    <row r="131" spans="1:1" x14ac:dyDescent="0.25">
      <c r="A131">
        <v>397818</v>
      </c>
    </row>
    <row r="132" spans="1:1" x14ac:dyDescent="0.25">
      <c r="A132">
        <v>397821</v>
      </c>
    </row>
    <row r="133" spans="1:1" x14ac:dyDescent="0.25">
      <c r="A133">
        <v>397864</v>
      </c>
    </row>
    <row r="134" spans="1:1" x14ac:dyDescent="0.25">
      <c r="A134">
        <v>397877</v>
      </c>
    </row>
    <row r="135" spans="1:1" x14ac:dyDescent="0.25">
      <c r="A135">
        <v>397878</v>
      </c>
    </row>
    <row r="136" spans="1:1" x14ac:dyDescent="0.25">
      <c r="A136">
        <v>401648</v>
      </c>
    </row>
    <row r="137" spans="1:1" x14ac:dyDescent="0.25">
      <c r="A137">
        <v>401658</v>
      </c>
    </row>
    <row r="138" spans="1:1" x14ac:dyDescent="0.25">
      <c r="A138">
        <v>401739</v>
      </c>
    </row>
    <row r="139" spans="1:1" x14ac:dyDescent="0.25">
      <c r="A139">
        <v>402086</v>
      </c>
    </row>
    <row r="140" spans="1:1" x14ac:dyDescent="0.25">
      <c r="A140">
        <v>404800</v>
      </c>
    </row>
    <row r="141" spans="1:1" x14ac:dyDescent="0.25">
      <c r="A141">
        <v>410449</v>
      </c>
    </row>
    <row r="142" spans="1:1" x14ac:dyDescent="0.25">
      <c r="A142">
        <v>410603</v>
      </c>
    </row>
    <row r="143" spans="1:1" x14ac:dyDescent="0.25">
      <c r="A143">
        <v>412780</v>
      </c>
    </row>
    <row r="144" spans="1:1" x14ac:dyDescent="0.25">
      <c r="A144">
        <v>426512</v>
      </c>
    </row>
    <row r="145" spans="1:1" x14ac:dyDescent="0.25">
      <c r="A145">
        <v>452326</v>
      </c>
    </row>
    <row r="146" spans="1:1" x14ac:dyDescent="0.25">
      <c r="A146">
        <v>452363</v>
      </c>
    </row>
    <row r="147" spans="1:1" x14ac:dyDescent="0.25">
      <c r="A147">
        <v>452510</v>
      </c>
    </row>
    <row r="148" spans="1:1" x14ac:dyDescent="0.25">
      <c r="A148">
        <v>453095</v>
      </c>
    </row>
    <row r="149" spans="1:1" x14ac:dyDescent="0.25">
      <c r="A149">
        <v>453897</v>
      </c>
    </row>
    <row r="150" spans="1:1" x14ac:dyDescent="0.25">
      <c r="A150">
        <v>454218</v>
      </c>
    </row>
    <row r="151" spans="1:1" x14ac:dyDescent="0.25">
      <c r="A151">
        <v>454907</v>
      </c>
    </row>
    <row r="152" spans="1:1" x14ac:dyDescent="0.25">
      <c r="A152">
        <v>455268</v>
      </c>
    </row>
    <row r="153" spans="1:1" x14ac:dyDescent="0.25">
      <c r="A153">
        <v>455275</v>
      </c>
    </row>
    <row r="154" spans="1:1" x14ac:dyDescent="0.25">
      <c r="A154">
        <v>455278</v>
      </c>
    </row>
    <row r="155" spans="1:1" x14ac:dyDescent="0.25">
      <c r="A155">
        <v>458243</v>
      </c>
    </row>
    <row r="156" spans="1:1" x14ac:dyDescent="0.25">
      <c r="A156">
        <v>458260</v>
      </c>
    </row>
    <row r="157" spans="1:1" x14ac:dyDescent="0.25">
      <c r="A157">
        <v>458290</v>
      </c>
    </row>
    <row r="158" spans="1:1" x14ac:dyDescent="0.25">
      <c r="A158">
        <v>458381</v>
      </c>
    </row>
    <row r="159" spans="1:1" x14ac:dyDescent="0.25">
      <c r="A159">
        <v>458655</v>
      </c>
    </row>
    <row r="160" spans="1:1" x14ac:dyDescent="0.25">
      <c r="A160">
        <v>464971</v>
      </c>
    </row>
    <row r="161" spans="1:1" x14ac:dyDescent="0.25">
      <c r="A161">
        <v>465372</v>
      </c>
    </row>
    <row r="162" spans="1:1" x14ac:dyDescent="0.25">
      <c r="A162">
        <v>465618</v>
      </c>
    </row>
    <row r="163" spans="1:1" x14ac:dyDescent="0.25">
      <c r="A163">
        <v>473496</v>
      </c>
    </row>
    <row r="164" spans="1:1" x14ac:dyDescent="0.25">
      <c r="A164">
        <v>475171</v>
      </c>
    </row>
    <row r="165" spans="1:1" x14ac:dyDescent="0.25">
      <c r="A165">
        <v>475453</v>
      </c>
    </row>
    <row r="166" spans="1:1" x14ac:dyDescent="0.25">
      <c r="A166">
        <v>475458</v>
      </c>
    </row>
    <row r="167" spans="1:1" x14ac:dyDescent="0.25">
      <c r="A167">
        <v>475467</v>
      </c>
    </row>
    <row r="168" spans="1:1" x14ac:dyDescent="0.25">
      <c r="A168">
        <v>478277</v>
      </c>
    </row>
    <row r="169" spans="1:1" x14ac:dyDescent="0.25">
      <c r="A169">
        <v>479076</v>
      </c>
    </row>
    <row r="170" spans="1:1" x14ac:dyDescent="0.25">
      <c r="A170">
        <v>479079</v>
      </c>
    </row>
    <row r="171" spans="1:1" x14ac:dyDescent="0.25">
      <c r="A171">
        <v>480058</v>
      </c>
    </row>
    <row r="172" spans="1:1" x14ac:dyDescent="0.25">
      <c r="A172">
        <v>586409</v>
      </c>
    </row>
    <row r="173" spans="1:1" x14ac:dyDescent="0.25">
      <c r="A173">
        <v>599364</v>
      </c>
    </row>
    <row r="174" spans="1:1" x14ac:dyDescent="0.25">
      <c r="A174">
        <v>601741</v>
      </c>
    </row>
    <row r="175" spans="1:1" x14ac:dyDescent="0.25">
      <c r="A175">
        <v>604127</v>
      </c>
    </row>
    <row r="176" spans="1:1" x14ac:dyDescent="0.25">
      <c r="A176">
        <v>613457</v>
      </c>
    </row>
    <row r="177" spans="1:1" x14ac:dyDescent="0.25">
      <c r="A177">
        <v>614521</v>
      </c>
    </row>
    <row r="178" spans="1:1" x14ac:dyDescent="0.25">
      <c r="A178">
        <v>626460</v>
      </c>
    </row>
    <row r="179" spans="1:1" x14ac:dyDescent="0.25">
      <c r="A179">
        <v>626703</v>
      </c>
    </row>
    <row r="180" spans="1:1" x14ac:dyDescent="0.25">
      <c r="A180">
        <v>636335</v>
      </c>
    </row>
    <row r="181" spans="1:1" x14ac:dyDescent="0.25">
      <c r="A181">
        <v>636337</v>
      </c>
    </row>
    <row r="182" spans="1:1" x14ac:dyDescent="0.25">
      <c r="A182">
        <v>636371</v>
      </c>
    </row>
    <row r="183" spans="1:1" x14ac:dyDescent="0.25">
      <c r="A183">
        <v>636385</v>
      </c>
    </row>
    <row r="184" spans="1:1" x14ac:dyDescent="0.25">
      <c r="A184">
        <v>636389</v>
      </c>
    </row>
    <row r="185" spans="1:1" x14ac:dyDescent="0.25">
      <c r="A185">
        <v>637133</v>
      </c>
    </row>
    <row r="186" spans="1:1" x14ac:dyDescent="0.25">
      <c r="A186">
        <v>637139</v>
      </c>
    </row>
    <row r="187" spans="1:1" x14ac:dyDescent="0.25">
      <c r="A187">
        <v>640093</v>
      </c>
    </row>
    <row r="188" spans="1:1" x14ac:dyDescent="0.25">
      <c r="A188">
        <v>665442</v>
      </c>
    </row>
    <row r="189" spans="1:1" x14ac:dyDescent="0.25">
      <c r="A189">
        <v>700486</v>
      </c>
    </row>
    <row r="190" spans="1:1" x14ac:dyDescent="0.25">
      <c r="A190">
        <v>700487</v>
      </c>
    </row>
    <row r="191" spans="1:1" x14ac:dyDescent="0.25">
      <c r="A191">
        <v>704429</v>
      </c>
    </row>
    <row r="192" spans="1:1" x14ac:dyDescent="0.25">
      <c r="A192">
        <v>709106</v>
      </c>
    </row>
    <row r="193" spans="1:1" x14ac:dyDescent="0.25">
      <c r="A193">
        <v>709123</v>
      </c>
    </row>
    <row r="194" spans="1:1" x14ac:dyDescent="0.25">
      <c r="A194">
        <v>709129</v>
      </c>
    </row>
    <row r="195" spans="1:1" x14ac:dyDescent="0.25">
      <c r="A195">
        <v>729122</v>
      </c>
    </row>
    <row r="196" spans="1:1" x14ac:dyDescent="0.25">
      <c r="A196">
        <v>730341</v>
      </c>
    </row>
    <row r="197" spans="1:1" x14ac:dyDescent="0.25">
      <c r="A197">
        <v>733501</v>
      </c>
    </row>
    <row r="198" spans="1:1" x14ac:dyDescent="0.25">
      <c r="A198">
        <v>742171</v>
      </c>
    </row>
    <row r="199" spans="1:1" x14ac:dyDescent="0.25">
      <c r="A199">
        <v>764770</v>
      </c>
    </row>
    <row r="200" spans="1:1" x14ac:dyDescent="0.25">
      <c r="A200">
        <v>767226</v>
      </c>
    </row>
    <row r="201" spans="1:1" x14ac:dyDescent="0.25">
      <c r="A201">
        <v>767525</v>
      </c>
    </row>
    <row r="202" spans="1:1" x14ac:dyDescent="0.25">
      <c r="A202">
        <v>780308</v>
      </c>
    </row>
    <row r="203" spans="1:1" x14ac:dyDescent="0.25">
      <c r="A203">
        <v>782735</v>
      </c>
    </row>
    <row r="204" spans="1:1" x14ac:dyDescent="0.25">
      <c r="A204">
        <v>782738</v>
      </c>
    </row>
    <row r="205" spans="1:1" x14ac:dyDescent="0.25">
      <c r="A205">
        <v>782740</v>
      </c>
    </row>
    <row r="206" spans="1:1" x14ac:dyDescent="0.25">
      <c r="A206">
        <v>782742</v>
      </c>
    </row>
    <row r="207" spans="1:1" x14ac:dyDescent="0.25">
      <c r="A207">
        <v>782743</v>
      </c>
    </row>
    <row r="208" spans="1:1" x14ac:dyDescent="0.25">
      <c r="A208">
        <v>782745</v>
      </c>
    </row>
    <row r="209" spans="1:1" x14ac:dyDescent="0.25">
      <c r="A209">
        <v>783484</v>
      </c>
    </row>
    <row r="210" spans="1:1" x14ac:dyDescent="0.25">
      <c r="A210">
        <v>783488</v>
      </c>
    </row>
    <row r="211" spans="1:1" x14ac:dyDescent="0.25">
      <c r="A211">
        <v>784526</v>
      </c>
    </row>
    <row r="212" spans="1:1" x14ac:dyDescent="0.25">
      <c r="A212">
        <v>784624</v>
      </c>
    </row>
    <row r="213" spans="1:1" x14ac:dyDescent="0.25">
      <c r="A213">
        <v>784628</v>
      </c>
    </row>
    <row r="214" spans="1:1" x14ac:dyDescent="0.25">
      <c r="A214">
        <v>784907</v>
      </c>
    </row>
    <row r="215" spans="1:1" x14ac:dyDescent="0.25">
      <c r="A215">
        <v>785080</v>
      </c>
    </row>
    <row r="216" spans="1:1" x14ac:dyDescent="0.25">
      <c r="A216">
        <v>788850</v>
      </c>
    </row>
    <row r="217" spans="1:1" x14ac:dyDescent="0.25">
      <c r="A217">
        <v>788899</v>
      </c>
    </row>
    <row r="218" spans="1:1" x14ac:dyDescent="0.25">
      <c r="A218">
        <v>788999</v>
      </c>
    </row>
    <row r="219" spans="1:1" x14ac:dyDescent="0.25">
      <c r="A219">
        <v>796045</v>
      </c>
    </row>
    <row r="220" spans="1:1" x14ac:dyDescent="0.25">
      <c r="A220">
        <v>798614</v>
      </c>
    </row>
    <row r="221" spans="1:1" x14ac:dyDescent="0.25">
      <c r="A221">
        <v>798623</v>
      </c>
    </row>
    <row r="222" spans="1:1" x14ac:dyDescent="0.25">
      <c r="A222">
        <v>798858</v>
      </c>
    </row>
    <row r="223" spans="1:1" x14ac:dyDescent="0.25">
      <c r="A223">
        <v>798866</v>
      </c>
    </row>
    <row r="224" spans="1:1" x14ac:dyDescent="0.25">
      <c r="A224">
        <v>798873</v>
      </c>
    </row>
    <row r="225" spans="1:1" x14ac:dyDescent="0.25">
      <c r="A225">
        <v>800848</v>
      </c>
    </row>
    <row r="226" spans="1:1" x14ac:dyDescent="0.25">
      <c r="A226">
        <v>801047</v>
      </c>
    </row>
    <row r="227" spans="1:1" x14ac:dyDescent="0.25">
      <c r="A227">
        <v>804699</v>
      </c>
    </row>
    <row r="228" spans="1:1" x14ac:dyDescent="0.25">
      <c r="A228">
        <v>804707</v>
      </c>
    </row>
    <row r="229" spans="1:1" x14ac:dyDescent="0.25">
      <c r="A229">
        <v>804731</v>
      </c>
    </row>
    <row r="230" spans="1:1" x14ac:dyDescent="0.25">
      <c r="A230">
        <v>804973</v>
      </c>
    </row>
    <row r="231" spans="1:1" x14ac:dyDescent="0.25">
      <c r="A231">
        <v>805036</v>
      </c>
    </row>
    <row r="232" spans="1:1" x14ac:dyDescent="0.25">
      <c r="A232">
        <v>807567</v>
      </c>
    </row>
    <row r="233" spans="1:1" x14ac:dyDescent="0.25">
      <c r="A233">
        <v>808766</v>
      </c>
    </row>
    <row r="234" spans="1:1" x14ac:dyDescent="0.25">
      <c r="A234">
        <v>808818</v>
      </c>
    </row>
    <row r="235" spans="1:1" x14ac:dyDescent="0.25">
      <c r="A235">
        <v>810040</v>
      </c>
    </row>
    <row r="236" spans="1:1" x14ac:dyDescent="0.25">
      <c r="A236">
        <v>811645</v>
      </c>
    </row>
    <row r="237" spans="1:1" x14ac:dyDescent="0.25">
      <c r="A237">
        <v>847196</v>
      </c>
    </row>
    <row r="238" spans="1:1" x14ac:dyDescent="0.25">
      <c r="A238">
        <v>851358</v>
      </c>
    </row>
    <row r="239" spans="1:1" x14ac:dyDescent="0.25">
      <c r="A239">
        <v>851957</v>
      </c>
    </row>
    <row r="240" spans="1:1" x14ac:dyDescent="0.25">
      <c r="A240">
        <v>852081</v>
      </c>
    </row>
    <row r="241" spans="1:1" x14ac:dyDescent="0.25">
      <c r="A241">
        <v>852140</v>
      </c>
    </row>
    <row r="242" spans="1:1" x14ac:dyDescent="0.25">
      <c r="A242">
        <v>852331</v>
      </c>
    </row>
    <row r="243" spans="1:1" x14ac:dyDescent="0.25">
      <c r="A243">
        <v>855528</v>
      </c>
    </row>
    <row r="244" spans="1:1" x14ac:dyDescent="0.25">
      <c r="A244">
        <v>857274</v>
      </c>
    </row>
    <row r="245" spans="1:1" x14ac:dyDescent="0.25">
      <c r="A245">
        <v>860111</v>
      </c>
    </row>
    <row r="246" spans="1:1" x14ac:dyDescent="0.25">
      <c r="A246">
        <v>865247</v>
      </c>
    </row>
    <row r="247" spans="1:1" x14ac:dyDescent="0.25">
      <c r="A247">
        <v>865343</v>
      </c>
    </row>
    <row r="248" spans="1:1" x14ac:dyDescent="0.25">
      <c r="A248">
        <v>865410</v>
      </c>
    </row>
    <row r="249" spans="1:1" x14ac:dyDescent="0.25">
      <c r="A249">
        <v>865420</v>
      </c>
    </row>
    <row r="250" spans="1:1" x14ac:dyDescent="0.25">
      <c r="A250">
        <v>866522</v>
      </c>
    </row>
    <row r="251" spans="1:1" x14ac:dyDescent="0.25">
      <c r="A251">
        <v>874191</v>
      </c>
    </row>
    <row r="252" spans="1:1" x14ac:dyDescent="0.25">
      <c r="A252">
        <v>913393</v>
      </c>
    </row>
    <row r="253" spans="1:1" x14ac:dyDescent="0.25">
      <c r="A253">
        <v>917387</v>
      </c>
    </row>
    <row r="254" spans="1:1" x14ac:dyDescent="0.25">
      <c r="A254">
        <v>931586</v>
      </c>
    </row>
    <row r="255" spans="1:1" x14ac:dyDescent="0.25">
      <c r="A255">
        <v>943524</v>
      </c>
    </row>
    <row r="256" spans="1:1" x14ac:dyDescent="0.25">
      <c r="A256">
        <v>950676</v>
      </c>
    </row>
    <row r="257" spans="1:1" x14ac:dyDescent="0.25">
      <c r="A257">
        <v>950691</v>
      </c>
    </row>
    <row r="258" spans="1:1" x14ac:dyDescent="0.25">
      <c r="A258">
        <v>959409</v>
      </c>
    </row>
    <row r="259" spans="1:1" x14ac:dyDescent="0.25">
      <c r="A259">
        <v>993818</v>
      </c>
    </row>
    <row r="260" spans="1:1" x14ac:dyDescent="0.25">
      <c r="A260">
        <v>1001679</v>
      </c>
    </row>
    <row r="261" spans="1:1" x14ac:dyDescent="0.25">
      <c r="A261">
        <v>1025381</v>
      </c>
    </row>
    <row r="262" spans="1:1" x14ac:dyDescent="0.25">
      <c r="A262">
        <v>1044776</v>
      </c>
    </row>
    <row r="263" spans="1:1" x14ac:dyDescent="0.25">
      <c r="A263">
        <v>1072941</v>
      </c>
    </row>
    <row r="264" spans="1:1" x14ac:dyDescent="0.25">
      <c r="A264">
        <v>1073970</v>
      </c>
    </row>
    <row r="265" spans="1:1" x14ac:dyDescent="0.25">
      <c r="A265">
        <v>1076546</v>
      </c>
    </row>
    <row r="266" spans="1:1" x14ac:dyDescent="0.25">
      <c r="A266">
        <v>1306834</v>
      </c>
    </row>
    <row r="267" spans="1:1" x14ac:dyDescent="0.25">
      <c r="A267">
        <v>1313328</v>
      </c>
    </row>
    <row r="268" spans="1:1" x14ac:dyDescent="0.25">
      <c r="A268">
        <v>1366577</v>
      </c>
    </row>
    <row r="269" spans="1:1" x14ac:dyDescent="0.25">
      <c r="A269">
        <v>1376687</v>
      </c>
    </row>
    <row r="270" spans="1:1" x14ac:dyDescent="0.25">
      <c r="A270">
        <v>1376717</v>
      </c>
    </row>
    <row r="271" spans="1:1" x14ac:dyDescent="0.25">
      <c r="A271">
        <v>1380949</v>
      </c>
    </row>
    <row r="272" spans="1:1" x14ac:dyDescent="0.25">
      <c r="A272">
        <v>1381028</v>
      </c>
    </row>
    <row r="273" spans="1:1" x14ac:dyDescent="0.25">
      <c r="A273">
        <v>1381084</v>
      </c>
    </row>
    <row r="274" spans="1:1" x14ac:dyDescent="0.25">
      <c r="A274">
        <v>1381142</v>
      </c>
    </row>
    <row r="275" spans="1:1" x14ac:dyDescent="0.25">
      <c r="A275">
        <v>1381247</v>
      </c>
    </row>
    <row r="276" spans="1:1" x14ac:dyDescent="0.25">
      <c r="A276">
        <v>1384320</v>
      </c>
    </row>
    <row r="277" spans="1:1" x14ac:dyDescent="0.25">
      <c r="A277">
        <v>1651190</v>
      </c>
    </row>
    <row r="278" spans="1:1" x14ac:dyDescent="0.25">
      <c r="A278">
        <v>1669786</v>
      </c>
    </row>
    <row r="279" spans="1:1" x14ac:dyDescent="0.25">
      <c r="A279">
        <v>1671826</v>
      </c>
    </row>
    <row r="280" spans="1:1" x14ac:dyDescent="0.25">
      <c r="A280">
        <v>1684166</v>
      </c>
    </row>
    <row r="281" spans="1:1" x14ac:dyDescent="0.25">
      <c r="A281">
        <v>1718418</v>
      </c>
    </row>
    <row r="282" spans="1:1" x14ac:dyDescent="0.25">
      <c r="A282">
        <v>1724855</v>
      </c>
    </row>
    <row r="283" spans="1:1" x14ac:dyDescent="0.25">
      <c r="A283">
        <v>1725327</v>
      </c>
    </row>
    <row r="284" spans="1:1" x14ac:dyDescent="0.25">
      <c r="A284">
        <v>1752559</v>
      </c>
    </row>
    <row r="285" spans="1:1" x14ac:dyDescent="0.25">
      <c r="A285">
        <v>1779910</v>
      </c>
    </row>
    <row r="286" spans="1:1" x14ac:dyDescent="0.25">
      <c r="A286">
        <v>1784317</v>
      </c>
    </row>
    <row r="287" spans="1:1" x14ac:dyDescent="0.25">
      <c r="A287">
        <v>1790475</v>
      </c>
    </row>
    <row r="288" spans="1:1" x14ac:dyDescent="0.25">
      <c r="A288">
        <v>1888900</v>
      </c>
    </row>
    <row r="289" spans="1:1" x14ac:dyDescent="0.25">
      <c r="A289">
        <v>1891325</v>
      </c>
    </row>
    <row r="290" spans="1:1" x14ac:dyDescent="0.25">
      <c r="A290">
        <v>1915110</v>
      </c>
    </row>
    <row r="291" spans="1:1" x14ac:dyDescent="0.25">
      <c r="A291">
        <v>1917811</v>
      </c>
    </row>
    <row r="292" spans="1:1" x14ac:dyDescent="0.25">
      <c r="A292">
        <v>1951715</v>
      </c>
    </row>
    <row r="293" spans="1:1" x14ac:dyDescent="0.25">
      <c r="A293">
        <v>1976927</v>
      </c>
    </row>
    <row r="294" spans="1:1" x14ac:dyDescent="0.25">
      <c r="A294">
        <v>1979399</v>
      </c>
    </row>
    <row r="295" spans="1:1" x14ac:dyDescent="0.25">
      <c r="A295">
        <v>1979400</v>
      </c>
    </row>
    <row r="296" spans="1:1" x14ac:dyDescent="0.25">
      <c r="A296">
        <v>2129622</v>
      </c>
    </row>
    <row r="297" spans="1:1" x14ac:dyDescent="0.25">
      <c r="A297">
        <v>2186705</v>
      </c>
    </row>
    <row r="298" spans="1:1" x14ac:dyDescent="0.25">
      <c r="A298">
        <v>2194758</v>
      </c>
    </row>
    <row r="299" spans="1:1" x14ac:dyDescent="0.25">
      <c r="A299">
        <v>2194827</v>
      </c>
    </row>
    <row r="300" spans="1:1" x14ac:dyDescent="0.25">
      <c r="A300">
        <v>2194848</v>
      </c>
    </row>
    <row r="301" spans="1:1" x14ac:dyDescent="0.25">
      <c r="A301">
        <v>2194859</v>
      </c>
    </row>
    <row r="302" spans="1:1" x14ac:dyDescent="0.25">
      <c r="A302">
        <v>2195077</v>
      </c>
    </row>
    <row r="303" spans="1:1" x14ac:dyDescent="0.25">
      <c r="A303">
        <v>2195085</v>
      </c>
    </row>
    <row r="304" spans="1:1" x14ac:dyDescent="0.25">
      <c r="A304">
        <v>2195086</v>
      </c>
    </row>
    <row r="305" spans="1:1" x14ac:dyDescent="0.25">
      <c r="A305">
        <v>2195089</v>
      </c>
    </row>
    <row r="306" spans="1:1" x14ac:dyDescent="0.25">
      <c r="A306">
        <v>2195091</v>
      </c>
    </row>
  </sheetData>
  <sortState xmlns:xlrd2="http://schemas.microsoft.com/office/spreadsheetml/2017/richdata2" ref="A1:A306">
    <sortCondition ref="A1:A30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13CA-AB12-4234-B004-9466CA6263BE}">
  <sheetPr filterMode="1"/>
  <dimension ref="A1:B870"/>
  <sheetViews>
    <sheetView topLeftCell="A661" workbookViewId="0">
      <selection activeCell="A24" sqref="A24:A870"/>
    </sheetView>
  </sheetViews>
  <sheetFormatPr defaultRowHeight="15" x14ac:dyDescent="0.25"/>
  <sheetData>
    <row r="1" spans="1:2" x14ac:dyDescent="0.25">
      <c r="B1" t="s">
        <v>632</v>
      </c>
    </row>
    <row r="2" spans="1:2" hidden="1" x14ac:dyDescent="0.25">
      <c r="A2" s="10">
        <v>2284</v>
      </c>
      <c r="B2">
        <f>VLOOKUP(A2,todos!$A$1:$A$306,1,FALSE)</f>
        <v>2284</v>
      </c>
    </row>
    <row r="3" spans="1:2" hidden="1" x14ac:dyDescent="0.25">
      <c r="A3" s="10">
        <v>2284</v>
      </c>
      <c r="B3">
        <f>VLOOKUP(A3,todos!$A$1:$A$306,1,FALSE)</f>
        <v>2284</v>
      </c>
    </row>
    <row r="4" spans="1:2" hidden="1" x14ac:dyDescent="0.25">
      <c r="A4" s="10">
        <v>2284</v>
      </c>
      <c r="B4">
        <f>VLOOKUP(A4,todos!$A$1:$A$306,1,FALSE)</f>
        <v>2284</v>
      </c>
    </row>
    <row r="5" spans="1:2" hidden="1" x14ac:dyDescent="0.25">
      <c r="A5" s="10">
        <v>2284</v>
      </c>
      <c r="B5">
        <f>VLOOKUP(A5,todos!$A$1:$A$306,1,FALSE)</f>
        <v>2284</v>
      </c>
    </row>
    <row r="6" spans="1:2" hidden="1" x14ac:dyDescent="0.25">
      <c r="A6" s="10">
        <v>2284</v>
      </c>
      <c r="B6">
        <f>VLOOKUP(A6,todos!$A$1:$A$306,1,FALSE)</f>
        <v>2284</v>
      </c>
    </row>
    <row r="7" spans="1:2" hidden="1" x14ac:dyDescent="0.25">
      <c r="A7" s="10">
        <v>2284</v>
      </c>
      <c r="B7">
        <f>VLOOKUP(A7,todos!$A$1:$A$306,1,FALSE)</f>
        <v>2284</v>
      </c>
    </row>
    <row r="8" spans="1:2" hidden="1" x14ac:dyDescent="0.25">
      <c r="A8" s="10">
        <v>2284</v>
      </c>
      <c r="B8">
        <f>VLOOKUP(A8,todos!$A$1:$A$306,1,FALSE)</f>
        <v>2284</v>
      </c>
    </row>
    <row r="9" spans="1:2" hidden="1" x14ac:dyDescent="0.25">
      <c r="A9" s="10">
        <v>2284</v>
      </c>
      <c r="B9">
        <f>VLOOKUP(A9,todos!$A$1:$A$306,1,FALSE)</f>
        <v>2284</v>
      </c>
    </row>
    <row r="10" spans="1:2" hidden="1" x14ac:dyDescent="0.25">
      <c r="A10" s="10">
        <v>2284</v>
      </c>
      <c r="B10">
        <f>VLOOKUP(A10,todos!$A$1:$A$306,1,FALSE)</f>
        <v>2284</v>
      </c>
    </row>
    <row r="11" spans="1:2" hidden="1" x14ac:dyDescent="0.25">
      <c r="A11" s="10">
        <v>2284</v>
      </c>
      <c r="B11">
        <f>VLOOKUP(A11,todos!$A$1:$A$306,1,FALSE)</f>
        <v>2284</v>
      </c>
    </row>
    <row r="12" spans="1:2" hidden="1" x14ac:dyDescent="0.25">
      <c r="A12" s="10">
        <v>2284</v>
      </c>
      <c r="B12">
        <f>VLOOKUP(A12,todos!$A$1:$A$306,1,FALSE)</f>
        <v>2284</v>
      </c>
    </row>
    <row r="13" spans="1:2" hidden="1" x14ac:dyDescent="0.25">
      <c r="A13" s="3">
        <v>9413</v>
      </c>
      <c r="B13">
        <f>VLOOKUP(A13,todos!$A$1:$A$306,1,FALSE)</f>
        <v>9413</v>
      </c>
    </row>
    <row r="14" spans="1:2" hidden="1" x14ac:dyDescent="0.25">
      <c r="A14" s="3">
        <v>9413</v>
      </c>
      <c r="B14">
        <f>VLOOKUP(A14,todos!$A$1:$A$306,1,FALSE)</f>
        <v>9413</v>
      </c>
    </row>
    <row r="15" spans="1:2" hidden="1" x14ac:dyDescent="0.25">
      <c r="A15" s="3">
        <v>9413</v>
      </c>
      <c r="B15">
        <f>VLOOKUP(A15,todos!$A$1:$A$306,1,FALSE)</f>
        <v>9413</v>
      </c>
    </row>
    <row r="16" spans="1:2" hidden="1" x14ac:dyDescent="0.25">
      <c r="A16" s="3">
        <v>9413</v>
      </c>
      <c r="B16">
        <f>VLOOKUP(A16,todos!$A$1:$A$306,1,FALSE)</f>
        <v>9413</v>
      </c>
    </row>
    <row r="17" spans="1:2" hidden="1" x14ac:dyDescent="0.25">
      <c r="A17" s="3">
        <v>9413</v>
      </c>
      <c r="B17">
        <f>VLOOKUP(A17,todos!$A$1:$A$306,1,FALSE)</f>
        <v>9413</v>
      </c>
    </row>
    <row r="18" spans="1:2" hidden="1" x14ac:dyDescent="0.25">
      <c r="A18" s="3">
        <v>9413</v>
      </c>
      <c r="B18">
        <f>VLOOKUP(A18,todos!$A$1:$A$306,1,FALSE)</f>
        <v>9413</v>
      </c>
    </row>
    <row r="19" spans="1:2" hidden="1" x14ac:dyDescent="0.25">
      <c r="A19" s="3">
        <v>9413</v>
      </c>
      <c r="B19">
        <f>VLOOKUP(A19,todos!$A$1:$A$306,1,FALSE)</f>
        <v>9413</v>
      </c>
    </row>
    <row r="20" spans="1:2" hidden="1" x14ac:dyDescent="0.25">
      <c r="A20" s="3">
        <v>9413</v>
      </c>
      <c r="B20">
        <f>VLOOKUP(A20,todos!$A$1:$A$306,1,FALSE)</f>
        <v>9413</v>
      </c>
    </row>
    <row r="21" spans="1:2" hidden="1" x14ac:dyDescent="0.25">
      <c r="A21" s="3">
        <v>9413</v>
      </c>
      <c r="B21">
        <f>VLOOKUP(A21,todos!$A$1:$A$306,1,FALSE)</f>
        <v>9413</v>
      </c>
    </row>
    <row r="22" spans="1:2" hidden="1" x14ac:dyDescent="0.25">
      <c r="A22" s="3">
        <v>9413</v>
      </c>
      <c r="B22">
        <f>VLOOKUP(A22,todos!$A$1:$A$306,1,FALSE)</f>
        <v>9413</v>
      </c>
    </row>
    <row r="23" spans="1:2" hidden="1" x14ac:dyDescent="0.25">
      <c r="A23" s="3">
        <v>9413</v>
      </c>
      <c r="B23">
        <f>VLOOKUP(A23,todos!$A$1:$A$306,1,FALSE)</f>
        <v>9413</v>
      </c>
    </row>
    <row r="24" spans="1:2" x14ac:dyDescent="0.25">
      <c r="A24" s="3">
        <v>51530</v>
      </c>
      <c r="B24" t="e">
        <f>VLOOKUP(A24,todos!$A$1:$A$306,1,FALSE)</f>
        <v>#N/A</v>
      </c>
    </row>
    <row r="25" spans="1:2" hidden="1" x14ac:dyDescent="0.25">
      <c r="A25" s="10">
        <v>98840</v>
      </c>
      <c r="B25">
        <f>VLOOKUP(A25,todos!$A$1:$A$306,1,FALSE)</f>
        <v>98840</v>
      </c>
    </row>
    <row r="26" spans="1:2" hidden="1" x14ac:dyDescent="0.25">
      <c r="A26" s="10">
        <v>98840</v>
      </c>
      <c r="B26">
        <f>VLOOKUP(A26,todos!$A$1:$A$306,1,FALSE)</f>
        <v>98840</v>
      </c>
    </row>
    <row r="27" spans="1:2" hidden="1" x14ac:dyDescent="0.25">
      <c r="A27" s="10">
        <v>98840</v>
      </c>
      <c r="B27">
        <f>VLOOKUP(A27,todos!$A$1:$A$306,1,FALSE)</f>
        <v>98840</v>
      </c>
    </row>
    <row r="28" spans="1:2" hidden="1" x14ac:dyDescent="0.25">
      <c r="A28" s="10">
        <v>98840</v>
      </c>
      <c r="B28">
        <f>VLOOKUP(A28,todos!$A$1:$A$306,1,FALSE)</f>
        <v>98840</v>
      </c>
    </row>
    <row r="29" spans="1:2" hidden="1" x14ac:dyDescent="0.25">
      <c r="A29" s="10">
        <v>98840</v>
      </c>
      <c r="B29">
        <f>VLOOKUP(A29,todos!$A$1:$A$306,1,FALSE)</f>
        <v>98840</v>
      </c>
    </row>
    <row r="30" spans="1:2" hidden="1" x14ac:dyDescent="0.25">
      <c r="A30" s="10">
        <v>98840</v>
      </c>
      <c r="B30">
        <f>VLOOKUP(A30,todos!$A$1:$A$306,1,FALSE)</f>
        <v>98840</v>
      </c>
    </row>
    <row r="31" spans="1:2" hidden="1" x14ac:dyDescent="0.25">
      <c r="A31" s="10">
        <v>98840</v>
      </c>
      <c r="B31">
        <f>VLOOKUP(A31,todos!$A$1:$A$306,1,FALSE)</f>
        <v>98840</v>
      </c>
    </row>
    <row r="32" spans="1:2" hidden="1" x14ac:dyDescent="0.25">
      <c r="A32" s="10">
        <v>98840</v>
      </c>
      <c r="B32">
        <f>VLOOKUP(A32,todos!$A$1:$A$306,1,FALSE)</f>
        <v>98840</v>
      </c>
    </row>
    <row r="33" spans="1:2" hidden="1" x14ac:dyDescent="0.25">
      <c r="A33" s="10">
        <v>98840</v>
      </c>
      <c r="B33">
        <f>VLOOKUP(A33,todos!$A$1:$A$306,1,FALSE)</f>
        <v>98840</v>
      </c>
    </row>
    <row r="34" spans="1:2" hidden="1" x14ac:dyDescent="0.25">
      <c r="A34" s="10">
        <v>98840</v>
      </c>
      <c r="B34">
        <f>VLOOKUP(A34,todos!$A$1:$A$306,1,FALSE)</f>
        <v>98840</v>
      </c>
    </row>
    <row r="35" spans="1:2" hidden="1" x14ac:dyDescent="0.25">
      <c r="A35" s="10">
        <v>98840</v>
      </c>
      <c r="B35">
        <f>VLOOKUP(A35,todos!$A$1:$A$306,1,FALSE)</f>
        <v>98840</v>
      </c>
    </row>
    <row r="36" spans="1:2" hidden="1" x14ac:dyDescent="0.25">
      <c r="A36" s="10">
        <v>98840</v>
      </c>
      <c r="B36">
        <f>VLOOKUP(A36,todos!$A$1:$A$306,1,FALSE)</f>
        <v>98840</v>
      </c>
    </row>
    <row r="37" spans="1:2" hidden="1" x14ac:dyDescent="0.25">
      <c r="A37" s="10">
        <v>98840</v>
      </c>
      <c r="B37">
        <f>VLOOKUP(A37,todos!$A$1:$A$306,1,FALSE)</f>
        <v>98840</v>
      </c>
    </row>
    <row r="38" spans="1:2" hidden="1" x14ac:dyDescent="0.25">
      <c r="A38" s="10">
        <v>98840</v>
      </c>
      <c r="B38">
        <f>VLOOKUP(A38,todos!$A$1:$A$306,1,FALSE)</f>
        <v>98840</v>
      </c>
    </row>
    <row r="39" spans="1:2" hidden="1" x14ac:dyDescent="0.25">
      <c r="A39" s="10">
        <v>98840</v>
      </c>
      <c r="B39">
        <f>VLOOKUP(A39,todos!$A$1:$A$306,1,FALSE)</f>
        <v>98840</v>
      </c>
    </row>
    <row r="40" spans="1:2" hidden="1" x14ac:dyDescent="0.25">
      <c r="A40" s="10">
        <v>98840</v>
      </c>
      <c r="B40">
        <f>VLOOKUP(A40,todos!$A$1:$A$306,1,FALSE)</f>
        <v>98840</v>
      </c>
    </row>
    <row r="41" spans="1:2" hidden="1" x14ac:dyDescent="0.25">
      <c r="A41" s="10">
        <v>98840</v>
      </c>
      <c r="B41">
        <f>VLOOKUP(A41,todos!$A$1:$A$306,1,FALSE)</f>
        <v>98840</v>
      </c>
    </row>
    <row r="42" spans="1:2" hidden="1" x14ac:dyDescent="0.25">
      <c r="A42" s="10">
        <v>98840</v>
      </c>
      <c r="B42">
        <f>VLOOKUP(A42,todos!$A$1:$A$306,1,FALSE)</f>
        <v>98840</v>
      </c>
    </row>
    <row r="43" spans="1:2" x14ac:dyDescent="0.25">
      <c r="A43" s="10">
        <v>120404</v>
      </c>
      <c r="B43" t="e">
        <f>VLOOKUP(A43,todos!$A$1:$A$306,1,FALSE)</f>
        <v>#N/A</v>
      </c>
    </row>
    <row r="44" spans="1:2" hidden="1" x14ac:dyDescent="0.25">
      <c r="A44" s="10">
        <v>189268</v>
      </c>
      <c r="B44">
        <f>VLOOKUP(A44,todos!$A$1:$A$306,1,FALSE)</f>
        <v>189268</v>
      </c>
    </row>
    <row r="45" spans="1:2" hidden="1" x14ac:dyDescent="0.25">
      <c r="A45" s="10">
        <v>196562</v>
      </c>
      <c r="B45">
        <f>VLOOKUP(A45,todos!$A$1:$A$306,1,FALSE)</f>
        <v>196562</v>
      </c>
    </row>
    <row r="46" spans="1:2" hidden="1" x14ac:dyDescent="0.25">
      <c r="A46" s="10">
        <v>220128</v>
      </c>
      <c r="B46">
        <f>VLOOKUP(A46,todos!$A$1:$A$306,1,FALSE)</f>
        <v>220128</v>
      </c>
    </row>
    <row r="47" spans="1:2" hidden="1" x14ac:dyDescent="0.25">
      <c r="A47" s="10">
        <v>220128</v>
      </c>
      <c r="B47">
        <f>VLOOKUP(A47,todos!$A$1:$A$306,1,FALSE)</f>
        <v>220128</v>
      </c>
    </row>
    <row r="48" spans="1:2" hidden="1" x14ac:dyDescent="0.25">
      <c r="A48" s="10">
        <v>220128</v>
      </c>
      <c r="B48">
        <f>VLOOKUP(A48,todos!$A$1:$A$306,1,FALSE)</f>
        <v>220128</v>
      </c>
    </row>
    <row r="49" spans="1:2" hidden="1" x14ac:dyDescent="0.25">
      <c r="A49" s="10">
        <v>220128</v>
      </c>
      <c r="B49">
        <f>VLOOKUP(A49,todos!$A$1:$A$306,1,FALSE)</f>
        <v>220128</v>
      </c>
    </row>
    <row r="50" spans="1:2" x14ac:dyDescent="0.25">
      <c r="A50" s="10">
        <v>224027</v>
      </c>
      <c r="B50" t="e">
        <f>VLOOKUP(A50,todos!$A$1:$A$306,1,FALSE)</f>
        <v>#N/A</v>
      </c>
    </row>
    <row r="51" spans="1:2" x14ac:dyDescent="0.25">
      <c r="A51" s="3">
        <v>224027</v>
      </c>
      <c r="B51" t="e">
        <f>VLOOKUP(A51,todos!$A$1:$A$306,1,FALSE)</f>
        <v>#N/A</v>
      </c>
    </row>
    <row r="52" spans="1:2" hidden="1" x14ac:dyDescent="0.25">
      <c r="A52" s="10">
        <v>251973</v>
      </c>
      <c r="B52">
        <f>VLOOKUP(A52,todos!$A$1:$A$306,1,FALSE)</f>
        <v>251973</v>
      </c>
    </row>
    <row r="53" spans="1:2" hidden="1" x14ac:dyDescent="0.25">
      <c r="A53" s="10">
        <v>251973</v>
      </c>
      <c r="B53">
        <f>VLOOKUP(A53,todos!$A$1:$A$306,1,FALSE)</f>
        <v>251973</v>
      </c>
    </row>
    <row r="54" spans="1:2" hidden="1" x14ac:dyDescent="0.25">
      <c r="A54" s="10">
        <v>251973</v>
      </c>
      <c r="B54">
        <f>VLOOKUP(A54,todos!$A$1:$A$306,1,FALSE)</f>
        <v>251973</v>
      </c>
    </row>
    <row r="55" spans="1:2" hidden="1" x14ac:dyDescent="0.25">
      <c r="A55" s="10">
        <v>251973</v>
      </c>
      <c r="B55">
        <f>VLOOKUP(A55,todos!$A$1:$A$306,1,FALSE)</f>
        <v>251973</v>
      </c>
    </row>
    <row r="56" spans="1:2" hidden="1" x14ac:dyDescent="0.25">
      <c r="A56" s="10">
        <v>251973</v>
      </c>
      <c r="B56">
        <f>VLOOKUP(A56,todos!$A$1:$A$306,1,FALSE)</f>
        <v>251973</v>
      </c>
    </row>
    <row r="57" spans="1:2" hidden="1" x14ac:dyDescent="0.25">
      <c r="A57" s="10">
        <v>251973</v>
      </c>
      <c r="B57">
        <f>VLOOKUP(A57,todos!$A$1:$A$306,1,FALSE)</f>
        <v>251973</v>
      </c>
    </row>
    <row r="58" spans="1:2" hidden="1" x14ac:dyDescent="0.25">
      <c r="A58" s="10">
        <v>251973</v>
      </c>
      <c r="B58">
        <f>VLOOKUP(A58,todos!$A$1:$A$306,1,FALSE)</f>
        <v>251973</v>
      </c>
    </row>
    <row r="59" spans="1:2" hidden="1" x14ac:dyDescent="0.25">
      <c r="A59" s="10">
        <v>251973</v>
      </c>
      <c r="B59">
        <f>VLOOKUP(A59,todos!$A$1:$A$306,1,FALSE)</f>
        <v>251973</v>
      </c>
    </row>
    <row r="60" spans="1:2" hidden="1" x14ac:dyDescent="0.25">
      <c r="A60" s="10">
        <v>251973</v>
      </c>
      <c r="B60">
        <f>VLOOKUP(A60,todos!$A$1:$A$306,1,FALSE)</f>
        <v>251973</v>
      </c>
    </row>
    <row r="61" spans="1:2" hidden="1" x14ac:dyDescent="0.25">
      <c r="A61" s="10">
        <v>251973</v>
      </c>
      <c r="B61">
        <f>VLOOKUP(A61,todos!$A$1:$A$306,1,FALSE)</f>
        <v>251973</v>
      </c>
    </row>
    <row r="62" spans="1:2" hidden="1" x14ac:dyDescent="0.25">
      <c r="A62" s="10">
        <v>251973</v>
      </c>
      <c r="B62">
        <f>VLOOKUP(A62,todos!$A$1:$A$306,1,FALSE)</f>
        <v>251973</v>
      </c>
    </row>
    <row r="63" spans="1:2" hidden="1" x14ac:dyDescent="0.25">
      <c r="A63" s="10">
        <v>251973</v>
      </c>
      <c r="B63">
        <f>VLOOKUP(A63,todos!$A$1:$A$306,1,FALSE)</f>
        <v>251973</v>
      </c>
    </row>
    <row r="64" spans="1:2" hidden="1" x14ac:dyDescent="0.25">
      <c r="A64" s="10">
        <v>251973</v>
      </c>
      <c r="B64">
        <f>VLOOKUP(A64,todos!$A$1:$A$306,1,FALSE)</f>
        <v>251973</v>
      </c>
    </row>
    <row r="65" spans="1:2" hidden="1" x14ac:dyDescent="0.25">
      <c r="A65" s="10">
        <v>251973</v>
      </c>
      <c r="B65">
        <f>VLOOKUP(A65,todos!$A$1:$A$306,1,FALSE)</f>
        <v>251973</v>
      </c>
    </row>
    <row r="66" spans="1:2" hidden="1" x14ac:dyDescent="0.25">
      <c r="A66" s="10">
        <v>251973</v>
      </c>
      <c r="B66">
        <f>VLOOKUP(A66,todos!$A$1:$A$306,1,FALSE)</f>
        <v>251973</v>
      </c>
    </row>
    <row r="67" spans="1:2" hidden="1" x14ac:dyDescent="0.25">
      <c r="A67" s="10">
        <v>251973</v>
      </c>
      <c r="B67">
        <f>VLOOKUP(A67,todos!$A$1:$A$306,1,FALSE)</f>
        <v>251973</v>
      </c>
    </row>
    <row r="68" spans="1:2" hidden="1" x14ac:dyDescent="0.25">
      <c r="A68" s="10">
        <v>251973</v>
      </c>
      <c r="B68">
        <f>VLOOKUP(A68,todos!$A$1:$A$306,1,FALSE)</f>
        <v>251973</v>
      </c>
    </row>
    <row r="69" spans="1:2" hidden="1" x14ac:dyDescent="0.25">
      <c r="A69" s="10">
        <v>251973</v>
      </c>
      <c r="B69">
        <f>VLOOKUP(A69,todos!$A$1:$A$306,1,FALSE)</f>
        <v>251973</v>
      </c>
    </row>
    <row r="70" spans="1:2" hidden="1" x14ac:dyDescent="0.25">
      <c r="A70" s="10">
        <v>251973</v>
      </c>
      <c r="B70">
        <f>VLOOKUP(A70,todos!$A$1:$A$306,1,FALSE)</f>
        <v>251973</v>
      </c>
    </row>
    <row r="71" spans="1:2" hidden="1" x14ac:dyDescent="0.25">
      <c r="A71" s="10">
        <v>251973</v>
      </c>
      <c r="B71">
        <f>VLOOKUP(A71,todos!$A$1:$A$306,1,FALSE)</f>
        <v>251973</v>
      </c>
    </row>
    <row r="72" spans="1:2" hidden="1" x14ac:dyDescent="0.25">
      <c r="A72" s="10">
        <v>251973</v>
      </c>
      <c r="B72">
        <f>VLOOKUP(A72,todos!$A$1:$A$306,1,FALSE)</f>
        <v>251973</v>
      </c>
    </row>
    <row r="73" spans="1:2" hidden="1" x14ac:dyDescent="0.25">
      <c r="A73" s="10">
        <v>251973</v>
      </c>
      <c r="B73">
        <f>VLOOKUP(A73,todos!$A$1:$A$306,1,FALSE)</f>
        <v>251973</v>
      </c>
    </row>
    <row r="74" spans="1:2" hidden="1" x14ac:dyDescent="0.25">
      <c r="A74" s="10">
        <v>252299</v>
      </c>
      <c r="B74">
        <f>VLOOKUP(A74,todos!$A$1:$A$306,1,FALSE)</f>
        <v>252299</v>
      </c>
    </row>
    <row r="75" spans="1:2" hidden="1" x14ac:dyDescent="0.25">
      <c r="A75" s="10">
        <v>252303</v>
      </c>
      <c r="B75">
        <f>VLOOKUP(A75,todos!$A$1:$A$306,1,FALSE)</f>
        <v>252303</v>
      </c>
    </row>
    <row r="76" spans="1:2" hidden="1" x14ac:dyDescent="0.25">
      <c r="A76" s="10">
        <v>252303</v>
      </c>
      <c r="B76">
        <f>VLOOKUP(A76,todos!$A$1:$A$306,1,FALSE)</f>
        <v>252303</v>
      </c>
    </row>
    <row r="77" spans="1:2" hidden="1" x14ac:dyDescent="0.25">
      <c r="A77" s="10">
        <v>252438</v>
      </c>
      <c r="B77">
        <f>VLOOKUP(A77,todos!$A$1:$A$306,1,FALSE)</f>
        <v>252438</v>
      </c>
    </row>
    <row r="78" spans="1:2" hidden="1" x14ac:dyDescent="0.25">
      <c r="A78" s="3">
        <v>252584</v>
      </c>
      <c r="B78">
        <f>VLOOKUP(A78,todos!$A$1:$A$306,1,FALSE)</f>
        <v>252584</v>
      </c>
    </row>
    <row r="79" spans="1:2" hidden="1" x14ac:dyDescent="0.25">
      <c r="A79" s="10">
        <v>253094</v>
      </c>
      <c r="B79">
        <f>VLOOKUP(A79,todos!$A$1:$A$306,1,FALSE)</f>
        <v>253094</v>
      </c>
    </row>
    <row r="80" spans="1:2" hidden="1" x14ac:dyDescent="0.25">
      <c r="A80" s="10">
        <v>253094</v>
      </c>
      <c r="B80">
        <f>VLOOKUP(A80,todos!$A$1:$A$306,1,FALSE)</f>
        <v>253094</v>
      </c>
    </row>
    <row r="81" spans="1:2" hidden="1" x14ac:dyDescent="0.25">
      <c r="A81" s="10">
        <v>256272</v>
      </c>
      <c r="B81">
        <f>VLOOKUP(A81,todos!$A$1:$A$306,1,FALSE)</f>
        <v>256272</v>
      </c>
    </row>
    <row r="82" spans="1:2" hidden="1" x14ac:dyDescent="0.25">
      <c r="A82" s="10">
        <v>256272</v>
      </c>
      <c r="B82">
        <f>VLOOKUP(A82,todos!$A$1:$A$306,1,FALSE)</f>
        <v>256272</v>
      </c>
    </row>
    <row r="83" spans="1:2" x14ac:dyDescent="0.25">
      <c r="A83" s="23">
        <v>256276</v>
      </c>
      <c r="B83" t="e">
        <f>VLOOKUP(A83,todos!$A$1:$A$306,1,FALSE)</f>
        <v>#N/A</v>
      </c>
    </row>
    <row r="84" spans="1:2" hidden="1" x14ac:dyDescent="0.25">
      <c r="A84" s="10">
        <v>256426</v>
      </c>
      <c r="B84">
        <f>VLOOKUP(A84,todos!$A$1:$A$306,1,FALSE)</f>
        <v>256426</v>
      </c>
    </row>
    <row r="85" spans="1:2" hidden="1" x14ac:dyDescent="0.25">
      <c r="A85" s="10">
        <v>256560</v>
      </c>
      <c r="B85">
        <f>VLOOKUP(A85,todos!$A$1:$A$306,1,FALSE)</f>
        <v>256560</v>
      </c>
    </row>
    <row r="86" spans="1:2" hidden="1" x14ac:dyDescent="0.25">
      <c r="A86" s="10">
        <v>256560</v>
      </c>
      <c r="B86">
        <f>VLOOKUP(A86,todos!$A$1:$A$306,1,FALSE)</f>
        <v>256560</v>
      </c>
    </row>
    <row r="87" spans="1:2" hidden="1" x14ac:dyDescent="0.25">
      <c r="A87" s="10">
        <v>256560</v>
      </c>
      <c r="B87">
        <f>VLOOKUP(A87,todos!$A$1:$A$306,1,FALSE)</f>
        <v>256560</v>
      </c>
    </row>
    <row r="88" spans="1:2" hidden="1" x14ac:dyDescent="0.25">
      <c r="A88" s="10">
        <v>256560</v>
      </c>
      <c r="B88">
        <f>VLOOKUP(A88,todos!$A$1:$A$306,1,FALSE)</f>
        <v>256560</v>
      </c>
    </row>
    <row r="89" spans="1:2" hidden="1" x14ac:dyDescent="0.25">
      <c r="A89" s="10">
        <v>256560</v>
      </c>
      <c r="B89">
        <f>VLOOKUP(A89,todos!$A$1:$A$306,1,FALSE)</f>
        <v>256560</v>
      </c>
    </row>
    <row r="90" spans="1:2" hidden="1" x14ac:dyDescent="0.25">
      <c r="A90" s="10">
        <v>256560</v>
      </c>
      <c r="B90">
        <f>VLOOKUP(A90,todos!$A$1:$A$306,1,FALSE)</f>
        <v>256560</v>
      </c>
    </row>
    <row r="91" spans="1:2" hidden="1" x14ac:dyDescent="0.25">
      <c r="A91" s="10">
        <v>256560</v>
      </c>
      <c r="B91">
        <f>VLOOKUP(A91,todos!$A$1:$A$306,1,FALSE)</f>
        <v>256560</v>
      </c>
    </row>
    <row r="92" spans="1:2" hidden="1" x14ac:dyDescent="0.25">
      <c r="A92" s="10">
        <v>256560</v>
      </c>
      <c r="B92">
        <f>VLOOKUP(A92,todos!$A$1:$A$306,1,FALSE)</f>
        <v>256560</v>
      </c>
    </row>
    <row r="93" spans="1:2" hidden="1" x14ac:dyDescent="0.25">
      <c r="A93" s="10">
        <v>256560</v>
      </c>
      <c r="B93">
        <f>VLOOKUP(A93,todos!$A$1:$A$306,1,FALSE)</f>
        <v>256560</v>
      </c>
    </row>
    <row r="94" spans="1:2" hidden="1" x14ac:dyDescent="0.25">
      <c r="A94" s="10">
        <v>256560</v>
      </c>
      <c r="B94">
        <f>VLOOKUP(A94,todos!$A$1:$A$306,1,FALSE)</f>
        <v>256560</v>
      </c>
    </row>
    <row r="95" spans="1:2" hidden="1" x14ac:dyDescent="0.25">
      <c r="A95" s="10">
        <v>256560</v>
      </c>
      <c r="B95">
        <f>VLOOKUP(A95,todos!$A$1:$A$306,1,FALSE)</f>
        <v>256560</v>
      </c>
    </row>
    <row r="96" spans="1:2" hidden="1" x14ac:dyDescent="0.25">
      <c r="A96" s="10">
        <v>256620</v>
      </c>
      <c r="B96">
        <f>VLOOKUP(A96,todos!$A$1:$A$306,1,FALSE)</f>
        <v>256620</v>
      </c>
    </row>
    <row r="97" spans="1:2" hidden="1" x14ac:dyDescent="0.25">
      <c r="A97" s="10">
        <v>256620</v>
      </c>
      <c r="B97">
        <f>VLOOKUP(A97,todos!$A$1:$A$306,1,FALSE)</f>
        <v>256620</v>
      </c>
    </row>
    <row r="98" spans="1:2" hidden="1" x14ac:dyDescent="0.25">
      <c r="A98" s="10">
        <v>256620</v>
      </c>
      <c r="B98">
        <f>VLOOKUP(A98,todos!$A$1:$A$306,1,FALSE)</f>
        <v>256620</v>
      </c>
    </row>
    <row r="99" spans="1:2" hidden="1" x14ac:dyDescent="0.25">
      <c r="A99" s="10">
        <v>256620</v>
      </c>
      <c r="B99">
        <f>VLOOKUP(A99,todos!$A$1:$A$306,1,FALSE)</f>
        <v>256620</v>
      </c>
    </row>
    <row r="100" spans="1:2" hidden="1" x14ac:dyDescent="0.25">
      <c r="A100" s="10">
        <v>256620</v>
      </c>
      <c r="B100">
        <f>VLOOKUP(A100,todos!$A$1:$A$306,1,FALSE)</f>
        <v>256620</v>
      </c>
    </row>
    <row r="101" spans="1:2" hidden="1" x14ac:dyDescent="0.25">
      <c r="A101" s="10">
        <v>256620</v>
      </c>
      <c r="B101">
        <f>VLOOKUP(A101,todos!$A$1:$A$306,1,FALSE)</f>
        <v>256620</v>
      </c>
    </row>
    <row r="102" spans="1:2" hidden="1" x14ac:dyDescent="0.25">
      <c r="A102" s="10">
        <v>256620</v>
      </c>
      <c r="B102">
        <f>VLOOKUP(A102,todos!$A$1:$A$306,1,FALSE)</f>
        <v>256620</v>
      </c>
    </row>
    <row r="103" spans="1:2" hidden="1" x14ac:dyDescent="0.25">
      <c r="A103" s="10">
        <v>256620</v>
      </c>
      <c r="B103">
        <f>VLOOKUP(A103,todos!$A$1:$A$306,1,FALSE)</f>
        <v>256620</v>
      </c>
    </row>
    <row r="104" spans="1:2" hidden="1" x14ac:dyDescent="0.25">
      <c r="A104" s="10">
        <v>256620</v>
      </c>
      <c r="B104">
        <f>VLOOKUP(A104,todos!$A$1:$A$306,1,FALSE)</f>
        <v>256620</v>
      </c>
    </row>
    <row r="105" spans="1:2" hidden="1" x14ac:dyDescent="0.25">
      <c r="A105" s="10">
        <v>256620</v>
      </c>
      <c r="B105">
        <f>VLOOKUP(A105,todos!$A$1:$A$306,1,FALSE)</f>
        <v>256620</v>
      </c>
    </row>
    <row r="106" spans="1:2" hidden="1" x14ac:dyDescent="0.25">
      <c r="A106" s="10">
        <v>256620</v>
      </c>
      <c r="B106">
        <f>VLOOKUP(A106,todos!$A$1:$A$306,1,FALSE)</f>
        <v>256620</v>
      </c>
    </row>
    <row r="107" spans="1:2" hidden="1" x14ac:dyDescent="0.25">
      <c r="A107" s="10">
        <v>257364</v>
      </c>
      <c r="B107">
        <f>VLOOKUP(A107,todos!$A$1:$A$306,1,FALSE)</f>
        <v>257364</v>
      </c>
    </row>
    <row r="108" spans="1:2" hidden="1" x14ac:dyDescent="0.25">
      <c r="A108" s="10">
        <v>257368</v>
      </c>
      <c r="B108">
        <f>VLOOKUP(A108,todos!$A$1:$A$306,1,FALSE)</f>
        <v>257368</v>
      </c>
    </row>
    <row r="109" spans="1:2" hidden="1" x14ac:dyDescent="0.25">
      <c r="A109" s="10">
        <v>257404</v>
      </c>
      <c r="B109">
        <f>VLOOKUP(A109,todos!$A$1:$A$306,1,FALSE)</f>
        <v>257404</v>
      </c>
    </row>
    <row r="110" spans="1:2" hidden="1" x14ac:dyDescent="0.25">
      <c r="A110" s="10">
        <v>257404</v>
      </c>
      <c r="B110">
        <f>VLOOKUP(A110,todos!$A$1:$A$306,1,FALSE)</f>
        <v>257404</v>
      </c>
    </row>
    <row r="111" spans="1:2" hidden="1" x14ac:dyDescent="0.25">
      <c r="A111" s="10">
        <v>257404</v>
      </c>
      <c r="B111">
        <f>VLOOKUP(A111,todos!$A$1:$A$306,1,FALSE)</f>
        <v>257404</v>
      </c>
    </row>
    <row r="112" spans="1:2" hidden="1" x14ac:dyDescent="0.25">
      <c r="A112" s="10">
        <v>258477</v>
      </c>
      <c r="B112">
        <f>VLOOKUP(A112,todos!$A$1:$A$306,1,FALSE)</f>
        <v>258477</v>
      </c>
    </row>
    <row r="113" spans="1:2" hidden="1" x14ac:dyDescent="0.25">
      <c r="A113" s="10">
        <v>258485</v>
      </c>
      <c r="B113">
        <f>VLOOKUP(A113,todos!$A$1:$A$306,1,FALSE)</f>
        <v>258485</v>
      </c>
    </row>
    <row r="114" spans="1:2" hidden="1" x14ac:dyDescent="0.25">
      <c r="A114" s="10">
        <v>258485</v>
      </c>
      <c r="B114">
        <f>VLOOKUP(A114,todos!$A$1:$A$306,1,FALSE)</f>
        <v>258485</v>
      </c>
    </row>
    <row r="115" spans="1:2" hidden="1" x14ac:dyDescent="0.25">
      <c r="A115" s="10">
        <v>258492</v>
      </c>
      <c r="B115">
        <f>VLOOKUP(A115,todos!$A$1:$A$306,1,FALSE)</f>
        <v>258492</v>
      </c>
    </row>
    <row r="116" spans="1:2" hidden="1" x14ac:dyDescent="0.25">
      <c r="A116" s="10">
        <v>258492</v>
      </c>
      <c r="B116">
        <f>VLOOKUP(A116,todos!$A$1:$A$306,1,FALSE)</f>
        <v>258492</v>
      </c>
    </row>
    <row r="117" spans="1:2" hidden="1" x14ac:dyDescent="0.25">
      <c r="A117" s="10">
        <v>258529</v>
      </c>
      <c r="B117">
        <f>VLOOKUP(A117,todos!$A$1:$A$306,1,FALSE)</f>
        <v>258529</v>
      </c>
    </row>
    <row r="118" spans="1:2" hidden="1" x14ac:dyDescent="0.25">
      <c r="A118" s="10">
        <v>258643</v>
      </c>
      <c r="B118">
        <f>VLOOKUP(A118,todos!$A$1:$A$306,1,FALSE)</f>
        <v>258643</v>
      </c>
    </row>
    <row r="119" spans="1:2" hidden="1" x14ac:dyDescent="0.25">
      <c r="A119" s="10">
        <v>258798</v>
      </c>
      <c r="B119">
        <f>VLOOKUP(A119,todos!$A$1:$A$306,1,FALSE)</f>
        <v>258798</v>
      </c>
    </row>
    <row r="120" spans="1:2" hidden="1" x14ac:dyDescent="0.25">
      <c r="A120" s="10">
        <v>258798</v>
      </c>
      <c r="B120">
        <f>VLOOKUP(A120,todos!$A$1:$A$306,1,FALSE)</f>
        <v>258798</v>
      </c>
    </row>
    <row r="121" spans="1:2" hidden="1" x14ac:dyDescent="0.25">
      <c r="A121" s="10">
        <v>258798</v>
      </c>
      <c r="B121">
        <f>VLOOKUP(A121,todos!$A$1:$A$306,1,FALSE)</f>
        <v>258798</v>
      </c>
    </row>
    <row r="122" spans="1:2" hidden="1" x14ac:dyDescent="0.25">
      <c r="A122" s="10">
        <v>258798</v>
      </c>
      <c r="B122">
        <f>VLOOKUP(A122,todos!$A$1:$A$306,1,FALSE)</f>
        <v>258798</v>
      </c>
    </row>
    <row r="123" spans="1:2" hidden="1" x14ac:dyDescent="0.25">
      <c r="A123" s="10">
        <v>258798</v>
      </c>
      <c r="B123">
        <f>VLOOKUP(A123,todos!$A$1:$A$306,1,FALSE)</f>
        <v>258798</v>
      </c>
    </row>
    <row r="124" spans="1:2" hidden="1" x14ac:dyDescent="0.25">
      <c r="A124" s="10">
        <v>258798</v>
      </c>
      <c r="B124">
        <f>VLOOKUP(A124,todos!$A$1:$A$306,1,FALSE)</f>
        <v>258798</v>
      </c>
    </row>
    <row r="125" spans="1:2" hidden="1" x14ac:dyDescent="0.25">
      <c r="A125" s="10">
        <v>258798</v>
      </c>
      <c r="B125">
        <f>VLOOKUP(A125,todos!$A$1:$A$306,1,FALSE)</f>
        <v>258798</v>
      </c>
    </row>
    <row r="126" spans="1:2" hidden="1" x14ac:dyDescent="0.25">
      <c r="A126" s="10">
        <v>258798</v>
      </c>
      <c r="B126">
        <f>VLOOKUP(A126,todos!$A$1:$A$306,1,FALSE)</f>
        <v>258798</v>
      </c>
    </row>
    <row r="127" spans="1:2" hidden="1" x14ac:dyDescent="0.25">
      <c r="A127" s="10">
        <v>258798</v>
      </c>
      <c r="B127">
        <f>VLOOKUP(A127,todos!$A$1:$A$306,1,FALSE)</f>
        <v>258798</v>
      </c>
    </row>
    <row r="128" spans="1:2" hidden="1" x14ac:dyDescent="0.25">
      <c r="A128" s="10">
        <v>258798</v>
      </c>
      <c r="B128">
        <f>VLOOKUP(A128,todos!$A$1:$A$306,1,FALSE)</f>
        <v>258798</v>
      </c>
    </row>
    <row r="129" spans="1:2" hidden="1" x14ac:dyDescent="0.25">
      <c r="A129" s="10">
        <v>259033</v>
      </c>
      <c r="B129">
        <f>VLOOKUP(A129,todos!$A$1:$A$306,1,FALSE)</f>
        <v>259033</v>
      </c>
    </row>
    <row r="130" spans="1:2" hidden="1" x14ac:dyDescent="0.25">
      <c r="A130" s="10">
        <v>259033</v>
      </c>
      <c r="B130">
        <f>VLOOKUP(A130,todos!$A$1:$A$306,1,FALSE)</f>
        <v>259033</v>
      </c>
    </row>
    <row r="131" spans="1:2" hidden="1" x14ac:dyDescent="0.25">
      <c r="A131" s="10">
        <v>259033</v>
      </c>
      <c r="B131">
        <f>VLOOKUP(A131,todos!$A$1:$A$306,1,FALSE)</f>
        <v>259033</v>
      </c>
    </row>
    <row r="132" spans="1:2" hidden="1" x14ac:dyDescent="0.25">
      <c r="A132" s="10">
        <v>259033</v>
      </c>
      <c r="B132">
        <f>VLOOKUP(A132,todos!$A$1:$A$306,1,FALSE)</f>
        <v>259033</v>
      </c>
    </row>
    <row r="133" spans="1:2" hidden="1" x14ac:dyDescent="0.25">
      <c r="A133" s="10">
        <v>259033</v>
      </c>
      <c r="B133">
        <f>VLOOKUP(A133,todos!$A$1:$A$306,1,FALSE)</f>
        <v>259033</v>
      </c>
    </row>
    <row r="134" spans="1:2" hidden="1" x14ac:dyDescent="0.25">
      <c r="A134" s="3">
        <v>259033</v>
      </c>
      <c r="B134">
        <f>VLOOKUP(A134,todos!$A$1:$A$306,1,FALSE)</f>
        <v>259033</v>
      </c>
    </row>
    <row r="135" spans="1:2" hidden="1" x14ac:dyDescent="0.25">
      <c r="A135" s="3">
        <v>259033</v>
      </c>
      <c r="B135">
        <f>VLOOKUP(A135,todos!$A$1:$A$306,1,FALSE)</f>
        <v>259033</v>
      </c>
    </row>
    <row r="136" spans="1:2" hidden="1" x14ac:dyDescent="0.25">
      <c r="A136" s="3">
        <v>259033</v>
      </c>
      <c r="B136">
        <f>VLOOKUP(A136,todos!$A$1:$A$306,1,FALSE)</f>
        <v>259033</v>
      </c>
    </row>
    <row r="137" spans="1:2" hidden="1" x14ac:dyDescent="0.25">
      <c r="A137" s="3">
        <v>259033</v>
      </c>
      <c r="B137">
        <f>VLOOKUP(A137,todos!$A$1:$A$306,1,FALSE)</f>
        <v>259033</v>
      </c>
    </row>
    <row r="138" spans="1:2" hidden="1" x14ac:dyDescent="0.25">
      <c r="A138" s="3">
        <v>259033</v>
      </c>
      <c r="B138">
        <f>VLOOKUP(A138,todos!$A$1:$A$306,1,FALSE)</f>
        <v>259033</v>
      </c>
    </row>
    <row r="139" spans="1:2" hidden="1" x14ac:dyDescent="0.25">
      <c r="A139" s="3">
        <v>259033</v>
      </c>
      <c r="B139">
        <f>VLOOKUP(A139,todos!$A$1:$A$306,1,FALSE)</f>
        <v>259033</v>
      </c>
    </row>
    <row r="140" spans="1:2" hidden="1" x14ac:dyDescent="0.25">
      <c r="A140" s="10">
        <v>259140</v>
      </c>
      <c r="B140">
        <f>VLOOKUP(A140,todos!$A$1:$A$306,1,FALSE)</f>
        <v>259140</v>
      </c>
    </row>
    <row r="141" spans="1:2" hidden="1" x14ac:dyDescent="0.25">
      <c r="A141" s="10">
        <v>259434</v>
      </c>
      <c r="B141">
        <f>VLOOKUP(A141,todos!$A$1:$A$306,1,FALSE)</f>
        <v>259434</v>
      </c>
    </row>
    <row r="142" spans="1:2" hidden="1" x14ac:dyDescent="0.25">
      <c r="A142" s="10">
        <v>259614</v>
      </c>
      <c r="B142">
        <f>VLOOKUP(A142,todos!$A$1:$A$306,1,FALSE)</f>
        <v>259614</v>
      </c>
    </row>
    <row r="143" spans="1:2" hidden="1" x14ac:dyDescent="0.25">
      <c r="A143" s="10">
        <v>259614</v>
      </c>
      <c r="B143">
        <f>VLOOKUP(A143,todos!$A$1:$A$306,1,FALSE)</f>
        <v>259614</v>
      </c>
    </row>
    <row r="144" spans="1:2" hidden="1" x14ac:dyDescent="0.25">
      <c r="A144" s="3">
        <v>259828</v>
      </c>
      <c r="B144">
        <f>VLOOKUP(A144,todos!$A$1:$A$306,1,FALSE)</f>
        <v>259828</v>
      </c>
    </row>
    <row r="145" spans="1:2" hidden="1" x14ac:dyDescent="0.25">
      <c r="A145" s="3">
        <v>259828</v>
      </c>
      <c r="B145">
        <f>VLOOKUP(A145,todos!$A$1:$A$306,1,FALSE)</f>
        <v>259828</v>
      </c>
    </row>
    <row r="146" spans="1:2" hidden="1" x14ac:dyDescent="0.25">
      <c r="A146" s="3">
        <v>259828</v>
      </c>
      <c r="B146">
        <f>VLOOKUP(A146,todos!$A$1:$A$306,1,FALSE)</f>
        <v>259828</v>
      </c>
    </row>
    <row r="147" spans="1:2" hidden="1" x14ac:dyDescent="0.25">
      <c r="A147" s="3">
        <v>259828</v>
      </c>
      <c r="B147">
        <f>VLOOKUP(A147,todos!$A$1:$A$306,1,FALSE)</f>
        <v>259828</v>
      </c>
    </row>
    <row r="148" spans="1:2" hidden="1" x14ac:dyDescent="0.25">
      <c r="A148" s="3">
        <v>259828</v>
      </c>
      <c r="B148">
        <f>VLOOKUP(A148,todos!$A$1:$A$306,1,FALSE)</f>
        <v>259828</v>
      </c>
    </row>
    <row r="149" spans="1:2" hidden="1" x14ac:dyDescent="0.25">
      <c r="A149" s="3">
        <v>259828</v>
      </c>
      <c r="B149">
        <f>VLOOKUP(A149,todos!$A$1:$A$306,1,FALSE)</f>
        <v>259828</v>
      </c>
    </row>
    <row r="150" spans="1:2" hidden="1" x14ac:dyDescent="0.25">
      <c r="A150" s="3">
        <v>259828</v>
      </c>
      <c r="B150">
        <f>VLOOKUP(A150,todos!$A$1:$A$306,1,FALSE)</f>
        <v>259828</v>
      </c>
    </row>
    <row r="151" spans="1:2" hidden="1" x14ac:dyDescent="0.25">
      <c r="A151" s="3">
        <v>259828</v>
      </c>
      <c r="B151">
        <f>VLOOKUP(A151,todos!$A$1:$A$306,1,FALSE)</f>
        <v>259828</v>
      </c>
    </row>
    <row r="152" spans="1:2" hidden="1" x14ac:dyDescent="0.25">
      <c r="A152" s="3">
        <v>259828</v>
      </c>
      <c r="B152">
        <f>VLOOKUP(A152,todos!$A$1:$A$306,1,FALSE)</f>
        <v>259828</v>
      </c>
    </row>
    <row r="153" spans="1:2" hidden="1" x14ac:dyDescent="0.25">
      <c r="A153" s="3">
        <v>259828</v>
      </c>
      <c r="B153">
        <f>VLOOKUP(A153,todos!$A$1:$A$306,1,FALSE)</f>
        <v>259828</v>
      </c>
    </row>
    <row r="154" spans="1:2" hidden="1" x14ac:dyDescent="0.25">
      <c r="A154" s="3">
        <v>259828</v>
      </c>
      <c r="B154">
        <f>VLOOKUP(A154,todos!$A$1:$A$306,1,FALSE)</f>
        <v>259828</v>
      </c>
    </row>
    <row r="155" spans="1:2" hidden="1" x14ac:dyDescent="0.25">
      <c r="A155" s="10">
        <v>259979</v>
      </c>
      <c r="B155">
        <f>VLOOKUP(A155,todos!$A$1:$A$306,1,FALSE)</f>
        <v>259979</v>
      </c>
    </row>
    <row r="156" spans="1:2" x14ac:dyDescent="0.25">
      <c r="A156" s="10">
        <v>277515</v>
      </c>
      <c r="B156" t="e">
        <f>VLOOKUP(A156,todos!$A$1:$A$306,1,FALSE)</f>
        <v>#N/A</v>
      </c>
    </row>
    <row r="157" spans="1:2" hidden="1" x14ac:dyDescent="0.25">
      <c r="A157" s="3">
        <v>289933</v>
      </c>
      <c r="B157">
        <f>VLOOKUP(A157,todos!$A$1:$A$306,1,FALSE)</f>
        <v>289933</v>
      </c>
    </row>
    <row r="158" spans="1:2" hidden="1" x14ac:dyDescent="0.25">
      <c r="A158" s="3">
        <v>289933</v>
      </c>
      <c r="B158">
        <f>VLOOKUP(A158,todos!$A$1:$A$306,1,FALSE)</f>
        <v>289933</v>
      </c>
    </row>
    <row r="159" spans="1:2" hidden="1" x14ac:dyDescent="0.25">
      <c r="A159" s="3">
        <v>289933</v>
      </c>
      <c r="B159">
        <f>VLOOKUP(A159,todos!$A$1:$A$306,1,FALSE)</f>
        <v>289933</v>
      </c>
    </row>
    <row r="160" spans="1:2" hidden="1" x14ac:dyDescent="0.25">
      <c r="A160" s="3">
        <v>303898</v>
      </c>
      <c r="B160">
        <f>VLOOKUP(A160,todos!$A$1:$A$306,1,FALSE)</f>
        <v>303898</v>
      </c>
    </row>
    <row r="161" spans="1:2" hidden="1" x14ac:dyDescent="0.25">
      <c r="A161" s="10">
        <v>321756</v>
      </c>
      <c r="B161">
        <f>VLOOKUP(A161,todos!$A$1:$A$306,1,FALSE)</f>
        <v>321756</v>
      </c>
    </row>
    <row r="162" spans="1:2" hidden="1" x14ac:dyDescent="0.25">
      <c r="A162" s="3">
        <v>321765</v>
      </c>
      <c r="B162">
        <f>VLOOKUP(A162,todos!$A$1:$A$306,1,FALSE)</f>
        <v>321765</v>
      </c>
    </row>
    <row r="163" spans="1:2" x14ac:dyDescent="0.25">
      <c r="A163" s="10">
        <v>321919</v>
      </c>
      <c r="B163" t="e">
        <f>VLOOKUP(A163,todos!$A$1:$A$306,1,FALSE)</f>
        <v>#N/A</v>
      </c>
    </row>
    <row r="164" spans="1:2" x14ac:dyDescent="0.25">
      <c r="A164" s="10">
        <v>321919</v>
      </c>
      <c r="B164" t="e">
        <f>VLOOKUP(A164,todos!$A$1:$A$306,1,FALSE)</f>
        <v>#N/A</v>
      </c>
    </row>
    <row r="165" spans="1:2" x14ac:dyDescent="0.25">
      <c r="A165" s="10">
        <v>321919</v>
      </c>
      <c r="B165" t="e">
        <f>VLOOKUP(A165,todos!$A$1:$A$306,1,FALSE)</f>
        <v>#N/A</v>
      </c>
    </row>
    <row r="166" spans="1:2" x14ac:dyDescent="0.25">
      <c r="A166" s="10">
        <v>321919</v>
      </c>
      <c r="B166" t="e">
        <f>VLOOKUP(A166,todos!$A$1:$A$306,1,FALSE)</f>
        <v>#N/A</v>
      </c>
    </row>
    <row r="167" spans="1:2" x14ac:dyDescent="0.25">
      <c r="A167" s="10">
        <v>321919</v>
      </c>
      <c r="B167" t="e">
        <f>VLOOKUP(A167,todos!$A$1:$A$306,1,FALSE)</f>
        <v>#N/A</v>
      </c>
    </row>
    <row r="168" spans="1:2" x14ac:dyDescent="0.25">
      <c r="A168" s="10">
        <v>321919</v>
      </c>
      <c r="B168" t="e">
        <f>VLOOKUP(A168,todos!$A$1:$A$306,1,FALSE)</f>
        <v>#N/A</v>
      </c>
    </row>
    <row r="169" spans="1:2" x14ac:dyDescent="0.25">
      <c r="A169" s="10">
        <v>321919</v>
      </c>
      <c r="B169" t="e">
        <f>VLOOKUP(A169,todos!$A$1:$A$306,1,FALSE)</f>
        <v>#N/A</v>
      </c>
    </row>
    <row r="170" spans="1:2" x14ac:dyDescent="0.25">
      <c r="A170" s="10">
        <v>321919</v>
      </c>
      <c r="B170" t="e">
        <f>VLOOKUP(A170,todos!$A$1:$A$306,1,FALSE)</f>
        <v>#N/A</v>
      </c>
    </row>
    <row r="171" spans="1:2" x14ac:dyDescent="0.25">
      <c r="A171" s="10">
        <v>321919</v>
      </c>
      <c r="B171" t="e">
        <f>VLOOKUP(A171,todos!$A$1:$A$306,1,FALSE)</f>
        <v>#N/A</v>
      </c>
    </row>
    <row r="172" spans="1:2" x14ac:dyDescent="0.25">
      <c r="A172" s="10">
        <v>321919</v>
      </c>
      <c r="B172" t="e">
        <f>VLOOKUP(A172,todos!$A$1:$A$306,1,FALSE)</f>
        <v>#N/A</v>
      </c>
    </row>
    <row r="173" spans="1:2" x14ac:dyDescent="0.25">
      <c r="A173" s="10">
        <v>321919</v>
      </c>
      <c r="B173" t="e">
        <f>VLOOKUP(A173,todos!$A$1:$A$306,1,FALSE)</f>
        <v>#N/A</v>
      </c>
    </row>
    <row r="174" spans="1:2" hidden="1" x14ac:dyDescent="0.25">
      <c r="A174" s="10">
        <v>322212</v>
      </c>
      <c r="B174">
        <f>VLOOKUP(A174,todos!$A$1:$A$306,1,FALSE)</f>
        <v>322212</v>
      </c>
    </row>
    <row r="175" spans="1:2" hidden="1" x14ac:dyDescent="0.25">
      <c r="A175" s="10">
        <v>322214</v>
      </c>
      <c r="B175">
        <f>VLOOKUP(A175,todos!$A$1:$A$306,1,FALSE)</f>
        <v>322214</v>
      </c>
    </row>
    <row r="176" spans="1:2" hidden="1" x14ac:dyDescent="0.25">
      <c r="A176" s="10">
        <v>322214</v>
      </c>
      <c r="B176">
        <f>VLOOKUP(A176,todos!$A$1:$A$306,1,FALSE)</f>
        <v>322214</v>
      </c>
    </row>
    <row r="177" spans="1:2" hidden="1" x14ac:dyDescent="0.25">
      <c r="A177" s="10">
        <v>322260</v>
      </c>
      <c r="B177">
        <f>VLOOKUP(A177,todos!$A$1:$A$306,1,FALSE)</f>
        <v>322260</v>
      </c>
    </row>
    <row r="178" spans="1:2" hidden="1" x14ac:dyDescent="0.25">
      <c r="A178" s="3">
        <v>323612</v>
      </c>
      <c r="B178">
        <f>VLOOKUP(A178,todos!$A$1:$A$306,1,FALSE)</f>
        <v>323612</v>
      </c>
    </row>
    <row r="179" spans="1:2" hidden="1" x14ac:dyDescent="0.25">
      <c r="A179" s="3">
        <v>323613</v>
      </c>
      <c r="B179">
        <f>VLOOKUP(A179,todos!$A$1:$A$306,1,FALSE)</f>
        <v>323613</v>
      </c>
    </row>
    <row r="180" spans="1:2" hidden="1" x14ac:dyDescent="0.25">
      <c r="A180" s="3">
        <v>323614</v>
      </c>
      <c r="B180">
        <f>VLOOKUP(A180,todos!$A$1:$A$306,1,FALSE)</f>
        <v>323614</v>
      </c>
    </row>
    <row r="181" spans="1:2" hidden="1" x14ac:dyDescent="0.25">
      <c r="A181" s="3">
        <v>323614</v>
      </c>
      <c r="B181">
        <f>VLOOKUP(A181,todos!$A$1:$A$306,1,FALSE)</f>
        <v>323614</v>
      </c>
    </row>
    <row r="182" spans="1:2" hidden="1" x14ac:dyDescent="0.25">
      <c r="A182" s="3">
        <v>323615</v>
      </c>
      <c r="B182">
        <f>VLOOKUP(A182,todos!$A$1:$A$306,1,FALSE)</f>
        <v>323615</v>
      </c>
    </row>
    <row r="183" spans="1:2" hidden="1" x14ac:dyDescent="0.25">
      <c r="A183" s="3">
        <v>323616</v>
      </c>
      <c r="B183">
        <f>VLOOKUP(A183,todos!$A$1:$A$306,1,FALSE)</f>
        <v>323616</v>
      </c>
    </row>
    <row r="184" spans="1:2" hidden="1" x14ac:dyDescent="0.25">
      <c r="A184" s="3">
        <v>323617</v>
      </c>
      <c r="B184">
        <f>VLOOKUP(A184,todos!$A$1:$A$306,1,FALSE)</f>
        <v>323617</v>
      </c>
    </row>
    <row r="185" spans="1:2" hidden="1" x14ac:dyDescent="0.25">
      <c r="A185" s="10">
        <v>328432</v>
      </c>
      <c r="B185">
        <f>VLOOKUP(A185,todos!$A$1:$A$306,1,FALSE)</f>
        <v>328432</v>
      </c>
    </row>
    <row r="186" spans="1:2" hidden="1" x14ac:dyDescent="0.25">
      <c r="A186" s="10">
        <v>328922</v>
      </c>
      <c r="B186">
        <f>VLOOKUP(A186,todos!$A$1:$A$306,1,FALSE)</f>
        <v>328922</v>
      </c>
    </row>
    <row r="187" spans="1:2" hidden="1" x14ac:dyDescent="0.25">
      <c r="A187" s="10">
        <v>329068</v>
      </c>
      <c r="B187">
        <f>VLOOKUP(A187,todos!$A$1:$A$306,1,FALSE)</f>
        <v>329068</v>
      </c>
    </row>
    <row r="188" spans="1:2" hidden="1" x14ac:dyDescent="0.25">
      <c r="A188" s="10">
        <v>329068</v>
      </c>
      <c r="B188">
        <f>VLOOKUP(A188,todos!$A$1:$A$306,1,FALSE)</f>
        <v>329068</v>
      </c>
    </row>
    <row r="189" spans="1:2" hidden="1" x14ac:dyDescent="0.25">
      <c r="A189" s="3">
        <v>329698</v>
      </c>
      <c r="B189">
        <f>VLOOKUP(A189,todos!$A$1:$A$306,1,FALSE)</f>
        <v>329698</v>
      </c>
    </row>
    <row r="190" spans="1:2" hidden="1" x14ac:dyDescent="0.25">
      <c r="A190" s="3">
        <v>329698</v>
      </c>
      <c r="B190">
        <f>VLOOKUP(A190,todos!$A$1:$A$306,1,FALSE)</f>
        <v>329698</v>
      </c>
    </row>
    <row r="191" spans="1:2" hidden="1" x14ac:dyDescent="0.25">
      <c r="A191" s="3">
        <v>329698</v>
      </c>
      <c r="B191">
        <f>VLOOKUP(A191,todos!$A$1:$A$306,1,FALSE)</f>
        <v>329698</v>
      </c>
    </row>
    <row r="192" spans="1:2" hidden="1" x14ac:dyDescent="0.25">
      <c r="A192" s="10">
        <v>330080</v>
      </c>
      <c r="B192">
        <f>VLOOKUP(A192,todos!$A$1:$A$306,1,FALSE)</f>
        <v>330080</v>
      </c>
    </row>
    <row r="193" spans="1:2" hidden="1" x14ac:dyDescent="0.25">
      <c r="A193" s="10">
        <v>330133</v>
      </c>
      <c r="B193">
        <f>VLOOKUP(A193,todos!$A$1:$A$306,1,FALSE)</f>
        <v>330133</v>
      </c>
    </row>
    <row r="194" spans="1:2" hidden="1" x14ac:dyDescent="0.25">
      <c r="A194" s="10">
        <v>330133</v>
      </c>
      <c r="B194">
        <f>VLOOKUP(A194,todos!$A$1:$A$306,1,FALSE)</f>
        <v>330133</v>
      </c>
    </row>
    <row r="195" spans="1:2" hidden="1" x14ac:dyDescent="0.25">
      <c r="A195" s="10">
        <v>330264</v>
      </c>
      <c r="B195">
        <f>VLOOKUP(A195,todos!$A$1:$A$306,1,FALSE)</f>
        <v>330264</v>
      </c>
    </row>
    <row r="196" spans="1:2" hidden="1" x14ac:dyDescent="0.25">
      <c r="A196" s="10">
        <v>330264</v>
      </c>
      <c r="B196">
        <f>VLOOKUP(A196,todos!$A$1:$A$306,1,FALSE)</f>
        <v>330264</v>
      </c>
    </row>
    <row r="197" spans="1:2" hidden="1" x14ac:dyDescent="0.25">
      <c r="A197" s="10">
        <v>330264</v>
      </c>
      <c r="B197">
        <f>VLOOKUP(A197,todos!$A$1:$A$306,1,FALSE)</f>
        <v>330264</v>
      </c>
    </row>
    <row r="198" spans="1:2" hidden="1" x14ac:dyDescent="0.25">
      <c r="A198" s="10">
        <v>330264</v>
      </c>
      <c r="B198">
        <f>VLOOKUP(A198,todos!$A$1:$A$306,1,FALSE)</f>
        <v>330264</v>
      </c>
    </row>
    <row r="199" spans="1:2" hidden="1" x14ac:dyDescent="0.25">
      <c r="A199" s="10">
        <v>330264</v>
      </c>
      <c r="B199">
        <f>VLOOKUP(A199,todos!$A$1:$A$306,1,FALSE)</f>
        <v>330264</v>
      </c>
    </row>
    <row r="200" spans="1:2" hidden="1" x14ac:dyDescent="0.25">
      <c r="A200" s="3">
        <v>330274</v>
      </c>
      <c r="B200">
        <f>VLOOKUP(A200,todos!$A$1:$A$306,1,FALSE)</f>
        <v>330274</v>
      </c>
    </row>
    <row r="201" spans="1:2" hidden="1" x14ac:dyDescent="0.25">
      <c r="A201" s="3">
        <v>331404</v>
      </c>
      <c r="B201">
        <f>VLOOKUP(A201,todos!$A$1:$A$306,1,FALSE)</f>
        <v>331404</v>
      </c>
    </row>
    <row r="202" spans="1:2" hidden="1" x14ac:dyDescent="0.25">
      <c r="A202" s="3">
        <v>331404</v>
      </c>
      <c r="B202">
        <f>VLOOKUP(A202,todos!$A$1:$A$306,1,FALSE)</f>
        <v>331404</v>
      </c>
    </row>
    <row r="203" spans="1:2" hidden="1" x14ac:dyDescent="0.25">
      <c r="A203" s="3">
        <v>331411</v>
      </c>
      <c r="B203">
        <f>VLOOKUP(A203,todos!$A$1:$A$306,1,FALSE)</f>
        <v>331411</v>
      </c>
    </row>
    <row r="204" spans="1:2" hidden="1" x14ac:dyDescent="0.25">
      <c r="A204" s="3">
        <v>331411</v>
      </c>
      <c r="B204">
        <f>VLOOKUP(A204,todos!$A$1:$A$306,1,FALSE)</f>
        <v>331411</v>
      </c>
    </row>
    <row r="205" spans="1:2" hidden="1" x14ac:dyDescent="0.25">
      <c r="A205" s="10">
        <v>335235</v>
      </c>
      <c r="B205">
        <f>VLOOKUP(A205,todos!$A$1:$A$306,1,FALSE)</f>
        <v>335235</v>
      </c>
    </row>
    <row r="206" spans="1:2" hidden="1" x14ac:dyDescent="0.25">
      <c r="A206" s="10">
        <v>335235</v>
      </c>
      <c r="B206">
        <f>VLOOKUP(A206,todos!$A$1:$A$306,1,FALSE)</f>
        <v>335235</v>
      </c>
    </row>
    <row r="207" spans="1:2" hidden="1" x14ac:dyDescent="0.25">
      <c r="A207" s="10">
        <v>335235</v>
      </c>
      <c r="B207">
        <f>VLOOKUP(A207,todos!$A$1:$A$306,1,FALSE)</f>
        <v>335235</v>
      </c>
    </row>
    <row r="208" spans="1:2" hidden="1" x14ac:dyDescent="0.25">
      <c r="A208" s="10">
        <v>335235</v>
      </c>
      <c r="B208">
        <f>VLOOKUP(A208,todos!$A$1:$A$306,1,FALSE)</f>
        <v>335235</v>
      </c>
    </row>
    <row r="209" spans="1:2" hidden="1" x14ac:dyDescent="0.25">
      <c r="A209" s="10">
        <v>335235</v>
      </c>
      <c r="B209">
        <f>VLOOKUP(A209,todos!$A$1:$A$306,1,FALSE)</f>
        <v>335235</v>
      </c>
    </row>
    <row r="210" spans="1:2" hidden="1" x14ac:dyDescent="0.25">
      <c r="A210" s="10">
        <v>335235</v>
      </c>
      <c r="B210">
        <f>VLOOKUP(A210,todos!$A$1:$A$306,1,FALSE)</f>
        <v>335235</v>
      </c>
    </row>
    <row r="211" spans="1:2" hidden="1" x14ac:dyDescent="0.25">
      <c r="A211" s="10">
        <v>335235</v>
      </c>
      <c r="B211">
        <f>VLOOKUP(A211,todos!$A$1:$A$306,1,FALSE)</f>
        <v>335235</v>
      </c>
    </row>
    <row r="212" spans="1:2" hidden="1" x14ac:dyDescent="0.25">
      <c r="A212" s="10">
        <v>335235</v>
      </c>
      <c r="B212">
        <f>VLOOKUP(A212,todos!$A$1:$A$306,1,FALSE)</f>
        <v>335235</v>
      </c>
    </row>
    <row r="213" spans="1:2" hidden="1" x14ac:dyDescent="0.25">
      <c r="A213" s="3">
        <v>347365</v>
      </c>
      <c r="B213">
        <f>VLOOKUP(A213,todos!$A$1:$A$306,1,FALSE)</f>
        <v>347365</v>
      </c>
    </row>
    <row r="214" spans="1:2" hidden="1" x14ac:dyDescent="0.25">
      <c r="A214" s="3">
        <v>347365</v>
      </c>
      <c r="B214">
        <f>VLOOKUP(A214,todos!$A$1:$A$306,1,FALSE)</f>
        <v>347365</v>
      </c>
    </row>
    <row r="215" spans="1:2" hidden="1" x14ac:dyDescent="0.25">
      <c r="A215" s="3">
        <v>347365</v>
      </c>
      <c r="B215">
        <f>VLOOKUP(A215,todos!$A$1:$A$306,1,FALSE)</f>
        <v>347365</v>
      </c>
    </row>
    <row r="216" spans="1:2" hidden="1" x14ac:dyDescent="0.25">
      <c r="A216" s="3">
        <v>347365</v>
      </c>
      <c r="B216">
        <f>VLOOKUP(A216,todos!$A$1:$A$306,1,FALSE)</f>
        <v>347365</v>
      </c>
    </row>
    <row r="217" spans="1:2" hidden="1" x14ac:dyDescent="0.25">
      <c r="A217" s="10">
        <v>352640</v>
      </c>
      <c r="B217">
        <f>VLOOKUP(A217,todos!$A$1:$A$306,1,FALSE)</f>
        <v>352640</v>
      </c>
    </row>
    <row r="218" spans="1:2" x14ac:dyDescent="0.25">
      <c r="A218" s="3">
        <v>354066</v>
      </c>
      <c r="B218" t="e">
        <f>VLOOKUP(A218,todos!$A$1:$A$306,1,FALSE)</f>
        <v>#N/A</v>
      </c>
    </row>
    <row r="219" spans="1:2" x14ac:dyDescent="0.25">
      <c r="A219" s="3">
        <v>354066</v>
      </c>
      <c r="B219" t="e">
        <f>VLOOKUP(A219,todos!$A$1:$A$306,1,FALSE)</f>
        <v>#N/A</v>
      </c>
    </row>
    <row r="220" spans="1:2" x14ac:dyDescent="0.25">
      <c r="A220" s="3">
        <v>354069</v>
      </c>
      <c r="B220" t="e">
        <f>VLOOKUP(A220,todos!$A$1:$A$306,1,FALSE)</f>
        <v>#N/A</v>
      </c>
    </row>
    <row r="221" spans="1:2" hidden="1" x14ac:dyDescent="0.25">
      <c r="A221" s="10">
        <v>367315</v>
      </c>
      <c r="B221">
        <f>VLOOKUP(A221,todos!$A$1:$A$306,1,FALSE)</f>
        <v>367315</v>
      </c>
    </row>
    <row r="222" spans="1:2" hidden="1" x14ac:dyDescent="0.25">
      <c r="A222" s="10">
        <v>367315</v>
      </c>
      <c r="B222">
        <f>VLOOKUP(A222,todos!$A$1:$A$306,1,FALSE)</f>
        <v>367315</v>
      </c>
    </row>
    <row r="223" spans="1:2" hidden="1" x14ac:dyDescent="0.25">
      <c r="A223" s="10">
        <v>367315</v>
      </c>
      <c r="B223">
        <f>VLOOKUP(A223,todos!$A$1:$A$306,1,FALSE)</f>
        <v>367315</v>
      </c>
    </row>
    <row r="224" spans="1:2" hidden="1" x14ac:dyDescent="0.25">
      <c r="A224" s="10">
        <v>367321</v>
      </c>
      <c r="B224">
        <f>VLOOKUP(A224,todos!$A$1:$A$306,1,FALSE)</f>
        <v>367321</v>
      </c>
    </row>
    <row r="225" spans="1:2" hidden="1" x14ac:dyDescent="0.25">
      <c r="A225" s="10">
        <v>367321</v>
      </c>
      <c r="B225">
        <f>VLOOKUP(A225,todos!$A$1:$A$306,1,FALSE)</f>
        <v>367321</v>
      </c>
    </row>
    <row r="226" spans="1:2" hidden="1" x14ac:dyDescent="0.25">
      <c r="A226" s="10">
        <v>367321</v>
      </c>
      <c r="B226">
        <f>VLOOKUP(A226,todos!$A$1:$A$306,1,FALSE)</f>
        <v>367321</v>
      </c>
    </row>
    <row r="227" spans="1:2" hidden="1" x14ac:dyDescent="0.25">
      <c r="A227" s="10">
        <v>367321</v>
      </c>
      <c r="B227">
        <f>VLOOKUP(A227,todos!$A$1:$A$306,1,FALSE)</f>
        <v>367321</v>
      </c>
    </row>
    <row r="228" spans="1:2" hidden="1" x14ac:dyDescent="0.25">
      <c r="A228" s="10">
        <v>367428</v>
      </c>
      <c r="B228">
        <f>VLOOKUP(A228,todos!$A$1:$A$306,1,FALSE)</f>
        <v>367428</v>
      </c>
    </row>
    <row r="229" spans="1:2" hidden="1" x14ac:dyDescent="0.25">
      <c r="A229" s="10">
        <v>369142</v>
      </c>
      <c r="B229">
        <f>VLOOKUP(A229,todos!$A$1:$A$306,1,FALSE)</f>
        <v>369142</v>
      </c>
    </row>
    <row r="230" spans="1:2" hidden="1" x14ac:dyDescent="0.25">
      <c r="A230" s="10">
        <v>369151</v>
      </c>
      <c r="B230">
        <f>VLOOKUP(A230,todos!$A$1:$A$306,1,FALSE)</f>
        <v>369151</v>
      </c>
    </row>
    <row r="231" spans="1:2" x14ac:dyDescent="0.25">
      <c r="A231" s="3">
        <v>370691</v>
      </c>
      <c r="B231" t="e">
        <f>VLOOKUP(A231,todos!$A$1:$A$306,1,FALSE)</f>
        <v>#N/A</v>
      </c>
    </row>
    <row r="232" spans="1:2" x14ac:dyDescent="0.25">
      <c r="A232" s="3">
        <v>370691</v>
      </c>
      <c r="B232" t="e">
        <f>VLOOKUP(A232,todos!$A$1:$A$306,1,FALSE)</f>
        <v>#N/A</v>
      </c>
    </row>
    <row r="233" spans="1:2" x14ac:dyDescent="0.25">
      <c r="A233" s="3">
        <v>370691</v>
      </c>
      <c r="B233" t="e">
        <f>VLOOKUP(A233,todos!$A$1:$A$306,1,FALSE)</f>
        <v>#N/A</v>
      </c>
    </row>
    <row r="234" spans="1:2" x14ac:dyDescent="0.25">
      <c r="A234" s="3">
        <v>370691</v>
      </c>
      <c r="B234" t="e">
        <f>VLOOKUP(A234,todos!$A$1:$A$306,1,FALSE)</f>
        <v>#N/A</v>
      </c>
    </row>
    <row r="235" spans="1:2" x14ac:dyDescent="0.25">
      <c r="A235" s="3">
        <v>370691</v>
      </c>
      <c r="B235" t="e">
        <f>VLOOKUP(A235,todos!$A$1:$A$306,1,FALSE)</f>
        <v>#N/A</v>
      </c>
    </row>
    <row r="236" spans="1:2" x14ac:dyDescent="0.25">
      <c r="A236" s="3">
        <v>370691</v>
      </c>
      <c r="B236" t="e">
        <f>VLOOKUP(A236,todos!$A$1:$A$306,1,FALSE)</f>
        <v>#N/A</v>
      </c>
    </row>
    <row r="237" spans="1:2" hidden="1" x14ac:dyDescent="0.25">
      <c r="A237" s="3">
        <v>371694</v>
      </c>
      <c r="B237">
        <f>VLOOKUP(A237,todos!$A$1:$A$306,1,FALSE)</f>
        <v>371694</v>
      </c>
    </row>
    <row r="238" spans="1:2" hidden="1" x14ac:dyDescent="0.25">
      <c r="A238" s="3">
        <v>371694</v>
      </c>
      <c r="B238">
        <f>VLOOKUP(A238,todos!$A$1:$A$306,1,FALSE)</f>
        <v>371694</v>
      </c>
    </row>
    <row r="239" spans="1:2" hidden="1" x14ac:dyDescent="0.25">
      <c r="A239" s="3">
        <v>371694</v>
      </c>
      <c r="B239">
        <f>VLOOKUP(A239,todos!$A$1:$A$306,1,FALSE)</f>
        <v>371694</v>
      </c>
    </row>
    <row r="240" spans="1:2" hidden="1" x14ac:dyDescent="0.25">
      <c r="A240" s="3">
        <v>371694</v>
      </c>
      <c r="B240">
        <f>VLOOKUP(A240,todos!$A$1:$A$306,1,FALSE)</f>
        <v>371694</v>
      </c>
    </row>
    <row r="241" spans="1:2" hidden="1" x14ac:dyDescent="0.25">
      <c r="A241" s="3">
        <v>380835</v>
      </c>
      <c r="B241">
        <f>VLOOKUP(A241,todos!$A$1:$A$306,1,FALSE)</f>
        <v>380835</v>
      </c>
    </row>
    <row r="242" spans="1:2" hidden="1" x14ac:dyDescent="0.25">
      <c r="A242" s="10">
        <v>381074</v>
      </c>
      <c r="B242">
        <f>VLOOKUP(A242,todos!$A$1:$A$306,1,FALSE)</f>
        <v>381074</v>
      </c>
    </row>
    <row r="243" spans="1:2" hidden="1" x14ac:dyDescent="0.25">
      <c r="A243" s="3">
        <v>381189</v>
      </c>
      <c r="B243">
        <f>VLOOKUP(A243,todos!$A$1:$A$306,1,FALSE)</f>
        <v>381189</v>
      </c>
    </row>
    <row r="244" spans="1:2" hidden="1" x14ac:dyDescent="0.25">
      <c r="A244" s="3">
        <v>381189</v>
      </c>
      <c r="B244">
        <f>VLOOKUP(A244,todos!$A$1:$A$306,1,FALSE)</f>
        <v>381189</v>
      </c>
    </row>
    <row r="245" spans="1:2" hidden="1" x14ac:dyDescent="0.25">
      <c r="A245" s="3">
        <v>381189</v>
      </c>
      <c r="B245">
        <f>VLOOKUP(A245,todos!$A$1:$A$306,1,FALSE)</f>
        <v>381189</v>
      </c>
    </row>
    <row r="246" spans="1:2" hidden="1" x14ac:dyDescent="0.25">
      <c r="A246" s="3">
        <v>381189</v>
      </c>
      <c r="B246">
        <f>VLOOKUP(A246,todos!$A$1:$A$306,1,FALSE)</f>
        <v>381189</v>
      </c>
    </row>
    <row r="247" spans="1:2" hidden="1" x14ac:dyDescent="0.25">
      <c r="A247" s="3">
        <v>381189</v>
      </c>
      <c r="B247">
        <f>VLOOKUP(A247,todos!$A$1:$A$306,1,FALSE)</f>
        <v>381189</v>
      </c>
    </row>
    <row r="248" spans="1:2" hidden="1" x14ac:dyDescent="0.25">
      <c r="A248" s="3">
        <v>381189</v>
      </c>
      <c r="B248">
        <f>VLOOKUP(A248,todos!$A$1:$A$306,1,FALSE)</f>
        <v>381189</v>
      </c>
    </row>
    <row r="249" spans="1:2" hidden="1" x14ac:dyDescent="0.25">
      <c r="A249" s="3">
        <v>381189</v>
      </c>
      <c r="B249">
        <f>VLOOKUP(A249,todos!$A$1:$A$306,1,FALSE)</f>
        <v>381189</v>
      </c>
    </row>
    <row r="250" spans="1:2" hidden="1" x14ac:dyDescent="0.25">
      <c r="A250" s="3">
        <v>381189</v>
      </c>
      <c r="B250">
        <f>VLOOKUP(A250,todos!$A$1:$A$306,1,FALSE)</f>
        <v>381189</v>
      </c>
    </row>
    <row r="251" spans="1:2" hidden="1" x14ac:dyDescent="0.25">
      <c r="A251" s="3">
        <v>381189</v>
      </c>
      <c r="B251">
        <f>VLOOKUP(A251,todos!$A$1:$A$306,1,FALSE)</f>
        <v>381189</v>
      </c>
    </row>
    <row r="252" spans="1:2" hidden="1" x14ac:dyDescent="0.25">
      <c r="A252" s="3">
        <v>381189</v>
      </c>
      <c r="B252">
        <f>VLOOKUP(A252,todos!$A$1:$A$306,1,FALSE)</f>
        <v>381189</v>
      </c>
    </row>
    <row r="253" spans="1:2" hidden="1" x14ac:dyDescent="0.25">
      <c r="A253" s="3">
        <v>381189</v>
      </c>
      <c r="B253">
        <f>VLOOKUP(A253,todos!$A$1:$A$306,1,FALSE)</f>
        <v>381189</v>
      </c>
    </row>
    <row r="254" spans="1:2" hidden="1" x14ac:dyDescent="0.25">
      <c r="A254" s="3">
        <v>381189</v>
      </c>
      <c r="B254">
        <f>VLOOKUP(A254,todos!$A$1:$A$306,1,FALSE)</f>
        <v>381189</v>
      </c>
    </row>
    <row r="255" spans="1:2" hidden="1" x14ac:dyDescent="0.25">
      <c r="A255" s="3">
        <v>381189</v>
      </c>
      <c r="B255">
        <f>VLOOKUP(A255,todos!$A$1:$A$306,1,FALSE)</f>
        <v>381189</v>
      </c>
    </row>
    <row r="256" spans="1:2" hidden="1" x14ac:dyDescent="0.25">
      <c r="A256" s="3">
        <v>381189</v>
      </c>
      <c r="B256">
        <f>VLOOKUP(A256,todos!$A$1:$A$306,1,FALSE)</f>
        <v>381189</v>
      </c>
    </row>
    <row r="257" spans="1:2" hidden="1" x14ac:dyDescent="0.25">
      <c r="A257" s="3">
        <v>381189</v>
      </c>
      <c r="B257">
        <f>VLOOKUP(A257,todos!$A$1:$A$306,1,FALSE)</f>
        <v>381189</v>
      </c>
    </row>
    <row r="258" spans="1:2" hidden="1" x14ac:dyDescent="0.25">
      <c r="A258" s="3">
        <v>381189</v>
      </c>
      <c r="B258">
        <f>VLOOKUP(A258,todos!$A$1:$A$306,1,FALSE)</f>
        <v>381189</v>
      </c>
    </row>
    <row r="259" spans="1:2" hidden="1" x14ac:dyDescent="0.25">
      <c r="A259" s="3">
        <v>381189</v>
      </c>
      <c r="B259">
        <f>VLOOKUP(A259,todos!$A$1:$A$306,1,FALSE)</f>
        <v>381189</v>
      </c>
    </row>
    <row r="260" spans="1:2" hidden="1" x14ac:dyDescent="0.25">
      <c r="A260" s="3">
        <v>381189</v>
      </c>
      <c r="B260">
        <f>VLOOKUP(A260,todos!$A$1:$A$306,1,FALSE)</f>
        <v>381189</v>
      </c>
    </row>
    <row r="261" spans="1:2" hidden="1" x14ac:dyDescent="0.25">
      <c r="A261" s="3">
        <v>381189</v>
      </c>
      <c r="B261">
        <f>VLOOKUP(A261,todos!$A$1:$A$306,1,FALSE)</f>
        <v>381189</v>
      </c>
    </row>
    <row r="262" spans="1:2" hidden="1" x14ac:dyDescent="0.25">
      <c r="A262" s="3">
        <v>381189</v>
      </c>
      <c r="B262">
        <f>VLOOKUP(A262,todos!$A$1:$A$306,1,FALSE)</f>
        <v>381189</v>
      </c>
    </row>
    <row r="263" spans="1:2" hidden="1" x14ac:dyDescent="0.25">
      <c r="A263" s="3">
        <v>381189</v>
      </c>
      <c r="B263">
        <f>VLOOKUP(A263,todos!$A$1:$A$306,1,FALSE)</f>
        <v>381189</v>
      </c>
    </row>
    <row r="264" spans="1:2" hidden="1" x14ac:dyDescent="0.25">
      <c r="A264" s="3">
        <v>381189</v>
      </c>
      <c r="B264">
        <f>VLOOKUP(A264,todos!$A$1:$A$306,1,FALSE)</f>
        <v>381189</v>
      </c>
    </row>
    <row r="265" spans="1:2" hidden="1" x14ac:dyDescent="0.25">
      <c r="A265" s="3">
        <v>381189</v>
      </c>
      <c r="B265">
        <f>VLOOKUP(A265,todos!$A$1:$A$306,1,FALSE)</f>
        <v>381189</v>
      </c>
    </row>
    <row r="266" spans="1:2" hidden="1" x14ac:dyDescent="0.25">
      <c r="A266" s="3">
        <v>381189</v>
      </c>
      <c r="B266">
        <f>VLOOKUP(A266,todos!$A$1:$A$306,1,FALSE)</f>
        <v>381189</v>
      </c>
    </row>
    <row r="267" spans="1:2" hidden="1" x14ac:dyDescent="0.25">
      <c r="A267" s="3">
        <v>381189</v>
      </c>
      <c r="B267">
        <f>VLOOKUP(A267,todos!$A$1:$A$306,1,FALSE)</f>
        <v>381189</v>
      </c>
    </row>
    <row r="268" spans="1:2" hidden="1" x14ac:dyDescent="0.25">
      <c r="A268" s="3">
        <v>381189</v>
      </c>
      <c r="B268">
        <f>VLOOKUP(A268,todos!$A$1:$A$306,1,FALSE)</f>
        <v>381189</v>
      </c>
    </row>
    <row r="269" spans="1:2" hidden="1" x14ac:dyDescent="0.25">
      <c r="A269" s="3">
        <v>381189</v>
      </c>
      <c r="B269">
        <f>VLOOKUP(A269,todos!$A$1:$A$306,1,FALSE)</f>
        <v>381189</v>
      </c>
    </row>
    <row r="270" spans="1:2" hidden="1" x14ac:dyDescent="0.25">
      <c r="A270" s="3">
        <v>381189</v>
      </c>
      <c r="B270">
        <f>VLOOKUP(A270,todos!$A$1:$A$306,1,FALSE)</f>
        <v>381189</v>
      </c>
    </row>
    <row r="271" spans="1:2" hidden="1" x14ac:dyDescent="0.25">
      <c r="A271" s="3">
        <v>381189</v>
      </c>
      <c r="B271">
        <f>VLOOKUP(A271,todos!$A$1:$A$306,1,FALSE)</f>
        <v>381189</v>
      </c>
    </row>
    <row r="272" spans="1:2" hidden="1" x14ac:dyDescent="0.25">
      <c r="A272" s="3">
        <v>381189</v>
      </c>
      <c r="B272">
        <f>VLOOKUP(A272,todos!$A$1:$A$306,1,FALSE)</f>
        <v>381189</v>
      </c>
    </row>
    <row r="273" spans="1:2" hidden="1" x14ac:dyDescent="0.25">
      <c r="A273" s="3">
        <v>381189</v>
      </c>
      <c r="B273">
        <f>VLOOKUP(A273,todos!$A$1:$A$306,1,FALSE)</f>
        <v>381189</v>
      </c>
    </row>
    <row r="274" spans="1:2" hidden="1" x14ac:dyDescent="0.25">
      <c r="A274" s="3">
        <v>381189</v>
      </c>
      <c r="B274">
        <f>VLOOKUP(A274,todos!$A$1:$A$306,1,FALSE)</f>
        <v>381189</v>
      </c>
    </row>
    <row r="275" spans="1:2" hidden="1" x14ac:dyDescent="0.25">
      <c r="A275" s="3">
        <v>381189</v>
      </c>
      <c r="B275">
        <f>VLOOKUP(A275,todos!$A$1:$A$306,1,FALSE)</f>
        <v>381189</v>
      </c>
    </row>
    <row r="276" spans="1:2" hidden="1" x14ac:dyDescent="0.25">
      <c r="A276" s="3">
        <v>381189</v>
      </c>
      <c r="B276">
        <f>VLOOKUP(A276,todos!$A$1:$A$306,1,FALSE)</f>
        <v>381189</v>
      </c>
    </row>
    <row r="277" spans="1:2" hidden="1" x14ac:dyDescent="0.25">
      <c r="A277" s="3">
        <v>381189</v>
      </c>
      <c r="B277">
        <f>VLOOKUP(A277,todos!$A$1:$A$306,1,FALSE)</f>
        <v>381189</v>
      </c>
    </row>
    <row r="278" spans="1:2" hidden="1" x14ac:dyDescent="0.25">
      <c r="A278" s="3">
        <v>381189</v>
      </c>
      <c r="B278">
        <f>VLOOKUP(A278,todos!$A$1:$A$306,1,FALSE)</f>
        <v>381189</v>
      </c>
    </row>
    <row r="279" spans="1:2" hidden="1" x14ac:dyDescent="0.25">
      <c r="A279" s="3">
        <v>381189</v>
      </c>
      <c r="B279">
        <f>VLOOKUP(A279,todos!$A$1:$A$306,1,FALSE)</f>
        <v>381189</v>
      </c>
    </row>
    <row r="280" spans="1:2" hidden="1" x14ac:dyDescent="0.25">
      <c r="A280" s="3">
        <v>381189</v>
      </c>
      <c r="B280">
        <f>VLOOKUP(A280,todos!$A$1:$A$306,1,FALSE)</f>
        <v>381189</v>
      </c>
    </row>
    <row r="281" spans="1:2" hidden="1" x14ac:dyDescent="0.25">
      <c r="A281" s="3">
        <v>381189</v>
      </c>
      <c r="B281">
        <f>VLOOKUP(A281,todos!$A$1:$A$306,1,FALSE)</f>
        <v>381189</v>
      </c>
    </row>
    <row r="282" spans="1:2" hidden="1" x14ac:dyDescent="0.25">
      <c r="A282" s="3">
        <v>381189</v>
      </c>
      <c r="B282">
        <f>VLOOKUP(A282,todos!$A$1:$A$306,1,FALSE)</f>
        <v>381189</v>
      </c>
    </row>
    <row r="283" spans="1:2" hidden="1" x14ac:dyDescent="0.25">
      <c r="A283" s="3">
        <v>381189</v>
      </c>
      <c r="B283">
        <f>VLOOKUP(A283,todos!$A$1:$A$306,1,FALSE)</f>
        <v>381189</v>
      </c>
    </row>
    <row r="284" spans="1:2" hidden="1" x14ac:dyDescent="0.25">
      <c r="A284" s="3">
        <v>381189</v>
      </c>
      <c r="B284">
        <f>VLOOKUP(A284,todos!$A$1:$A$306,1,FALSE)</f>
        <v>381189</v>
      </c>
    </row>
    <row r="285" spans="1:2" hidden="1" x14ac:dyDescent="0.25">
      <c r="A285" s="3">
        <v>381189</v>
      </c>
      <c r="B285">
        <f>VLOOKUP(A285,todos!$A$1:$A$306,1,FALSE)</f>
        <v>381189</v>
      </c>
    </row>
    <row r="286" spans="1:2" hidden="1" x14ac:dyDescent="0.25">
      <c r="A286" s="3">
        <v>381202</v>
      </c>
      <c r="B286">
        <f>VLOOKUP(A286,todos!$A$1:$A$306,1,FALSE)</f>
        <v>381202</v>
      </c>
    </row>
    <row r="287" spans="1:2" hidden="1" x14ac:dyDescent="0.25">
      <c r="A287" s="3">
        <v>381202</v>
      </c>
      <c r="B287">
        <f>VLOOKUP(A287,todos!$A$1:$A$306,1,FALSE)</f>
        <v>381202</v>
      </c>
    </row>
    <row r="288" spans="1:2" hidden="1" x14ac:dyDescent="0.25">
      <c r="A288" s="3">
        <v>381202</v>
      </c>
      <c r="B288">
        <f>VLOOKUP(A288,todos!$A$1:$A$306,1,FALSE)</f>
        <v>381202</v>
      </c>
    </row>
    <row r="289" spans="1:2" hidden="1" x14ac:dyDescent="0.25">
      <c r="A289" s="3">
        <v>381202</v>
      </c>
      <c r="B289">
        <f>VLOOKUP(A289,todos!$A$1:$A$306,1,FALSE)</f>
        <v>381202</v>
      </c>
    </row>
    <row r="290" spans="1:2" hidden="1" x14ac:dyDescent="0.25">
      <c r="A290" s="3">
        <v>381202</v>
      </c>
      <c r="B290">
        <f>VLOOKUP(A290,todos!$A$1:$A$306,1,FALSE)</f>
        <v>381202</v>
      </c>
    </row>
    <row r="291" spans="1:2" hidden="1" x14ac:dyDescent="0.25">
      <c r="A291" s="3">
        <v>381202</v>
      </c>
      <c r="B291">
        <f>VLOOKUP(A291,todos!$A$1:$A$306,1,FALSE)</f>
        <v>381202</v>
      </c>
    </row>
    <row r="292" spans="1:2" hidden="1" x14ac:dyDescent="0.25">
      <c r="A292" s="3">
        <v>381202</v>
      </c>
      <c r="B292">
        <f>VLOOKUP(A292,todos!$A$1:$A$306,1,FALSE)</f>
        <v>381202</v>
      </c>
    </row>
    <row r="293" spans="1:2" hidden="1" x14ac:dyDescent="0.25">
      <c r="A293" s="3">
        <v>381202</v>
      </c>
      <c r="B293">
        <f>VLOOKUP(A293,todos!$A$1:$A$306,1,FALSE)</f>
        <v>381202</v>
      </c>
    </row>
    <row r="294" spans="1:2" hidden="1" x14ac:dyDescent="0.25">
      <c r="A294" s="3">
        <v>381202</v>
      </c>
      <c r="B294">
        <f>VLOOKUP(A294,todos!$A$1:$A$306,1,FALSE)</f>
        <v>381202</v>
      </c>
    </row>
    <row r="295" spans="1:2" hidden="1" x14ac:dyDescent="0.25">
      <c r="A295" s="3">
        <v>381202</v>
      </c>
      <c r="B295">
        <f>VLOOKUP(A295,todos!$A$1:$A$306,1,FALSE)</f>
        <v>381202</v>
      </c>
    </row>
    <row r="296" spans="1:2" hidden="1" x14ac:dyDescent="0.25">
      <c r="A296" s="3">
        <v>381202</v>
      </c>
      <c r="B296">
        <f>VLOOKUP(A296,todos!$A$1:$A$306,1,FALSE)</f>
        <v>381202</v>
      </c>
    </row>
    <row r="297" spans="1:2" hidden="1" x14ac:dyDescent="0.25">
      <c r="A297" s="3">
        <v>381202</v>
      </c>
      <c r="B297">
        <f>VLOOKUP(A297,todos!$A$1:$A$306,1,FALSE)</f>
        <v>381202</v>
      </c>
    </row>
    <row r="298" spans="1:2" hidden="1" x14ac:dyDescent="0.25">
      <c r="A298" s="3">
        <v>381202</v>
      </c>
      <c r="B298">
        <f>VLOOKUP(A298,todos!$A$1:$A$306,1,FALSE)</f>
        <v>381202</v>
      </c>
    </row>
    <row r="299" spans="1:2" hidden="1" x14ac:dyDescent="0.25">
      <c r="A299" s="3">
        <v>381202</v>
      </c>
      <c r="B299">
        <f>VLOOKUP(A299,todos!$A$1:$A$306,1,FALSE)</f>
        <v>381202</v>
      </c>
    </row>
    <row r="300" spans="1:2" hidden="1" x14ac:dyDescent="0.25">
      <c r="A300" s="3">
        <v>381202</v>
      </c>
      <c r="B300">
        <f>VLOOKUP(A300,todos!$A$1:$A$306,1,FALSE)</f>
        <v>381202</v>
      </c>
    </row>
    <row r="301" spans="1:2" hidden="1" x14ac:dyDescent="0.25">
      <c r="A301" s="3">
        <v>381202</v>
      </c>
      <c r="B301">
        <f>VLOOKUP(A301,todos!$A$1:$A$306,1,FALSE)</f>
        <v>381202</v>
      </c>
    </row>
    <row r="302" spans="1:2" hidden="1" x14ac:dyDescent="0.25">
      <c r="A302" s="3">
        <v>381202</v>
      </c>
      <c r="B302">
        <f>VLOOKUP(A302,todos!$A$1:$A$306,1,FALSE)</f>
        <v>381202</v>
      </c>
    </row>
    <row r="303" spans="1:2" hidden="1" x14ac:dyDescent="0.25">
      <c r="A303" s="3">
        <v>381202</v>
      </c>
      <c r="B303">
        <f>VLOOKUP(A303,todos!$A$1:$A$306,1,FALSE)</f>
        <v>381202</v>
      </c>
    </row>
    <row r="304" spans="1:2" hidden="1" x14ac:dyDescent="0.25">
      <c r="A304" s="3">
        <v>381202</v>
      </c>
      <c r="B304">
        <f>VLOOKUP(A304,todos!$A$1:$A$306,1,FALSE)</f>
        <v>381202</v>
      </c>
    </row>
    <row r="305" spans="1:2" hidden="1" x14ac:dyDescent="0.25">
      <c r="A305" s="3">
        <v>381202</v>
      </c>
      <c r="B305">
        <f>VLOOKUP(A305,todos!$A$1:$A$306,1,FALSE)</f>
        <v>381202</v>
      </c>
    </row>
    <row r="306" spans="1:2" hidden="1" x14ac:dyDescent="0.25">
      <c r="A306" s="3">
        <v>381202</v>
      </c>
      <c r="B306">
        <f>VLOOKUP(A306,todos!$A$1:$A$306,1,FALSE)</f>
        <v>381202</v>
      </c>
    </row>
    <row r="307" spans="1:2" hidden="1" x14ac:dyDescent="0.25">
      <c r="A307" s="3">
        <v>381202</v>
      </c>
      <c r="B307">
        <f>VLOOKUP(A307,todos!$A$1:$A$306,1,FALSE)</f>
        <v>381202</v>
      </c>
    </row>
    <row r="308" spans="1:2" hidden="1" x14ac:dyDescent="0.25">
      <c r="A308" s="3">
        <v>381202</v>
      </c>
      <c r="B308">
        <f>VLOOKUP(A308,todos!$A$1:$A$306,1,FALSE)</f>
        <v>381202</v>
      </c>
    </row>
    <row r="309" spans="1:2" hidden="1" x14ac:dyDescent="0.25">
      <c r="A309" s="3">
        <v>381202</v>
      </c>
      <c r="B309">
        <f>VLOOKUP(A309,todos!$A$1:$A$306,1,FALSE)</f>
        <v>381202</v>
      </c>
    </row>
    <row r="310" spans="1:2" hidden="1" x14ac:dyDescent="0.25">
      <c r="A310" s="3">
        <v>381202</v>
      </c>
      <c r="B310">
        <f>VLOOKUP(A310,todos!$A$1:$A$306,1,FALSE)</f>
        <v>381202</v>
      </c>
    </row>
    <row r="311" spans="1:2" hidden="1" x14ac:dyDescent="0.25">
      <c r="A311" s="3">
        <v>381202</v>
      </c>
      <c r="B311">
        <f>VLOOKUP(A311,todos!$A$1:$A$306,1,FALSE)</f>
        <v>381202</v>
      </c>
    </row>
    <row r="312" spans="1:2" hidden="1" x14ac:dyDescent="0.25">
      <c r="A312" s="3">
        <v>381202</v>
      </c>
      <c r="B312">
        <f>VLOOKUP(A312,todos!$A$1:$A$306,1,FALSE)</f>
        <v>381202</v>
      </c>
    </row>
    <row r="313" spans="1:2" hidden="1" x14ac:dyDescent="0.25">
      <c r="A313" s="10">
        <v>381260</v>
      </c>
      <c r="B313">
        <f>VLOOKUP(A313,todos!$A$1:$A$306,1,FALSE)</f>
        <v>381260</v>
      </c>
    </row>
    <row r="314" spans="1:2" hidden="1" x14ac:dyDescent="0.25">
      <c r="A314" s="10">
        <v>381260</v>
      </c>
      <c r="B314">
        <f>VLOOKUP(A314,todos!$A$1:$A$306,1,FALSE)</f>
        <v>381260</v>
      </c>
    </row>
    <row r="315" spans="1:2" hidden="1" x14ac:dyDescent="0.25">
      <c r="A315" s="3">
        <v>381297</v>
      </c>
      <c r="B315">
        <f>VLOOKUP(A315,todos!$A$1:$A$306,1,FALSE)</f>
        <v>381297</v>
      </c>
    </row>
    <row r="316" spans="1:2" hidden="1" x14ac:dyDescent="0.25">
      <c r="A316" s="3">
        <v>381297</v>
      </c>
      <c r="B316">
        <f>VLOOKUP(A316,todos!$A$1:$A$306,1,FALSE)</f>
        <v>381297</v>
      </c>
    </row>
    <row r="317" spans="1:2" hidden="1" x14ac:dyDescent="0.25">
      <c r="A317" s="3">
        <v>381297</v>
      </c>
      <c r="B317">
        <f>VLOOKUP(A317,todos!$A$1:$A$306,1,FALSE)</f>
        <v>381297</v>
      </c>
    </row>
    <row r="318" spans="1:2" hidden="1" x14ac:dyDescent="0.25">
      <c r="A318" s="3">
        <v>381297</v>
      </c>
      <c r="B318">
        <f>VLOOKUP(A318,todos!$A$1:$A$306,1,FALSE)</f>
        <v>381297</v>
      </c>
    </row>
    <row r="319" spans="1:2" hidden="1" x14ac:dyDescent="0.25">
      <c r="A319" s="3">
        <v>381297</v>
      </c>
      <c r="B319">
        <f>VLOOKUP(A319,todos!$A$1:$A$306,1,FALSE)</f>
        <v>381297</v>
      </c>
    </row>
    <row r="320" spans="1:2" hidden="1" x14ac:dyDescent="0.25">
      <c r="A320" s="3">
        <v>381297</v>
      </c>
      <c r="B320">
        <f>VLOOKUP(A320,todos!$A$1:$A$306,1,FALSE)</f>
        <v>381297</v>
      </c>
    </row>
    <row r="321" spans="1:2" hidden="1" x14ac:dyDescent="0.25">
      <c r="A321" s="3">
        <v>381297</v>
      </c>
      <c r="B321">
        <f>VLOOKUP(A321,todos!$A$1:$A$306,1,FALSE)</f>
        <v>381297</v>
      </c>
    </row>
    <row r="322" spans="1:2" hidden="1" x14ac:dyDescent="0.25">
      <c r="A322" s="3">
        <v>381297</v>
      </c>
      <c r="B322">
        <f>VLOOKUP(A322,todos!$A$1:$A$306,1,FALSE)</f>
        <v>381297</v>
      </c>
    </row>
    <row r="323" spans="1:2" hidden="1" x14ac:dyDescent="0.25">
      <c r="A323" s="3">
        <v>381297</v>
      </c>
      <c r="B323">
        <f>VLOOKUP(A323,todos!$A$1:$A$306,1,FALSE)</f>
        <v>381297</v>
      </c>
    </row>
    <row r="324" spans="1:2" hidden="1" x14ac:dyDescent="0.25">
      <c r="A324" s="3">
        <v>381297</v>
      </c>
      <c r="B324">
        <f>VLOOKUP(A324,todos!$A$1:$A$306,1,FALSE)</f>
        <v>381297</v>
      </c>
    </row>
    <row r="325" spans="1:2" hidden="1" x14ac:dyDescent="0.25">
      <c r="A325" s="3">
        <v>381297</v>
      </c>
      <c r="B325">
        <f>VLOOKUP(A325,todos!$A$1:$A$306,1,FALSE)</f>
        <v>381297</v>
      </c>
    </row>
    <row r="326" spans="1:2" hidden="1" x14ac:dyDescent="0.25">
      <c r="A326" s="3">
        <v>381297</v>
      </c>
      <c r="B326">
        <f>VLOOKUP(A326,todos!$A$1:$A$306,1,FALSE)</f>
        <v>381297</v>
      </c>
    </row>
    <row r="327" spans="1:2" hidden="1" x14ac:dyDescent="0.25">
      <c r="A327" s="10">
        <v>381381</v>
      </c>
      <c r="B327">
        <f>VLOOKUP(A327,todos!$A$1:$A$306,1,FALSE)</f>
        <v>381381</v>
      </c>
    </row>
    <row r="328" spans="1:2" hidden="1" x14ac:dyDescent="0.25">
      <c r="A328" s="10">
        <v>381386</v>
      </c>
      <c r="B328">
        <f>VLOOKUP(A328,todos!$A$1:$A$306,1,FALSE)</f>
        <v>381386</v>
      </c>
    </row>
    <row r="329" spans="1:2" hidden="1" x14ac:dyDescent="0.25">
      <c r="A329" s="10">
        <v>381386</v>
      </c>
      <c r="B329">
        <f>VLOOKUP(A329,todos!$A$1:$A$306,1,FALSE)</f>
        <v>381386</v>
      </c>
    </row>
    <row r="330" spans="1:2" hidden="1" x14ac:dyDescent="0.25">
      <c r="A330" s="10">
        <v>381386</v>
      </c>
      <c r="B330">
        <f>VLOOKUP(A330,todos!$A$1:$A$306,1,FALSE)</f>
        <v>381386</v>
      </c>
    </row>
    <row r="331" spans="1:2" hidden="1" x14ac:dyDescent="0.25">
      <c r="A331" s="10">
        <v>381386</v>
      </c>
      <c r="B331">
        <f>VLOOKUP(A331,todos!$A$1:$A$306,1,FALSE)</f>
        <v>381386</v>
      </c>
    </row>
    <row r="332" spans="1:2" hidden="1" x14ac:dyDescent="0.25">
      <c r="A332" s="10">
        <v>381386</v>
      </c>
      <c r="B332">
        <f>VLOOKUP(A332,todos!$A$1:$A$306,1,FALSE)</f>
        <v>381386</v>
      </c>
    </row>
    <row r="333" spans="1:2" hidden="1" x14ac:dyDescent="0.25">
      <c r="A333" s="10">
        <v>381386</v>
      </c>
      <c r="B333">
        <f>VLOOKUP(A333,todos!$A$1:$A$306,1,FALSE)</f>
        <v>381386</v>
      </c>
    </row>
    <row r="334" spans="1:2" hidden="1" x14ac:dyDescent="0.25">
      <c r="A334" s="10">
        <v>381386</v>
      </c>
      <c r="B334">
        <f>VLOOKUP(A334,todos!$A$1:$A$306,1,FALSE)</f>
        <v>381386</v>
      </c>
    </row>
    <row r="335" spans="1:2" hidden="1" x14ac:dyDescent="0.25">
      <c r="A335" s="10">
        <v>381386</v>
      </c>
      <c r="B335">
        <f>VLOOKUP(A335,todos!$A$1:$A$306,1,FALSE)</f>
        <v>381386</v>
      </c>
    </row>
    <row r="336" spans="1:2" hidden="1" x14ac:dyDescent="0.25">
      <c r="A336" s="3">
        <v>381444</v>
      </c>
      <c r="B336">
        <f>VLOOKUP(A336,todos!$A$1:$A$306,1,FALSE)</f>
        <v>381444</v>
      </c>
    </row>
    <row r="337" spans="1:2" hidden="1" x14ac:dyDescent="0.25">
      <c r="A337" s="3">
        <v>381444</v>
      </c>
      <c r="B337">
        <f>VLOOKUP(A337,todos!$A$1:$A$306,1,FALSE)</f>
        <v>381444</v>
      </c>
    </row>
    <row r="338" spans="1:2" hidden="1" x14ac:dyDescent="0.25">
      <c r="A338" s="3">
        <v>381444</v>
      </c>
      <c r="B338">
        <f>VLOOKUP(A338,todos!$A$1:$A$306,1,FALSE)</f>
        <v>381444</v>
      </c>
    </row>
    <row r="339" spans="1:2" hidden="1" x14ac:dyDescent="0.25">
      <c r="A339" s="3">
        <v>381444</v>
      </c>
      <c r="B339">
        <f>VLOOKUP(A339,todos!$A$1:$A$306,1,FALSE)</f>
        <v>381444</v>
      </c>
    </row>
    <row r="340" spans="1:2" hidden="1" x14ac:dyDescent="0.25">
      <c r="A340" s="3">
        <v>381444</v>
      </c>
      <c r="B340">
        <f>VLOOKUP(A340,todos!$A$1:$A$306,1,FALSE)</f>
        <v>381444</v>
      </c>
    </row>
    <row r="341" spans="1:2" hidden="1" x14ac:dyDescent="0.25">
      <c r="A341" s="3">
        <v>381444</v>
      </c>
      <c r="B341">
        <f>VLOOKUP(A341,todos!$A$1:$A$306,1,FALSE)</f>
        <v>381444</v>
      </c>
    </row>
    <row r="342" spans="1:2" hidden="1" x14ac:dyDescent="0.25">
      <c r="A342" s="3">
        <v>381444</v>
      </c>
      <c r="B342">
        <f>VLOOKUP(A342,todos!$A$1:$A$306,1,FALSE)</f>
        <v>381444</v>
      </c>
    </row>
    <row r="343" spans="1:2" hidden="1" x14ac:dyDescent="0.25">
      <c r="A343" s="3">
        <v>381444</v>
      </c>
      <c r="B343">
        <f>VLOOKUP(A343,todos!$A$1:$A$306,1,FALSE)</f>
        <v>381444</v>
      </c>
    </row>
    <row r="344" spans="1:2" hidden="1" x14ac:dyDescent="0.25">
      <c r="A344" s="3">
        <v>381444</v>
      </c>
      <c r="B344">
        <f>VLOOKUP(A344,todos!$A$1:$A$306,1,FALSE)</f>
        <v>381444</v>
      </c>
    </row>
    <row r="345" spans="1:2" hidden="1" x14ac:dyDescent="0.25">
      <c r="A345" s="3">
        <v>381444</v>
      </c>
      <c r="B345">
        <f>VLOOKUP(A345,todos!$A$1:$A$306,1,FALSE)</f>
        <v>381444</v>
      </c>
    </row>
    <row r="346" spans="1:2" hidden="1" x14ac:dyDescent="0.25">
      <c r="A346" s="3">
        <v>381444</v>
      </c>
      <c r="B346">
        <f>VLOOKUP(A346,todos!$A$1:$A$306,1,FALSE)</f>
        <v>381444</v>
      </c>
    </row>
    <row r="347" spans="1:2" hidden="1" x14ac:dyDescent="0.25">
      <c r="A347" s="3">
        <v>381444</v>
      </c>
      <c r="B347">
        <f>VLOOKUP(A347,todos!$A$1:$A$306,1,FALSE)</f>
        <v>381444</v>
      </c>
    </row>
    <row r="348" spans="1:2" hidden="1" x14ac:dyDescent="0.25">
      <c r="A348" s="3">
        <v>381444</v>
      </c>
      <c r="B348">
        <f>VLOOKUP(A348,todos!$A$1:$A$306,1,FALSE)</f>
        <v>381444</v>
      </c>
    </row>
    <row r="349" spans="1:2" hidden="1" x14ac:dyDescent="0.25">
      <c r="A349" s="3">
        <v>381444</v>
      </c>
      <c r="B349">
        <f>VLOOKUP(A349,todos!$A$1:$A$306,1,FALSE)</f>
        <v>381444</v>
      </c>
    </row>
    <row r="350" spans="1:2" hidden="1" x14ac:dyDescent="0.25">
      <c r="A350" s="3">
        <v>381444</v>
      </c>
      <c r="B350">
        <f>VLOOKUP(A350,todos!$A$1:$A$306,1,FALSE)</f>
        <v>381444</v>
      </c>
    </row>
    <row r="351" spans="1:2" hidden="1" x14ac:dyDescent="0.25">
      <c r="A351" s="3">
        <v>381444</v>
      </c>
      <c r="B351">
        <f>VLOOKUP(A351,todos!$A$1:$A$306,1,FALSE)</f>
        <v>381444</v>
      </c>
    </row>
    <row r="352" spans="1:2" hidden="1" x14ac:dyDescent="0.25">
      <c r="A352" s="3">
        <v>381444</v>
      </c>
      <c r="B352">
        <f>VLOOKUP(A352,todos!$A$1:$A$306,1,FALSE)</f>
        <v>381444</v>
      </c>
    </row>
    <row r="353" spans="1:2" hidden="1" x14ac:dyDescent="0.25">
      <c r="A353" s="3">
        <v>381444</v>
      </c>
      <c r="B353">
        <f>VLOOKUP(A353,todos!$A$1:$A$306,1,FALSE)</f>
        <v>381444</v>
      </c>
    </row>
    <row r="354" spans="1:2" hidden="1" x14ac:dyDescent="0.25">
      <c r="A354" s="3">
        <v>381444</v>
      </c>
      <c r="B354">
        <f>VLOOKUP(A354,todos!$A$1:$A$306,1,FALSE)</f>
        <v>381444</v>
      </c>
    </row>
    <row r="355" spans="1:2" hidden="1" x14ac:dyDescent="0.25">
      <c r="A355" s="3">
        <v>381444</v>
      </c>
      <c r="B355">
        <f>VLOOKUP(A355,todos!$A$1:$A$306,1,FALSE)</f>
        <v>381444</v>
      </c>
    </row>
    <row r="356" spans="1:2" hidden="1" x14ac:dyDescent="0.25">
      <c r="A356" s="3">
        <v>381444</v>
      </c>
      <c r="B356">
        <f>VLOOKUP(A356,todos!$A$1:$A$306,1,FALSE)</f>
        <v>381444</v>
      </c>
    </row>
    <row r="357" spans="1:2" hidden="1" x14ac:dyDescent="0.25">
      <c r="A357" s="10">
        <v>381465</v>
      </c>
      <c r="B357">
        <f>VLOOKUP(A357,todos!$A$1:$A$306,1,FALSE)</f>
        <v>381465</v>
      </c>
    </row>
    <row r="358" spans="1:2" hidden="1" x14ac:dyDescent="0.25">
      <c r="A358" s="10">
        <v>381468</v>
      </c>
      <c r="B358">
        <f>VLOOKUP(A358,todos!$A$1:$A$306,1,FALSE)</f>
        <v>381468</v>
      </c>
    </row>
    <row r="359" spans="1:2" hidden="1" x14ac:dyDescent="0.25">
      <c r="A359" s="3">
        <v>381496</v>
      </c>
      <c r="B359">
        <f>VLOOKUP(A359,todos!$A$1:$A$306,1,FALSE)</f>
        <v>381496</v>
      </c>
    </row>
    <row r="360" spans="1:2" hidden="1" x14ac:dyDescent="0.25">
      <c r="A360" s="3">
        <v>381496</v>
      </c>
      <c r="B360">
        <f>VLOOKUP(A360,todos!$A$1:$A$306,1,FALSE)</f>
        <v>381496</v>
      </c>
    </row>
    <row r="361" spans="1:2" hidden="1" x14ac:dyDescent="0.25">
      <c r="A361" s="3">
        <v>381496</v>
      </c>
      <c r="B361">
        <f>VLOOKUP(A361,todos!$A$1:$A$306,1,FALSE)</f>
        <v>381496</v>
      </c>
    </row>
    <row r="362" spans="1:2" hidden="1" x14ac:dyDescent="0.25">
      <c r="A362" s="3">
        <v>381496</v>
      </c>
      <c r="B362">
        <f>VLOOKUP(A362,todos!$A$1:$A$306,1,FALSE)</f>
        <v>381496</v>
      </c>
    </row>
    <row r="363" spans="1:2" hidden="1" x14ac:dyDescent="0.25">
      <c r="A363" s="3">
        <v>381496</v>
      </c>
      <c r="B363">
        <f>VLOOKUP(A363,todos!$A$1:$A$306,1,FALSE)</f>
        <v>381496</v>
      </c>
    </row>
    <row r="364" spans="1:2" hidden="1" x14ac:dyDescent="0.25">
      <c r="A364" s="3">
        <v>381496</v>
      </c>
      <c r="B364">
        <f>VLOOKUP(A364,todos!$A$1:$A$306,1,FALSE)</f>
        <v>381496</v>
      </c>
    </row>
    <row r="365" spans="1:2" hidden="1" x14ac:dyDescent="0.25">
      <c r="A365" s="3">
        <v>381496</v>
      </c>
      <c r="B365">
        <f>VLOOKUP(A365,todos!$A$1:$A$306,1,FALSE)</f>
        <v>381496</v>
      </c>
    </row>
    <row r="366" spans="1:2" hidden="1" x14ac:dyDescent="0.25">
      <c r="A366" s="3">
        <v>381496</v>
      </c>
      <c r="B366">
        <f>VLOOKUP(A366,todos!$A$1:$A$306,1,FALSE)</f>
        <v>381496</v>
      </c>
    </row>
    <row r="367" spans="1:2" hidden="1" x14ac:dyDescent="0.25">
      <c r="A367" s="3">
        <v>381496</v>
      </c>
      <c r="B367">
        <f>VLOOKUP(A367,todos!$A$1:$A$306,1,FALSE)</f>
        <v>381496</v>
      </c>
    </row>
    <row r="368" spans="1:2" hidden="1" x14ac:dyDescent="0.25">
      <c r="A368" s="3">
        <v>381496</v>
      </c>
      <c r="B368">
        <f>VLOOKUP(A368,todos!$A$1:$A$306,1,FALSE)</f>
        <v>381496</v>
      </c>
    </row>
    <row r="369" spans="1:2" hidden="1" x14ac:dyDescent="0.25">
      <c r="A369" s="3">
        <v>381496</v>
      </c>
      <c r="B369">
        <f>VLOOKUP(A369,todos!$A$1:$A$306,1,FALSE)</f>
        <v>381496</v>
      </c>
    </row>
    <row r="370" spans="1:2" hidden="1" x14ac:dyDescent="0.25">
      <c r="A370" s="3">
        <v>381504</v>
      </c>
      <c r="B370">
        <f>VLOOKUP(A370,todos!$A$1:$A$306,1,FALSE)</f>
        <v>381504</v>
      </c>
    </row>
    <row r="371" spans="1:2" hidden="1" x14ac:dyDescent="0.25">
      <c r="A371" s="3">
        <v>381504</v>
      </c>
      <c r="B371">
        <f>VLOOKUP(A371,todos!$A$1:$A$306,1,FALSE)</f>
        <v>381504</v>
      </c>
    </row>
    <row r="372" spans="1:2" hidden="1" x14ac:dyDescent="0.25">
      <c r="A372" s="3">
        <v>381504</v>
      </c>
      <c r="B372">
        <f>VLOOKUP(A372,todos!$A$1:$A$306,1,FALSE)</f>
        <v>381504</v>
      </c>
    </row>
    <row r="373" spans="1:2" hidden="1" x14ac:dyDescent="0.25">
      <c r="A373" s="3">
        <v>381588</v>
      </c>
      <c r="B373">
        <f>VLOOKUP(A373,todos!$A$1:$A$306,1,FALSE)</f>
        <v>381588</v>
      </c>
    </row>
    <row r="374" spans="1:2" hidden="1" x14ac:dyDescent="0.25">
      <c r="A374" s="3">
        <v>381588</v>
      </c>
      <c r="B374">
        <f>VLOOKUP(A374,todos!$A$1:$A$306,1,FALSE)</f>
        <v>381588</v>
      </c>
    </row>
    <row r="375" spans="1:2" hidden="1" x14ac:dyDescent="0.25">
      <c r="A375" s="10">
        <v>381701</v>
      </c>
      <c r="B375">
        <f>VLOOKUP(A375,todos!$A$1:$A$306,1,FALSE)</f>
        <v>381701</v>
      </c>
    </row>
    <row r="376" spans="1:2" hidden="1" x14ac:dyDescent="0.25">
      <c r="A376" s="10">
        <v>381889</v>
      </c>
      <c r="B376">
        <f>VLOOKUP(A376,todos!$A$1:$A$306,1,FALSE)</f>
        <v>381889</v>
      </c>
    </row>
    <row r="377" spans="1:2" hidden="1" x14ac:dyDescent="0.25">
      <c r="A377" s="10">
        <v>381903</v>
      </c>
      <c r="B377">
        <f>VLOOKUP(A377,todos!$A$1:$A$306,1,FALSE)</f>
        <v>381903</v>
      </c>
    </row>
    <row r="378" spans="1:2" x14ac:dyDescent="0.25">
      <c r="A378" s="10">
        <v>382749</v>
      </c>
      <c r="B378" t="e">
        <f>VLOOKUP(A378,todos!$A$1:$A$306,1,FALSE)</f>
        <v>#N/A</v>
      </c>
    </row>
    <row r="379" spans="1:2" x14ac:dyDescent="0.25">
      <c r="A379" s="10">
        <v>382749</v>
      </c>
      <c r="B379" t="e">
        <f>VLOOKUP(A379,todos!$A$1:$A$306,1,FALSE)</f>
        <v>#N/A</v>
      </c>
    </row>
    <row r="380" spans="1:2" x14ac:dyDescent="0.25">
      <c r="A380" s="10">
        <v>382749</v>
      </c>
      <c r="B380" t="e">
        <f>VLOOKUP(A380,todos!$A$1:$A$306,1,FALSE)</f>
        <v>#N/A</v>
      </c>
    </row>
    <row r="381" spans="1:2" hidden="1" x14ac:dyDescent="0.25">
      <c r="A381" s="10">
        <v>382834</v>
      </c>
      <c r="B381">
        <f>VLOOKUP(A381,todos!$A$1:$A$306,1,FALSE)</f>
        <v>382834</v>
      </c>
    </row>
    <row r="382" spans="1:2" x14ac:dyDescent="0.25">
      <c r="A382" s="10">
        <v>382844</v>
      </c>
      <c r="B382" t="e">
        <f>VLOOKUP(A382,todos!$A$1:$A$306,1,FALSE)</f>
        <v>#N/A</v>
      </c>
    </row>
    <row r="383" spans="1:2" hidden="1" x14ac:dyDescent="0.25">
      <c r="A383" s="10">
        <v>382847</v>
      </c>
      <c r="B383">
        <f>VLOOKUP(A383,todos!$A$1:$A$306,1,FALSE)</f>
        <v>382847</v>
      </c>
    </row>
    <row r="384" spans="1:2" hidden="1" x14ac:dyDescent="0.25">
      <c r="A384" s="10">
        <v>382955</v>
      </c>
      <c r="B384">
        <f>VLOOKUP(A384,todos!$A$1:$A$306,1,FALSE)</f>
        <v>382955</v>
      </c>
    </row>
    <row r="385" spans="1:2" hidden="1" x14ac:dyDescent="0.25">
      <c r="A385" s="10">
        <v>382972</v>
      </c>
      <c r="B385">
        <f>VLOOKUP(A385,todos!$A$1:$A$306,1,FALSE)</f>
        <v>382972</v>
      </c>
    </row>
    <row r="386" spans="1:2" hidden="1" x14ac:dyDescent="0.25">
      <c r="A386" s="10">
        <v>382978</v>
      </c>
      <c r="B386">
        <f>VLOOKUP(A386,todos!$A$1:$A$306,1,FALSE)</f>
        <v>382978</v>
      </c>
    </row>
    <row r="387" spans="1:2" hidden="1" x14ac:dyDescent="0.25">
      <c r="A387" s="10">
        <v>382978</v>
      </c>
      <c r="B387">
        <f>VLOOKUP(A387,todos!$A$1:$A$306,1,FALSE)</f>
        <v>382978</v>
      </c>
    </row>
    <row r="388" spans="1:2" hidden="1" x14ac:dyDescent="0.25">
      <c r="A388" s="10">
        <v>382978</v>
      </c>
      <c r="B388">
        <f>VLOOKUP(A388,todos!$A$1:$A$306,1,FALSE)</f>
        <v>382978</v>
      </c>
    </row>
    <row r="389" spans="1:2" x14ac:dyDescent="0.25">
      <c r="A389" s="10">
        <v>382981</v>
      </c>
      <c r="B389" t="e">
        <f>VLOOKUP(A389,todos!$A$1:$A$306,1,FALSE)</f>
        <v>#N/A</v>
      </c>
    </row>
    <row r="390" spans="1:2" hidden="1" x14ac:dyDescent="0.25">
      <c r="A390" s="3">
        <v>384309</v>
      </c>
      <c r="B390">
        <f>VLOOKUP(A390,todos!$A$1:$A$306,1,FALSE)</f>
        <v>384309</v>
      </c>
    </row>
    <row r="391" spans="1:2" hidden="1" x14ac:dyDescent="0.25">
      <c r="A391" s="3">
        <v>384309</v>
      </c>
      <c r="B391">
        <f>VLOOKUP(A391,todos!$A$1:$A$306,1,FALSE)</f>
        <v>384309</v>
      </c>
    </row>
    <row r="392" spans="1:2" hidden="1" x14ac:dyDescent="0.25">
      <c r="A392" s="3">
        <v>384309</v>
      </c>
      <c r="B392">
        <f>VLOOKUP(A392,todos!$A$1:$A$306,1,FALSE)</f>
        <v>384309</v>
      </c>
    </row>
    <row r="393" spans="1:2" hidden="1" x14ac:dyDescent="0.25">
      <c r="A393" s="10">
        <v>385945</v>
      </c>
      <c r="B393">
        <f>VLOOKUP(A393,todos!$A$1:$A$306,1,FALSE)</f>
        <v>385945</v>
      </c>
    </row>
    <row r="394" spans="1:2" hidden="1" x14ac:dyDescent="0.25">
      <c r="A394" s="10">
        <v>385949</v>
      </c>
      <c r="B394">
        <f>VLOOKUP(A394,todos!$A$1:$A$306,1,FALSE)</f>
        <v>385949</v>
      </c>
    </row>
    <row r="395" spans="1:2" x14ac:dyDescent="0.25">
      <c r="A395" s="10">
        <v>386935</v>
      </c>
      <c r="B395" t="e">
        <f>VLOOKUP(A395,todos!$A$1:$A$306,1,FALSE)</f>
        <v>#N/A</v>
      </c>
    </row>
    <row r="396" spans="1:2" hidden="1" x14ac:dyDescent="0.25">
      <c r="A396" s="10">
        <v>386992</v>
      </c>
      <c r="B396">
        <f>VLOOKUP(A396,todos!$A$1:$A$306,1,FALSE)</f>
        <v>386992</v>
      </c>
    </row>
    <row r="397" spans="1:2" hidden="1" x14ac:dyDescent="0.25">
      <c r="A397" s="10">
        <v>388329</v>
      </c>
      <c r="B397">
        <f>VLOOKUP(A397,todos!$A$1:$A$306,1,FALSE)</f>
        <v>388329</v>
      </c>
    </row>
    <row r="398" spans="1:2" hidden="1" x14ac:dyDescent="0.25">
      <c r="A398" s="10">
        <v>388329</v>
      </c>
      <c r="B398">
        <f>VLOOKUP(A398,todos!$A$1:$A$306,1,FALSE)</f>
        <v>388329</v>
      </c>
    </row>
    <row r="399" spans="1:2" hidden="1" x14ac:dyDescent="0.25">
      <c r="A399" s="10">
        <v>388329</v>
      </c>
      <c r="B399">
        <f>VLOOKUP(A399,todos!$A$1:$A$306,1,FALSE)</f>
        <v>388329</v>
      </c>
    </row>
    <row r="400" spans="1:2" hidden="1" x14ac:dyDescent="0.25">
      <c r="A400" s="10">
        <v>388329</v>
      </c>
      <c r="B400">
        <f>VLOOKUP(A400,todos!$A$1:$A$306,1,FALSE)</f>
        <v>388329</v>
      </c>
    </row>
    <row r="401" spans="1:2" hidden="1" x14ac:dyDescent="0.25">
      <c r="A401" s="10">
        <v>396405</v>
      </c>
      <c r="B401">
        <f>VLOOKUP(A401,todos!$A$1:$A$306,1,FALSE)</f>
        <v>396405</v>
      </c>
    </row>
    <row r="402" spans="1:2" hidden="1" x14ac:dyDescent="0.25">
      <c r="A402" s="23">
        <v>397670</v>
      </c>
      <c r="B402">
        <f>VLOOKUP(A402,todos!$A$1:$A$306,1,FALSE)</f>
        <v>397670</v>
      </c>
    </row>
    <row r="403" spans="1:2" hidden="1" x14ac:dyDescent="0.25">
      <c r="A403" s="10">
        <v>397744</v>
      </c>
      <c r="B403">
        <f>VLOOKUP(A403,todos!$A$1:$A$306,1,FALSE)</f>
        <v>397744</v>
      </c>
    </row>
    <row r="404" spans="1:2" hidden="1" x14ac:dyDescent="0.25">
      <c r="A404" s="3">
        <v>397754</v>
      </c>
      <c r="B404">
        <f>VLOOKUP(A404,todos!$A$1:$A$306,1,FALSE)</f>
        <v>397754</v>
      </c>
    </row>
    <row r="405" spans="1:2" x14ac:dyDescent="0.25">
      <c r="A405" s="3">
        <v>397797</v>
      </c>
      <c r="B405" t="e">
        <f>VLOOKUP(A405,todos!$A$1:$A$306,1,FALSE)</f>
        <v>#N/A</v>
      </c>
    </row>
    <row r="406" spans="1:2" x14ac:dyDescent="0.25">
      <c r="A406" s="3">
        <v>397797</v>
      </c>
      <c r="B406" t="e">
        <f>VLOOKUP(A406,todos!$A$1:$A$306,1,FALSE)</f>
        <v>#N/A</v>
      </c>
    </row>
    <row r="407" spans="1:2" hidden="1" x14ac:dyDescent="0.25">
      <c r="A407" s="10">
        <v>397818</v>
      </c>
      <c r="B407">
        <f>VLOOKUP(A407,todos!$A$1:$A$306,1,FALSE)</f>
        <v>397818</v>
      </c>
    </row>
    <row r="408" spans="1:2" hidden="1" x14ac:dyDescent="0.25">
      <c r="A408" s="10">
        <v>397821</v>
      </c>
      <c r="B408">
        <f>VLOOKUP(A408,todos!$A$1:$A$306,1,FALSE)</f>
        <v>397821</v>
      </c>
    </row>
    <row r="409" spans="1:2" hidden="1" x14ac:dyDescent="0.25">
      <c r="A409" s="10">
        <v>397821</v>
      </c>
      <c r="B409">
        <f>VLOOKUP(A409,todos!$A$1:$A$306,1,FALSE)</f>
        <v>397821</v>
      </c>
    </row>
    <row r="410" spans="1:2" hidden="1" x14ac:dyDescent="0.25">
      <c r="A410" s="10">
        <v>397821</v>
      </c>
      <c r="B410">
        <f>VLOOKUP(A410,todos!$A$1:$A$306,1,FALSE)</f>
        <v>397821</v>
      </c>
    </row>
    <row r="411" spans="1:2" hidden="1" x14ac:dyDescent="0.25">
      <c r="A411" s="10">
        <v>397821</v>
      </c>
      <c r="B411">
        <f>VLOOKUP(A411,todos!$A$1:$A$306,1,FALSE)</f>
        <v>397821</v>
      </c>
    </row>
    <row r="412" spans="1:2" hidden="1" x14ac:dyDescent="0.25">
      <c r="A412" s="10">
        <v>397821</v>
      </c>
      <c r="B412">
        <f>VLOOKUP(A412,todos!$A$1:$A$306,1,FALSE)</f>
        <v>397821</v>
      </c>
    </row>
    <row r="413" spans="1:2" hidden="1" x14ac:dyDescent="0.25">
      <c r="A413" s="10">
        <v>397821</v>
      </c>
      <c r="B413">
        <f>VLOOKUP(A413,todos!$A$1:$A$306,1,FALSE)</f>
        <v>397821</v>
      </c>
    </row>
    <row r="414" spans="1:2" hidden="1" x14ac:dyDescent="0.25">
      <c r="A414" s="10">
        <v>397821</v>
      </c>
      <c r="B414">
        <f>VLOOKUP(A414,todos!$A$1:$A$306,1,FALSE)</f>
        <v>397821</v>
      </c>
    </row>
    <row r="415" spans="1:2" hidden="1" x14ac:dyDescent="0.25">
      <c r="A415" s="10">
        <v>397821</v>
      </c>
      <c r="B415">
        <f>VLOOKUP(A415,todos!$A$1:$A$306,1,FALSE)</f>
        <v>397821</v>
      </c>
    </row>
    <row r="416" spans="1:2" hidden="1" x14ac:dyDescent="0.25">
      <c r="A416" s="10">
        <v>397821</v>
      </c>
      <c r="B416">
        <f>VLOOKUP(A416,todos!$A$1:$A$306,1,FALSE)</f>
        <v>397821</v>
      </c>
    </row>
    <row r="417" spans="1:2" hidden="1" x14ac:dyDescent="0.25">
      <c r="A417" s="10">
        <v>397821</v>
      </c>
      <c r="B417">
        <f>VLOOKUP(A417,todos!$A$1:$A$306,1,FALSE)</f>
        <v>397821</v>
      </c>
    </row>
    <row r="418" spans="1:2" hidden="1" x14ac:dyDescent="0.25">
      <c r="A418" s="10">
        <v>397821</v>
      </c>
      <c r="B418">
        <f>VLOOKUP(A418,todos!$A$1:$A$306,1,FALSE)</f>
        <v>397821</v>
      </c>
    </row>
    <row r="419" spans="1:2" hidden="1" x14ac:dyDescent="0.25">
      <c r="A419" s="10">
        <v>397821</v>
      </c>
      <c r="B419">
        <f>VLOOKUP(A419,todos!$A$1:$A$306,1,FALSE)</f>
        <v>397821</v>
      </c>
    </row>
    <row r="420" spans="1:2" hidden="1" x14ac:dyDescent="0.25">
      <c r="A420" s="10">
        <v>397821</v>
      </c>
      <c r="B420">
        <f>VLOOKUP(A420,todos!$A$1:$A$306,1,FALSE)</f>
        <v>397821</v>
      </c>
    </row>
    <row r="421" spans="1:2" hidden="1" x14ac:dyDescent="0.25">
      <c r="A421" s="10">
        <v>397821</v>
      </c>
      <c r="B421">
        <f>VLOOKUP(A421,todos!$A$1:$A$306,1,FALSE)</f>
        <v>397821</v>
      </c>
    </row>
    <row r="422" spans="1:2" hidden="1" x14ac:dyDescent="0.25">
      <c r="A422" s="10">
        <v>397821</v>
      </c>
      <c r="B422">
        <f>VLOOKUP(A422,todos!$A$1:$A$306,1,FALSE)</f>
        <v>397821</v>
      </c>
    </row>
    <row r="423" spans="1:2" hidden="1" x14ac:dyDescent="0.25">
      <c r="A423" s="10">
        <v>397821</v>
      </c>
      <c r="B423">
        <f>VLOOKUP(A423,todos!$A$1:$A$306,1,FALSE)</f>
        <v>397821</v>
      </c>
    </row>
    <row r="424" spans="1:2" hidden="1" x14ac:dyDescent="0.25">
      <c r="A424" s="10">
        <v>397821</v>
      </c>
      <c r="B424">
        <f>VLOOKUP(A424,todos!$A$1:$A$306,1,FALSE)</f>
        <v>397821</v>
      </c>
    </row>
    <row r="425" spans="1:2" hidden="1" x14ac:dyDescent="0.25">
      <c r="A425" s="10">
        <v>397821</v>
      </c>
      <c r="B425">
        <f>VLOOKUP(A425,todos!$A$1:$A$306,1,FALSE)</f>
        <v>397821</v>
      </c>
    </row>
    <row r="426" spans="1:2" hidden="1" x14ac:dyDescent="0.25">
      <c r="A426" s="10">
        <v>397821</v>
      </c>
      <c r="B426">
        <f>VLOOKUP(A426,todos!$A$1:$A$306,1,FALSE)</f>
        <v>397821</v>
      </c>
    </row>
    <row r="427" spans="1:2" x14ac:dyDescent="0.25">
      <c r="A427" s="23">
        <v>397822</v>
      </c>
      <c r="B427" t="e">
        <f>VLOOKUP(A427,todos!$A$1:$A$306,1,FALSE)</f>
        <v>#N/A</v>
      </c>
    </row>
    <row r="428" spans="1:2" x14ac:dyDescent="0.25">
      <c r="A428" s="10">
        <v>397837</v>
      </c>
      <c r="B428" t="e">
        <f>VLOOKUP(A428,todos!$A$1:$A$306,1,FALSE)</f>
        <v>#N/A</v>
      </c>
    </row>
    <row r="429" spans="1:2" x14ac:dyDescent="0.25">
      <c r="A429" s="10">
        <v>397837</v>
      </c>
      <c r="B429" t="e">
        <f>VLOOKUP(A429,todos!$A$1:$A$306,1,FALSE)</f>
        <v>#N/A</v>
      </c>
    </row>
    <row r="430" spans="1:2" x14ac:dyDescent="0.25">
      <c r="A430" s="10">
        <v>397837</v>
      </c>
      <c r="B430" t="e">
        <f>VLOOKUP(A430,todos!$A$1:$A$306,1,FALSE)</f>
        <v>#N/A</v>
      </c>
    </row>
    <row r="431" spans="1:2" x14ac:dyDescent="0.25">
      <c r="A431" s="23">
        <v>397852</v>
      </c>
      <c r="B431" t="e">
        <f>VLOOKUP(A431,todos!$A$1:$A$306,1,FALSE)</f>
        <v>#N/A</v>
      </c>
    </row>
    <row r="432" spans="1:2" x14ac:dyDescent="0.25">
      <c r="A432" s="3">
        <v>397855</v>
      </c>
      <c r="B432" t="e">
        <f>VLOOKUP(A432,todos!$A$1:$A$306,1,FALSE)</f>
        <v>#N/A</v>
      </c>
    </row>
    <row r="433" spans="1:2" x14ac:dyDescent="0.25">
      <c r="A433" s="23">
        <v>397863</v>
      </c>
      <c r="B433" t="e">
        <f>VLOOKUP(A433,todos!$A$1:$A$306,1,FALSE)</f>
        <v>#N/A</v>
      </c>
    </row>
    <row r="434" spans="1:2" hidden="1" x14ac:dyDescent="0.25">
      <c r="A434" s="10">
        <v>397864</v>
      </c>
      <c r="B434">
        <f>VLOOKUP(A434,todos!$A$1:$A$306,1,FALSE)</f>
        <v>397864</v>
      </c>
    </row>
    <row r="435" spans="1:2" x14ac:dyDescent="0.25">
      <c r="A435" s="23">
        <v>397876</v>
      </c>
      <c r="B435" t="e">
        <f>VLOOKUP(A435,todos!$A$1:$A$306,1,FALSE)</f>
        <v>#N/A</v>
      </c>
    </row>
    <row r="436" spans="1:2" hidden="1" x14ac:dyDescent="0.25">
      <c r="A436" s="10">
        <v>397877</v>
      </c>
      <c r="B436">
        <f>VLOOKUP(A436,todos!$A$1:$A$306,1,FALSE)</f>
        <v>397877</v>
      </c>
    </row>
    <row r="437" spans="1:2" hidden="1" x14ac:dyDescent="0.25">
      <c r="A437" s="3">
        <v>397878</v>
      </c>
      <c r="B437">
        <f>VLOOKUP(A437,todos!$A$1:$A$306,1,FALSE)</f>
        <v>397878</v>
      </c>
    </row>
    <row r="438" spans="1:2" x14ac:dyDescent="0.25">
      <c r="A438" s="3">
        <v>397880</v>
      </c>
      <c r="B438" t="e">
        <f>VLOOKUP(A438,todos!$A$1:$A$306,1,FALSE)</f>
        <v>#N/A</v>
      </c>
    </row>
    <row r="439" spans="1:2" x14ac:dyDescent="0.25">
      <c r="A439" s="3">
        <v>397880</v>
      </c>
      <c r="B439" t="e">
        <f>VLOOKUP(A439,todos!$A$1:$A$306,1,FALSE)</f>
        <v>#N/A</v>
      </c>
    </row>
    <row r="440" spans="1:2" x14ac:dyDescent="0.25">
      <c r="A440" s="3">
        <v>397880</v>
      </c>
      <c r="B440" t="e">
        <f>VLOOKUP(A440,todos!$A$1:$A$306,1,FALSE)</f>
        <v>#N/A</v>
      </c>
    </row>
    <row r="441" spans="1:2" x14ac:dyDescent="0.25">
      <c r="A441" s="3">
        <v>397880</v>
      </c>
      <c r="B441" t="e">
        <f>VLOOKUP(A441,todos!$A$1:$A$306,1,FALSE)</f>
        <v>#N/A</v>
      </c>
    </row>
    <row r="442" spans="1:2" hidden="1" x14ac:dyDescent="0.25">
      <c r="A442" s="10">
        <v>401648</v>
      </c>
      <c r="B442">
        <f>VLOOKUP(A442,todos!$A$1:$A$306,1,FALSE)</f>
        <v>401648</v>
      </c>
    </row>
    <row r="443" spans="1:2" hidden="1" x14ac:dyDescent="0.25">
      <c r="A443" s="10">
        <v>401658</v>
      </c>
      <c r="B443">
        <f>VLOOKUP(A443,todos!$A$1:$A$306,1,FALSE)</f>
        <v>401658</v>
      </c>
    </row>
    <row r="444" spans="1:2" hidden="1" x14ac:dyDescent="0.25">
      <c r="A444" s="10">
        <v>401739</v>
      </c>
      <c r="B444">
        <f>VLOOKUP(A444,todos!$A$1:$A$306,1,FALSE)</f>
        <v>401739</v>
      </c>
    </row>
    <row r="445" spans="1:2" hidden="1" x14ac:dyDescent="0.25">
      <c r="A445" s="10">
        <v>402086</v>
      </c>
      <c r="B445">
        <f>VLOOKUP(A445,todos!$A$1:$A$306,1,FALSE)</f>
        <v>402086</v>
      </c>
    </row>
    <row r="446" spans="1:2" hidden="1" x14ac:dyDescent="0.25">
      <c r="A446" s="10">
        <v>402086</v>
      </c>
      <c r="B446">
        <f>VLOOKUP(A446,todos!$A$1:$A$306,1,FALSE)</f>
        <v>402086</v>
      </c>
    </row>
    <row r="447" spans="1:2" x14ac:dyDescent="0.25">
      <c r="A447" s="23">
        <v>402917</v>
      </c>
      <c r="B447" t="e">
        <f>VLOOKUP(A447,todos!$A$1:$A$306,1,FALSE)</f>
        <v>#N/A</v>
      </c>
    </row>
    <row r="448" spans="1:2" x14ac:dyDescent="0.25">
      <c r="A448" s="23">
        <v>404543</v>
      </c>
      <c r="B448" t="e">
        <f>VLOOKUP(A448,todos!$A$1:$A$306,1,FALSE)</f>
        <v>#N/A</v>
      </c>
    </row>
    <row r="449" spans="1:2" hidden="1" x14ac:dyDescent="0.25">
      <c r="A449" s="10">
        <v>404800</v>
      </c>
      <c r="B449">
        <f>VLOOKUP(A449,todos!$A$1:$A$306,1,FALSE)</f>
        <v>404800</v>
      </c>
    </row>
    <row r="450" spans="1:2" hidden="1" x14ac:dyDescent="0.25">
      <c r="A450" s="10">
        <v>404800</v>
      </c>
      <c r="B450">
        <f>VLOOKUP(A450,todos!$A$1:$A$306,1,FALSE)</f>
        <v>404800</v>
      </c>
    </row>
    <row r="451" spans="1:2" hidden="1" x14ac:dyDescent="0.25">
      <c r="A451" s="10">
        <v>410449</v>
      </c>
      <c r="B451">
        <f>VLOOKUP(A451,todos!$A$1:$A$306,1,FALSE)</f>
        <v>410449</v>
      </c>
    </row>
    <row r="452" spans="1:2" hidden="1" x14ac:dyDescent="0.25">
      <c r="A452" s="3">
        <v>410603</v>
      </c>
      <c r="B452">
        <f>VLOOKUP(A452,todos!$A$1:$A$306,1,FALSE)</f>
        <v>410603</v>
      </c>
    </row>
    <row r="453" spans="1:2" x14ac:dyDescent="0.25">
      <c r="A453" s="23">
        <v>411542</v>
      </c>
      <c r="B453" t="e">
        <f>VLOOKUP(A453,todos!$A$1:$A$306,1,FALSE)</f>
        <v>#N/A</v>
      </c>
    </row>
    <row r="454" spans="1:2" hidden="1" x14ac:dyDescent="0.25">
      <c r="A454" s="29">
        <v>412780</v>
      </c>
      <c r="B454">
        <f>VLOOKUP(A454,todos!$A$1:$A$306,1,FALSE)</f>
        <v>412780</v>
      </c>
    </row>
    <row r="455" spans="1:2" hidden="1" x14ac:dyDescent="0.25">
      <c r="A455" s="10">
        <v>426512</v>
      </c>
      <c r="B455">
        <f>VLOOKUP(A455,todos!$A$1:$A$306,1,FALSE)</f>
        <v>426512</v>
      </c>
    </row>
    <row r="456" spans="1:2" x14ac:dyDescent="0.25">
      <c r="A456" s="10">
        <v>446302</v>
      </c>
      <c r="B456" t="e">
        <f>VLOOKUP(A456,todos!$A$1:$A$306,1,FALSE)</f>
        <v>#N/A</v>
      </c>
    </row>
    <row r="457" spans="1:2" hidden="1" x14ac:dyDescent="0.25">
      <c r="A457" s="3">
        <v>452326</v>
      </c>
      <c r="B457">
        <f>VLOOKUP(A457,todos!$A$1:$A$306,1,FALSE)</f>
        <v>452326</v>
      </c>
    </row>
    <row r="458" spans="1:2" hidden="1" x14ac:dyDescent="0.25">
      <c r="A458" s="3">
        <v>452326</v>
      </c>
      <c r="B458">
        <f>VLOOKUP(A458,todos!$A$1:$A$306,1,FALSE)</f>
        <v>452326</v>
      </c>
    </row>
    <row r="459" spans="1:2" hidden="1" x14ac:dyDescent="0.25">
      <c r="A459" s="3">
        <v>452326</v>
      </c>
      <c r="B459">
        <f>VLOOKUP(A459,todos!$A$1:$A$306,1,FALSE)</f>
        <v>452326</v>
      </c>
    </row>
    <row r="460" spans="1:2" hidden="1" x14ac:dyDescent="0.25">
      <c r="A460" s="3">
        <v>452326</v>
      </c>
      <c r="B460">
        <f>VLOOKUP(A460,todos!$A$1:$A$306,1,FALSE)</f>
        <v>452326</v>
      </c>
    </row>
    <row r="461" spans="1:2" hidden="1" x14ac:dyDescent="0.25">
      <c r="A461" s="10">
        <v>452363</v>
      </c>
      <c r="B461">
        <f>VLOOKUP(A461,todos!$A$1:$A$306,1,FALSE)</f>
        <v>452363</v>
      </c>
    </row>
    <row r="462" spans="1:2" hidden="1" x14ac:dyDescent="0.25">
      <c r="A462" s="3">
        <v>452510</v>
      </c>
      <c r="B462">
        <f>VLOOKUP(A462,todos!$A$1:$A$306,1,FALSE)</f>
        <v>452510</v>
      </c>
    </row>
    <row r="463" spans="1:2" hidden="1" x14ac:dyDescent="0.25">
      <c r="A463" s="3">
        <v>452510</v>
      </c>
      <c r="B463">
        <f>VLOOKUP(A463,todos!$A$1:$A$306,1,FALSE)</f>
        <v>452510</v>
      </c>
    </row>
    <row r="464" spans="1:2" hidden="1" x14ac:dyDescent="0.25">
      <c r="A464" s="10">
        <v>453095</v>
      </c>
      <c r="B464">
        <f>VLOOKUP(A464,todos!$A$1:$A$306,1,FALSE)</f>
        <v>453095</v>
      </c>
    </row>
    <row r="465" spans="1:2" hidden="1" x14ac:dyDescent="0.25">
      <c r="A465" s="10">
        <v>453095</v>
      </c>
      <c r="B465">
        <f>VLOOKUP(A465,todos!$A$1:$A$306,1,FALSE)</f>
        <v>453095</v>
      </c>
    </row>
    <row r="466" spans="1:2" hidden="1" x14ac:dyDescent="0.25">
      <c r="A466" s="10">
        <v>453095</v>
      </c>
      <c r="B466">
        <f>VLOOKUP(A466,todos!$A$1:$A$306,1,FALSE)</f>
        <v>453095</v>
      </c>
    </row>
    <row r="467" spans="1:2" hidden="1" x14ac:dyDescent="0.25">
      <c r="A467" s="10">
        <v>453095</v>
      </c>
      <c r="B467">
        <f>VLOOKUP(A467,todos!$A$1:$A$306,1,FALSE)</f>
        <v>453095</v>
      </c>
    </row>
    <row r="468" spans="1:2" hidden="1" x14ac:dyDescent="0.25">
      <c r="A468" s="10">
        <v>453095</v>
      </c>
      <c r="B468">
        <f>VLOOKUP(A468,todos!$A$1:$A$306,1,FALSE)</f>
        <v>453095</v>
      </c>
    </row>
    <row r="469" spans="1:2" hidden="1" x14ac:dyDescent="0.25">
      <c r="A469" s="10">
        <v>453095</v>
      </c>
      <c r="B469">
        <f>VLOOKUP(A469,todos!$A$1:$A$306,1,FALSE)</f>
        <v>453095</v>
      </c>
    </row>
    <row r="470" spans="1:2" hidden="1" x14ac:dyDescent="0.25">
      <c r="A470" s="10">
        <v>453897</v>
      </c>
      <c r="B470">
        <f>VLOOKUP(A470,todos!$A$1:$A$306,1,FALSE)</f>
        <v>453897</v>
      </c>
    </row>
    <row r="471" spans="1:2" hidden="1" x14ac:dyDescent="0.25">
      <c r="A471" s="10">
        <v>454218</v>
      </c>
      <c r="B471">
        <f>VLOOKUP(A471,todos!$A$1:$A$306,1,FALSE)</f>
        <v>454218</v>
      </c>
    </row>
    <row r="472" spans="1:2" hidden="1" x14ac:dyDescent="0.25">
      <c r="A472" s="29">
        <v>454907</v>
      </c>
      <c r="B472">
        <f>VLOOKUP(A472,todos!$A$1:$A$306,1,FALSE)</f>
        <v>454907</v>
      </c>
    </row>
    <row r="473" spans="1:2" hidden="1" x14ac:dyDescent="0.25">
      <c r="A473" s="29">
        <v>454907</v>
      </c>
      <c r="B473">
        <f>VLOOKUP(A473,todos!$A$1:$A$306,1,FALSE)</f>
        <v>454907</v>
      </c>
    </row>
    <row r="474" spans="1:2" hidden="1" x14ac:dyDescent="0.25">
      <c r="A474" s="29">
        <v>454907</v>
      </c>
      <c r="B474">
        <f>VLOOKUP(A474,todos!$A$1:$A$306,1,FALSE)</f>
        <v>454907</v>
      </c>
    </row>
    <row r="475" spans="1:2" hidden="1" x14ac:dyDescent="0.25">
      <c r="A475" s="10">
        <v>455268</v>
      </c>
      <c r="B475">
        <f>VLOOKUP(A475,todos!$A$1:$A$306,1,FALSE)</f>
        <v>455268</v>
      </c>
    </row>
    <row r="476" spans="1:2" hidden="1" x14ac:dyDescent="0.25">
      <c r="A476" s="10">
        <v>455268</v>
      </c>
      <c r="B476">
        <f>VLOOKUP(A476,todos!$A$1:$A$306,1,FALSE)</f>
        <v>455268</v>
      </c>
    </row>
    <row r="477" spans="1:2" hidden="1" x14ac:dyDescent="0.25">
      <c r="A477" s="10">
        <v>455268</v>
      </c>
      <c r="B477">
        <f>VLOOKUP(A477,todos!$A$1:$A$306,1,FALSE)</f>
        <v>455268</v>
      </c>
    </row>
    <row r="478" spans="1:2" hidden="1" x14ac:dyDescent="0.25">
      <c r="A478" s="10">
        <v>455275</v>
      </c>
      <c r="B478">
        <f>VLOOKUP(A478,todos!$A$1:$A$306,1,FALSE)</f>
        <v>455275</v>
      </c>
    </row>
    <row r="479" spans="1:2" hidden="1" x14ac:dyDescent="0.25">
      <c r="A479" s="10">
        <v>455278</v>
      </c>
      <c r="B479">
        <f>VLOOKUP(A479,todos!$A$1:$A$306,1,FALSE)</f>
        <v>455278</v>
      </c>
    </row>
    <row r="480" spans="1:2" hidden="1" x14ac:dyDescent="0.25">
      <c r="A480" s="10">
        <v>458243</v>
      </c>
      <c r="B480">
        <f>VLOOKUP(A480,todos!$A$1:$A$306,1,FALSE)</f>
        <v>458243</v>
      </c>
    </row>
    <row r="481" spans="1:2" hidden="1" x14ac:dyDescent="0.25">
      <c r="A481" s="10">
        <v>458243</v>
      </c>
      <c r="B481">
        <f>VLOOKUP(A481,todos!$A$1:$A$306,1,FALSE)</f>
        <v>458243</v>
      </c>
    </row>
    <row r="482" spans="1:2" hidden="1" x14ac:dyDescent="0.25">
      <c r="A482" s="10">
        <v>458243</v>
      </c>
      <c r="B482">
        <f>VLOOKUP(A482,todos!$A$1:$A$306,1,FALSE)</f>
        <v>458243</v>
      </c>
    </row>
    <row r="483" spans="1:2" hidden="1" x14ac:dyDescent="0.25">
      <c r="A483" s="10">
        <v>458243</v>
      </c>
      <c r="B483">
        <f>VLOOKUP(A483,todos!$A$1:$A$306,1,FALSE)</f>
        <v>458243</v>
      </c>
    </row>
    <row r="484" spans="1:2" hidden="1" x14ac:dyDescent="0.25">
      <c r="A484" s="10">
        <v>458243</v>
      </c>
      <c r="B484">
        <f>VLOOKUP(A484,todos!$A$1:$A$306,1,FALSE)</f>
        <v>458243</v>
      </c>
    </row>
    <row r="485" spans="1:2" hidden="1" x14ac:dyDescent="0.25">
      <c r="A485" s="18">
        <v>458243</v>
      </c>
      <c r="B485">
        <f>VLOOKUP(A485,todos!$A$1:$A$306,1,FALSE)</f>
        <v>458243</v>
      </c>
    </row>
    <row r="486" spans="1:2" hidden="1" x14ac:dyDescent="0.25">
      <c r="A486" s="18">
        <v>458243</v>
      </c>
      <c r="B486">
        <f>VLOOKUP(A486,todos!$A$1:$A$306,1,FALSE)</f>
        <v>458243</v>
      </c>
    </row>
    <row r="487" spans="1:2" hidden="1" x14ac:dyDescent="0.25">
      <c r="A487" s="18">
        <v>458243</v>
      </c>
      <c r="B487">
        <f>VLOOKUP(A487,todos!$A$1:$A$306,1,FALSE)</f>
        <v>458243</v>
      </c>
    </row>
    <row r="488" spans="1:2" hidden="1" x14ac:dyDescent="0.25">
      <c r="A488" s="18">
        <v>458243</v>
      </c>
      <c r="B488">
        <f>VLOOKUP(A488,todos!$A$1:$A$306,1,FALSE)</f>
        <v>458243</v>
      </c>
    </row>
    <row r="489" spans="1:2" hidden="1" x14ac:dyDescent="0.25">
      <c r="A489" s="18">
        <v>458243</v>
      </c>
      <c r="B489">
        <f>VLOOKUP(A489,todos!$A$1:$A$306,1,FALSE)</f>
        <v>458243</v>
      </c>
    </row>
    <row r="490" spans="1:2" hidden="1" x14ac:dyDescent="0.25">
      <c r="A490" s="18">
        <v>458243</v>
      </c>
      <c r="B490">
        <f>VLOOKUP(A490,todos!$A$1:$A$306,1,FALSE)</f>
        <v>458243</v>
      </c>
    </row>
    <row r="491" spans="1:2" hidden="1" x14ac:dyDescent="0.25">
      <c r="A491" s="18">
        <v>458243</v>
      </c>
      <c r="B491">
        <f>VLOOKUP(A491,todos!$A$1:$A$306,1,FALSE)</f>
        <v>458243</v>
      </c>
    </row>
    <row r="492" spans="1:2" hidden="1" x14ac:dyDescent="0.25">
      <c r="A492" s="18">
        <v>458243</v>
      </c>
      <c r="B492">
        <f>VLOOKUP(A492,todos!$A$1:$A$306,1,FALSE)</f>
        <v>458243</v>
      </c>
    </row>
    <row r="493" spans="1:2" hidden="1" x14ac:dyDescent="0.25">
      <c r="A493" s="18">
        <v>458243</v>
      </c>
      <c r="B493">
        <f>VLOOKUP(A493,todos!$A$1:$A$306,1,FALSE)</f>
        <v>458243</v>
      </c>
    </row>
    <row r="494" spans="1:2" hidden="1" x14ac:dyDescent="0.25">
      <c r="A494" s="10">
        <v>458260</v>
      </c>
      <c r="B494">
        <f>VLOOKUP(A494,todos!$A$1:$A$306,1,FALSE)</f>
        <v>458260</v>
      </c>
    </row>
    <row r="495" spans="1:2" x14ac:dyDescent="0.25">
      <c r="A495" s="10">
        <v>458267</v>
      </c>
      <c r="B495" t="e">
        <f>VLOOKUP(A495,todos!$A$1:$A$306,1,FALSE)</f>
        <v>#N/A</v>
      </c>
    </row>
    <row r="496" spans="1:2" hidden="1" x14ac:dyDescent="0.25">
      <c r="A496" s="10">
        <v>458290</v>
      </c>
      <c r="B496">
        <f>VLOOKUP(A496,todos!$A$1:$A$306,1,FALSE)</f>
        <v>458290</v>
      </c>
    </row>
    <row r="497" spans="1:2" hidden="1" x14ac:dyDescent="0.25">
      <c r="A497" s="3">
        <v>458381</v>
      </c>
      <c r="B497">
        <f>VLOOKUP(A497,todos!$A$1:$A$306,1,FALSE)</f>
        <v>458381</v>
      </c>
    </row>
    <row r="498" spans="1:2" hidden="1" x14ac:dyDescent="0.25">
      <c r="A498" s="10">
        <v>458655</v>
      </c>
      <c r="B498">
        <f>VLOOKUP(A498,todos!$A$1:$A$306,1,FALSE)</f>
        <v>458655</v>
      </c>
    </row>
    <row r="499" spans="1:2" hidden="1" x14ac:dyDescent="0.25">
      <c r="A499" s="10">
        <v>458655</v>
      </c>
      <c r="B499">
        <f>VLOOKUP(A499,todos!$A$1:$A$306,1,FALSE)</f>
        <v>458655</v>
      </c>
    </row>
    <row r="500" spans="1:2" hidden="1" x14ac:dyDescent="0.25">
      <c r="A500" s="29">
        <v>458655</v>
      </c>
      <c r="B500">
        <f>VLOOKUP(A500,todos!$A$1:$A$306,1,FALSE)</f>
        <v>458655</v>
      </c>
    </row>
    <row r="501" spans="1:2" hidden="1" x14ac:dyDescent="0.25">
      <c r="A501" s="29">
        <v>458655</v>
      </c>
      <c r="B501">
        <f>VLOOKUP(A501,todos!$A$1:$A$306,1,FALSE)</f>
        <v>458655</v>
      </c>
    </row>
    <row r="502" spans="1:2" hidden="1" x14ac:dyDescent="0.25">
      <c r="A502" s="29">
        <v>458655</v>
      </c>
      <c r="B502">
        <f>VLOOKUP(A502,todos!$A$1:$A$306,1,FALSE)</f>
        <v>458655</v>
      </c>
    </row>
    <row r="503" spans="1:2" hidden="1" x14ac:dyDescent="0.25">
      <c r="A503" s="29">
        <v>458655</v>
      </c>
      <c r="B503">
        <f>VLOOKUP(A503,todos!$A$1:$A$306,1,FALSE)</f>
        <v>458655</v>
      </c>
    </row>
    <row r="504" spans="1:2" x14ac:dyDescent="0.25">
      <c r="A504" s="3">
        <v>464811</v>
      </c>
      <c r="B504" t="e">
        <f>VLOOKUP(A504,todos!$A$1:$A$306,1,FALSE)</f>
        <v>#N/A</v>
      </c>
    </row>
    <row r="505" spans="1:2" hidden="1" x14ac:dyDescent="0.25">
      <c r="A505" s="3">
        <v>464971</v>
      </c>
      <c r="B505">
        <f>VLOOKUP(A505,todos!$A$1:$A$306,1,FALSE)</f>
        <v>464971</v>
      </c>
    </row>
    <row r="506" spans="1:2" x14ac:dyDescent="0.25">
      <c r="A506" s="3">
        <v>464977</v>
      </c>
      <c r="B506" t="e">
        <f>VLOOKUP(A506,todos!$A$1:$A$306,1,FALSE)</f>
        <v>#N/A</v>
      </c>
    </row>
    <row r="507" spans="1:2" hidden="1" x14ac:dyDescent="0.25">
      <c r="A507" s="3">
        <v>465372</v>
      </c>
      <c r="B507">
        <f>VLOOKUP(A507,todos!$A$1:$A$306,1,FALSE)</f>
        <v>465372</v>
      </c>
    </row>
    <row r="508" spans="1:2" x14ac:dyDescent="0.25">
      <c r="A508" s="23">
        <v>465606</v>
      </c>
      <c r="B508" t="e">
        <f>VLOOKUP(A508,todos!$A$1:$A$306,1,FALSE)</f>
        <v>#N/A</v>
      </c>
    </row>
    <row r="509" spans="1:2" hidden="1" x14ac:dyDescent="0.25">
      <c r="A509" s="3">
        <v>465618</v>
      </c>
      <c r="B509">
        <f>VLOOKUP(A509,todos!$A$1:$A$306,1,FALSE)</f>
        <v>465618</v>
      </c>
    </row>
    <row r="510" spans="1:2" hidden="1" x14ac:dyDescent="0.25">
      <c r="A510" s="3">
        <v>465618</v>
      </c>
      <c r="B510">
        <f>VLOOKUP(A510,todos!$A$1:$A$306,1,FALSE)</f>
        <v>465618</v>
      </c>
    </row>
    <row r="511" spans="1:2" hidden="1" x14ac:dyDescent="0.25">
      <c r="A511" s="3">
        <v>465618</v>
      </c>
      <c r="B511">
        <f>VLOOKUP(A511,todos!$A$1:$A$306,1,FALSE)</f>
        <v>465618</v>
      </c>
    </row>
    <row r="512" spans="1:2" hidden="1" x14ac:dyDescent="0.25">
      <c r="A512" s="3">
        <v>465618</v>
      </c>
      <c r="B512">
        <f>VLOOKUP(A512,todos!$A$1:$A$306,1,FALSE)</f>
        <v>465618</v>
      </c>
    </row>
    <row r="513" spans="1:2" hidden="1" x14ac:dyDescent="0.25">
      <c r="A513" s="3">
        <v>465618</v>
      </c>
      <c r="B513">
        <f>VLOOKUP(A513,todos!$A$1:$A$306,1,FALSE)</f>
        <v>465618</v>
      </c>
    </row>
    <row r="514" spans="1:2" hidden="1" x14ac:dyDescent="0.25">
      <c r="A514" s="3">
        <v>465618</v>
      </c>
      <c r="B514">
        <f>VLOOKUP(A514,todos!$A$1:$A$306,1,FALSE)</f>
        <v>465618</v>
      </c>
    </row>
    <row r="515" spans="1:2" x14ac:dyDescent="0.25">
      <c r="A515" s="23">
        <v>471392</v>
      </c>
      <c r="B515" t="e">
        <f>VLOOKUP(A515,todos!$A$1:$A$306,1,FALSE)</f>
        <v>#N/A</v>
      </c>
    </row>
    <row r="516" spans="1:2" x14ac:dyDescent="0.25">
      <c r="A516" s="10">
        <v>473486</v>
      </c>
      <c r="B516" t="e">
        <f>VLOOKUP(A516,todos!$A$1:$A$306,1,FALSE)</f>
        <v>#N/A</v>
      </c>
    </row>
    <row r="517" spans="1:2" hidden="1" x14ac:dyDescent="0.25">
      <c r="A517" s="10">
        <v>473496</v>
      </c>
      <c r="B517">
        <f>VLOOKUP(A517,todos!$A$1:$A$306,1,FALSE)</f>
        <v>473496</v>
      </c>
    </row>
    <row r="518" spans="1:2" x14ac:dyDescent="0.25">
      <c r="A518" s="10">
        <v>473530</v>
      </c>
      <c r="B518" t="e">
        <f>VLOOKUP(A518,todos!$A$1:$A$306,1,FALSE)</f>
        <v>#N/A</v>
      </c>
    </row>
    <row r="519" spans="1:2" x14ac:dyDescent="0.25">
      <c r="A519" s="10">
        <v>473530</v>
      </c>
      <c r="B519" t="e">
        <f>VLOOKUP(A519,todos!$A$1:$A$306,1,FALSE)</f>
        <v>#N/A</v>
      </c>
    </row>
    <row r="520" spans="1:2" hidden="1" x14ac:dyDescent="0.25">
      <c r="A520" s="10">
        <v>475171</v>
      </c>
      <c r="B520">
        <f>VLOOKUP(A520,todos!$A$1:$A$306,1,FALSE)</f>
        <v>475171</v>
      </c>
    </row>
    <row r="521" spans="1:2" x14ac:dyDescent="0.25">
      <c r="A521" s="23">
        <v>475214</v>
      </c>
      <c r="B521" t="e">
        <f>VLOOKUP(A521,todos!$A$1:$A$306,1,FALSE)</f>
        <v>#N/A</v>
      </c>
    </row>
    <row r="522" spans="1:2" hidden="1" x14ac:dyDescent="0.25">
      <c r="A522" s="10">
        <v>475453</v>
      </c>
      <c r="B522">
        <f>VLOOKUP(A522,todos!$A$1:$A$306,1,FALSE)</f>
        <v>475453</v>
      </c>
    </row>
    <row r="523" spans="1:2" hidden="1" x14ac:dyDescent="0.25">
      <c r="A523" s="10">
        <v>475458</v>
      </c>
      <c r="B523">
        <f>VLOOKUP(A523,todos!$A$1:$A$306,1,FALSE)</f>
        <v>475458</v>
      </c>
    </row>
    <row r="524" spans="1:2" hidden="1" x14ac:dyDescent="0.25">
      <c r="A524" s="3">
        <v>475467</v>
      </c>
      <c r="B524">
        <f>VLOOKUP(A524,todos!$A$1:$A$306,1,FALSE)</f>
        <v>475467</v>
      </c>
    </row>
    <row r="525" spans="1:2" x14ac:dyDescent="0.25">
      <c r="A525" s="23">
        <v>476957</v>
      </c>
      <c r="B525" t="e">
        <f>VLOOKUP(A525,todos!$A$1:$A$306,1,FALSE)</f>
        <v>#N/A</v>
      </c>
    </row>
    <row r="526" spans="1:2" hidden="1" x14ac:dyDescent="0.25">
      <c r="A526" s="3">
        <v>478277</v>
      </c>
      <c r="B526">
        <f>VLOOKUP(A526,todos!$A$1:$A$306,1,FALSE)</f>
        <v>478277</v>
      </c>
    </row>
    <row r="527" spans="1:2" hidden="1" x14ac:dyDescent="0.25">
      <c r="A527" s="3">
        <v>478277</v>
      </c>
      <c r="B527">
        <f>VLOOKUP(A527,todos!$A$1:$A$306,1,FALSE)</f>
        <v>478277</v>
      </c>
    </row>
    <row r="528" spans="1:2" hidden="1" x14ac:dyDescent="0.25">
      <c r="A528" s="3">
        <v>478277</v>
      </c>
      <c r="B528">
        <f>VLOOKUP(A528,todos!$A$1:$A$306,1,FALSE)</f>
        <v>478277</v>
      </c>
    </row>
    <row r="529" spans="1:2" hidden="1" x14ac:dyDescent="0.25">
      <c r="A529" s="3">
        <v>478277</v>
      </c>
      <c r="B529">
        <f>VLOOKUP(A529,todos!$A$1:$A$306,1,FALSE)</f>
        <v>478277</v>
      </c>
    </row>
    <row r="530" spans="1:2" hidden="1" x14ac:dyDescent="0.25">
      <c r="A530" s="3">
        <v>478277</v>
      </c>
      <c r="B530">
        <f>VLOOKUP(A530,todos!$A$1:$A$306,1,FALSE)</f>
        <v>478277</v>
      </c>
    </row>
    <row r="531" spans="1:2" hidden="1" x14ac:dyDescent="0.25">
      <c r="A531" s="3">
        <v>478277</v>
      </c>
      <c r="B531">
        <f>VLOOKUP(A531,todos!$A$1:$A$306,1,FALSE)</f>
        <v>478277</v>
      </c>
    </row>
    <row r="532" spans="1:2" hidden="1" x14ac:dyDescent="0.25">
      <c r="A532" s="10">
        <v>479076</v>
      </c>
      <c r="B532">
        <f>VLOOKUP(A532,todos!$A$1:$A$306,1,FALSE)</f>
        <v>479076</v>
      </c>
    </row>
    <row r="533" spans="1:2" hidden="1" x14ac:dyDescent="0.25">
      <c r="A533" s="10">
        <v>479079</v>
      </c>
      <c r="B533">
        <f>VLOOKUP(A533,todos!$A$1:$A$306,1,FALSE)</f>
        <v>479079</v>
      </c>
    </row>
    <row r="534" spans="1:2" hidden="1" x14ac:dyDescent="0.25">
      <c r="A534" s="10">
        <v>480058</v>
      </c>
      <c r="B534">
        <f>VLOOKUP(A534,todos!$A$1:$A$306,1,FALSE)</f>
        <v>480058</v>
      </c>
    </row>
    <row r="535" spans="1:2" hidden="1" x14ac:dyDescent="0.25">
      <c r="A535" s="10">
        <v>586409</v>
      </c>
      <c r="B535">
        <f>VLOOKUP(A535,todos!$A$1:$A$306,1,FALSE)</f>
        <v>586409</v>
      </c>
    </row>
    <row r="536" spans="1:2" hidden="1" x14ac:dyDescent="0.25">
      <c r="A536" s="23">
        <v>599364</v>
      </c>
      <c r="B536">
        <f>VLOOKUP(A536,todos!$A$1:$A$306,1,FALSE)</f>
        <v>599364</v>
      </c>
    </row>
    <row r="537" spans="1:2" hidden="1" x14ac:dyDescent="0.25">
      <c r="A537" s="10">
        <v>601741</v>
      </c>
      <c r="B537">
        <f>VLOOKUP(A537,todos!$A$1:$A$306,1,FALSE)</f>
        <v>601741</v>
      </c>
    </row>
    <row r="538" spans="1:2" hidden="1" x14ac:dyDescent="0.25">
      <c r="A538" s="10">
        <v>604127</v>
      </c>
      <c r="B538">
        <f>VLOOKUP(A538,todos!$A$1:$A$306,1,FALSE)</f>
        <v>604127</v>
      </c>
    </row>
    <row r="539" spans="1:2" hidden="1" x14ac:dyDescent="0.25">
      <c r="A539" s="10">
        <v>613457</v>
      </c>
      <c r="B539">
        <f>VLOOKUP(A539,todos!$A$1:$A$306,1,FALSE)</f>
        <v>613457</v>
      </c>
    </row>
    <row r="540" spans="1:2" hidden="1" x14ac:dyDescent="0.25">
      <c r="A540" s="10">
        <v>614521</v>
      </c>
      <c r="B540">
        <f>VLOOKUP(A540,todos!$A$1:$A$306,1,FALSE)</f>
        <v>614521</v>
      </c>
    </row>
    <row r="541" spans="1:2" hidden="1" x14ac:dyDescent="0.25">
      <c r="A541" s="10">
        <v>626460</v>
      </c>
      <c r="B541">
        <f>VLOOKUP(A541,todos!$A$1:$A$306,1,FALSE)</f>
        <v>626460</v>
      </c>
    </row>
    <row r="542" spans="1:2" hidden="1" x14ac:dyDescent="0.25">
      <c r="A542" s="10">
        <v>626703</v>
      </c>
      <c r="B542">
        <f>VLOOKUP(A542,todos!$A$1:$A$306,1,FALSE)</f>
        <v>626703</v>
      </c>
    </row>
    <row r="543" spans="1:2" hidden="1" x14ac:dyDescent="0.25">
      <c r="A543" s="10">
        <v>636335</v>
      </c>
      <c r="B543">
        <f>VLOOKUP(A543,todos!$A$1:$A$306,1,FALSE)</f>
        <v>636335</v>
      </c>
    </row>
    <row r="544" spans="1:2" hidden="1" x14ac:dyDescent="0.25">
      <c r="A544" s="10">
        <v>636337</v>
      </c>
      <c r="B544">
        <f>VLOOKUP(A544,todos!$A$1:$A$306,1,FALSE)</f>
        <v>636337</v>
      </c>
    </row>
    <row r="545" spans="1:2" hidden="1" x14ac:dyDescent="0.25">
      <c r="A545" s="10">
        <v>636371</v>
      </c>
      <c r="B545">
        <f>VLOOKUP(A545,todos!$A$1:$A$306,1,FALSE)</f>
        <v>636371</v>
      </c>
    </row>
    <row r="546" spans="1:2" hidden="1" x14ac:dyDescent="0.25">
      <c r="A546" s="10">
        <v>636385</v>
      </c>
      <c r="B546">
        <f>VLOOKUP(A546,todos!$A$1:$A$306,1,FALSE)</f>
        <v>636385</v>
      </c>
    </row>
    <row r="547" spans="1:2" hidden="1" x14ac:dyDescent="0.25">
      <c r="A547" s="10">
        <v>636389</v>
      </c>
      <c r="B547">
        <f>VLOOKUP(A547,todos!$A$1:$A$306,1,FALSE)</f>
        <v>636389</v>
      </c>
    </row>
    <row r="548" spans="1:2" hidden="1" x14ac:dyDescent="0.25">
      <c r="A548" s="10">
        <v>637133</v>
      </c>
      <c r="B548">
        <f>VLOOKUP(A548,todos!$A$1:$A$306,1,FALSE)</f>
        <v>637133</v>
      </c>
    </row>
    <row r="549" spans="1:2" hidden="1" x14ac:dyDescent="0.25">
      <c r="A549" s="10">
        <v>637139</v>
      </c>
      <c r="B549">
        <f>VLOOKUP(A549,todos!$A$1:$A$306,1,FALSE)</f>
        <v>637139</v>
      </c>
    </row>
    <row r="550" spans="1:2" hidden="1" x14ac:dyDescent="0.25">
      <c r="A550" s="3">
        <v>640093</v>
      </c>
      <c r="B550">
        <f>VLOOKUP(A550,todos!$A$1:$A$306,1,FALSE)</f>
        <v>640093</v>
      </c>
    </row>
    <row r="551" spans="1:2" hidden="1" x14ac:dyDescent="0.25">
      <c r="A551" s="10">
        <v>665442</v>
      </c>
      <c r="B551">
        <f>VLOOKUP(A551,todos!$A$1:$A$306,1,FALSE)</f>
        <v>665442</v>
      </c>
    </row>
    <row r="552" spans="1:2" hidden="1" x14ac:dyDescent="0.25">
      <c r="A552" s="10">
        <v>700486</v>
      </c>
      <c r="B552">
        <f>VLOOKUP(A552,todos!$A$1:$A$306,1,FALSE)</f>
        <v>700486</v>
      </c>
    </row>
    <row r="553" spans="1:2" hidden="1" x14ac:dyDescent="0.25">
      <c r="A553" s="10">
        <v>700487</v>
      </c>
      <c r="B553">
        <f>VLOOKUP(A553,todos!$A$1:$A$306,1,FALSE)</f>
        <v>700487</v>
      </c>
    </row>
    <row r="554" spans="1:2" hidden="1" x14ac:dyDescent="0.25">
      <c r="A554" s="10">
        <v>704429</v>
      </c>
      <c r="B554">
        <f>VLOOKUP(A554,todos!$A$1:$A$306,1,FALSE)</f>
        <v>704429</v>
      </c>
    </row>
    <row r="555" spans="1:2" hidden="1" x14ac:dyDescent="0.25">
      <c r="A555" s="10">
        <v>709106</v>
      </c>
      <c r="B555">
        <f>VLOOKUP(A555,todos!$A$1:$A$306,1,FALSE)</f>
        <v>709106</v>
      </c>
    </row>
    <row r="556" spans="1:2" hidden="1" x14ac:dyDescent="0.25">
      <c r="A556" s="3">
        <v>709123</v>
      </c>
      <c r="B556">
        <f>VLOOKUP(A556,todos!$A$1:$A$306,1,FALSE)</f>
        <v>709123</v>
      </c>
    </row>
    <row r="557" spans="1:2" hidden="1" x14ac:dyDescent="0.25">
      <c r="A557" s="10">
        <v>709129</v>
      </c>
      <c r="B557">
        <f>VLOOKUP(A557,todos!$A$1:$A$306,1,FALSE)</f>
        <v>709129</v>
      </c>
    </row>
    <row r="558" spans="1:2" hidden="1" x14ac:dyDescent="0.25">
      <c r="A558" s="10">
        <v>729122</v>
      </c>
      <c r="B558">
        <f>VLOOKUP(A558,todos!$A$1:$A$306,1,FALSE)</f>
        <v>729122</v>
      </c>
    </row>
    <row r="559" spans="1:2" hidden="1" x14ac:dyDescent="0.25">
      <c r="A559" s="10">
        <v>730341</v>
      </c>
      <c r="B559">
        <f>VLOOKUP(A559,todos!$A$1:$A$306,1,FALSE)</f>
        <v>730341</v>
      </c>
    </row>
    <row r="560" spans="1:2" hidden="1" x14ac:dyDescent="0.25">
      <c r="A560" s="10">
        <v>733501</v>
      </c>
      <c r="B560">
        <f>VLOOKUP(A560,todos!$A$1:$A$306,1,FALSE)</f>
        <v>733501</v>
      </c>
    </row>
    <row r="561" spans="1:2" hidden="1" x14ac:dyDescent="0.25">
      <c r="A561" s="10">
        <v>742171</v>
      </c>
      <c r="B561">
        <f>VLOOKUP(A561,todos!$A$1:$A$306,1,FALSE)</f>
        <v>742171</v>
      </c>
    </row>
    <row r="562" spans="1:2" hidden="1" x14ac:dyDescent="0.25">
      <c r="A562" s="10">
        <v>742171</v>
      </c>
      <c r="B562">
        <f>VLOOKUP(A562,todos!$A$1:$A$306,1,FALSE)</f>
        <v>742171</v>
      </c>
    </row>
    <row r="563" spans="1:2" x14ac:dyDescent="0.25">
      <c r="A563" s="10">
        <v>742175</v>
      </c>
      <c r="B563" t="e">
        <f>VLOOKUP(A563,todos!$A$1:$A$306,1,FALSE)</f>
        <v>#N/A</v>
      </c>
    </row>
    <row r="564" spans="1:2" x14ac:dyDescent="0.25">
      <c r="A564" s="10">
        <v>742176</v>
      </c>
      <c r="B564" t="e">
        <f>VLOOKUP(A564,todos!$A$1:$A$306,1,FALSE)</f>
        <v>#N/A</v>
      </c>
    </row>
    <row r="565" spans="1:2" x14ac:dyDescent="0.25">
      <c r="A565" s="10">
        <v>742180</v>
      </c>
      <c r="B565" t="e">
        <f>VLOOKUP(A565,todos!$A$1:$A$306,1,FALSE)</f>
        <v>#N/A</v>
      </c>
    </row>
    <row r="566" spans="1:2" hidden="1" x14ac:dyDescent="0.25">
      <c r="A566" s="10">
        <v>764770</v>
      </c>
      <c r="B566">
        <f>VLOOKUP(A566,todos!$A$1:$A$306,1,FALSE)</f>
        <v>764770</v>
      </c>
    </row>
    <row r="567" spans="1:2" x14ac:dyDescent="0.25">
      <c r="A567" s="3">
        <v>765484</v>
      </c>
      <c r="B567" t="e">
        <f>VLOOKUP(A567,todos!$A$1:$A$306,1,FALSE)</f>
        <v>#N/A</v>
      </c>
    </row>
    <row r="568" spans="1:2" x14ac:dyDescent="0.25">
      <c r="A568" s="3">
        <v>765484</v>
      </c>
      <c r="B568" t="e">
        <f>VLOOKUP(A568,todos!$A$1:$A$306,1,FALSE)</f>
        <v>#N/A</v>
      </c>
    </row>
    <row r="569" spans="1:2" x14ac:dyDescent="0.25">
      <c r="A569" s="3">
        <v>766189</v>
      </c>
      <c r="B569" t="e">
        <f>VLOOKUP(A569,todos!$A$1:$A$306,1,FALSE)</f>
        <v>#N/A</v>
      </c>
    </row>
    <row r="570" spans="1:2" hidden="1" x14ac:dyDescent="0.25">
      <c r="A570" s="10">
        <v>767226</v>
      </c>
      <c r="B570">
        <f>VLOOKUP(A570,todos!$A$1:$A$306,1,FALSE)</f>
        <v>767226</v>
      </c>
    </row>
    <row r="571" spans="1:2" hidden="1" x14ac:dyDescent="0.25">
      <c r="A571" s="10">
        <v>767525</v>
      </c>
      <c r="B571">
        <f>VLOOKUP(A571,todos!$A$1:$A$306,1,FALSE)</f>
        <v>767525</v>
      </c>
    </row>
    <row r="572" spans="1:2" hidden="1" x14ac:dyDescent="0.25">
      <c r="A572" s="10">
        <v>780308</v>
      </c>
      <c r="B572">
        <f>VLOOKUP(A572,todos!$A$1:$A$306,1,FALSE)</f>
        <v>780308</v>
      </c>
    </row>
    <row r="573" spans="1:2" hidden="1" x14ac:dyDescent="0.25">
      <c r="A573" s="3">
        <v>782735</v>
      </c>
      <c r="B573">
        <f>VLOOKUP(A573,todos!$A$1:$A$306,1,FALSE)</f>
        <v>782735</v>
      </c>
    </row>
    <row r="574" spans="1:2" hidden="1" x14ac:dyDescent="0.25">
      <c r="A574" s="3">
        <v>782738</v>
      </c>
      <c r="B574">
        <f>VLOOKUP(A574,todos!$A$1:$A$306,1,FALSE)</f>
        <v>782738</v>
      </c>
    </row>
    <row r="575" spans="1:2" hidden="1" x14ac:dyDescent="0.25">
      <c r="A575" s="3">
        <v>782740</v>
      </c>
      <c r="B575">
        <f>VLOOKUP(A575,todos!$A$1:$A$306,1,FALSE)</f>
        <v>782740</v>
      </c>
    </row>
    <row r="576" spans="1:2" hidden="1" x14ac:dyDescent="0.25">
      <c r="A576" s="3">
        <v>782742</v>
      </c>
      <c r="B576">
        <f>VLOOKUP(A576,todos!$A$1:$A$306,1,FALSE)</f>
        <v>782742</v>
      </c>
    </row>
    <row r="577" spans="1:2" hidden="1" x14ac:dyDescent="0.25">
      <c r="A577" s="3">
        <v>782743</v>
      </c>
      <c r="B577">
        <f>VLOOKUP(A577,todos!$A$1:$A$306,1,FALSE)</f>
        <v>782743</v>
      </c>
    </row>
    <row r="578" spans="1:2" hidden="1" x14ac:dyDescent="0.25">
      <c r="A578" s="10">
        <v>782745</v>
      </c>
      <c r="B578">
        <f>VLOOKUP(A578,todos!$A$1:$A$306,1,FALSE)</f>
        <v>782745</v>
      </c>
    </row>
    <row r="579" spans="1:2" hidden="1" x14ac:dyDescent="0.25">
      <c r="A579" s="3">
        <v>783484</v>
      </c>
      <c r="B579">
        <f>VLOOKUP(A579,todos!$A$1:$A$306,1,FALSE)</f>
        <v>783484</v>
      </c>
    </row>
    <row r="580" spans="1:2" hidden="1" x14ac:dyDescent="0.25">
      <c r="A580" s="3">
        <v>783488</v>
      </c>
      <c r="B580">
        <f>VLOOKUP(A580,todos!$A$1:$A$306,1,FALSE)</f>
        <v>783488</v>
      </c>
    </row>
    <row r="581" spans="1:2" hidden="1" x14ac:dyDescent="0.25">
      <c r="A581" s="3">
        <v>784526</v>
      </c>
      <c r="B581">
        <f>VLOOKUP(A581,todos!$A$1:$A$306,1,FALSE)</f>
        <v>784526</v>
      </c>
    </row>
    <row r="582" spans="1:2" hidden="1" x14ac:dyDescent="0.25">
      <c r="A582" s="3">
        <v>784624</v>
      </c>
      <c r="B582">
        <f>VLOOKUP(A582,todos!$A$1:$A$306,1,FALSE)</f>
        <v>784624</v>
      </c>
    </row>
    <row r="583" spans="1:2" hidden="1" x14ac:dyDescent="0.25">
      <c r="A583" s="3">
        <v>784624</v>
      </c>
      <c r="B583">
        <f>VLOOKUP(A583,todos!$A$1:$A$306,1,FALSE)</f>
        <v>784624</v>
      </c>
    </row>
    <row r="584" spans="1:2" hidden="1" x14ac:dyDescent="0.25">
      <c r="A584" s="3">
        <v>784624</v>
      </c>
      <c r="B584">
        <f>VLOOKUP(A584,todos!$A$1:$A$306,1,FALSE)</f>
        <v>784624</v>
      </c>
    </row>
    <row r="585" spans="1:2" hidden="1" x14ac:dyDescent="0.25">
      <c r="A585" s="3">
        <v>784624</v>
      </c>
      <c r="B585">
        <f>VLOOKUP(A585,todos!$A$1:$A$306,1,FALSE)</f>
        <v>784624</v>
      </c>
    </row>
    <row r="586" spans="1:2" hidden="1" x14ac:dyDescent="0.25">
      <c r="A586" s="3">
        <v>784624</v>
      </c>
      <c r="B586">
        <f>VLOOKUP(A586,todos!$A$1:$A$306,1,FALSE)</f>
        <v>784624</v>
      </c>
    </row>
    <row r="587" spans="1:2" hidden="1" x14ac:dyDescent="0.25">
      <c r="A587" s="3">
        <v>784624</v>
      </c>
      <c r="B587">
        <f>VLOOKUP(A587,todos!$A$1:$A$306,1,FALSE)</f>
        <v>784624</v>
      </c>
    </row>
    <row r="588" spans="1:2" hidden="1" x14ac:dyDescent="0.25">
      <c r="A588" s="3">
        <v>784624</v>
      </c>
      <c r="B588">
        <f>VLOOKUP(A588,todos!$A$1:$A$306,1,FALSE)</f>
        <v>784624</v>
      </c>
    </row>
    <row r="589" spans="1:2" hidden="1" x14ac:dyDescent="0.25">
      <c r="A589" s="3">
        <v>784624</v>
      </c>
      <c r="B589">
        <f>VLOOKUP(A589,todos!$A$1:$A$306,1,FALSE)</f>
        <v>784624</v>
      </c>
    </row>
    <row r="590" spans="1:2" hidden="1" x14ac:dyDescent="0.25">
      <c r="A590" s="3">
        <v>784624</v>
      </c>
      <c r="B590">
        <f>VLOOKUP(A590,todos!$A$1:$A$306,1,FALSE)</f>
        <v>784624</v>
      </c>
    </row>
    <row r="591" spans="1:2" hidden="1" x14ac:dyDescent="0.25">
      <c r="A591" s="3">
        <v>784624</v>
      </c>
      <c r="B591">
        <f>VLOOKUP(A591,todos!$A$1:$A$306,1,FALSE)</f>
        <v>784624</v>
      </c>
    </row>
    <row r="592" spans="1:2" hidden="1" x14ac:dyDescent="0.25">
      <c r="A592" s="3">
        <v>784624</v>
      </c>
      <c r="B592">
        <f>VLOOKUP(A592,todos!$A$1:$A$306,1,FALSE)</f>
        <v>784624</v>
      </c>
    </row>
    <row r="593" spans="1:2" hidden="1" x14ac:dyDescent="0.25">
      <c r="A593" s="3">
        <v>784628</v>
      </c>
      <c r="B593">
        <f>VLOOKUP(A593,todos!$A$1:$A$306,1,FALSE)</f>
        <v>784628</v>
      </c>
    </row>
    <row r="594" spans="1:2" hidden="1" x14ac:dyDescent="0.25">
      <c r="A594" s="10">
        <v>784907</v>
      </c>
      <c r="B594">
        <f>VLOOKUP(A594,todos!$A$1:$A$306,1,FALSE)</f>
        <v>784907</v>
      </c>
    </row>
    <row r="595" spans="1:2" hidden="1" x14ac:dyDescent="0.25">
      <c r="A595" s="10">
        <v>784907</v>
      </c>
      <c r="B595">
        <f>VLOOKUP(A595,todos!$A$1:$A$306,1,FALSE)</f>
        <v>784907</v>
      </c>
    </row>
    <row r="596" spans="1:2" hidden="1" x14ac:dyDescent="0.25">
      <c r="A596" s="10">
        <v>784907</v>
      </c>
      <c r="B596">
        <f>VLOOKUP(A596,todos!$A$1:$A$306,1,FALSE)</f>
        <v>784907</v>
      </c>
    </row>
    <row r="597" spans="1:2" hidden="1" x14ac:dyDescent="0.25">
      <c r="A597" s="10">
        <v>784907</v>
      </c>
      <c r="B597">
        <f>VLOOKUP(A597,todos!$A$1:$A$306,1,FALSE)</f>
        <v>784907</v>
      </c>
    </row>
    <row r="598" spans="1:2" hidden="1" x14ac:dyDescent="0.25">
      <c r="A598" s="10">
        <v>784907</v>
      </c>
      <c r="B598">
        <f>VLOOKUP(A598,todos!$A$1:$A$306,1,FALSE)</f>
        <v>784907</v>
      </c>
    </row>
    <row r="599" spans="1:2" hidden="1" x14ac:dyDescent="0.25">
      <c r="A599" s="10">
        <v>784907</v>
      </c>
      <c r="B599">
        <f>VLOOKUP(A599,todos!$A$1:$A$306,1,FALSE)</f>
        <v>784907</v>
      </c>
    </row>
    <row r="600" spans="1:2" hidden="1" x14ac:dyDescent="0.25">
      <c r="A600" s="10">
        <v>784907</v>
      </c>
      <c r="B600">
        <f>VLOOKUP(A600,todos!$A$1:$A$306,1,FALSE)</f>
        <v>784907</v>
      </c>
    </row>
    <row r="601" spans="1:2" hidden="1" x14ac:dyDescent="0.25">
      <c r="A601" s="10">
        <v>784907</v>
      </c>
      <c r="B601">
        <f>VLOOKUP(A601,todos!$A$1:$A$306,1,FALSE)</f>
        <v>784907</v>
      </c>
    </row>
    <row r="602" spans="1:2" hidden="1" x14ac:dyDescent="0.25">
      <c r="A602" s="10">
        <v>784907</v>
      </c>
      <c r="B602">
        <f>VLOOKUP(A602,todos!$A$1:$A$306,1,FALSE)</f>
        <v>784907</v>
      </c>
    </row>
    <row r="603" spans="1:2" hidden="1" x14ac:dyDescent="0.25">
      <c r="A603" s="10">
        <v>784907</v>
      </c>
      <c r="B603">
        <f>VLOOKUP(A603,todos!$A$1:$A$306,1,FALSE)</f>
        <v>784907</v>
      </c>
    </row>
    <row r="604" spans="1:2" hidden="1" x14ac:dyDescent="0.25">
      <c r="A604" s="10">
        <v>784907</v>
      </c>
      <c r="B604">
        <f>VLOOKUP(A604,todos!$A$1:$A$306,1,FALSE)</f>
        <v>784907</v>
      </c>
    </row>
    <row r="605" spans="1:2" hidden="1" x14ac:dyDescent="0.25">
      <c r="A605" s="10">
        <v>785080</v>
      </c>
      <c r="B605">
        <f>VLOOKUP(A605,todos!$A$1:$A$306,1,FALSE)</f>
        <v>785080</v>
      </c>
    </row>
    <row r="606" spans="1:2" hidden="1" x14ac:dyDescent="0.25">
      <c r="A606" s="10">
        <v>788850</v>
      </c>
      <c r="B606">
        <f>VLOOKUP(A606,todos!$A$1:$A$306,1,FALSE)</f>
        <v>788850</v>
      </c>
    </row>
    <row r="607" spans="1:2" hidden="1" x14ac:dyDescent="0.25">
      <c r="A607" s="10">
        <v>788899</v>
      </c>
      <c r="B607">
        <f>VLOOKUP(A607,todos!$A$1:$A$306,1,FALSE)</f>
        <v>788899</v>
      </c>
    </row>
    <row r="608" spans="1:2" hidden="1" x14ac:dyDescent="0.25">
      <c r="A608" s="3">
        <v>788999</v>
      </c>
      <c r="B608">
        <f>VLOOKUP(A608,todos!$A$1:$A$306,1,FALSE)</f>
        <v>788999</v>
      </c>
    </row>
    <row r="609" spans="1:2" hidden="1" x14ac:dyDescent="0.25">
      <c r="A609" s="3">
        <v>788999</v>
      </c>
      <c r="B609">
        <f>VLOOKUP(A609,todos!$A$1:$A$306,1,FALSE)</f>
        <v>788999</v>
      </c>
    </row>
    <row r="610" spans="1:2" hidden="1" x14ac:dyDescent="0.25">
      <c r="A610" s="3">
        <v>788999</v>
      </c>
      <c r="B610">
        <f>VLOOKUP(A610,todos!$A$1:$A$306,1,FALSE)</f>
        <v>788999</v>
      </c>
    </row>
    <row r="611" spans="1:2" hidden="1" x14ac:dyDescent="0.25">
      <c r="A611" s="3">
        <v>788999</v>
      </c>
      <c r="B611">
        <f>VLOOKUP(A611,todos!$A$1:$A$306,1,FALSE)</f>
        <v>788999</v>
      </c>
    </row>
    <row r="612" spans="1:2" hidden="1" x14ac:dyDescent="0.25">
      <c r="A612" s="3">
        <v>788999</v>
      </c>
      <c r="B612">
        <f>VLOOKUP(A612,todos!$A$1:$A$306,1,FALSE)</f>
        <v>788999</v>
      </c>
    </row>
    <row r="613" spans="1:2" hidden="1" x14ac:dyDescent="0.25">
      <c r="A613" s="3">
        <v>788999</v>
      </c>
      <c r="B613">
        <f>VLOOKUP(A613,todos!$A$1:$A$306,1,FALSE)</f>
        <v>788999</v>
      </c>
    </row>
    <row r="614" spans="1:2" hidden="1" x14ac:dyDescent="0.25">
      <c r="A614" s="3">
        <v>788999</v>
      </c>
      <c r="B614">
        <f>VLOOKUP(A614,todos!$A$1:$A$306,1,FALSE)</f>
        <v>788999</v>
      </c>
    </row>
    <row r="615" spans="1:2" hidden="1" x14ac:dyDescent="0.25">
      <c r="A615" s="3">
        <v>788999</v>
      </c>
      <c r="B615">
        <f>VLOOKUP(A615,todos!$A$1:$A$306,1,FALSE)</f>
        <v>788999</v>
      </c>
    </row>
    <row r="616" spans="1:2" hidden="1" x14ac:dyDescent="0.25">
      <c r="A616" s="3">
        <v>788999</v>
      </c>
      <c r="B616">
        <f>VLOOKUP(A616,todos!$A$1:$A$306,1,FALSE)</f>
        <v>788999</v>
      </c>
    </row>
    <row r="617" spans="1:2" hidden="1" x14ac:dyDescent="0.25">
      <c r="A617" s="3">
        <v>788999</v>
      </c>
      <c r="B617">
        <f>VLOOKUP(A617,todos!$A$1:$A$306,1,FALSE)</f>
        <v>788999</v>
      </c>
    </row>
    <row r="618" spans="1:2" hidden="1" x14ac:dyDescent="0.25">
      <c r="A618" s="3">
        <v>788999</v>
      </c>
      <c r="B618">
        <f>VLOOKUP(A618,todos!$A$1:$A$306,1,FALSE)</f>
        <v>788999</v>
      </c>
    </row>
    <row r="619" spans="1:2" hidden="1" x14ac:dyDescent="0.25">
      <c r="A619" s="3">
        <v>788999</v>
      </c>
      <c r="B619">
        <f>VLOOKUP(A619,todos!$A$1:$A$306,1,FALSE)</f>
        <v>788999</v>
      </c>
    </row>
    <row r="620" spans="1:2" hidden="1" x14ac:dyDescent="0.25">
      <c r="A620" s="3">
        <v>788999</v>
      </c>
      <c r="B620">
        <f>VLOOKUP(A620,todos!$A$1:$A$306,1,FALSE)</f>
        <v>788999</v>
      </c>
    </row>
    <row r="621" spans="1:2" hidden="1" x14ac:dyDescent="0.25">
      <c r="A621" s="3">
        <v>788999</v>
      </c>
      <c r="B621">
        <f>VLOOKUP(A621,todos!$A$1:$A$306,1,FALSE)</f>
        <v>788999</v>
      </c>
    </row>
    <row r="622" spans="1:2" hidden="1" x14ac:dyDescent="0.25">
      <c r="A622" s="3">
        <v>788999</v>
      </c>
      <c r="B622">
        <f>VLOOKUP(A622,todos!$A$1:$A$306,1,FALSE)</f>
        <v>788999</v>
      </c>
    </row>
    <row r="623" spans="1:2" hidden="1" x14ac:dyDescent="0.25">
      <c r="A623" s="3">
        <v>788999</v>
      </c>
      <c r="B623">
        <f>VLOOKUP(A623,todos!$A$1:$A$306,1,FALSE)</f>
        <v>788999</v>
      </c>
    </row>
    <row r="624" spans="1:2" hidden="1" x14ac:dyDescent="0.25">
      <c r="A624" s="3">
        <v>788999</v>
      </c>
      <c r="B624">
        <f>VLOOKUP(A624,todos!$A$1:$A$306,1,FALSE)</f>
        <v>788999</v>
      </c>
    </row>
    <row r="625" spans="1:2" hidden="1" x14ac:dyDescent="0.25">
      <c r="A625" s="3">
        <v>788999</v>
      </c>
      <c r="B625">
        <f>VLOOKUP(A625,todos!$A$1:$A$306,1,FALSE)</f>
        <v>788999</v>
      </c>
    </row>
    <row r="626" spans="1:2" hidden="1" x14ac:dyDescent="0.25">
      <c r="A626" s="3">
        <v>788999</v>
      </c>
      <c r="B626">
        <f>VLOOKUP(A626,todos!$A$1:$A$306,1,FALSE)</f>
        <v>788999</v>
      </c>
    </row>
    <row r="627" spans="1:2" hidden="1" x14ac:dyDescent="0.25">
      <c r="A627" s="3">
        <v>788999</v>
      </c>
      <c r="B627">
        <f>VLOOKUP(A627,todos!$A$1:$A$306,1,FALSE)</f>
        <v>788999</v>
      </c>
    </row>
    <row r="628" spans="1:2" hidden="1" x14ac:dyDescent="0.25">
      <c r="A628" s="3">
        <v>788999</v>
      </c>
      <c r="B628">
        <f>VLOOKUP(A628,todos!$A$1:$A$306,1,FALSE)</f>
        <v>788999</v>
      </c>
    </row>
    <row r="629" spans="1:2" hidden="1" x14ac:dyDescent="0.25">
      <c r="A629" s="3">
        <v>788999</v>
      </c>
      <c r="B629">
        <f>VLOOKUP(A629,todos!$A$1:$A$306,1,FALSE)</f>
        <v>788999</v>
      </c>
    </row>
    <row r="630" spans="1:2" hidden="1" x14ac:dyDescent="0.25">
      <c r="A630" s="3">
        <v>788999</v>
      </c>
      <c r="B630">
        <f>VLOOKUP(A630,todos!$A$1:$A$306,1,FALSE)</f>
        <v>788999</v>
      </c>
    </row>
    <row r="631" spans="1:2" hidden="1" x14ac:dyDescent="0.25">
      <c r="A631" s="3">
        <v>788999</v>
      </c>
      <c r="B631">
        <f>VLOOKUP(A631,todos!$A$1:$A$306,1,FALSE)</f>
        <v>788999</v>
      </c>
    </row>
    <row r="632" spans="1:2" hidden="1" x14ac:dyDescent="0.25">
      <c r="A632" s="3">
        <v>788999</v>
      </c>
      <c r="B632">
        <f>VLOOKUP(A632,todos!$A$1:$A$306,1,FALSE)</f>
        <v>788999</v>
      </c>
    </row>
    <row r="633" spans="1:2" hidden="1" x14ac:dyDescent="0.25">
      <c r="A633" s="3">
        <v>788999</v>
      </c>
      <c r="B633">
        <f>VLOOKUP(A633,todos!$A$1:$A$306,1,FALSE)</f>
        <v>788999</v>
      </c>
    </row>
    <row r="634" spans="1:2" x14ac:dyDescent="0.25">
      <c r="A634" s="3">
        <v>789264</v>
      </c>
      <c r="B634" t="e">
        <f>VLOOKUP(A634,todos!$A$1:$A$306,1,FALSE)</f>
        <v>#N/A</v>
      </c>
    </row>
    <row r="635" spans="1:2" x14ac:dyDescent="0.25">
      <c r="A635" s="3">
        <v>789264</v>
      </c>
      <c r="B635" t="e">
        <f>VLOOKUP(A635,todos!$A$1:$A$306,1,FALSE)</f>
        <v>#N/A</v>
      </c>
    </row>
    <row r="636" spans="1:2" hidden="1" x14ac:dyDescent="0.25">
      <c r="A636" s="3">
        <v>796045</v>
      </c>
      <c r="B636">
        <f>VLOOKUP(A636,todos!$A$1:$A$306,1,FALSE)</f>
        <v>796045</v>
      </c>
    </row>
    <row r="637" spans="1:2" hidden="1" x14ac:dyDescent="0.25">
      <c r="A637" s="3">
        <v>796045</v>
      </c>
      <c r="B637">
        <f>VLOOKUP(A637,todos!$A$1:$A$306,1,FALSE)</f>
        <v>796045</v>
      </c>
    </row>
    <row r="638" spans="1:2" hidden="1" x14ac:dyDescent="0.25">
      <c r="A638" s="10">
        <v>798614</v>
      </c>
      <c r="B638">
        <f>VLOOKUP(A638,todos!$A$1:$A$306,1,FALSE)</f>
        <v>798614</v>
      </c>
    </row>
    <row r="639" spans="1:2" hidden="1" x14ac:dyDescent="0.25">
      <c r="A639" s="10">
        <v>798623</v>
      </c>
      <c r="B639">
        <f>VLOOKUP(A639,todos!$A$1:$A$306,1,FALSE)</f>
        <v>798623</v>
      </c>
    </row>
    <row r="640" spans="1:2" hidden="1" x14ac:dyDescent="0.25">
      <c r="A640" s="3">
        <v>798858</v>
      </c>
      <c r="B640">
        <f>VLOOKUP(A640,todos!$A$1:$A$306,1,FALSE)</f>
        <v>798858</v>
      </c>
    </row>
    <row r="641" spans="1:2" x14ac:dyDescent="0.25">
      <c r="A641" s="23">
        <v>798863</v>
      </c>
      <c r="B641" t="e">
        <f>VLOOKUP(A641,todos!$A$1:$A$306,1,FALSE)</f>
        <v>#N/A</v>
      </c>
    </row>
    <row r="642" spans="1:2" x14ac:dyDescent="0.25">
      <c r="A642" s="23">
        <v>798864</v>
      </c>
      <c r="B642" t="e">
        <f>VLOOKUP(A642,todos!$A$1:$A$306,1,FALSE)</f>
        <v>#N/A</v>
      </c>
    </row>
    <row r="643" spans="1:2" hidden="1" x14ac:dyDescent="0.25">
      <c r="A643" s="3">
        <v>798866</v>
      </c>
      <c r="B643">
        <f>VLOOKUP(A643,todos!$A$1:$A$306,1,FALSE)</f>
        <v>798866</v>
      </c>
    </row>
    <row r="644" spans="1:2" hidden="1" x14ac:dyDescent="0.25">
      <c r="A644" s="3">
        <v>798873</v>
      </c>
      <c r="B644">
        <f>VLOOKUP(A644,todos!$A$1:$A$306,1,FALSE)</f>
        <v>798873</v>
      </c>
    </row>
    <row r="645" spans="1:2" hidden="1" x14ac:dyDescent="0.25">
      <c r="A645" s="3">
        <v>798873</v>
      </c>
      <c r="B645">
        <f>VLOOKUP(A645,todos!$A$1:$A$306,1,FALSE)</f>
        <v>798873</v>
      </c>
    </row>
    <row r="646" spans="1:2" x14ac:dyDescent="0.25">
      <c r="A646" s="23">
        <v>798881</v>
      </c>
      <c r="B646" t="e">
        <f>VLOOKUP(A646,todos!$A$1:$A$306,1,FALSE)</f>
        <v>#N/A</v>
      </c>
    </row>
    <row r="647" spans="1:2" hidden="1" x14ac:dyDescent="0.25">
      <c r="A647" s="10">
        <v>800848</v>
      </c>
      <c r="B647">
        <f>VLOOKUP(A647,todos!$A$1:$A$306,1,FALSE)</f>
        <v>800848</v>
      </c>
    </row>
    <row r="648" spans="1:2" x14ac:dyDescent="0.25">
      <c r="A648" s="23">
        <v>800863</v>
      </c>
      <c r="B648" t="e">
        <f>VLOOKUP(A648,todos!$A$1:$A$306,1,FALSE)</f>
        <v>#N/A</v>
      </c>
    </row>
    <row r="649" spans="1:2" x14ac:dyDescent="0.25">
      <c r="A649" s="23">
        <v>800870</v>
      </c>
      <c r="B649" t="e">
        <f>VLOOKUP(A649,todos!$A$1:$A$306,1,FALSE)</f>
        <v>#N/A</v>
      </c>
    </row>
    <row r="650" spans="1:2" hidden="1" x14ac:dyDescent="0.25">
      <c r="A650" s="10">
        <v>801047</v>
      </c>
      <c r="B650">
        <f>VLOOKUP(A650,todos!$A$1:$A$306,1,FALSE)</f>
        <v>801047</v>
      </c>
    </row>
    <row r="651" spans="1:2" hidden="1" x14ac:dyDescent="0.25">
      <c r="A651" s="10">
        <v>804699</v>
      </c>
      <c r="B651">
        <f>VLOOKUP(A651,todos!$A$1:$A$306,1,FALSE)</f>
        <v>804699</v>
      </c>
    </row>
    <row r="652" spans="1:2" hidden="1" x14ac:dyDescent="0.25">
      <c r="A652" s="10">
        <v>804707</v>
      </c>
      <c r="B652">
        <f>VLOOKUP(A652,todos!$A$1:$A$306,1,FALSE)</f>
        <v>804707</v>
      </c>
    </row>
    <row r="653" spans="1:2" hidden="1" x14ac:dyDescent="0.25">
      <c r="A653" s="10">
        <v>804707</v>
      </c>
      <c r="B653">
        <f>VLOOKUP(A653,todos!$A$1:$A$306,1,FALSE)</f>
        <v>804707</v>
      </c>
    </row>
    <row r="654" spans="1:2" hidden="1" x14ac:dyDescent="0.25">
      <c r="A654" s="10">
        <v>804731</v>
      </c>
      <c r="B654">
        <f>VLOOKUP(A654,todos!$A$1:$A$306,1,FALSE)</f>
        <v>804731</v>
      </c>
    </row>
    <row r="655" spans="1:2" hidden="1" x14ac:dyDescent="0.25">
      <c r="A655" s="18">
        <v>804731</v>
      </c>
      <c r="B655">
        <f>VLOOKUP(A655,todos!$A$1:$A$306,1,FALSE)</f>
        <v>804731</v>
      </c>
    </row>
    <row r="656" spans="1:2" hidden="1" x14ac:dyDescent="0.25">
      <c r="A656" s="29">
        <v>804731</v>
      </c>
      <c r="B656">
        <f>VLOOKUP(A656,todos!$A$1:$A$306,1,FALSE)</f>
        <v>804731</v>
      </c>
    </row>
    <row r="657" spans="1:2" hidden="1" x14ac:dyDescent="0.25">
      <c r="A657" s="29">
        <v>804731</v>
      </c>
      <c r="B657">
        <f>VLOOKUP(A657,todos!$A$1:$A$306,1,FALSE)</f>
        <v>804731</v>
      </c>
    </row>
    <row r="658" spans="1:2" hidden="1" x14ac:dyDescent="0.25">
      <c r="A658" s="29">
        <v>804731</v>
      </c>
      <c r="B658">
        <f>VLOOKUP(A658,todos!$A$1:$A$306,1,FALSE)</f>
        <v>804731</v>
      </c>
    </row>
    <row r="659" spans="1:2" hidden="1" x14ac:dyDescent="0.25">
      <c r="A659" s="10">
        <v>804973</v>
      </c>
      <c r="B659">
        <f>VLOOKUP(A659,todos!$A$1:$A$306,1,FALSE)</f>
        <v>804973</v>
      </c>
    </row>
    <row r="660" spans="1:2" hidden="1" x14ac:dyDescent="0.25">
      <c r="A660" s="29">
        <v>805036</v>
      </c>
      <c r="B660">
        <f>VLOOKUP(A660,todos!$A$1:$A$306,1,FALSE)</f>
        <v>805036</v>
      </c>
    </row>
    <row r="661" spans="1:2" x14ac:dyDescent="0.25">
      <c r="A661" s="23">
        <v>807561</v>
      </c>
      <c r="B661" t="e">
        <f>VLOOKUP(A661,todos!$A$1:$A$306,1,FALSE)</f>
        <v>#N/A</v>
      </c>
    </row>
    <row r="662" spans="1:2" hidden="1" x14ac:dyDescent="0.25">
      <c r="A662" s="10">
        <v>807567</v>
      </c>
      <c r="B662">
        <f>VLOOKUP(A662,todos!$A$1:$A$306,1,FALSE)</f>
        <v>807567</v>
      </c>
    </row>
    <row r="663" spans="1:2" x14ac:dyDescent="0.25">
      <c r="A663" s="23">
        <v>807675</v>
      </c>
      <c r="B663" t="e">
        <f>VLOOKUP(A663,todos!$A$1:$A$306,1,FALSE)</f>
        <v>#N/A</v>
      </c>
    </row>
    <row r="664" spans="1:2" x14ac:dyDescent="0.25">
      <c r="A664" s="10">
        <v>808481</v>
      </c>
      <c r="B664" t="e">
        <f>VLOOKUP(A664,todos!$A$1:$A$306,1,FALSE)</f>
        <v>#N/A</v>
      </c>
    </row>
    <row r="665" spans="1:2" x14ac:dyDescent="0.25">
      <c r="A665" s="10">
        <v>808481</v>
      </c>
      <c r="B665" t="e">
        <f>VLOOKUP(A665,todos!$A$1:$A$306,1,FALSE)</f>
        <v>#N/A</v>
      </c>
    </row>
    <row r="666" spans="1:2" x14ac:dyDescent="0.25">
      <c r="A666" s="10">
        <v>808481</v>
      </c>
      <c r="B666" t="e">
        <f>VLOOKUP(A666,todos!$A$1:$A$306,1,FALSE)</f>
        <v>#N/A</v>
      </c>
    </row>
    <row r="667" spans="1:2" x14ac:dyDescent="0.25">
      <c r="A667" s="10">
        <v>808486</v>
      </c>
      <c r="B667" t="e">
        <f>VLOOKUP(A667,todos!$A$1:$A$306,1,FALSE)</f>
        <v>#N/A</v>
      </c>
    </row>
    <row r="668" spans="1:2" x14ac:dyDescent="0.25">
      <c r="A668" s="10">
        <v>808486</v>
      </c>
      <c r="B668" t="e">
        <f>VLOOKUP(A668,todos!$A$1:$A$306,1,FALSE)</f>
        <v>#N/A</v>
      </c>
    </row>
    <row r="669" spans="1:2" x14ac:dyDescent="0.25">
      <c r="A669" s="10">
        <v>808486</v>
      </c>
      <c r="B669" t="e">
        <f>VLOOKUP(A669,todos!$A$1:$A$306,1,FALSE)</f>
        <v>#N/A</v>
      </c>
    </row>
    <row r="670" spans="1:2" x14ac:dyDescent="0.25">
      <c r="A670" s="10">
        <v>808486</v>
      </c>
      <c r="B670" t="e">
        <f>VLOOKUP(A670,todos!$A$1:$A$306,1,FALSE)</f>
        <v>#N/A</v>
      </c>
    </row>
    <row r="671" spans="1:2" x14ac:dyDescent="0.25">
      <c r="A671" s="10">
        <v>808486</v>
      </c>
      <c r="B671" t="e">
        <f>VLOOKUP(A671,todos!$A$1:$A$306,1,FALSE)</f>
        <v>#N/A</v>
      </c>
    </row>
    <row r="672" spans="1:2" x14ac:dyDescent="0.25">
      <c r="A672" s="10">
        <v>808486</v>
      </c>
      <c r="B672" t="e">
        <f>VLOOKUP(A672,todos!$A$1:$A$306,1,FALSE)</f>
        <v>#N/A</v>
      </c>
    </row>
    <row r="673" spans="1:2" x14ac:dyDescent="0.25">
      <c r="A673" s="10">
        <v>808497</v>
      </c>
      <c r="B673" t="e">
        <f>VLOOKUP(A673,todos!$A$1:$A$306,1,FALSE)</f>
        <v>#N/A</v>
      </c>
    </row>
    <row r="674" spans="1:2" x14ac:dyDescent="0.25">
      <c r="A674" s="10">
        <v>808502</v>
      </c>
      <c r="B674" t="e">
        <f>VLOOKUP(A674,todos!$A$1:$A$306,1,FALSE)</f>
        <v>#N/A</v>
      </c>
    </row>
    <row r="675" spans="1:2" x14ac:dyDescent="0.25">
      <c r="A675" s="10">
        <v>808536</v>
      </c>
      <c r="B675" t="e">
        <f>VLOOKUP(A675,todos!$A$1:$A$306,1,FALSE)</f>
        <v>#N/A</v>
      </c>
    </row>
    <row r="676" spans="1:2" x14ac:dyDescent="0.25">
      <c r="A676" s="10">
        <v>808536</v>
      </c>
      <c r="B676" t="e">
        <f>VLOOKUP(A676,todos!$A$1:$A$306,1,FALSE)</f>
        <v>#N/A</v>
      </c>
    </row>
    <row r="677" spans="1:2" x14ac:dyDescent="0.25">
      <c r="A677" s="10">
        <v>808536</v>
      </c>
      <c r="B677" t="e">
        <f>VLOOKUP(A677,todos!$A$1:$A$306,1,FALSE)</f>
        <v>#N/A</v>
      </c>
    </row>
    <row r="678" spans="1:2" x14ac:dyDescent="0.25">
      <c r="A678" s="10">
        <v>808536</v>
      </c>
      <c r="B678" t="e">
        <f>VLOOKUP(A678,todos!$A$1:$A$306,1,FALSE)</f>
        <v>#N/A</v>
      </c>
    </row>
    <row r="679" spans="1:2" x14ac:dyDescent="0.25">
      <c r="A679" s="10">
        <v>808536</v>
      </c>
      <c r="B679" t="e">
        <f>VLOOKUP(A679,todos!$A$1:$A$306,1,FALSE)</f>
        <v>#N/A</v>
      </c>
    </row>
    <row r="680" spans="1:2" x14ac:dyDescent="0.25">
      <c r="A680" s="10">
        <v>808536</v>
      </c>
      <c r="B680" t="e">
        <f>VLOOKUP(A680,todos!$A$1:$A$306,1,FALSE)</f>
        <v>#N/A</v>
      </c>
    </row>
    <row r="681" spans="1:2" x14ac:dyDescent="0.25">
      <c r="A681" s="10">
        <v>808536</v>
      </c>
      <c r="B681" t="e">
        <f>VLOOKUP(A681,todos!$A$1:$A$306,1,FALSE)</f>
        <v>#N/A</v>
      </c>
    </row>
    <row r="682" spans="1:2" hidden="1" x14ac:dyDescent="0.25">
      <c r="A682" s="10">
        <v>808766</v>
      </c>
      <c r="B682">
        <f>VLOOKUP(A682,todos!$A$1:$A$306,1,FALSE)</f>
        <v>808766</v>
      </c>
    </row>
    <row r="683" spans="1:2" hidden="1" x14ac:dyDescent="0.25">
      <c r="A683" s="3">
        <v>808818</v>
      </c>
      <c r="B683">
        <f>VLOOKUP(A683,todos!$A$1:$A$306,1,FALSE)</f>
        <v>808818</v>
      </c>
    </row>
    <row r="684" spans="1:2" hidden="1" x14ac:dyDescent="0.25">
      <c r="A684" s="3">
        <v>808818</v>
      </c>
      <c r="B684">
        <f>VLOOKUP(A684,todos!$A$1:$A$306,1,FALSE)</f>
        <v>808818</v>
      </c>
    </row>
    <row r="685" spans="1:2" hidden="1" x14ac:dyDescent="0.25">
      <c r="A685" s="3">
        <v>808818</v>
      </c>
      <c r="B685">
        <f>VLOOKUP(A685,todos!$A$1:$A$306,1,FALSE)</f>
        <v>808818</v>
      </c>
    </row>
    <row r="686" spans="1:2" hidden="1" x14ac:dyDescent="0.25">
      <c r="A686" s="10">
        <v>810040</v>
      </c>
      <c r="B686">
        <f>VLOOKUP(A686,todos!$A$1:$A$306,1,FALSE)</f>
        <v>810040</v>
      </c>
    </row>
    <row r="687" spans="1:2" x14ac:dyDescent="0.25">
      <c r="A687" s="10">
        <v>810044</v>
      </c>
      <c r="B687" t="e">
        <f>VLOOKUP(A687,todos!$A$1:$A$306,1,FALSE)</f>
        <v>#N/A</v>
      </c>
    </row>
    <row r="688" spans="1:2" x14ac:dyDescent="0.25">
      <c r="A688" s="10">
        <v>810055</v>
      </c>
      <c r="B688" t="e">
        <f>VLOOKUP(A688,todos!$A$1:$A$306,1,FALSE)</f>
        <v>#N/A</v>
      </c>
    </row>
    <row r="689" spans="1:2" x14ac:dyDescent="0.25">
      <c r="A689" s="10">
        <v>810055</v>
      </c>
      <c r="B689" t="e">
        <f>VLOOKUP(A689,todos!$A$1:$A$306,1,FALSE)</f>
        <v>#N/A</v>
      </c>
    </row>
    <row r="690" spans="1:2" x14ac:dyDescent="0.25">
      <c r="A690" s="23">
        <v>810381</v>
      </c>
      <c r="B690" t="e">
        <f>VLOOKUP(A690,todos!$A$1:$A$306,1,FALSE)</f>
        <v>#N/A</v>
      </c>
    </row>
    <row r="691" spans="1:2" hidden="1" x14ac:dyDescent="0.25">
      <c r="A691" s="10">
        <v>811645</v>
      </c>
      <c r="B691">
        <f>VLOOKUP(A691,todos!$A$1:$A$306,1,FALSE)</f>
        <v>811645</v>
      </c>
    </row>
    <row r="692" spans="1:2" hidden="1" x14ac:dyDescent="0.25">
      <c r="A692" s="10">
        <v>847196</v>
      </c>
      <c r="B692">
        <f>VLOOKUP(A692,todos!$A$1:$A$306,1,FALSE)</f>
        <v>847196</v>
      </c>
    </row>
    <row r="693" spans="1:2" x14ac:dyDescent="0.25">
      <c r="A693" s="10">
        <v>849980</v>
      </c>
      <c r="B693" t="e">
        <f>VLOOKUP(A693,todos!$A$1:$A$306,1,FALSE)</f>
        <v>#N/A</v>
      </c>
    </row>
    <row r="694" spans="1:2" x14ac:dyDescent="0.25">
      <c r="A694" s="10">
        <v>849980</v>
      </c>
      <c r="B694" t="e">
        <f>VLOOKUP(A694,todos!$A$1:$A$306,1,FALSE)</f>
        <v>#N/A</v>
      </c>
    </row>
    <row r="695" spans="1:2" x14ac:dyDescent="0.25">
      <c r="A695" s="10">
        <v>849980</v>
      </c>
      <c r="B695" t="e">
        <f>VLOOKUP(A695,todos!$A$1:$A$306,1,FALSE)</f>
        <v>#N/A</v>
      </c>
    </row>
    <row r="696" spans="1:2" x14ac:dyDescent="0.25">
      <c r="A696" s="10">
        <v>849980</v>
      </c>
      <c r="B696" t="e">
        <f>VLOOKUP(A696,todos!$A$1:$A$306,1,FALSE)</f>
        <v>#N/A</v>
      </c>
    </row>
    <row r="697" spans="1:2" x14ac:dyDescent="0.25">
      <c r="A697" s="10">
        <v>849990</v>
      </c>
      <c r="B697" t="e">
        <f>VLOOKUP(A697,todos!$A$1:$A$306,1,FALSE)</f>
        <v>#N/A</v>
      </c>
    </row>
    <row r="698" spans="1:2" x14ac:dyDescent="0.25">
      <c r="A698" s="23">
        <v>851350</v>
      </c>
      <c r="B698" t="e">
        <f>VLOOKUP(A698,todos!$A$1:$A$306,1,FALSE)</f>
        <v>#N/A</v>
      </c>
    </row>
    <row r="699" spans="1:2" hidden="1" x14ac:dyDescent="0.25">
      <c r="A699" s="10">
        <v>851358</v>
      </c>
      <c r="B699">
        <f>VLOOKUP(A699,todos!$A$1:$A$306,1,FALSE)</f>
        <v>851358</v>
      </c>
    </row>
    <row r="700" spans="1:2" hidden="1" x14ac:dyDescent="0.25">
      <c r="A700" s="10">
        <v>851358</v>
      </c>
      <c r="B700">
        <f>VLOOKUP(A700,todos!$A$1:$A$306,1,FALSE)</f>
        <v>851358</v>
      </c>
    </row>
    <row r="701" spans="1:2" hidden="1" x14ac:dyDescent="0.25">
      <c r="A701" s="10">
        <v>851358</v>
      </c>
      <c r="B701">
        <f>VLOOKUP(A701,todos!$A$1:$A$306,1,FALSE)</f>
        <v>851358</v>
      </c>
    </row>
    <row r="702" spans="1:2" hidden="1" x14ac:dyDescent="0.25">
      <c r="A702" s="10">
        <v>851358</v>
      </c>
      <c r="B702">
        <f>VLOOKUP(A702,todos!$A$1:$A$306,1,FALSE)</f>
        <v>851358</v>
      </c>
    </row>
    <row r="703" spans="1:2" hidden="1" x14ac:dyDescent="0.25">
      <c r="A703" s="10">
        <v>851358</v>
      </c>
      <c r="B703">
        <f>VLOOKUP(A703,todos!$A$1:$A$306,1,FALSE)</f>
        <v>851358</v>
      </c>
    </row>
    <row r="704" spans="1:2" hidden="1" x14ac:dyDescent="0.25">
      <c r="A704" s="10">
        <v>851358</v>
      </c>
      <c r="B704">
        <f>VLOOKUP(A704,todos!$A$1:$A$306,1,FALSE)</f>
        <v>851358</v>
      </c>
    </row>
    <row r="705" spans="1:2" hidden="1" x14ac:dyDescent="0.25">
      <c r="A705" s="10">
        <v>851358</v>
      </c>
      <c r="B705">
        <f>VLOOKUP(A705,todos!$A$1:$A$306,1,FALSE)</f>
        <v>851358</v>
      </c>
    </row>
    <row r="706" spans="1:2" hidden="1" x14ac:dyDescent="0.25">
      <c r="A706" s="10">
        <v>851358</v>
      </c>
      <c r="B706">
        <f>VLOOKUP(A706,todos!$A$1:$A$306,1,FALSE)</f>
        <v>851358</v>
      </c>
    </row>
    <row r="707" spans="1:2" hidden="1" x14ac:dyDescent="0.25">
      <c r="A707" s="10">
        <v>851358</v>
      </c>
      <c r="B707">
        <f>VLOOKUP(A707,todos!$A$1:$A$306,1,FALSE)</f>
        <v>851358</v>
      </c>
    </row>
    <row r="708" spans="1:2" hidden="1" x14ac:dyDescent="0.25">
      <c r="A708" s="10">
        <v>851358</v>
      </c>
      <c r="B708">
        <f>VLOOKUP(A708,todos!$A$1:$A$306,1,FALSE)</f>
        <v>851358</v>
      </c>
    </row>
    <row r="709" spans="1:2" hidden="1" x14ac:dyDescent="0.25">
      <c r="A709" s="10">
        <v>851358</v>
      </c>
      <c r="B709">
        <f>VLOOKUP(A709,todos!$A$1:$A$306,1,FALSE)</f>
        <v>851358</v>
      </c>
    </row>
    <row r="710" spans="1:2" hidden="1" x14ac:dyDescent="0.25">
      <c r="A710" s="10">
        <v>851358</v>
      </c>
      <c r="B710">
        <f>VLOOKUP(A710,todos!$A$1:$A$306,1,FALSE)</f>
        <v>851358</v>
      </c>
    </row>
    <row r="711" spans="1:2" hidden="1" x14ac:dyDescent="0.25">
      <c r="A711" s="10">
        <v>851358</v>
      </c>
      <c r="B711">
        <f>VLOOKUP(A711,todos!$A$1:$A$306,1,FALSE)</f>
        <v>851358</v>
      </c>
    </row>
    <row r="712" spans="1:2" hidden="1" x14ac:dyDescent="0.25">
      <c r="A712" s="10">
        <v>851358</v>
      </c>
      <c r="B712">
        <f>VLOOKUP(A712,todos!$A$1:$A$306,1,FALSE)</f>
        <v>851358</v>
      </c>
    </row>
    <row r="713" spans="1:2" hidden="1" x14ac:dyDescent="0.25">
      <c r="A713" s="10">
        <v>851358</v>
      </c>
      <c r="B713">
        <f>VLOOKUP(A713,todos!$A$1:$A$306,1,FALSE)</f>
        <v>851358</v>
      </c>
    </row>
    <row r="714" spans="1:2" hidden="1" x14ac:dyDescent="0.25">
      <c r="A714" s="40">
        <v>851358</v>
      </c>
      <c r="B714">
        <f>VLOOKUP(A714,todos!$A$1:$A$306,1,FALSE)</f>
        <v>851358</v>
      </c>
    </row>
    <row r="715" spans="1:2" hidden="1" x14ac:dyDescent="0.25">
      <c r="A715" s="10">
        <v>851957</v>
      </c>
      <c r="B715">
        <f>VLOOKUP(A715,todos!$A$1:$A$306,1,FALSE)</f>
        <v>851957</v>
      </c>
    </row>
    <row r="716" spans="1:2" hidden="1" x14ac:dyDescent="0.25">
      <c r="A716" s="10">
        <v>852081</v>
      </c>
      <c r="B716">
        <f>VLOOKUP(A716,todos!$A$1:$A$306,1,FALSE)</f>
        <v>852081</v>
      </c>
    </row>
    <row r="717" spans="1:2" hidden="1" x14ac:dyDescent="0.25">
      <c r="A717" s="10">
        <v>852140</v>
      </c>
      <c r="B717">
        <f>VLOOKUP(A717,todos!$A$1:$A$306,1,FALSE)</f>
        <v>852140</v>
      </c>
    </row>
    <row r="718" spans="1:2" hidden="1" x14ac:dyDescent="0.25">
      <c r="A718" s="10">
        <v>852140</v>
      </c>
      <c r="B718">
        <f>VLOOKUP(A718,todos!$A$1:$A$306,1,FALSE)</f>
        <v>852140</v>
      </c>
    </row>
    <row r="719" spans="1:2" hidden="1" x14ac:dyDescent="0.25">
      <c r="A719" s="10">
        <v>852140</v>
      </c>
      <c r="B719">
        <f>VLOOKUP(A719,todos!$A$1:$A$306,1,FALSE)</f>
        <v>852140</v>
      </c>
    </row>
    <row r="720" spans="1:2" hidden="1" x14ac:dyDescent="0.25">
      <c r="A720" s="10">
        <v>852331</v>
      </c>
      <c r="B720">
        <f>VLOOKUP(A720,todos!$A$1:$A$306,1,FALSE)</f>
        <v>852331</v>
      </c>
    </row>
    <row r="721" spans="1:2" hidden="1" x14ac:dyDescent="0.25">
      <c r="A721" s="10">
        <v>852331</v>
      </c>
      <c r="B721">
        <f>VLOOKUP(A721,todos!$A$1:$A$306,1,FALSE)</f>
        <v>852331</v>
      </c>
    </row>
    <row r="722" spans="1:2" hidden="1" x14ac:dyDescent="0.25">
      <c r="A722" s="10">
        <v>852331</v>
      </c>
      <c r="B722">
        <f>VLOOKUP(A722,todos!$A$1:$A$306,1,FALSE)</f>
        <v>852331</v>
      </c>
    </row>
    <row r="723" spans="1:2" x14ac:dyDescent="0.25">
      <c r="A723" s="23">
        <v>852833</v>
      </c>
      <c r="B723" t="e">
        <f>VLOOKUP(A723,todos!$A$1:$A$306,1,FALSE)</f>
        <v>#N/A</v>
      </c>
    </row>
    <row r="724" spans="1:2" hidden="1" x14ac:dyDescent="0.25">
      <c r="A724" s="10">
        <v>855528</v>
      </c>
      <c r="B724">
        <f>VLOOKUP(A724,todos!$A$1:$A$306,1,FALSE)</f>
        <v>855528</v>
      </c>
    </row>
    <row r="725" spans="1:2" hidden="1" x14ac:dyDescent="0.25">
      <c r="A725" s="10">
        <v>855528</v>
      </c>
      <c r="B725">
        <f>VLOOKUP(A725,todos!$A$1:$A$306,1,FALSE)</f>
        <v>855528</v>
      </c>
    </row>
    <row r="726" spans="1:2" hidden="1" x14ac:dyDescent="0.25">
      <c r="A726" s="10">
        <v>857274</v>
      </c>
      <c r="B726">
        <f>VLOOKUP(A726,todos!$A$1:$A$306,1,FALSE)</f>
        <v>857274</v>
      </c>
    </row>
    <row r="727" spans="1:2" x14ac:dyDescent="0.25">
      <c r="A727" s="23">
        <v>859037</v>
      </c>
      <c r="B727" t="e">
        <f>VLOOKUP(A727,todos!$A$1:$A$306,1,FALSE)</f>
        <v>#N/A</v>
      </c>
    </row>
    <row r="728" spans="1:2" hidden="1" x14ac:dyDescent="0.25">
      <c r="A728" s="10">
        <v>860111</v>
      </c>
      <c r="B728">
        <f>VLOOKUP(A728,todos!$A$1:$A$306,1,FALSE)</f>
        <v>860111</v>
      </c>
    </row>
    <row r="729" spans="1:2" hidden="1" x14ac:dyDescent="0.25">
      <c r="A729" s="10">
        <v>860111</v>
      </c>
      <c r="B729">
        <f>VLOOKUP(A729,todos!$A$1:$A$306,1,FALSE)</f>
        <v>860111</v>
      </c>
    </row>
    <row r="730" spans="1:2" hidden="1" x14ac:dyDescent="0.25">
      <c r="A730" s="10">
        <v>860111</v>
      </c>
      <c r="B730">
        <f>VLOOKUP(A730,todos!$A$1:$A$306,1,FALSE)</f>
        <v>860111</v>
      </c>
    </row>
    <row r="731" spans="1:2" hidden="1" x14ac:dyDescent="0.25">
      <c r="A731" s="10">
        <v>860111</v>
      </c>
      <c r="B731">
        <f>VLOOKUP(A731,todos!$A$1:$A$306,1,FALSE)</f>
        <v>860111</v>
      </c>
    </row>
    <row r="732" spans="1:2" hidden="1" x14ac:dyDescent="0.25">
      <c r="A732" s="10">
        <v>860111</v>
      </c>
      <c r="B732">
        <f>VLOOKUP(A732,todos!$A$1:$A$306,1,FALSE)</f>
        <v>860111</v>
      </c>
    </row>
    <row r="733" spans="1:2" hidden="1" x14ac:dyDescent="0.25">
      <c r="A733" s="10">
        <v>860111</v>
      </c>
      <c r="B733">
        <f>VLOOKUP(A733,todos!$A$1:$A$306,1,FALSE)</f>
        <v>860111</v>
      </c>
    </row>
    <row r="734" spans="1:2" hidden="1" x14ac:dyDescent="0.25">
      <c r="A734" s="10">
        <v>860111</v>
      </c>
      <c r="B734">
        <f>VLOOKUP(A734,todos!$A$1:$A$306,1,FALSE)</f>
        <v>860111</v>
      </c>
    </row>
    <row r="735" spans="1:2" hidden="1" x14ac:dyDescent="0.25">
      <c r="A735" s="10">
        <v>860111</v>
      </c>
      <c r="B735">
        <f>VLOOKUP(A735,todos!$A$1:$A$306,1,FALSE)</f>
        <v>860111</v>
      </c>
    </row>
    <row r="736" spans="1:2" hidden="1" x14ac:dyDescent="0.25">
      <c r="A736" s="10">
        <v>865247</v>
      </c>
      <c r="B736">
        <f>VLOOKUP(A736,todos!$A$1:$A$306,1,FALSE)</f>
        <v>865247</v>
      </c>
    </row>
    <row r="737" spans="1:2" hidden="1" x14ac:dyDescent="0.25">
      <c r="A737" s="3">
        <v>865343</v>
      </c>
      <c r="B737">
        <f>VLOOKUP(A737,todos!$A$1:$A$306,1,FALSE)</f>
        <v>865343</v>
      </c>
    </row>
    <row r="738" spans="1:2" hidden="1" x14ac:dyDescent="0.25">
      <c r="A738" s="10">
        <v>865410</v>
      </c>
      <c r="B738">
        <f>VLOOKUP(A738,todos!$A$1:$A$306,1,FALSE)</f>
        <v>865410</v>
      </c>
    </row>
    <row r="739" spans="1:2" hidden="1" x14ac:dyDescent="0.25">
      <c r="A739" s="10">
        <v>865420</v>
      </c>
      <c r="B739">
        <f>VLOOKUP(A739,todos!$A$1:$A$306,1,FALSE)</f>
        <v>865420</v>
      </c>
    </row>
    <row r="740" spans="1:2" hidden="1" x14ac:dyDescent="0.25">
      <c r="A740" s="10">
        <v>866522</v>
      </c>
      <c r="B740">
        <f>VLOOKUP(A740,todos!$A$1:$A$306,1,FALSE)</f>
        <v>866522</v>
      </c>
    </row>
    <row r="741" spans="1:2" hidden="1" x14ac:dyDescent="0.25">
      <c r="A741" s="10">
        <v>866522</v>
      </c>
      <c r="B741">
        <f>VLOOKUP(A741,todos!$A$1:$A$306,1,FALSE)</f>
        <v>866522</v>
      </c>
    </row>
    <row r="742" spans="1:2" hidden="1" x14ac:dyDescent="0.25">
      <c r="A742" s="10">
        <v>866522</v>
      </c>
      <c r="B742">
        <f>VLOOKUP(A742,todos!$A$1:$A$306,1,FALSE)</f>
        <v>866522</v>
      </c>
    </row>
    <row r="743" spans="1:2" hidden="1" x14ac:dyDescent="0.25">
      <c r="A743" s="10">
        <v>866522</v>
      </c>
      <c r="B743">
        <f>VLOOKUP(A743,todos!$A$1:$A$306,1,FALSE)</f>
        <v>866522</v>
      </c>
    </row>
    <row r="744" spans="1:2" hidden="1" x14ac:dyDescent="0.25">
      <c r="A744" s="3">
        <v>874191</v>
      </c>
      <c r="B744">
        <f>VLOOKUP(A744,todos!$A$1:$A$306,1,FALSE)</f>
        <v>874191</v>
      </c>
    </row>
    <row r="745" spans="1:2" x14ac:dyDescent="0.25">
      <c r="A745" s="23">
        <v>874327</v>
      </c>
      <c r="B745" t="e">
        <f>VLOOKUP(A745,todos!$A$1:$A$306,1,FALSE)</f>
        <v>#N/A</v>
      </c>
    </row>
    <row r="746" spans="1:2" hidden="1" x14ac:dyDescent="0.25">
      <c r="A746" s="10">
        <v>913393</v>
      </c>
      <c r="B746">
        <f>VLOOKUP(A746,todos!$A$1:$A$306,1,FALSE)</f>
        <v>913393</v>
      </c>
    </row>
    <row r="747" spans="1:2" hidden="1" x14ac:dyDescent="0.25">
      <c r="A747" s="10">
        <v>917387</v>
      </c>
      <c r="B747">
        <f>VLOOKUP(A747,todos!$A$1:$A$306,1,FALSE)</f>
        <v>917387</v>
      </c>
    </row>
    <row r="748" spans="1:2" hidden="1" x14ac:dyDescent="0.25">
      <c r="A748" s="10">
        <v>931586</v>
      </c>
      <c r="B748">
        <f>VLOOKUP(A748,todos!$A$1:$A$306,1,FALSE)</f>
        <v>931586</v>
      </c>
    </row>
    <row r="749" spans="1:2" hidden="1" x14ac:dyDescent="0.25">
      <c r="A749" s="10">
        <v>943524</v>
      </c>
      <c r="B749">
        <f>VLOOKUP(A749,todos!$A$1:$A$306,1,FALSE)</f>
        <v>943524</v>
      </c>
    </row>
    <row r="750" spans="1:2" hidden="1" x14ac:dyDescent="0.25">
      <c r="A750" s="10">
        <v>950676</v>
      </c>
      <c r="B750">
        <f>VLOOKUP(A750,todos!$A$1:$A$306,1,FALSE)</f>
        <v>950676</v>
      </c>
    </row>
    <row r="751" spans="1:2" hidden="1" x14ac:dyDescent="0.25">
      <c r="A751" s="10">
        <v>950691</v>
      </c>
      <c r="B751">
        <f>VLOOKUP(A751,todos!$A$1:$A$306,1,FALSE)</f>
        <v>950691</v>
      </c>
    </row>
    <row r="752" spans="1:2" hidden="1" x14ac:dyDescent="0.25">
      <c r="A752" s="10">
        <v>959409</v>
      </c>
      <c r="B752">
        <f>VLOOKUP(A752,todos!$A$1:$A$306,1,FALSE)</f>
        <v>959409</v>
      </c>
    </row>
    <row r="753" spans="1:2" hidden="1" x14ac:dyDescent="0.25">
      <c r="A753" s="3">
        <v>993818</v>
      </c>
      <c r="B753">
        <f>VLOOKUP(A753,todos!$A$1:$A$306,1,FALSE)</f>
        <v>993818</v>
      </c>
    </row>
    <row r="754" spans="1:2" hidden="1" x14ac:dyDescent="0.25">
      <c r="A754" s="3">
        <v>1001679</v>
      </c>
      <c r="B754">
        <f>VLOOKUP(A754,todos!$A$1:$A$306,1,FALSE)</f>
        <v>1001679</v>
      </c>
    </row>
    <row r="755" spans="1:2" hidden="1" x14ac:dyDescent="0.25">
      <c r="A755" s="10">
        <v>1025381</v>
      </c>
      <c r="B755">
        <f>VLOOKUP(A755,todos!$A$1:$A$306,1,FALSE)</f>
        <v>1025381</v>
      </c>
    </row>
    <row r="756" spans="1:2" hidden="1" x14ac:dyDescent="0.25">
      <c r="A756" s="10">
        <v>1044776</v>
      </c>
      <c r="B756">
        <f>VLOOKUP(A756,todos!$A$1:$A$306,1,FALSE)</f>
        <v>1044776</v>
      </c>
    </row>
    <row r="757" spans="1:2" x14ac:dyDescent="0.25">
      <c r="A757" s="10">
        <v>1066418</v>
      </c>
      <c r="B757" t="e">
        <f>VLOOKUP(A757,todos!$A$1:$A$306,1,FALSE)</f>
        <v>#N/A</v>
      </c>
    </row>
    <row r="758" spans="1:2" x14ac:dyDescent="0.25">
      <c r="A758" s="10">
        <v>1066418</v>
      </c>
      <c r="B758" t="e">
        <f>VLOOKUP(A758,todos!$A$1:$A$306,1,FALSE)</f>
        <v>#N/A</v>
      </c>
    </row>
    <row r="759" spans="1:2" hidden="1" x14ac:dyDescent="0.25">
      <c r="A759" s="10">
        <v>1072941</v>
      </c>
      <c r="B759">
        <f>VLOOKUP(A759,todos!$A$1:$A$306,1,FALSE)</f>
        <v>1072941</v>
      </c>
    </row>
    <row r="760" spans="1:2" hidden="1" x14ac:dyDescent="0.25">
      <c r="A760" s="10">
        <v>1072941</v>
      </c>
      <c r="B760">
        <f>VLOOKUP(A760,todos!$A$1:$A$306,1,FALSE)</f>
        <v>1072941</v>
      </c>
    </row>
    <row r="761" spans="1:2" x14ac:dyDescent="0.25">
      <c r="A761" s="23">
        <v>1073960</v>
      </c>
      <c r="B761" t="e">
        <f>VLOOKUP(A761,todos!$A$1:$A$306,1,FALSE)</f>
        <v>#N/A</v>
      </c>
    </row>
    <row r="762" spans="1:2" hidden="1" x14ac:dyDescent="0.25">
      <c r="A762" s="10">
        <v>1073970</v>
      </c>
      <c r="B762">
        <f>VLOOKUP(A762,todos!$A$1:$A$306,1,FALSE)</f>
        <v>1073970</v>
      </c>
    </row>
    <row r="763" spans="1:2" hidden="1" x14ac:dyDescent="0.25">
      <c r="A763" s="10">
        <v>1076546</v>
      </c>
      <c r="B763">
        <f>VLOOKUP(A763,todos!$A$1:$A$306,1,FALSE)</f>
        <v>1076546</v>
      </c>
    </row>
    <row r="764" spans="1:2" hidden="1" x14ac:dyDescent="0.25">
      <c r="A764" s="10">
        <v>1076546</v>
      </c>
      <c r="B764">
        <f>VLOOKUP(A764,todos!$A$1:$A$306,1,FALSE)</f>
        <v>1076546</v>
      </c>
    </row>
    <row r="765" spans="1:2" hidden="1" x14ac:dyDescent="0.25">
      <c r="A765" s="10">
        <v>1076546</v>
      </c>
      <c r="B765">
        <f>VLOOKUP(A765,todos!$A$1:$A$306,1,FALSE)</f>
        <v>1076546</v>
      </c>
    </row>
    <row r="766" spans="1:2" hidden="1" x14ac:dyDescent="0.25">
      <c r="A766" s="10">
        <v>1306834</v>
      </c>
      <c r="B766">
        <f>VLOOKUP(A766,todos!$A$1:$A$306,1,FALSE)</f>
        <v>1306834</v>
      </c>
    </row>
    <row r="767" spans="1:2" hidden="1" x14ac:dyDescent="0.25">
      <c r="A767" s="10">
        <v>1313328</v>
      </c>
      <c r="B767">
        <f>VLOOKUP(A767,todos!$A$1:$A$306,1,FALSE)</f>
        <v>1313328</v>
      </c>
    </row>
    <row r="768" spans="1:2" hidden="1" x14ac:dyDescent="0.25">
      <c r="A768" s="3">
        <v>1366577</v>
      </c>
      <c r="B768">
        <f>VLOOKUP(A768,todos!$A$1:$A$306,1,FALSE)</f>
        <v>1366577</v>
      </c>
    </row>
    <row r="769" spans="1:2" hidden="1" x14ac:dyDescent="0.25">
      <c r="A769" s="3">
        <v>1366577</v>
      </c>
      <c r="B769">
        <f>VLOOKUP(A769,todos!$A$1:$A$306,1,FALSE)</f>
        <v>1366577</v>
      </c>
    </row>
    <row r="770" spans="1:2" hidden="1" x14ac:dyDescent="0.25">
      <c r="A770" s="3">
        <v>1366577</v>
      </c>
      <c r="B770">
        <f>VLOOKUP(A770,todos!$A$1:$A$306,1,FALSE)</f>
        <v>1366577</v>
      </c>
    </row>
    <row r="771" spans="1:2" hidden="1" x14ac:dyDescent="0.25">
      <c r="A771" s="3">
        <v>1366577</v>
      </c>
      <c r="B771">
        <f>VLOOKUP(A771,todos!$A$1:$A$306,1,FALSE)</f>
        <v>1366577</v>
      </c>
    </row>
    <row r="772" spans="1:2" hidden="1" x14ac:dyDescent="0.25">
      <c r="A772" s="3">
        <v>1366577</v>
      </c>
      <c r="B772">
        <f>VLOOKUP(A772,todos!$A$1:$A$306,1,FALSE)</f>
        <v>1366577</v>
      </c>
    </row>
    <row r="773" spans="1:2" hidden="1" x14ac:dyDescent="0.25">
      <c r="A773" s="3">
        <v>1366577</v>
      </c>
      <c r="B773">
        <f>VLOOKUP(A773,todos!$A$1:$A$306,1,FALSE)</f>
        <v>1366577</v>
      </c>
    </row>
    <row r="774" spans="1:2" hidden="1" x14ac:dyDescent="0.25">
      <c r="A774" s="3">
        <v>1366577</v>
      </c>
      <c r="B774">
        <f>VLOOKUP(A774,todos!$A$1:$A$306,1,FALSE)</f>
        <v>1366577</v>
      </c>
    </row>
    <row r="775" spans="1:2" hidden="1" x14ac:dyDescent="0.25">
      <c r="A775" s="3">
        <v>1366577</v>
      </c>
      <c r="B775">
        <f>VLOOKUP(A775,todos!$A$1:$A$306,1,FALSE)</f>
        <v>1366577</v>
      </c>
    </row>
    <row r="776" spans="1:2" hidden="1" x14ac:dyDescent="0.25">
      <c r="A776" s="3">
        <v>1366577</v>
      </c>
      <c r="B776">
        <f>VLOOKUP(A776,todos!$A$1:$A$306,1,FALSE)</f>
        <v>1366577</v>
      </c>
    </row>
    <row r="777" spans="1:2" hidden="1" x14ac:dyDescent="0.25">
      <c r="A777" s="3">
        <v>1366577</v>
      </c>
      <c r="B777">
        <f>VLOOKUP(A777,todos!$A$1:$A$306,1,FALSE)</f>
        <v>1366577</v>
      </c>
    </row>
    <row r="778" spans="1:2" hidden="1" x14ac:dyDescent="0.25">
      <c r="A778" s="3">
        <v>1366577</v>
      </c>
      <c r="B778">
        <f>VLOOKUP(A778,todos!$A$1:$A$306,1,FALSE)</f>
        <v>1366577</v>
      </c>
    </row>
    <row r="779" spans="1:2" hidden="1" x14ac:dyDescent="0.25">
      <c r="A779" s="3">
        <v>1366577</v>
      </c>
      <c r="B779">
        <f>VLOOKUP(A779,todos!$A$1:$A$306,1,FALSE)</f>
        <v>1366577</v>
      </c>
    </row>
    <row r="780" spans="1:2" hidden="1" x14ac:dyDescent="0.25">
      <c r="A780" s="3">
        <v>1366577</v>
      </c>
      <c r="B780">
        <f>VLOOKUP(A780,todos!$A$1:$A$306,1,FALSE)</f>
        <v>1366577</v>
      </c>
    </row>
    <row r="781" spans="1:2" hidden="1" x14ac:dyDescent="0.25">
      <c r="A781" s="3">
        <v>1366577</v>
      </c>
      <c r="B781">
        <f>VLOOKUP(A781,todos!$A$1:$A$306,1,FALSE)</f>
        <v>1366577</v>
      </c>
    </row>
    <row r="782" spans="1:2" hidden="1" x14ac:dyDescent="0.25">
      <c r="A782" s="3">
        <v>1366577</v>
      </c>
      <c r="B782">
        <f>VLOOKUP(A782,todos!$A$1:$A$306,1,FALSE)</f>
        <v>1366577</v>
      </c>
    </row>
    <row r="783" spans="1:2" hidden="1" x14ac:dyDescent="0.25">
      <c r="A783" s="3">
        <v>1366577</v>
      </c>
      <c r="B783">
        <f>VLOOKUP(A783,todos!$A$1:$A$306,1,FALSE)</f>
        <v>1366577</v>
      </c>
    </row>
    <row r="784" spans="1:2" hidden="1" x14ac:dyDescent="0.25">
      <c r="A784" s="3">
        <v>1366577</v>
      </c>
      <c r="B784">
        <f>VLOOKUP(A784,todos!$A$1:$A$306,1,FALSE)</f>
        <v>1366577</v>
      </c>
    </row>
    <row r="785" spans="1:2" hidden="1" x14ac:dyDescent="0.25">
      <c r="A785" s="3">
        <v>1366577</v>
      </c>
      <c r="B785">
        <f>VLOOKUP(A785,todos!$A$1:$A$306,1,FALSE)</f>
        <v>1366577</v>
      </c>
    </row>
    <row r="786" spans="1:2" hidden="1" x14ac:dyDescent="0.25">
      <c r="A786" s="10">
        <v>1376687</v>
      </c>
      <c r="B786">
        <f>VLOOKUP(A786,todos!$A$1:$A$306,1,FALSE)</f>
        <v>1376687</v>
      </c>
    </row>
    <row r="787" spans="1:2" hidden="1" x14ac:dyDescent="0.25">
      <c r="A787" s="10">
        <v>1376717</v>
      </c>
      <c r="B787">
        <f>VLOOKUP(A787,todos!$A$1:$A$306,1,FALSE)</f>
        <v>1376717</v>
      </c>
    </row>
    <row r="788" spans="1:2" hidden="1" x14ac:dyDescent="0.25">
      <c r="A788" s="10">
        <v>1380949</v>
      </c>
      <c r="B788">
        <f>VLOOKUP(A788,todos!$A$1:$A$306,1,FALSE)</f>
        <v>1380949</v>
      </c>
    </row>
    <row r="789" spans="1:2" hidden="1" x14ac:dyDescent="0.25">
      <c r="A789" s="10">
        <v>1381028</v>
      </c>
      <c r="B789">
        <f>VLOOKUP(A789,todos!$A$1:$A$306,1,FALSE)</f>
        <v>1381028</v>
      </c>
    </row>
    <row r="790" spans="1:2" hidden="1" x14ac:dyDescent="0.25">
      <c r="A790" s="10">
        <v>1381084</v>
      </c>
      <c r="B790">
        <f>VLOOKUP(A790,todos!$A$1:$A$306,1,FALSE)</f>
        <v>1381084</v>
      </c>
    </row>
    <row r="791" spans="1:2" hidden="1" x14ac:dyDescent="0.25">
      <c r="A791" s="10">
        <v>1381142</v>
      </c>
      <c r="B791">
        <f>VLOOKUP(A791,todos!$A$1:$A$306,1,FALSE)</f>
        <v>1381142</v>
      </c>
    </row>
    <row r="792" spans="1:2" hidden="1" x14ac:dyDescent="0.25">
      <c r="A792" s="10">
        <v>1381247</v>
      </c>
      <c r="B792">
        <f>VLOOKUP(A792,todos!$A$1:$A$306,1,FALSE)</f>
        <v>1381247</v>
      </c>
    </row>
    <row r="793" spans="1:2" hidden="1" x14ac:dyDescent="0.25">
      <c r="A793" s="10">
        <v>1384320</v>
      </c>
      <c r="B793">
        <f>VLOOKUP(A793,todos!$A$1:$A$306,1,FALSE)</f>
        <v>1384320</v>
      </c>
    </row>
    <row r="794" spans="1:2" hidden="1" x14ac:dyDescent="0.25">
      <c r="A794" s="10">
        <v>1651190</v>
      </c>
      <c r="B794">
        <f>VLOOKUP(A794,todos!$A$1:$A$306,1,FALSE)</f>
        <v>1651190</v>
      </c>
    </row>
    <row r="795" spans="1:2" hidden="1" x14ac:dyDescent="0.25">
      <c r="A795" s="10">
        <v>1669786</v>
      </c>
      <c r="B795">
        <f>VLOOKUP(A795,todos!$A$1:$A$306,1,FALSE)</f>
        <v>1669786</v>
      </c>
    </row>
    <row r="796" spans="1:2" hidden="1" x14ac:dyDescent="0.25">
      <c r="A796" s="10">
        <v>1671826</v>
      </c>
      <c r="B796">
        <f>VLOOKUP(A796,todos!$A$1:$A$306,1,FALSE)</f>
        <v>1671826</v>
      </c>
    </row>
    <row r="797" spans="1:2" hidden="1" x14ac:dyDescent="0.25">
      <c r="A797" s="10">
        <v>1684166</v>
      </c>
      <c r="B797">
        <f>VLOOKUP(A797,todos!$A$1:$A$306,1,FALSE)</f>
        <v>1684166</v>
      </c>
    </row>
    <row r="798" spans="1:2" hidden="1" x14ac:dyDescent="0.25">
      <c r="A798" s="10">
        <v>1718418</v>
      </c>
      <c r="B798">
        <f>VLOOKUP(A798,todos!$A$1:$A$306,1,FALSE)</f>
        <v>1718418</v>
      </c>
    </row>
    <row r="799" spans="1:2" hidden="1" x14ac:dyDescent="0.25">
      <c r="A799" s="10">
        <v>1718418</v>
      </c>
      <c r="B799">
        <f>VLOOKUP(A799,todos!$A$1:$A$306,1,FALSE)</f>
        <v>1718418</v>
      </c>
    </row>
    <row r="800" spans="1:2" hidden="1" x14ac:dyDescent="0.25">
      <c r="A800" s="10">
        <v>1724855</v>
      </c>
      <c r="B800">
        <f>VLOOKUP(A800,todos!$A$1:$A$306,1,FALSE)</f>
        <v>1724855</v>
      </c>
    </row>
    <row r="801" spans="1:2" hidden="1" x14ac:dyDescent="0.25">
      <c r="A801" s="10">
        <v>1725327</v>
      </c>
      <c r="B801">
        <f>VLOOKUP(A801,todos!$A$1:$A$306,1,FALSE)</f>
        <v>1725327</v>
      </c>
    </row>
    <row r="802" spans="1:2" hidden="1" x14ac:dyDescent="0.25">
      <c r="A802" s="10">
        <v>1752559</v>
      </c>
      <c r="B802">
        <f>VLOOKUP(A802,todos!$A$1:$A$306,1,FALSE)</f>
        <v>1752559</v>
      </c>
    </row>
    <row r="803" spans="1:2" hidden="1" x14ac:dyDescent="0.25">
      <c r="A803" s="10">
        <v>1779910</v>
      </c>
      <c r="B803">
        <f>VLOOKUP(A803,todos!$A$1:$A$306,1,FALSE)</f>
        <v>1779910</v>
      </c>
    </row>
    <row r="804" spans="1:2" hidden="1" x14ac:dyDescent="0.25">
      <c r="A804" s="10">
        <v>1784317</v>
      </c>
      <c r="B804">
        <f>VLOOKUP(A804,todos!$A$1:$A$306,1,FALSE)</f>
        <v>1784317</v>
      </c>
    </row>
    <row r="805" spans="1:2" hidden="1" x14ac:dyDescent="0.25">
      <c r="A805" s="10">
        <v>1790475</v>
      </c>
      <c r="B805">
        <f>VLOOKUP(A805,todos!$A$1:$A$306,1,FALSE)</f>
        <v>1790475</v>
      </c>
    </row>
    <row r="806" spans="1:2" hidden="1" x14ac:dyDescent="0.25">
      <c r="A806" s="10">
        <v>1888900</v>
      </c>
      <c r="B806">
        <f>VLOOKUP(A806,todos!$A$1:$A$306,1,FALSE)</f>
        <v>1888900</v>
      </c>
    </row>
    <row r="807" spans="1:2" hidden="1" x14ac:dyDescent="0.25">
      <c r="A807" s="10">
        <v>1888900</v>
      </c>
      <c r="B807">
        <f>VLOOKUP(A807,todos!$A$1:$A$306,1,FALSE)</f>
        <v>1888900</v>
      </c>
    </row>
    <row r="808" spans="1:2" hidden="1" x14ac:dyDescent="0.25">
      <c r="A808" s="10">
        <v>1888900</v>
      </c>
      <c r="B808">
        <f>VLOOKUP(A808,todos!$A$1:$A$306,1,FALSE)</f>
        <v>1888900</v>
      </c>
    </row>
    <row r="809" spans="1:2" hidden="1" x14ac:dyDescent="0.25">
      <c r="A809" s="10">
        <v>1888900</v>
      </c>
      <c r="B809">
        <f>VLOOKUP(A809,todos!$A$1:$A$306,1,FALSE)</f>
        <v>1888900</v>
      </c>
    </row>
    <row r="810" spans="1:2" hidden="1" x14ac:dyDescent="0.25">
      <c r="A810" s="10">
        <v>1888900</v>
      </c>
      <c r="B810">
        <f>VLOOKUP(A810,todos!$A$1:$A$306,1,FALSE)</f>
        <v>1888900</v>
      </c>
    </row>
    <row r="811" spans="1:2" hidden="1" x14ac:dyDescent="0.25">
      <c r="A811" s="10">
        <v>1888900</v>
      </c>
      <c r="B811">
        <f>VLOOKUP(A811,todos!$A$1:$A$306,1,FALSE)</f>
        <v>1888900</v>
      </c>
    </row>
    <row r="812" spans="1:2" hidden="1" x14ac:dyDescent="0.25">
      <c r="A812" s="10">
        <v>1888900</v>
      </c>
      <c r="B812">
        <f>VLOOKUP(A812,todos!$A$1:$A$306,1,FALSE)</f>
        <v>1888900</v>
      </c>
    </row>
    <row r="813" spans="1:2" hidden="1" x14ac:dyDescent="0.25">
      <c r="A813" s="10">
        <v>1888900</v>
      </c>
      <c r="B813">
        <f>VLOOKUP(A813,todos!$A$1:$A$306,1,FALSE)</f>
        <v>1888900</v>
      </c>
    </row>
    <row r="814" spans="1:2" hidden="1" x14ac:dyDescent="0.25">
      <c r="A814" s="10">
        <v>1888900</v>
      </c>
      <c r="B814">
        <f>VLOOKUP(A814,todos!$A$1:$A$306,1,FALSE)</f>
        <v>1888900</v>
      </c>
    </row>
    <row r="815" spans="1:2" hidden="1" x14ac:dyDescent="0.25">
      <c r="A815" s="10">
        <v>1888900</v>
      </c>
      <c r="B815">
        <f>VLOOKUP(A815,todos!$A$1:$A$306,1,FALSE)</f>
        <v>1888900</v>
      </c>
    </row>
    <row r="816" spans="1:2" hidden="1" x14ac:dyDescent="0.25">
      <c r="A816" s="10">
        <v>1888900</v>
      </c>
      <c r="B816">
        <f>VLOOKUP(A816,todos!$A$1:$A$306,1,FALSE)</f>
        <v>1888900</v>
      </c>
    </row>
    <row r="817" spans="1:2" hidden="1" x14ac:dyDescent="0.25">
      <c r="A817" s="10">
        <v>1888900</v>
      </c>
      <c r="B817">
        <f>VLOOKUP(A817,todos!$A$1:$A$306,1,FALSE)</f>
        <v>1888900</v>
      </c>
    </row>
    <row r="818" spans="1:2" hidden="1" x14ac:dyDescent="0.25">
      <c r="A818" s="10">
        <v>1888900</v>
      </c>
      <c r="B818">
        <f>VLOOKUP(A818,todos!$A$1:$A$306,1,FALSE)</f>
        <v>1888900</v>
      </c>
    </row>
    <row r="819" spans="1:2" hidden="1" x14ac:dyDescent="0.25">
      <c r="A819" s="10">
        <v>1888900</v>
      </c>
      <c r="B819">
        <f>VLOOKUP(A819,todos!$A$1:$A$306,1,FALSE)</f>
        <v>1888900</v>
      </c>
    </row>
    <row r="820" spans="1:2" hidden="1" x14ac:dyDescent="0.25">
      <c r="A820" s="10">
        <v>1888900</v>
      </c>
      <c r="B820">
        <f>VLOOKUP(A820,todos!$A$1:$A$306,1,FALSE)</f>
        <v>1888900</v>
      </c>
    </row>
    <row r="821" spans="1:2" hidden="1" x14ac:dyDescent="0.25">
      <c r="A821" s="10">
        <v>1888900</v>
      </c>
      <c r="B821">
        <f>VLOOKUP(A821,todos!$A$1:$A$306,1,FALSE)</f>
        <v>1888900</v>
      </c>
    </row>
    <row r="822" spans="1:2" hidden="1" x14ac:dyDescent="0.25">
      <c r="A822" s="10">
        <v>1888900</v>
      </c>
      <c r="B822">
        <f>VLOOKUP(A822,todos!$A$1:$A$306,1,FALSE)</f>
        <v>1888900</v>
      </c>
    </row>
    <row r="823" spans="1:2" hidden="1" x14ac:dyDescent="0.25">
      <c r="A823" s="10">
        <v>1888900</v>
      </c>
      <c r="B823">
        <f>VLOOKUP(A823,todos!$A$1:$A$306,1,FALSE)</f>
        <v>1888900</v>
      </c>
    </row>
    <row r="824" spans="1:2" hidden="1" x14ac:dyDescent="0.25">
      <c r="A824" s="10">
        <v>1888900</v>
      </c>
      <c r="B824">
        <f>VLOOKUP(A824,todos!$A$1:$A$306,1,FALSE)</f>
        <v>1888900</v>
      </c>
    </row>
    <row r="825" spans="1:2" hidden="1" x14ac:dyDescent="0.25">
      <c r="A825" s="10">
        <v>1888900</v>
      </c>
      <c r="B825">
        <f>VLOOKUP(A825,todos!$A$1:$A$306,1,FALSE)</f>
        <v>1888900</v>
      </c>
    </row>
    <row r="826" spans="1:2" hidden="1" x14ac:dyDescent="0.25">
      <c r="A826" s="10">
        <v>1888900</v>
      </c>
      <c r="B826">
        <f>VLOOKUP(A826,todos!$A$1:$A$306,1,FALSE)</f>
        <v>1888900</v>
      </c>
    </row>
    <row r="827" spans="1:2" hidden="1" x14ac:dyDescent="0.25">
      <c r="A827" s="10">
        <v>1888900</v>
      </c>
      <c r="B827">
        <f>VLOOKUP(A827,todos!$A$1:$A$306,1,FALSE)</f>
        <v>1888900</v>
      </c>
    </row>
    <row r="828" spans="1:2" hidden="1" x14ac:dyDescent="0.25">
      <c r="A828" s="10">
        <v>1888900</v>
      </c>
      <c r="B828">
        <f>VLOOKUP(A828,todos!$A$1:$A$306,1,FALSE)</f>
        <v>1888900</v>
      </c>
    </row>
    <row r="829" spans="1:2" hidden="1" x14ac:dyDescent="0.25">
      <c r="A829" s="10">
        <v>1888900</v>
      </c>
      <c r="B829">
        <f>VLOOKUP(A829,todos!$A$1:$A$306,1,FALSE)</f>
        <v>1888900</v>
      </c>
    </row>
    <row r="830" spans="1:2" hidden="1" x14ac:dyDescent="0.25">
      <c r="A830" s="10">
        <v>1888900</v>
      </c>
      <c r="B830">
        <f>VLOOKUP(A830,todos!$A$1:$A$306,1,FALSE)</f>
        <v>1888900</v>
      </c>
    </row>
    <row r="831" spans="1:2" hidden="1" x14ac:dyDescent="0.25">
      <c r="A831" s="10">
        <v>1888900</v>
      </c>
      <c r="B831">
        <f>VLOOKUP(A831,todos!$A$1:$A$306,1,FALSE)</f>
        <v>1888900</v>
      </c>
    </row>
    <row r="832" spans="1:2" hidden="1" x14ac:dyDescent="0.25">
      <c r="A832" s="10">
        <v>1888900</v>
      </c>
      <c r="B832">
        <f>VLOOKUP(A832,todos!$A$1:$A$306,1,FALSE)</f>
        <v>1888900</v>
      </c>
    </row>
    <row r="833" spans="1:2" hidden="1" x14ac:dyDescent="0.25">
      <c r="A833" s="10">
        <v>1888900</v>
      </c>
      <c r="B833">
        <f>VLOOKUP(A833,todos!$A$1:$A$306,1,FALSE)</f>
        <v>1888900</v>
      </c>
    </row>
    <row r="834" spans="1:2" hidden="1" x14ac:dyDescent="0.25">
      <c r="A834" s="10">
        <v>1888900</v>
      </c>
      <c r="B834">
        <f>VLOOKUP(A834,todos!$A$1:$A$306,1,FALSE)</f>
        <v>1888900</v>
      </c>
    </row>
    <row r="835" spans="1:2" hidden="1" x14ac:dyDescent="0.25">
      <c r="A835" s="10">
        <v>1888900</v>
      </c>
      <c r="B835">
        <f>VLOOKUP(A835,todos!$A$1:$A$306,1,FALSE)</f>
        <v>1888900</v>
      </c>
    </row>
    <row r="836" spans="1:2" hidden="1" x14ac:dyDescent="0.25">
      <c r="A836" s="10">
        <v>1888900</v>
      </c>
      <c r="B836">
        <f>VLOOKUP(A836,todos!$A$1:$A$306,1,FALSE)</f>
        <v>1888900</v>
      </c>
    </row>
    <row r="837" spans="1:2" hidden="1" x14ac:dyDescent="0.25">
      <c r="A837" s="10">
        <v>1888900</v>
      </c>
      <c r="B837">
        <f>VLOOKUP(A837,todos!$A$1:$A$306,1,FALSE)</f>
        <v>1888900</v>
      </c>
    </row>
    <row r="838" spans="1:2" hidden="1" x14ac:dyDescent="0.25">
      <c r="A838" s="10">
        <v>1888900</v>
      </c>
      <c r="B838">
        <f>VLOOKUP(A838,todos!$A$1:$A$306,1,FALSE)</f>
        <v>1888900</v>
      </c>
    </row>
    <row r="839" spans="1:2" hidden="1" x14ac:dyDescent="0.25">
      <c r="A839" s="10">
        <v>1888900</v>
      </c>
      <c r="B839">
        <f>VLOOKUP(A839,todos!$A$1:$A$306,1,FALSE)</f>
        <v>1888900</v>
      </c>
    </row>
    <row r="840" spans="1:2" hidden="1" x14ac:dyDescent="0.25">
      <c r="A840" s="10">
        <v>1888900</v>
      </c>
      <c r="B840">
        <f>VLOOKUP(A840,todos!$A$1:$A$306,1,FALSE)</f>
        <v>1888900</v>
      </c>
    </row>
    <row r="841" spans="1:2" hidden="1" x14ac:dyDescent="0.25">
      <c r="A841" s="10">
        <v>1888900</v>
      </c>
      <c r="B841">
        <f>VLOOKUP(A841,todos!$A$1:$A$306,1,FALSE)</f>
        <v>1888900</v>
      </c>
    </row>
    <row r="842" spans="1:2" hidden="1" x14ac:dyDescent="0.25">
      <c r="A842" s="10">
        <v>1888900</v>
      </c>
      <c r="B842">
        <f>VLOOKUP(A842,todos!$A$1:$A$306,1,FALSE)</f>
        <v>1888900</v>
      </c>
    </row>
    <row r="843" spans="1:2" hidden="1" x14ac:dyDescent="0.25">
      <c r="A843" s="10">
        <v>1888900</v>
      </c>
      <c r="B843">
        <f>VLOOKUP(A843,todos!$A$1:$A$306,1,FALSE)</f>
        <v>1888900</v>
      </c>
    </row>
    <row r="844" spans="1:2" hidden="1" x14ac:dyDescent="0.25">
      <c r="A844" s="10">
        <v>1891325</v>
      </c>
      <c r="B844">
        <f>VLOOKUP(A844,todos!$A$1:$A$306,1,FALSE)</f>
        <v>1891325</v>
      </c>
    </row>
    <row r="845" spans="1:2" hidden="1" x14ac:dyDescent="0.25">
      <c r="A845" s="10">
        <v>1915110</v>
      </c>
      <c r="B845">
        <f>VLOOKUP(A845,todos!$A$1:$A$306,1,FALSE)</f>
        <v>1915110</v>
      </c>
    </row>
    <row r="846" spans="1:2" hidden="1" x14ac:dyDescent="0.25">
      <c r="A846" s="3">
        <v>1917811</v>
      </c>
      <c r="B846">
        <f>VLOOKUP(A846,todos!$A$1:$A$306,1,FALSE)</f>
        <v>1917811</v>
      </c>
    </row>
    <row r="847" spans="1:2" hidden="1" x14ac:dyDescent="0.25">
      <c r="A847" s="10">
        <v>1951715</v>
      </c>
      <c r="B847">
        <f>VLOOKUP(A847,todos!$A$1:$A$306,1,FALSE)</f>
        <v>1951715</v>
      </c>
    </row>
    <row r="848" spans="1:2" hidden="1" x14ac:dyDescent="0.25">
      <c r="A848" s="10">
        <v>1976927</v>
      </c>
      <c r="B848">
        <f>VLOOKUP(A848,todos!$A$1:$A$306,1,FALSE)</f>
        <v>1976927</v>
      </c>
    </row>
    <row r="849" spans="1:2" hidden="1" x14ac:dyDescent="0.25">
      <c r="A849" s="10">
        <v>1979399</v>
      </c>
      <c r="B849">
        <f>VLOOKUP(A849,todos!$A$1:$A$306,1,FALSE)</f>
        <v>1979399</v>
      </c>
    </row>
    <row r="850" spans="1:2" hidden="1" x14ac:dyDescent="0.25">
      <c r="A850" s="10">
        <v>1979400</v>
      </c>
      <c r="B850">
        <f>VLOOKUP(A850,todos!$A$1:$A$306,1,FALSE)</f>
        <v>1979400</v>
      </c>
    </row>
    <row r="851" spans="1:2" hidden="1" x14ac:dyDescent="0.25">
      <c r="A851" s="10">
        <v>2129622</v>
      </c>
      <c r="B851">
        <f>VLOOKUP(A851,todos!$A$1:$A$306,1,FALSE)</f>
        <v>2129622</v>
      </c>
    </row>
    <row r="852" spans="1:2" hidden="1" x14ac:dyDescent="0.25">
      <c r="A852" s="10">
        <v>2129622</v>
      </c>
      <c r="B852">
        <f>VLOOKUP(A852,todos!$A$1:$A$306,1,FALSE)</f>
        <v>2129622</v>
      </c>
    </row>
    <row r="853" spans="1:2" hidden="1" x14ac:dyDescent="0.25">
      <c r="A853" s="3">
        <v>2186705</v>
      </c>
      <c r="B853">
        <f>VLOOKUP(A853,todos!$A$1:$A$306,1,FALSE)</f>
        <v>2186705</v>
      </c>
    </row>
    <row r="854" spans="1:2" hidden="1" x14ac:dyDescent="0.25">
      <c r="A854" s="3">
        <v>2194758</v>
      </c>
      <c r="B854">
        <f>VLOOKUP(A854,todos!$A$1:$A$306,1,FALSE)</f>
        <v>2194758</v>
      </c>
    </row>
    <row r="855" spans="1:2" hidden="1" x14ac:dyDescent="0.25">
      <c r="A855" s="3">
        <v>2194758</v>
      </c>
      <c r="B855">
        <f>VLOOKUP(A855,todos!$A$1:$A$306,1,FALSE)</f>
        <v>2194758</v>
      </c>
    </row>
    <row r="856" spans="1:2" hidden="1" x14ac:dyDescent="0.25">
      <c r="A856" s="3">
        <v>2194758</v>
      </c>
      <c r="B856">
        <f>VLOOKUP(A856,todos!$A$1:$A$306,1,FALSE)</f>
        <v>2194758</v>
      </c>
    </row>
    <row r="857" spans="1:2" hidden="1" x14ac:dyDescent="0.25">
      <c r="A857" s="3">
        <v>2194827</v>
      </c>
      <c r="B857">
        <f>VLOOKUP(A857,todos!$A$1:$A$306,1,FALSE)</f>
        <v>2194827</v>
      </c>
    </row>
    <row r="858" spans="1:2" hidden="1" x14ac:dyDescent="0.25">
      <c r="A858" s="3">
        <v>2194848</v>
      </c>
      <c r="B858">
        <f>VLOOKUP(A858,todos!$A$1:$A$306,1,FALSE)</f>
        <v>2194848</v>
      </c>
    </row>
    <row r="859" spans="1:2" hidden="1" x14ac:dyDescent="0.25">
      <c r="A859" s="3">
        <v>2194859</v>
      </c>
      <c r="B859">
        <f>VLOOKUP(A859,todos!$A$1:$A$306,1,FALSE)</f>
        <v>2194859</v>
      </c>
    </row>
    <row r="860" spans="1:2" hidden="1" x14ac:dyDescent="0.25">
      <c r="A860" s="3">
        <v>2195077</v>
      </c>
      <c r="B860">
        <f>VLOOKUP(A860,todos!$A$1:$A$306,1,FALSE)</f>
        <v>2195077</v>
      </c>
    </row>
    <row r="861" spans="1:2" hidden="1" x14ac:dyDescent="0.25">
      <c r="A861" s="3">
        <v>2195085</v>
      </c>
      <c r="B861">
        <f>VLOOKUP(A861,todos!$A$1:$A$306,1,FALSE)</f>
        <v>2195085</v>
      </c>
    </row>
    <row r="862" spans="1:2" hidden="1" x14ac:dyDescent="0.25">
      <c r="A862" s="3">
        <v>2195086</v>
      </c>
      <c r="B862">
        <f>VLOOKUP(A862,todos!$A$1:$A$306,1,FALSE)</f>
        <v>2195086</v>
      </c>
    </row>
    <row r="863" spans="1:2" hidden="1" x14ac:dyDescent="0.25">
      <c r="A863" s="3">
        <v>2195089</v>
      </c>
      <c r="B863">
        <f>VLOOKUP(A863,todos!$A$1:$A$306,1,FALSE)</f>
        <v>2195089</v>
      </c>
    </row>
    <row r="864" spans="1:2" hidden="1" x14ac:dyDescent="0.25">
      <c r="A864" s="3">
        <v>2195089</v>
      </c>
      <c r="B864">
        <f>VLOOKUP(A864,todos!$A$1:$A$306,1,FALSE)</f>
        <v>2195089</v>
      </c>
    </row>
    <row r="865" spans="1:2" hidden="1" x14ac:dyDescent="0.25">
      <c r="A865" s="3">
        <v>2195089</v>
      </c>
      <c r="B865">
        <f>VLOOKUP(A865,todos!$A$1:$A$306,1,FALSE)</f>
        <v>2195089</v>
      </c>
    </row>
    <row r="866" spans="1:2" hidden="1" x14ac:dyDescent="0.25">
      <c r="A866" s="3">
        <v>2195089</v>
      </c>
      <c r="B866">
        <f>VLOOKUP(A866,todos!$A$1:$A$306,1,FALSE)</f>
        <v>2195089</v>
      </c>
    </row>
    <row r="867" spans="1:2" hidden="1" x14ac:dyDescent="0.25">
      <c r="A867" s="3">
        <v>2195089</v>
      </c>
      <c r="B867">
        <f>VLOOKUP(A867,todos!$A$1:$A$306,1,FALSE)</f>
        <v>2195089</v>
      </c>
    </row>
    <row r="868" spans="1:2" hidden="1" x14ac:dyDescent="0.25">
      <c r="A868" s="3">
        <v>2195089</v>
      </c>
      <c r="B868">
        <f>VLOOKUP(A868,todos!$A$1:$A$306,1,FALSE)</f>
        <v>2195089</v>
      </c>
    </row>
    <row r="869" spans="1:2" hidden="1" x14ac:dyDescent="0.25">
      <c r="A869" s="3">
        <v>2195091</v>
      </c>
      <c r="B869">
        <f>VLOOKUP(A869,todos!$A$1:$A$306,1,FALSE)</f>
        <v>2195091</v>
      </c>
    </row>
    <row r="870" spans="1:2" x14ac:dyDescent="0.25">
      <c r="A870" s="3">
        <v>2195211</v>
      </c>
      <c r="B870" t="e">
        <f>VLOOKUP(A870,todos!$A$1:$A$306,1,FALSE)</f>
        <v>#N/A</v>
      </c>
    </row>
  </sheetData>
  <autoFilter ref="A1:B870" xr:uid="{D92613CA-AB12-4234-B004-9466CA6263BE}">
    <filterColumn colId="1">
      <filters>
        <filter val="#N/D"/>
      </filters>
    </filterColumn>
  </autoFilter>
  <sortState xmlns:xlrd2="http://schemas.microsoft.com/office/spreadsheetml/2017/richdata2" ref="A2:A870">
    <sortCondition ref="A2:A87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48E8-A946-4E53-AEAC-63053088DB87}">
  <dimension ref="A1:B65"/>
  <sheetViews>
    <sheetView tabSelected="1" topLeftCell="A37" workbookViewId="0">
      <selection activeCell="A65" sqref="A65"/>
    </sheetView>
  </sheetViews>
  <sheetFormatPr defaultRowHeight="15" x14ac:dyDescent="0.25"/>
  <sheetData>
    <row r="1" spans="1:2" x14ac:dyDescent="0.25">
      <c r="A1" t="s">
        <v>633</v>
      </c>
    </row>
    <row r="2" spans="1:2" x14ac:dyDescent="0.25">
      <c r="A2" s="3">
        <v>51530</v>
      </c>
      <c r="B2" t="s">
        <v>3913</v>
      </c>
    </row>
    <row r="3" spans="1:2" x14ac:dyDescent="0.25">
      <c r="A3" s="10">
        <v>120404</v>
      </c>
      <c r="B3" t="s">
        <v>3913</v>
      </c>
    </row>
    <row r="4" spans="1:2" x14ac:dyDescent="0.25">
      <c r="A4" s="10">
        <v>224027</v>
      </c>
      <c r="B4" t="s">
        <v>3913</v>
      </c>
    </row>
    <row r="5" spans="1:2" x14ac:dyDescent="0.25">
      <c r="A5" s="23">
        <v>256276</v>
      </c>
      <c r="B5" t="s">
        <v>3913</v>
      </c>
    </row>
    <row r="6" spans="1:2" x14ac:dyDescent="0.25">
      <c r="A6" s="10">
        <v>277515</v>
      </c>
      <c r="B6" t="s">
        <v>3913</v>
      </c>
    </row>
    <row r="7" spans="1:2" x14ac:dyDescent="0.25">
      <c r="A7" s="10">
        <v>321919</v>
      </c>
      <c r="B7" t="s">
        <v>3913</v>
      </c>
    </row>
    <row r="8" spans="1:2" x14ac:dyDescent="0.25">
      <c r="A8" s="3">
        <v>354066</v>
      </c>
      <c r="B8" t="s">
        <v>3913</v>
      </c>
    </row>
    <row r="9" spans="1:2" x14ac:dyDescent="0.25">
      <c r="A9" s="3">
        <v>354069</v>
      </c>
      <c r="B9" t="s">
        <v>3913</v>
      </c>
    </row>
    <row r="10" spans="1:2" x14ac:dyDescent="0.25">
      <c r="A10" s="3">
        <v>370691</v>
      </c>
      <c r="B10" t="s">
        <v>3913</v>
      </c>
    </row>
    <row r="11" spans="1:2" x14ac:dyDescent="0.25">
      <c r="A11" s="10">
        <v>382749</v>
      </c>
      <c r="B11" t="s">
        <v>3913</v>
      </c>
    </row>
    <row r="12" spans="1:2" x14ac:dyDescent="0.25">
      <c r="A12" s="10">
        <v>382844</v>
      </c>
      <c r="B12" t="s">
        <v>3913</v>
      </c>
    </row>
    <row r="13" spans="1:2" x14ac:dyDescent="0.25">
      <c r="A13" s="10">
        <v>382981</v>
      </c>
      <c r="B13" t="s">
        <v>3913</v>
      </c>
    </row>
    <row r="14" spans="1:2" x14ac:dyDescent="0.25">
      <c r="A14" s="10">
        <v>386935</v>
      </c>
      <c r="B14" t="s">
        <v>3913</v>
      </c>
    </row>
    <row r="15" spans="1:2" x14ac:dyDescent="0.25">
      <c r="A15" s="3">
        <v>397797</v>
      </c>
      <c r="B15" t="s">
        <v>3913</v>
      </c>
    </row>
    <row r="16" spans="1:2" x14ac:dyDescent="0.25">
      <c r="A16" s="23">
        <v>397822</v>
      </c>
      <c r="B16" t="s">
        <v>3913</v>
      </c>
    </row>
    <row r="17" spans="1:2" x14ac:dyDescent="0.25">
      <c r="A17" s="10">
        <v>397837</v>
      </c>
      <c r="B17" t="s">
        <v>3913</v>
      </c>
    </row>
    <row r="18" spans="1:2" x14ac:dyDescent="0.25">
      <c r="A18" s="23">
        <v>397852</v>
      </c>
      <c r="B18" t="s">
        <v>3913</v>
      </c>
    </row>
    <row r="19" spans="1:2" x14ac:dyDescent="0.25">
      <c r="A19" s="3">
        <v>397855</v>
      </c>
      <c r="B19" t="s">
        <v>3913</v>
      </c>
    </row>
    <row r="20" spans="1:2" x14ac:dyDescent="0.25">
      <c r="A20" s="23">
        <v>397863</v>
      </c>
      <c r="B20" t="s">
        <v>3913</v>
      </c>
    </row>
    <row r="21" spans="1:2" x14ac:dyDescent="0.25">
      <c r="A21" s="23">
        <v>397876</v>
      </c>
      <c r="B21" t="s">
        <v>3913</v>
      </c>
    </row>
    <row r="22" spans="1:2" x14ac:dyDescent="0.25">
      <c r="A22" s="3">
        <v>397880</v>
      </c>
      <c r="B22" t="s">
        <v>3913</v>
      </c>
    </row>
    <row r="23" spans="1:2" x14ac:dyDescent="0.25">
      <c r="A23" s="23">
        <v>402917</v>
      </c>
      <c r="B23" t="s">
        <v>3913</v>
      </c>
    </row>
    <row r="24" spans="1:2" x14ac:dyDescent="0.25">
      <c r="A24" s="23">
        <v>404543</v>
      </c>
      <c r="B24" t="s">
        <v>3913</v>
      </c>
    </row>
    <row r="25" spans="1:2" x14ac:dyDescent="0.25">
      <c r="A25" s="23">
        <v>411542</v>
      </c>
      <c r="B25" t="s">
        <v>3913</v>
      </c>
    </row>
    <row r="26" spans="1:2" x14ac:dyDescent="0.25">
      <c r="A26" s="10">
        <v>446302</v>
      </c>
      <c r="B26" t="s">
        <v>3913</v>
      </c>
    </row>
    <row r="27" spans="1:2" x14ac:dyDescent="0.25">
      <c r="A27" s="10">
        <v>458267</v>
      </c>
      <c r="B27" t="s">
        <v>3913</v>
      </c>
    </row>
    <row r="28" spans="1:2" x14ac:dyDescent="0.25">
      <c r="A28" s="3">
        <v>464811</v>
      </c>
      <c r="B28" t="s">
        <v>3913</v>
      </c>
    </row>
    <row r="29" spans="1:2" x14ac:dyDescent="0.25">
      <c r="A29" s="3">
        <v>464977</v>
      </c>
      <c r="B29" t="s">
        <v>3913</v>
      </c>
    </row>
    <row r="30" spans="1:2" x14ac:dyDescent="0.25">
      <c r="A30" s="23">
        <v>465606</v>
      </c>
      <c r="B30" t="s">
        <v>3913</v>
      </c>
    </row>
    <row r="31" spans="1:2" x14ac:dyDescent="0.25">
      <c r="A31" s="23">
        <v>471392</v>
      </c>
      <c r="B31" t="s">
        <v>3913</v>
      </c>
    </row>
    <row r="32" spans="1:2" x14ac:dyDescent="0.25">
      <c r="A32" s="10">
        <v>473486</v>
      </c>
      <c r="B32" t="s">
        <v>3913</v>
      </c>
    </row>
    <row r="33" spans="1:2" x14ac:dyDescent="0.25">
      <c r="A33" s="10">
        <v>473530</v>
      </c>
      <c r="B33" t="s">
        <v>3913</v>
      </c>
    </row>
    <row r="34" spans="1:2" x14ac:dyDescent="0.25">
      <c r="A34" s="23">
        <v>475214</v>
      </c>
      <c r="B34" t="s">
        <v>3913</v>
      </c>
    </row>
    <row r="35" spans="1:2" x14ac:dyDescent="0.25">
      <c r="A35" s="23">
        <v>476957</v>
      </c>
      <c r="B35" t="s">
        <v>3913</v>
      </c>
    </row>
    <row r="36" spans="1:2" x14ac:dyDescent="0.25">
      <c r="A36" s="10">
        <v>742175</v>
      </c>
      <c r="B36" t="s">
        <v>3913</v>
      </c>
    </row>
    <row r="37" spans="1:2" x14ac:dyDescent="0.25">
      <c r="A37" s="10">
        <v>742176</v>
      </c>
      <c r="B37" t="s">
        <v>3913</v>
      </c>
    </row>
    <row r="38" spans="1:2" x14ac:dyDescent="0.25">
      <c r="A38" s="10">
        <v>742180</v>
      </c>
      <c r="B38" t="s">
        <v>3913</v>
      </c>
    </row>
    <row r="39" spans="1:2" x14ac:dyDescent="0.25">
      <c r="A39" s="3">
        <v>765484</v>
      </c>
      <c r="B39" t="s">
        <v>3913</v>
      </c>
    </row>
    <row r="40" spans="1:2" x14ac:dyDescent="0.25">
      <c r="A40" s="3">
        <v>766189</v>
      </c>
      <c r="B40" t="s">
        <v>3913</v>
      </c>
    </row>
    <row r="41" spans="1:2" x14ac:dyDescent="0.25">
      <c r="A41" s="3">
        <v>789264</v>
      </c>
      <c r="B41" t="s">
        <v>3913</v>
      </c>
    </row>
    <row r="42" spans="1:2" x14ac:dyDescent="0.25">
      <c r="A42" s="23">
        <v>798863</v>
      </c>
      <c r="B42" t="s">
        <v>3913</v>
      </c>
    </row>
    <row r="43" spans="1:2" x14ac:dyDescent="0.25">
      <c r="A43" s="23">
        <v>798864</v>
      </c>
      <c r="B43" t="s">
        <v>3913</v>
      </c>
    </row>
    <row r="44" spans="1:2" x14ac:dyDescent="0.25">
      <c r="A44" s="23">
        <v>798881</v>
      </c>
      <c r="B44" t="s">
        <v>3913</v>
      </c>
    </row>
    <row r="45" spans="1:2" x14ac:dyDescent="0.25">
      <c r="A45" s="23">
        <v>800863</v>
      </c>
      <c r="B45" t="s">
        <v>3913</v>
      </c>
    </row>
    <row r="46" spans="1:2" x14ac:dyDescent="0.25">
      <c r="A46" s="23">
        <v>800870</v>
      </c>
      <c r="B46" t="s">
        <v>3913</v>
      </c>
    </row>
    <row r="47" spans="1:2" x14ac:dyDescent="0.25">
      <c r="A47" s="23">
        <v>807561</v>
      </c>
      <c r="B47" t="s">
        <v>3913</v>
      </c>
    </row>
    <row r="48" spans="1:2" x14ac:dyDescent="0.25">
      <c r="A48" s="23">
        <v>807675</v>
      </c>
      <c r="B48" t="s">
        <v>3913</v>
      </c>
    </row>
    <row r="49" spans="1:2" x14ac:dyDescent="0.25">
      <c r="A49" s="10">
        <v>808481</v>
      </c>
      <c r="B49" t="s">
        <v>3913</v>
      </c>
    </row>
    <row r="50" spans="1:2" x14ac:dyDescent="0.25">
      <c r="A50" s="10">
        <v>808486</v>
      </c>
      <c r="B50" t="s">
        <v>3913</v>
      </c>
    </row>
    <row r="51" spans="1:2" x14ac:dyDescent="0.25">
      <c r="A51" s="10">
        <v>808497</v>
      </c>
      <c r="B51" t="s">
        <v>3913</v>
      </c>
    </row>
    <row r="52" spans="1:2" x14ac:dyDescent="0.25">
      <c r="A52" s="10">
        <v>808502</v>
      </c>
      <c r="B52" t="s">
        <v>3913</v>
      </c>
    </row>
    <row r="53" spans="1:2" x14ac:dyDescent="0.25">
      <c r="A53" s="10">
        <v>808536</v>
      </c>
      <c r="B53" t="s">
        <v>3913</v>
      </c>
    </row>
    <row r="54" spans="1:2" x14ac:dyDescent="0.25">
      <c r="A54" s="10">
        <v>810044</v>
      </c>
      <c r="B54" t="s">
        <v>3913</v>
      </c>
    </row>
    <row r="55" spans="1:2" x14ac:dyDescent="0.25">
      <c r="A55" s="10">
        <v>810055</v>
      </c>
      <c r="B55" t="s">
        <v>3913</v>
      </c>
    </row>
    <row r="56" spans="1:2" x14ac:dyDescent="0.25">
      <c r="A56" s="23">
        <v>810381</v>
      </c>
      <c r="B56" t="s">
        <v>3913</v>
      </c>
    </row>
    <row r="57" spans="1:2" x14ac:dyDescent="0.25">
      <c r="A57" s="10">
        <v>849980</v>
      </c>
      <c r="B57" t="s">
        <v>3913</v>
      </c>
    </row>
    <row r="58" spans="1:2" x14ac:dyDescent="0.25">
      <c r="A58" s="10">
        <v>849990</v>
      </c>
      <c r="B58" t="s">
        <v>3913</v>
      </c>
    </row>
    <row r="59" spans="1:2" x14ac:dyDescent="0.25">
      <c r="A59" s="23">
        <v>851350</v>
      </c>
      <c r="B59" t="s">
        <v>3913</v>
      </c>
    </row>
    <row r="60" spans="1:2" x14ac:dyDescent="0.25">
      <c r="A60" s="23">
        <v>852833</v>
      </c>
      <c r="B60" t="s">
        <v>3913</v>
      </c>
    </row>
    <row r="61" spans="1:2" x14ac:dyDescent="0.25">
      <c r="A61" s="23">
        <v>859037</v>
      </c>
      <c r="B61" t="s">
        <v>3913</v>
      </c>
    </row>
    <row r="62" spans="1:2" x14ac:dyDescent="0.25">
      <c r="A62" s="23">
        <v>874327</v>
      </c>
      <c r="B62" t="s">
        <v>3913</v>
      </c>
    </row>
    <row r="63" spans="1:2" x14ac:dyDescent="0.25">
      <c r="A63" s="10">
        <v>1066418</v>
      </c>
      <c r="B63" t="s">
        <v>3913</v>
      </c>
    </row>
    <row r="64" spans="1:2" x14ac:dyDescent="0.25">
      <c r="A64" s="23">
        <v>1073960</v>
      </c>
      <c r="B64" t="s">
        <v>3913</v>
      </c>
    </row>
    <row r="65" spans="1:1" x14ac:dyDescent="0.25">
      <c r="A65" s="3">
        <v>2195211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4D81-2CD6-4908-BF46-A641B6C3C4B3}">
  <dimension ref="A1:A933"/>
  <sheetViews>
    <sheetView workbookViewId="0"/>
  </sheetViews>
  <sheetFormatPr defaultRowHeight="15" x14ac:dyDescent="0.25"/>
  <sheetData>
    <row r="1" spans="1:1" x14ac:dyDescent="0.25">
      <c r="A1" s="10">
        <v>367428</v>
      </c>
    </row>
    <row r="2" spans="1:1" x14ac:dyDescent="0.25">
      <c r="A2" s="10">
        <v>381074</v>
      </c>
    </row>
    <row r="3" spans="1:1" x14ac:dyDescent="0.25">
      <c r="A3" s="10">
        <v>381465</v>
      </c>
    </row>
    <row r="4" spans="1:1" x14ac:dyDescent="0.25">
      <c r="A4" s="10">
        <v>381468</v>
      </c>
    </row>
    <row r="5" spans="1:1" x14ac:dyDescent="0.25">
      <c r="A5" s="10">
        <v>381701</v>
      </c>
    </row>
    <row r="6" spans="1:1" x14ac:dyDescent="0.25">
      <c r="A6" s="10">
        <v>381889</v>
      </c>
    </row>
    <row r="7" spans="1:1" x14ac:dyDescent="0.25">
      <c r="A7" s="10">
        <v>381903</v>
      </c>
    </row>
    <row r="8" spans="1:1" x14ac:dyDescent="0.25">
      <c r="A8" s="10">
        <v>382749</v>
      </c>
    </row>
    <row r="9" spans="1:1" x14ac:dyDescent="0.25">
      <c r="A9" s="10">
        <v>382749</v>
      </c>
    </row>
    <row r="10" spans="1:1" x14ac:dyDescent="0.25">
      <c r="A10" s="10">
        <v>382749</v>
      </c>
    </row>
    <row r="11" spans="1:1" x14ac:dyDescent="0.25">
      <c r="A11" s="10">
        <v>382834</v>
      </c>
    </row>
    <row r="12" spans="1:1" x14ac:dyDescent="0.25">
      <c r="A12" s="10">
        <v>382844</v>
      </c>
    </row>
    <row r="13" spans="1:1" x14ac:dyDescent="0.25">
      <c r="A13" s="10">
        <v>382955</v>
      </c>
    </row>
    <row r="14" spans="1:1" x14ac:dyDescent="0.25">
      <c r="A14" s="10">
        <v>382972</v>
      </c>
    </row>
    <row r="15" spans="1:1" x14ac:dyDescent="0.25">
      <c r="A15" s="10">
        <v>382978</v>
      </c>
    </row>
    <row r="16" spans="1:1" x14ac:dyDescent="0.25">
      <c r="A16" s="10">
        <v>382978</v>
      </c>
    </row>
    <row r="17" spans="1:1" x14ac:dyDescent="0.25">
      <c r="A17" s="10">
        <v>382978</v>
      </c>
    </row>
    <row r="18" spans="1:1" x14ac:dyDescent="0.25">
      <c r="A18" s="10">
        <v>382981</v>
      </c>
    </row>
    <row r="19" spans="1:1" x14ac:dyDescent="0.25">
      <c r="A19" s="10">
        <v>385945</v>
      </c>
    </row>
    <row r="20" spans="1:1" x14ac:dyDescent="0.25">
      <c r="A20" s="10">
        <v>385949</v>
      </c>
    </row>
    <row r="21" spans="1:1" x14ac:dyDescent="0.25">
      <c r="A21" s="10">
        <v>386935</v>
      </c>
    </row>
    <row r="22" spans="1:1" x14ac:dyDescent="0.25">
      <c r="A22" s="10">
        <v>386992</v>
      </c>
    </row>
    <row r="23" spans="1:1" x14ac:dyDescent="0.25">
      <c r="A23" s="10">
        <v>396405</v>
      </c>
    </row>
    <row r="24" spans="1:1" x14ac:dyDescent="0.25">
      <c r="A24" s="23">
        <v>397670</v>
      </c>
    </row>
    <row r="25" spans="1:1" x14ac:dyDescent="0.25">
      <c r="A25" s="10">
        <v>397818</v>
      </c>
    </row>
    <row r="26" spans="1:1" x14ac:dyDescent="0.25">
      <c r="A26" s="23">
        <v>397822</v>
      </c>
    </row>
    <row r="27" spans="1:1" x14ac:dyDescent="0.25">
      <c r="A27" s="23">
        <v>397852</v>
      </c>
    </row>
    <row r="28" spans="1:1" x14ac:dyDescent="0.25">
      <c r="A28" s="23">
        <v>397863</v>
      </c>
    </row>
    <row r="29" spans="1:1" x14ac:dyDescent="0.25">
      <c r="A29" s="23">
        <v>397876</v>
      </c>
    </row>
    <row r="30" spans="1:1" x14ac:dyDescent="0.25">
      <c r="A30" s="10">
        <v>397877</v>
      </c>
    </row>
    <row r="31" spans="1:1" x14ac:dyDescent="0.25">
      <c r="A31" s="10">
        <v>401648</v>
      </c>
    </row>
    <row r="32" spans="1:1" x14ac:dyDescent="0.25">
      <c r="A32" s="10">
        <v>401658</v>
      </c>
    </row>
    <row r="33" spans="1:1" x14ac:dyDescent="0.25">
      <c r="A33" s="10">
        <v>401739</v>
      </c>
    </row>
    <row r="34" spans="1:1" x14ac:dyDescent="0.25">
      <c r="A34" s="10">
        <v>402086</v>
      </c>
    </row>
    <row r="35" spans="1:1" x14ac:dyDescent="0.25">
      <c r="A35" s="10">
        <v>402086</v>
      </c>
    </row>
    <row r="36" spans="1:1" x14ac:dyDescent="0.25">
      <c r="A36" s="23">
        <v>402917</v>
      </c>
    </row>
    <row r="37" spans="1:1" x14ac:dyDescent="0.25">
      <c r="A37" s="23">
        <v>404543</v>
      </c>
    </row>
    <row r="38" spans="1:1" x14ac:dyDescent="0.25">
      <c r="A38" s="10">
        <v>404800</v>
      </c>
    </row>
    <row r="39" spans="1:1" x14ac:dyDescent="0.25">
      <c r="A39" s="10">
        <v>404800</v>
      </c>
    </row>
    <row r="40" spans="1:1" x14ac:dyDescent="0.25">
      <c r="A40" s="10">
        <v>410449</v>
      </c>
    </row>
    <row r="41" spans="1:1" x14ac:dyDescent="0.25">
      <c r="A41" s="23">
        <v>411542</v>
      </c>
    </row>
    <row r="42" spans="1:1" x14ac:dyDescent="0.25">
      <c r="A42" s="10">
        <v>426512</v>
      </c>
    </row>
    <row r="43" spans="1:1" x14ac:dyDescent="0.25">
      <c r="A43" s="10">
        <v>446302</v>
      </c>
    </row>
    <row r="44" spans="1:1" x14ac:dyDescent="0.25">
      <c r="A44" s="10">
        <v>452363</v>
      </c>
    </row>
    <row r="45" spans="1:1" x14ac:dyDescent="0.25">
      <c r="A45" s="10">
        <v>453897</v>
      </c>
    </row>
    <row r="46" spans="1:1" x14ac:dyDescent="0.25">
      <c r="A46" s="10">
        <v>454218</v>
      </c>
    </row>
    <row r="47" spans="1:1" x14ac:dyDescent="0.25">
      <c r="A47" s="10">
        <v>455268</v>
      </c>
    </row>
    <row r="48" spans="1:1" x14ac:dyDescent="0.25">
      <c r="A48" s="10">
        <v>455268</v>
      </c>
    </row>
    <row r="49" spans="1:1" x14ac:dyDescent="0.25">
      <c r="A49" s="10">
        <v>455268</v>
      </c>
    </row>
    <row r="50" spans="1:1" x14ac:dyDescent="0.25">
      <c r="A50" s="10">
        <v>455275</v>
      </c>
    </row>
    <row r="51" spans="1:1" x14ac:dyDescent="0.25">
      <c r="A51" s="10">
        <v>458290</v>
      </c>
    </row>
    <row r="52" spans="1:1" x14ac:dyDescent="0.25">
      <c r="A52" s="10">
        <v>458655</v>
      </c>
    </row>
    <row r="53" spans="1:1" x14ac:dyDescent="0.25">
      <c r="A53" s="10">
        <v>458655</v>
      </c>
    </row>
    <row r="54" spans="1:1" x14ac:dyDescent="0.25">
      <c r="A54" s="29">
        <v>458655</v>
      </c>
    </row>
    <row r="55" spans="1:1" x14ac:dyDescent="0.25">
      <c r="A55" s="29">
        <v>458655</v>
      </c>
    </row>
    <row r="56" spans="1:1" x14ac:dyDescent="0.25">
      <c r="A56" s="29">
        <v>458655</v>
      </c>
    </row>
    <row r="57" spans="1:1" x14ac:dyDescent="0.25">
      <c r="A57" s="29">
        <v>458655</v>
      </c>
    </row>
    <row r="58" spans="1:1" x14ac:dyDescent="0.25">
      <c r="A58" s="23">
        <v>465606</v>
      </c>
    </row>
    <row r="59" spans="1:1" x14ac:dyDescent="0.25">
      <c r="A59" s="23">
        <v>471392</v>
      </c>
    </row>
    <row r="60" spans="1:1" x14ac:dyDescent="0.25">
      <c r="A60" s="10">
        <v>475171</v>
      </c>
    </row>
    <row r="61" spans="1:1" x14ac:dyDescent="0.25">
      <c r="A61" s="23">
        <v>475214</v>
      </c>
    </row>
    <row r="62" spans="1:1" x14ac:dyDescent="0.25">
      <c r="A62" s="10">
        <v>475453</v>
      </c>
    </row>
    <row r="63" spans="1:1" x14ac:dyDescent="0.25">
      <c r="A63" s="10">
        <v>475458</v>
      </c>
    </row>
    <row r="64" spans="1:1" x14ac:dyDescent="0.25">
      <c r="A64" s="23">
        <v>476957</v>
      </c>
    </row>
    <row r="65" spans="1:1" x14ac:dyDescent="0.25">
      <c r="A65" s="10">
        <v>479076</v>
      </c>
    </row>
    <row r="66" spans="1:1" x14ac:dyDescent="0.25">
      <c r="A66" s="10">
        <v>479079</v>
      </c>
    </row>
    <row r="67" spans="1:1" x14ac:dyDescent="0.25">
      <c r="A67" s="10">
        <v>480058</v>
      </c>
    </row>
    <row r="68" spans="1:1" x14ac:dyDescent="0.25">
      <c r="A68" s="23">
        <v>599364</v>
      </c>
    </row>
    <row r="69" spans="1:1" x14ac:dyDescent="0.25">
      <c r="A69" s="10">
        <v>601741</v>
      </c>
    </row>
    <row r="70" spans="1:1" x14ac:dyDescent="0.25">
      <c r="A70" s="10">
        <v>604127</v>
      </c>
    </row>
    <row r="71" spans="1:1" x14ac:dyDescent="0.25">
      <c r="A71" s="10">
        <v>613457</v>
      </c>
    </row>
    <row r="72" spans="1:1" x14ac:dyDescent="0.25">
      <c r="A72" s="10">
        <v>614521</v>
      </c>
    </row>
    <row r="73" spans="1:1" x14ac:dyDescent="0.25">
      <c r="A73" s="10">
        <v>626460</v>
      </c>
    </row>
    <row r="74" spans="1:1" x14ac:dyDescent="0.25">
      <c r="A74" s="10">
        <v>626703</v>
      </c>
    </row>
    <row r="75" spans="1:1" x14ac:dyDescent="0.25">
      <c r="A75" s="10">
        <v>636335</v>
      </c>
    </row>
    <row r="76" spans="1:1" x14ac:dyDescent="0.25">
      <c r="A76" s="10">
        <v>636337</v>
      </c>
    </row>
    <row r="77" spans="1:1" x14ac:dyDescent="0.25">
      <c r="A77" s="10">
        <v>636371</v>
      </c>
    </row>
    <row r="78" spans="1:1" x14ac:dyDescent="0.25">
      <c r="A78" s="10">
        <v>636385</v>
      </c>
    </row>
    <row r="79" spans="1:1" x14ac:dyDescent="0.25">
      <c r="A79" s="10">
        <v>636389</v>
      </c>
    </row>
    <row r="80" spans="1:1" x14ac:dyDescent="0.25">
      <c r="A80" s="10">
        <v>637133</v>
      </c>
    </row>
    <row r="81" spans="1:1" x14ac:dyDescent="0.25">
      <c r="A81" s="10">
        <v>637139</v>
      </c>
    </row>
    <row r="82" spans="1:1" x14ac:dyDescent="0.25">
      <c r="A82" s="10">
        <v>665442</v>
      </c>
    </row>
    <row r="83" spans="1:1" x14ac:dyDescent="0.25">
      <c r="A83" s="10">
        <v>700486</v>
      </c>
    </row>
    <row r="84" spans="1:1" x14ac:dyDescent="0.25">
      <c r="A84" s="10">
        <v>700487</v>
      </c>
    </row>
    <row r="85" spans="1:1" x14ac:dyDescent="0.25">
      <c r="A85" s="10">
        <v>704429</v>
      </c>
    </row>
    <row r="86" spans="1:1" x14ac:dyDescent="0.25">
      <c r="A86" s="10">
        <v>709106</v>
      </c>
    </row>
    <row r="87" spans="1:1" x14ac:dyDescent="0.25">
      <c r="A87" s="10">
        <v>709129</v>
      </c>
    </row>
    <row r="88" spans="1:1" x14ac:dyDescent="0.25">
      <c r="A88" s="10">
        <v>729122</v>
      </c>
    </row>
    <row r="89" spans="1:1" x14ac:dyDescent="0.25">
      <c r="A89" s="10">
        <v>730341</v>
      </c>
    </row>
    <row r="90" spans="1:1" x14ac:dyDescent="0.25">
      <c r="A90" s="10">
        <v>733501</v>
      </c>
    </row>
    <row r="91" spans="1:1" x14ac:dyDescent="0.25">
      <c r="A91" s="10">
        <v>742171</v>
      </c>
    </row>
    <row r="92" spans="1:1" x14ac:dyDescent="0.25">
      <c r="A92" s="10">
        <v>742171</v>
      </c>
    </row>
    <row r="93" spans="1:1" x14ac:dyDescent="0.25">
      <c r="A93" s="10">
        <v>764770</v>
      </c>
    </row>
    <row r="94" spans="1:1" x14ac:dyDescent="0.25">
      <c r="A94" s="10">
        <v>767226</v>
      </c>
    </row>
    <row r="95" spans="1:1" x14ac:dyDescent="0.25">
      <c r="A95" s="10">
        <v>767525</v>
      </c>
    </row>
    <row r="96" spans="1:1" x14ac:dyDescent="0.25">
      <c r="A96" s="10">
        <v>782745</v>
      </c>
    </row>
    <row r="97" spans="1:1" x14ac:dyDescent="0.25">
      <c r="A97" s="10">
        <v>784907</v>
      </c>
    </row>
    <row r="98" spans="1:1" x14ac:dyDescent="0.25">
      <c r="A98" s="10">
        <v>784907</v>
      </c>
    </row>
    <row r="99" spans="1:1" x14ac:dyDescent="0.25">
      <c r="A99" s="10">
        <v>784907</v>
      </c>
    </row>
    <row r="100" spans="1:1" x14ac:dyDescent="0.25">
      <c r="A100" s="10">
        <v>784907</v>
      </c>
    </row>
    <row r="101" spans="1:1" x14ac:dyDescent="0.25">
      <c r="A101" s="10">
        <v>784907</v>
      </c>
    </row>
    <row r="102" spans="1:1" x14ac:dyDescent="0.25">
      <c r="A102" s="10">
        <v>784907</v>
      </c>
    </row>
    <row r="103" spans="1:1" x14ac:dyDescent="0.25">
      <c r="A103" s="10">
        <v>784907</v>
      </c>
    </row>
    <row r="104" spans="1:1" x14ac:dyDescent="0.25">
      <c r="A104" s="10">
        <v>784907</v>
      </c>
    </row>
    <row r="105" spans="1:1" x14ac:dyDescent="0.25">
      <c r="A105" s="10">
        <v>784907</v>
      </c>
    </row>
    <row r="106" spans="1:1" x14ac:dyDescent="0.25">
      <c r="A106" s="10">
        <v>784907</v>
      </c>
    </row>
    <row r="107" spans="1:1" x14ac:dyDescent="0.25">
      <c r="A107" s="10">
        <v>784907</v>
      </c>
    </row>
    <row r="108" spans="1:1" x14ac:dyDescent="0.25">
      <c r="A108" s="10">
        <v>785080</v>
      </c>
    </row>
    <row r="109" spans="1:1" x14ac:dyDescent="0.25">
      <c r="A109" s="10">
        <v>788850</v>
      </c>
    </row>
    <row r="110" spans="1:1" x14ac:dyDescent="0.25">
      <c r="A110" s="10">
        <v>788899</v>
      </c>
    </row>
    <row r="111" spans="1:1" x14ac:dyDescent="0.25">
      <c r="A111" s="10">
        <v>798614</v>
      </c>
    </row>
    <row r="112" spans="1:1" x14ac:dyDescent="0.25">
      <c r="A112" s="10">
        <v>798623</v>
      </c>
    </row>
    <row r="113" spans="1:1" x14ac:dyDescent="0.25">
      <c r="A113" s="23">
        <v>798863</v>
      </c>
    </row>
    <row r="114" spans="1:1" x14ac:dyDescent="0.25">
      <c r="A114" s="23">
        <v>798864</v>
      </c>
    </row>
    <row r="115" spans="1:1" x14ac:dyDescent="0.25">
      <c r="A115" s="23">
        <v>798881</v>
      </c>
    </row>
    <row r="116" spans="1:1" x14ac:dyDescent="0.25">
      <c r="A116" s="10">
        <v>800848</v>
      </c>
    </row>
    <row r="117" spans="1:1" x14ac:dyDescent="0.25">
      <c r="A117" s="23">
        <v>800863</v>
      </c>
    </row>
    <row r="118" spans="1:1" x14ac:dyDescent="0.25">
      <c r="A118" s="23">
        <v>800870</v>
      </c>
    </row>
    <row r="119" spans="1:1" x14ac:dyDescent="0.25">
      <c r="A119" s="10">
        <v>801047</v>
      </c>
    </row>
    <row r="120" spans="1:1" x14ac:dyDescent="0.25">
      <c r="A120" s="10">
        <v>804699</v>
      </c>
    </row>
    <row r="121" spans="1:1" x14ac:dyDescent="0.25">
      <c r="A121" s="10">
        <v>804707</v>
      </c>
    </row>
    <row r="122" spans="1:1" x14ac:dyDescent="0.25">
      <c r="A122" s="10">
        <v>804707</v>
      </c>
    </row>
    <row r="123" spans="1:1" x14ac:dyDescent="0.25">
      <c r="A123" s="10">
        <v>804731</v>
      </c>
    </row>
    <row r="124" spans="1:1" x14ac:dyDescent="0.25">
      <c r="A124" s="18">
        <v>804731</v>
      </c>
    </row>
    <row r="125" spans="1:1" x14ac:dyDescent="0.25">
      <c r="A125" s="29">
        <v>804731</v>
      </c>
    </row>
    <row r="126" spans="1:1" x14ac:dyDescent="0.25">
      <c r="A126" s="29">
        <v>804731</v>
      </c>
    </row>
    <row r="127" spans="1:1" x14ac:dyDescent="0.25">
      <c r="A127" s="29">
        <v>804731</v>
      </c>
    </row>
    <row r="128" spans="1:1" x14ac:dyDescent="0.25">
      <c r="A128" s="29">
        <v>805036</v>
      </c>
    </row>
    <row r="129" spans="1:1" x14ac:dyDescent="0.25">
      <c r="A129" s="23">
        <v>807561</v>
      </c>
    </row>
    <row r="130" spans="1:1" x14ac:dyDescent="0.25">
      <c r="A130" s="10">
        <v>807567</v>
      </c>
    </row>
    <row r="131" spans="1:1" x14ac:dyDescent="0.25">
      <c r="A131" s="23">
        <v>807675</v>
      </c>
    </row>
    <row r="132" spans="1:1" x14ac:dyDescent="0.25">
      <c r="A132" s="10">
        <v>808481</v>
      </c>
    </row>
    <row r="133" spans="1:1" x14ac:dyDescent="0.25">
      <c r="A133" s="10">
        <v>808481</v>
      </c>
    </row>
    <row r="134" spans="1:1" x14ac:dyDescent="0.25">
      <c r="A134" s="10">
        <v>808481</v>
      </c>
    </row>
    <row r="135" spans="1:1" x14ac:dyDescent="0.25">
      <c r="A135" s="10">
        <v>808497</v>
      </c>
    </row>
    <row r="136" spans="1:1" x14ac:dyDescent="0.25">
      <c r="A136" s="10">
        <v>808502</v>
      </c>
    </row>
    <row r="137" spans="1:1" x14ac:dyDescent="0.25">
      <c r="A137" s="10">
        <v>808536</v>
      </c>
    </row>
    <row r="138" spans="1:1" x14ac:dyDescent="0.25">
      <c r="A138" s="10">
        <v>808536</v>
      </c>
    </row>
    <row r="139" spans="1:1" x14ac:dyDescent="0.25">
      <c r="A139" s="10">
        <v>808536</v>
      </c>
    </row>
    <row r="140" spans="1:1" x14ac:dyDescent="0.25">
      <c r="A140" s="10">
        <v>808536</v>
      </c>
    </row>
    <row r="141" spans="1:1" x14ac:dyDescent="0.25">
      <c r="A141" s="10">
        <v>808536</v>
      </c>
    </row>
    <row r="142" spans="1:1" x14ac:dyDescent="0.25">
      <c r="A142" s="10">
        <v>808536</v>
      </c>
    </row>
    <row r="143" spans="1:1" x14ac:dyDescent="0.25">
      <c r="A143" s="10">
        <v>808536</v>
      </c>
    </row>
    <row r="144" spans="1:1" x14ac:dyDescent="0.25">
      <c r="A144" s="10">
        <v>808766</v>
      </c>
    </row>
    <row r="145" spans="1:1" x14ac:dyDescent="0.25">
      <c r="A145" s="10">
        <v>810040</v>
      </c>
    </row>
    <row r="146" spans="1:1" x14ac:dyDescent="0.25">
      <c r="A146" s="10">
        <v>810055</v>
      </c>
    </row>
    <row r="147" spans="1:1" x14ac:dyDescent="0.25">
      <c r="A147" s="10">
        <v>810055</v>
      </c>
    </row>
    <row r="148" spans="1:1" x14ac:dyDescent="0.25">
      <c r="A148" s="23">
        <v>810381</v>
      </c>
    </row>
    <row r="149" spans="1:1" x14ac:dyDescent="0.25">
      <c r="A149" s="10">
        <v>847196</v>
      </c>
    </row>
    <row r="150" spans="1:1" x14ac:dyDescent="0.25">
      <c r="A150" s="23">
        <v>851350</v>
      </c>
    </row>
    <row r="151" spans="1:1" x14ac:dyDescent="0.25">
      <c r="A151" s="23">
        <v>852833</v>
      </c>
    </row>
    <row r="152" spans="1:1" x14ac:dyDescent="0.25">
      <c r="A152" s="23">
        <v>859037</v>
      </c>
    </row>
    <row r="153" spans="1:1" x14ac:dyDescent="0.25">
      <c r="A153" s="10">
        <v>865410</v>
      </c>
    </row>
    <row r="154" spans="1:1" x14ac:dyDescent="0.25">
      <c r="A154" s="23">
        <v>874327</v>
      </c>
    </row>
    <row r="155" spans="1:1" x14ac:dyDescent="0.25">
      <c r="A155" s="10">
        <v>917387</v>
      </c>
    </row>
    <row r="156" spans="1:1" x14ac:dyDescent="0.25">
      <c r="A156" s="10">
        <v>931586</v>
      </c>
    </row>
    <row r="157" spans="1:1" x14ac:dyDescent="0.25">
      <c r="A157" s="10">
        <v>950676</v>
      </c>
    </row>
    <row r="158" spans="1:1" x14ac:dyDescent="0.25">
      <c r="A158" s="10">
        <v>950691</v>
      </c>
    </row>
    <row r="159" spans="1:1" x14ac:dyDescent="0.25">
      <c r="A159" s="10">
        <v>959409</v>
      </c>
    </row>
    <row r="160" spans="1:1" x14ac:dyDescent="0.25">
      <c r="A160" s="10">
        <v>1025381</v>
      </c>
    </row>
    <row r="161" spans="1:1" x14ac:dyDescent="0.25">
      <c r="A161" s="10">
        <v>1044776</v>
      </c>
    </row>
    <row r="162" spans="1:1" x14ac:dyDescent="0.25">
      <c r="A162" s="10">
        <v>1066418</v>
      </c>
    </row>
    <row r="163" spans="1:1" x14ac:dyDescent="0.25">
      <c r="A163" s="10">
        <v>1066418</v>
      </c>
    </row>
    <row r="164" spans="1:1" x14ac:dyDescent="0.25">
      <c r="A164" s="23">
        <v>1073960</v>
      </c>
    </row>
    <row r="165" spans="1:1" x14ac:dyDescent="0.25">
      <c r="A165" s="10">
        <v>1076546</v>
      </c>
    </row>
    <row r="166" spans="1:1" x14ac:dyDescent="0.25">
      <c r="A166" s="10">
        <v>1076546</v>
      </c>
    </row>
    <row r="167" spans="1:1" x14ac:dyDescent="0.25">
      <c r="A167" s="10">
        <v>1076546</v>
      </c>
    </row>
    <row r="168" spans="1:1" x14ac:dyDescent="0.25">
      <c r="A168" s="10">
        <v>1306834</v>
      </c>
    </row>
    <row r="169" spans="1:1" x14ac:dyDescent="0.25">
      <c r="A169" s="10">
        <v>1313328</v>
      </c>
    </row>
    <row r="170" spans="1:1" x14ac:dyDescent="0.25">
      <c r="A170" s="10">
        <v>1376687</v>
      </c>
    </row>
    <row r="171" spans="1:1" x14ac:dyDescent="0.25">
      <c r="A171" s="10">
        <v>1376717</v>
      </c>
    </row>
    <row r="172" spans="1:1" x14ac:dyDescent="0.25">
      <c r="A172" s="10">
        <v>1380949</v>
      </c>
    </row>
    <row r="173" spans="1:1" x14ac:dyDescent="0.25">
      <c r="A173" s="10">
        <v>1381028</v>
      </c>
    </row>
    <row r="174" spans="1:1" x14ac:dyDescent="0.25">
      <c r="A174" s="10">
        <v>1381084</v>
      </c>
    </row>
    <row r="175" spans="1:1" x14ac:dyDescent="0.25">
      <c r="A175" s="10">
        <v>1381142</v>
      </c>
    </row>
    <row r="176" spans="1:1" x14ac:dyDescent="0.25">
      <c r="A176" s="10">
        <v>1381247</v>
      </c>
    </row>
    <row r="177" spans="1:1" x14ac:dyDescent="0.25">
      <c r="A177" s="10">
        <v>1384320</v>
      </c>
    </row>
    <row r="178" spans="1:1" x14ac:dyDescent="0.25">
      <c r="A178" s="10">
        <v>1651190</v>
      </c>
    </row>
    <row r="179" spans="1:1" x14ac:dyDescent="0.25">
      <c r="A179" s="10">
        <v>1669786</v>
      </c>
    </row>
    <row r="180" spans="1:1" x14ac:dyDescent="0.25">
      <c r="A180" s="10">
        <v>1671826</v>
      </c>
    </row>
    <row r="181" spans="1:1" x14ac:dyDescent="0.25">
      <c r="A181" s="10">
        <v>1684166</v>
      </c>
    </row>
    <row r="182" spans="1:1" x14ac:dyDescent="0.25">
      <c r="A182" s="10">
        <v>1718418</v>
      </c>
    </row>
    <row r="183" spans="1:1" x14ac:dyDescent="0.25">
      <c r="A183" s="10">
        <v>1718418</v>
      </c>
    </row>
    <row r="184" spans="1:1" x14ac:dyDescent="0.25">
      <c r="A184" s="10">
        <v>1724855</v>
      </c>
    </row>
    <row r="185" spans="1:1" x14ac:dyDescent="0.25">
      <c r="A185" s="10">
        <v>1752559</v>
      </c>
    </row>
    <row r="186" spans="1:1" x14ac:dyDescent="0.25">
      <c r="A186" s="10">
        <v>1779910</v>
      </c>
    </row>
    <row r="187" spans="1:1" x14ac:dyDescent="0.25">
      <c r="A187" s="10">
        <v>1784317</v>
      </c>
    </row>
    <row r="188" spans="1:1" x14ac:dyDescent="0.25">
      <c r="A188" s="10">
        <v>1790475</v>
      </c>
    </row>
    <row r="189" spans="1:1" x14ac:dyDescent="0.25">
      <c r="A189" s="10">
        <v>1888900</v>
      </c>
    </row>
    <row r="190" spans="1:1" x14ac:dyDescent="0.25">
      <c r="A190" s="10">
        <v>1888900</v>
      </c>
    </row>
    <row r="191" spans="1:1" x14ac:dyDescent="0.25">
      <c r="A191" s="10">
        <v>1888900</v>
      </c>
    </row>
    <row r="192" spans="1:1" x14ac:dyDescent="0.25">
      <c r="A192" s="10">
        <v>1888900</v>
      </c>
    </row>
    <row r="193" spans="1:1" x14ac:dyDescent="0.25">
      <c r="A193" s="10">
        <v>1888900</v>
      </c>
    </row>
    <row r="194" spans="1:1" x14ac:dyDescent="0.25">
      <c r="A194" s="10">
        <v>1888900</v>
      </c>
    </row>
    <row r="195" spans="1:1" x14ac:dyDescent="0.25">
      <c r="A195" s="10">
        <v>1888900</v>
      </c>
    </row>
    <row r="196" spans="1:1" x14ac:dyDescent="0.25">
      <c r="A196" s="10">
        <v>1888900</v>
      </c>
    </row>
    <row r="197" spans="1:1" x14ac:dyDescent="0.25">
      <c r="A197" s="10">
        <v>1888900</v>
      </c>
    </row>
    <row r="198" spans="1:1" x14ac:dyDescent="0.25">
      <c r="A198" s="10">
        <v>1888900</v>
      </c>
    </row>
    <row r="199" spans="1:1" x14ac:dyDescent="0.25">
      <c r="A199" s="10">
        <v>1888900</v>
      </c>
    </row>
    <row r="200" spans="1:1" x14ac:dyDescent="0.25">
      <c r="A200" s="10">
        <v>1888900</v>
      </c>
    </row>
    <row r="201" spans="1:1" x14ac:dyDescent="0.25">
      <c r="A201" s="10">
        <v>1888900</v>
      </c>
    </row>
    <row r="202" spans="1:1" x14ac:dyDescent="0.25">
      <c r="A202" s="10">
        <v>1888900</v>
      </c>
    </row>
    <row r="203" spans="1:1" x14ac:dyDescent="0.25">
      <c r="A203" s="10">
        <v>1888900</v>
      </c>
    </row>
    <row r="204" spans="1:1" x14ac:dyDescent="0.25">
      <c r="A204" s="10">
        <v>1888900</v>
      </c>
    </row>
    <row r="205" spans="1:1" x14ac:dyDescent="0.25">
      <c r="A205" s="10">
        <v>1888900</v>
      </c>
    </row>
    <row r="206" spans="1:1" x14ac:dyDescent="0.25">
      <c r="A206" s="10">
        <v>1888900</v>
      </c>
    </row>
    <row r="207" spans="1:1" x14ac:dyDescent="0.25">
      <c r="A207" s="10">
        <v>1888900</v>
      </c>
    </row>
    <row r="208" spans="1:1" x14ac:dyDescent="0.25">
      <c r="A208" s="10">
        <v>1888900</v>
      </c>
    </row>
    <row r="209" spans="1:1" x14ac:dyDescent="0.25">
      <c r="A209" s="10">
        <v>1888900</v>
      </c>
    </row>
    <row r="210" spans="1:1" x14ac:dyDescent="0.25">
      <c r="A210" s="10">
        <v>1888900</v>
      </c>
    </row>
    <row r="211" spans="1:1" x14ac:dyDescent="0.25">
      <c r="A211" s="10">
        <v>1888900</v>
      </c>
    </row>
    <row r="212" spans="1:1" x14ac:dyDescent="0.25">
      <c r="A212" s="10">
        <v>1888900</v>
      </c>
    </row>
    <row r="213" spans="1:1" x14ac:dyDescent="0.25">
      <c r="A213" s="10">
        <v>1888900</v>
      </c>
    </row>
    <row r="214" spans="1:1" x14ac:dyDescent="0.25">
      <c r="A214" s="10">
        <v>1888900</v>
      </c>
    </row>
    <row r="215" spans="1:1" x14ac:dyDescent="0.25">
      <c r="A215" s="10">
        <v>1888900</v>
      </c>
    </row>
    <row r="216" spans="1:1" x14ac:dyDescent="0.25">
      <c r="A216" s="10">
        <v>1888900</v>
      </c>
    </row>
    <row r="217" spans="1:1" x14ac:dyDescent="0.25">
      <c r="A217" s="10">
        <v>1888900</v>
      </c>
    </row>
    <row r="218" spans="1:1" x14ac:dyDescent="0.25">
      <c r="A218" s="10">
        <v>1888900</v>
      </c>
    </row>
    <row r="219" spans="1:1" x14ac:dyDescent="0.25">
      <c r="A219" s="10">
        <v>1888900</v>
      </c>
    </row>
    <row r="220" spans="1:1" x14ac:dyDescent="0.25">
      <c r="A220" s="10">
        <v>1888900</v>
      </c>
    </row>
    <row r="221" spans="1:1" x14ac:dyDescent="0.25">
      <c r="A221" s="10">
        <v>1888900</v>
      </c>
    </row>
    <row r="222" spans="1:1" x14ac:dyDescent="0.25">
      <c r="A222" s="10">
        <v>1888900</v>
      </c>
    </row>
    <row r="223" spans="1:1" x14ac:dyDescent="0.25">
      <c r="A223" s="10">
        <v>1888900</v>
      </c>
    </row>
    <row r="224" spans="1:1" x14ac:dyDescent="0.25">
      <c r="A224" s="10">
        <v>1888900</v>
      </c>
    </row>
    <row r="225" spans="1:1" x14ac:dyDescent="0.25">
      <c r="A225" s="10">
        <v>1888900</v>
      </c>
    </row>
    <row r="226" spans="1:1" x14ac:dyDescent="0.25">
      <c r="A226" s="10">
        <v>1888900</v>
      </c>
    </row>
    <row r="227" spans="1:1" x14ac:dyDescent="0.25">
      <c r="A227" s="10">
        <v>1891325</v>
      </c>
    </row>
    <row r="228" spans="1:1" x14ac:dyDescent="0.25">
      <c r="A228" s="10">
        <v>1915110</v>
      </c>
    </row>
    <row r="229" spans="1:1" x14ac:dyDescent="0.25">
      <c r="A229" s="10">
        <v>1976927</v>
      </c>
    </row>
    <row r="230" spans="1:1" x14ac:dyDescent="0.25">
      <c r="A230" s="10">
        <v>1979399</v>
      </c>
    </row>
    <row r="231" spans="1:1" x14ac:dyDescent="0.25">
      <c r="A231" s="10">
        <v>1979400</v>
      </c>
    </row>
    <row r="232" spans="1:1" x14ac:dyDescent="0.25">
      <c r="A232" s="10">
        <v>2129622</v>
      </c>
    </row>
    <row r="233" spans="1:1" x14ac:dyDescent="0.25">
      <c r="A233" s="10">
        <v>2129622</v>
      </c>
    </row>
    <row r="234" spans="1:1" x14ac:dyDescent="0.25">
      <c r="A234" s="10">
        <v>586409</v>
      </c>
    </row>
    <row r="235" spans="1:1" x14ac:dyDescent="0.25">
      <c r="A235" s="10">
        <v>811645</v>
      </c>
    </row>
    <row r="236" spans="1:1" x14ac:dyDescent="0.25">
      <c r="A236" s="10">
        <v>742175</v>
      </c>
    </row>
    <row r="237" spans="1:1" x14ac:dyDescent="0.25">
      <c r="A237" s="10">
        <v>742176</v>
      </c>
    </row>
    <row r="238" spans="1:1" x14ac:dyDescent="0.25">
      <c r="A238" s="10">
        <v>742180</v>
      </c>
    </row>
    <row r="239" spans="1:1" x14ac:dyDescent="0.25">
      <c r="A239" s="10">
        <v>458243</v>
      </c>
    </row>
    <row r="240" spans="1:1" x14ac:dyDescent="0.25">
      <c r="A240" s="10">
        <v>458243</v>
      </c>
    </row>
    <row r="241" spans="1:1" x14ac:dyDescent="0.25">
      <c r="A241" s="10">
        <v>458243</v>
      </c>
    </row>
    <row r="242" spans="1:1" x14ac:dyDescent="0.25">
      <c r="A242" s="10">
        <v>458243</v>
      </c>
    </row>
    <row r="243" spans="1:1" x14ac:dyDescent="0.25">
      <c r="A243" s="10">
        <v>458243</v>
      </c>
    </row>
    <row r="244" spans="1:1" x14ac:dyDescent="0.25">
      <c r="A244" s="18">
        <v>458243</v>
      </c>
    </row>
    <row r="245" spans="1:1" x14ac:dyDescent="0.25">
      <c r="A245" s="18">
        <v>458243</v>
      </c>
    </row>
    <row r="246" spans="1:1" x14ac:dyDescent="0.25">
      <c r="A246" s="18">
        <v>458243</v>
      </c>
    </row>
    <row r="247" spans="1:1" x14ac:dyDescent="0.25">
      <c r="A247" s="18">
        <v>458243</v>
      </c>
    </row>
    <row r="248" spans="1:1" x14ac:dyDescent="0.25">
      <c r="A248" s="18">
        <v>458243</v>
      </c>
    </row>
    <row r="249" spans="1:1" x14ac:dyDescent="0.25">
      <c r="A249" s="18">
        <v>458243</v>
      </c>
    </row>
    <row r="250" spans="1:1" x14ac:dyDescent="0.25">
      <c r="A250" s="18">
        <v>458243</v>
      </c>
    </row>
    <row r="251" spans="1:1" x14ac:dyDescent="0.25">
      <c r="A251" s="18">
        <v>458243</v>
      </c>
    </row>
    <row r="252" spans="1:1" x14ac:dyDescent="0.25">
      <c r="A252" s="18">
        <v>458243</v>
      </c>
    </row>
    <row r="253" spans="1:1" x14ac:dyDescent="0.25">
      <c r="A253" s="10">
        <v>335235</v>
      </c>
    </row>
    <row r="254" spans="1:1" x14ac:dyDescent="0.25">
      <c r="A254" s="10">
        <v>335235</v>
      </c>
    </row>
    <row r="255" spans="1:1" x14ac:dyDescent="0.25">
      <c r="A255" s="10">
        <v>335235</v>
      </c>
    </row>
    <row r="256" spans="1:1" x14ac:dyDescent="0.25">
      <c r="A256" s="10">
        <v>335235</v>
      </c>
    </row>
    <row r="257" spans="1:1" x14ac:dyDescent="0.25">
      <c r="A257" s="10">
        <v>335235</v>
      </c>
    </row>
    <row r="258" spans="1:1" x14ac:dyDescent="0.25">
      <c r="A258" s="10">
        <v>335235</v>
      </c>
    </row>
    <row r="259" spans="1:1" x14ac:dyDescent="0.25">
      <c r="A259" s="10">
        <v>335235</v>
      </c>
    </row>
    <row r="260" spans="1:1" x14ac:dyDescent="0.25">
      <c r="A260" s="10">
        <v>335235</v>
      </c>
    </row>
    <row r="261" spans="1:1" x14ac:dyDescent="0.25">
      <c r="A261" s="10">
        <v>256272</v>
      </c>
    </row>
    <row r="262" spans="1:1" x14ac:dyDescent="0.25">
      <c r="A262" s="10">
        <v>256272</v>
      </c>
    </row>
    <row r="263" spans="1:1" x14ac:dyDescent="0.25">
      <c r="A263" s="10">
        <v>458267</v>
      </c>
    </row>
    <row r="264" spans="1:1" x14ac:dyDescent="0.25">
      <c r="A264" s="10">
        <v>849980</v>
      </c>
    </row>
    <row r="265" spans="1:1" x14ac:dyDescent="0.25">
      <c r="A265" s="10">
        <v>849980</v>
      </c>
    </row>
    <row r="266" spans="1:1" x14ac:dyDescent="0.25">
      <c r="A266" s="10">
        <v>849980</v>
      </c>
    </row>
    <row r="267" spans="1:1" x14ac:dyDescent="0.25">
      <c r="A267" s="10">
        <v>849980</v>
      </c>
    </row>
    <row r="268" spans="1:1" x14ac:dyDescent="0.25">
      <c r="A268" s="10">
        <v>458260</v>
      </c>
    </row>
    <row r="269" spans="1:1" x14ac:dyDescent="0.25">
      <c r="A269" s="23">
        <v>256276</v>
      </c>
    </row>
    <row r="270" spans="1:1" x14ac:dyDescent="0.25">
      <c r="A270" s="10">
        <v>849990</v>
      </c>
    </row>
    <row r="271" spans="1:1" x14ac:dyDescent="0.25">
      <c r="A271" s="10">
        <v>851358</v>
      </c>
    </row>
    <row r="272" spans="1:1" x14ac:dyDescent="0.25">
      <c r="A272" s="10">
        <v>851358</v>
      </c>
    </row>
    <row r="273" spans="1:1" x14ac:dyDescent="0.25">
      <c r="A273" s="10">
        <v>851358</v>
      </c>
    </row>
    <row r="274" spans="1:1" x14ac:dyDescent="0.25">
      <c r="A274" s="10">
        <v>851358</v>
      </c>
    </row>
    <row r="275" spans="1:1" x14ac:dyDescent="0.25">
      <c r="A275" s="10">
        <v>851358</v>
      </c>
    </row>
    <row r="276" spans="1:1" x14ac:dyDescent="0.25">
      <c r="A276" s="10">
        <v>851358</v>
      </c>
    </row>
    <row r="277" spans="1:1" x14ac:dyDescent="0.25">
      <c r="A277" s="10">
        <v>851358</v>
      </c>
    </row>
    <row r="278" spans="1:1" x14ac:dyDescent="0.25">
      <c r="A278" s="10">
        <v>851358</v>
      </c>
    </row>
    <row r="279" spans="1:1" x14ac:dyDescent="0.25">
      <c r="A279" s="10">
        <v>851358</v>
      </c>
    </row>
    <row r="280" spans="1:1" x14ac:dyDescent="0.25">
      <c r="A280" s="10">
        <v>851358</v>
      </c>
    </row>
    <row r="281" spans="1:1" x14ac:dyDescent="0.25">
      <c r="A281" s="10">
        <v>851358</v>
      </c>
    </row>
    <row r="282" spans="1:1" x14ac:dyDescent="0.25">
      <c r="A282" s="10">
        <v>851358</v>
      </c>
    </row>
    <row r="283" spans="1:1" x14ac:dyDescent="0.25">
      <c r="A283" s="10">
        <v>851358</v>
      </c>
    </row>
    <row r="284" spans="1:1" x14ac:dyDescent="0.25">
      <c r="A284" s="10">
        <v>851358</v>
      </c>
    </row>
    <row r="285" spans="1:1" x14ac:dyDescent="0.25">
      <c r="A285" s="10">
        <v>851358</v>
      </c>
    </row>
    <row r="286" spans="1:1" x14ac:dyDescent="0.25">
      <c r="A286" s="40">
        <v>851358</v>
      </c>
    </row>
    <row r="287" spans="1:1" x14ac:dyDescent="0.25">
      <c r="A287" s="10">
        <v>851957</v>
      </c>
    </row>
    <row r="288" spans="1:1" x14ac:dyDescent="0.25">
      <c r="A288" s="10">
        <v>780308</v>
      </c>
    </row>
    <row r="289" spans="1:1" x14ac:dyDescent="0.25">
      <c r="A289" s="10">
        <v>852081</v>
      </c>
    </row>
    <row r="290" spans="1:1" x14ac:dyDescent="0.25">
      <c r="A290" s="10">
        <v>352640</v>
      </c>
    </row>
    <row r="291" spans="1:1" x14ac:dyDescent="0.25">
      <c r="A291" s="10">
        <v>943524</v>
      </c>
    </row>
    <row r="292" spans="1:1" x14ac:dyDescent="0.25">
      <c r="A292" s="10">
        <v>120404</v>
      </c>
    </row>
    <row r="293" spans="1:1" x14ac:dyDescent="0.25">
      <c r="A293" s="10">
        <v>397864</v>
      </c>
    </row>
    <row r="294" spans="1:1" x14ac:dyDescent="0.25">
      <c r="A294" s="10">
        <v>256426</v>
      </c>
    </row>
    <row r="295" spans="1:1" x14ac:dyDescent="0.25">
      <c r="A295" s="10">
        <v>381260</v>
      </c>
    </row>
    <row r="296" spans="1:1" x14ac:dyDescent="0.25">
      <c r="A296" s="10">
        <v>381260</v>
      </c>
    </row>
    <row r="297" spans="1:1" x14ac:dyDescent="0.25">
      <c r="A297" s="10">
        <v>397821</v>
      </c>
    </row>
    <row r="298" spans="1:1" x14ac:dyDescent="0.25">
      <c r="A298" s="10">
        <v>397821</v>
      </c>
    </row>
    <row r="299" spans="1:1" x14ac:dyDescent="0.25">
      <c r="A299" s="10">
        <v>397821</v>
      </c>
    </row>
    <row r="300" spans="1:1" x14ac:dyDescent="0.25">
      <c r="A300" s="10">
        <v>397821</v>
      </c>
    </row>
    <row r="301" spans="1:1" x14ac:dyDescent="0.25">
      <c r="A301" s="10">
        <v>397821</v>
      </c>
    </row>
    <row r="302" spans="1:1" x14ac:dyDescent="0.25">
      <c r="A302" s="10">
        <v>397821</v>
      </c>
    </row>
    <row r="303" spans="1:1" x14ac:dyDescent="0.25">
      <c r="A303" s="10">
        <v>397821</v>
      </c>
    </row>
    <row r="304" spans="1:1" x14ac:dyDescent="0.25">
      <c r="A304" s="10">
        <v>397821</v>
      </c>
    </row>
    <row r="305" spans="1:1" x14ac:dyDescent="0.25">
      <c r="A305" s="10">
        <v>397821</v>
      </c>
    </row>
    <row r="306" spans="1:1" x14ac:dyDescent="0.25">
      <c r="A306" s="10">
        <v>397821</v>
      </c>
    </row>
    <row r="307" spans="1:1" x14ac:dyDescent="0.25">
      <c r="A307" s="10">
        <v>397821</v>
      </c>
    </row>
    <row r="308" spans="1:1" x14ac:dyDescent="0.25">
      <c r="A308" s="10">
        <v>397821</v>
      </c>
    </row>
    <row r="309" spans="1:1" x14ac:dyDescent="0.25">
      <c r="A309" s="10">
        <v>397821</v>
      </c>
    </row>
    <row r="310" spans="1:1" x14ac:dyDescent="0.25">
      <c r="A310" s="10">
        <v>397821</v>
      </c>
    </row>
    <row r="311" spans="1:1" x14ac:dyDescent="0.25">
      <c r="A311" s="10">
        <v>397821</v>
      </c>
    </row>
    <row r="312" spans="1:1" x14ac:dyDescent="0.25">
      <c r="A312" s="10">
        <v>397821</v>
      </c>
    </row>
    <row r="313" spans="1:1" x14ac:dyDescent="0.25">
      <c r="A313" s="10">
        <v>397821</v>
      </c>
    </row>
    <row r="314" spans="1:1" x14ac:dyDescent="0.25">
      <c r="A314" s="10">
        <v>397821</v>
      </c>
    </row>
    <row r="315" spans="1:1" x14ac:dyDescent="0.25">
      <c r="A315" s="10">
        <v>397821</v>
      </c>
    </row>
    <row r="316" spans="1:1" x14ac:dyDescent="0.25">
      <c r="A316" s="10">
        <v>2284</v>
      </c>
    </row>
    <row r="317" spans="1:1" x14ac:dyDescent="0.25">
      <c r="A317" s="10">
        <v>2284</v>
      </c>
    </row>
    <row r="318" spans="1:1" x14ac:dyDescent="0.25">
      <c r="A318" s="10">
        <v>2284</v>
      </c>
    </row>
    <row r="319" spans="1:1" x14ac:dyDescent="0.25">
      <c r="A319" s="10">
        <v>2284</v>
      </c>
    </row>
    <row r="320" spans="1:1" x14ac:dyDescent="0.25">
      <c r="A320" s="10">
        <v>2284</v>
      </c>
    </row>
    <row r="321" spans="1:1" x14ac:dyDescent="0.25">
      <c r="A321" s="10">
        <v>2284</v>
      </c>
    </row>
    <row r="322" spans="1:1" x14ac:dyDescent="0.25">
      <c r="A322" s="10">
        <v>2284</v>
      </c>
    </row>
    <row r="323" spans="1:1" x14ac:dyDescent="0.25">
      <c r="A323" s="10">
        <v>2284</v>
      </c>
    </row>
    <row r="324" spans="1:1" x14ac:dyDescent="0.25">
      <c r="A324" s="10">
        <v>2284</v>
      </c>
    </row>
    <row r="325" spans="1:1" x14ac:dyDescent="0.25">
      <c r="A325" s="10">
        <v>2284</v>
      </c>
    </row>
    <row r="326" spans="1:1" x14ac:dyDescent="0.25">
      <c r="A326" s="10">
        <v>2284</v>
      </c>
    </row>
    <row r="327" spans="1:1" x14ac:dyDescent="0.25">
      <c r="A327" s="10">
        <v>256560</v>
      </c>
    </row>
    <row r="328" spans="1:1" x14ac:dyDescent="0.25">
      <c r="A328" s="10">
        <v>256560</v>
      </c>
    </row>
    <row r="329" spans="1:1" x14ac:dyDescent="0.25">
      <c r="A329" s="10">
        <v>256560</v>
      </c>
    </row>
    <row r="330" spans="1:1" x14ac:dyDescent="0.25">
      <c r="A330" s="10">
        <v>256560</v>
      </c>
    </row>
    <row r="331" spans="1:1" x14ac:dyDescent="0.25">
      <c r="A331" s="10">
        <v>256560</v>
      </c>
    </row>
    <row r="332" spans="1:1" x14ac:dyDescent="0.25">
      <c r="A332" s="10">
        <v>256560</v>
      </c>
    </row>
    <row r="333" spans="1:1" x14ac:dyDescent="0.25">
      <c r="A333" s="10">
        <v>256560</v>
      </c>
    </row>
    <row r="334" spans="1:1" x14ac:dyDescent="0.25">
      <c r="A334" s="10">
        <v>256560</v>
      </c>
    </row>
    <row r="335" spans="1:1" x14ac:dyDescent="0.25">
      <c r="A335" s="10">
        <v>256560</v>
      </c>
    </row>
    <row r="336" spans="1:1" x14ac:dyDescent="0.25">
      <c r="A336" s="10">
        <v>256560</v>
      </c>
    </row>
    <row r="337" spans="1:1" x14ac:dyDescent="0.25">
      <c r="A337" s="10">
        <v>256560</v>
      </c>
    </row>
    <row r="338" spans="1:1" x14ac:dyDescent="0.25">
      <c r="A338" s="10">
        <v>852331</v>
      </c>
    </row>
    <row r="339" spans="1:1" x14ac:dyDescent="0.25">
      <c r="A339" s="10">
        <v>852331</v>
      </c>
    </row>
    <row r="340" spans="1:1" x14ac:dyDescent="0.25">
      <c r="A340" s="10">
        <v>852331</v>
      </c>
    </row>
    <row r="341" spans="1:1" x14ac:dyDescent="0.25">
      <c r="A341" s="10">
        <v>852140</v>
      </c>
    </row>
    <row r="342" spans="1:1" x14ac:dyDescent="0.25">
      <c r="A342" s="10">
        <v>852140</v>
      </c>
    </row>
    <row r="343" spans="1:1" x14ac:dyDescent="0.25">
      <c r="A343" s="10">
        <v>852140</v>
      </c>
    </row>
    <row r="344" spans="1:1" x14ac:dyDescent="0.25">
      <c r="A344" s="10">
        <v>256620</v>
      </c>
    </row>
    <row r="345" spans="1:1" x14ac:dyDescent="0.25">
      <c r="A345" s="10">
        <v>256620</v>
      </c>
    </row>
    <row r="346" spans="1:1" x14ac:dyDescent="0.25">
      <c r="A346" s="10">
        <v>256620</v>
      </c>
    </row>
    <row r="347" spans="1:1" x14ac:dyDescent="0.25">
      <c r="A347" s="10">
        <v>256620</v>
      </c>
    </row>
    <row r="348" spans="1:1" x14ac:dyDescent="0.25">
      <c r="A348" s="10">
        <v>256620</v>
      </c>
    </row>
    <row r="349" spans="1:1" x14ac:dyDescent="0.25">
      <c r="A349" s="10">
        <v>256620</v>
      </c>
    </row>
    <row r="350" spans="1:1" x14ac:dyDescent="0.25">
      <c r="A350" s="10">
        <v>256620</v>
      </c>
    </row>
    <row r="351" spans="1:1" x14ac:dyDescent="0.25">
      <c r="A351" s="10">
        <v>256620</v>
      </c>
    </row>
    <row r="352" spans="1:1" x14ac:dyDescent="0.25">
      <c r="A352" s="10">
        <v>256620</v>
      </c>
    </row>
    <row r="353" spans="1:1" x14ac:dyDescent="0.25">
      <c r="A353" s="10">
        <v>256620</v>
      </c>
    </row>
    <row r="354" spans="1:1" x14ac:dyDescent="0.25">
      <c r="A354" s="10">
        <v>256620</v>
      </c>
    </row>
    <row r="355" spans="1:1" x14ac:dyDescent="0.25">
      <c r="A355" s="10">
        <v>257364</v>
      </c>
    </row>
    <row r="356" spans="1:1" x14ac:dyDescent="0.25">
      <c r="A356" s="10">
        <v>196562</v>
      </c>
    </row>
    <row r="357" spans="1:1" x14ac:dyDescent="0.25">
      <c r="A357" s="10">
        <v>257368</v>
      </c>
    </row>
    <row r="358" spans="1:1" x14ac:dyDescent="0.25">
      <c r="A358" s="10">
        <v>257404</v>
      </c>
    </row>
    <row r="359" spans="1:1" x14ac:dyDescent="0.25">
      <c r="A359" s="10">
        <v>257404</v>
      </c>
    </row>
    <row r="360" spans="1:1" x14ac:dyDescent="0.25">
      <c r="A360" s="10">
        <v>257404</v>
      </c>
    </row>
    <row r="361" spans="1:1" x14ac:dyDescent="0.25">
      <c r="A361" s="10">
        <v>220128</v>
      </c>
    </row>
    <row r="362" spans="1:1" x14ac:dyDescent="0.25">
      <c r="A362" s="10">
        <v>220128</v>
      </c>
    </row>
    <row r="363" spans="1:1" x14ac:dyDescent="0.25">
      <c r="A363" s="10">
        <v>220128</v>
      </c>
    </row>
    <row r="364" spans="1:1" x14ac:dyDescent="0.25">
      <c r="A364" s="10">
        <v>220128</v>
      </c>
    </row>
    <row r="365" spans="1:1" x14ac:dyDescent="0.25">
      <c r="A365" s="10">
        <v>453095</v>
      </c>
    </row>
    <row r="366" spans="1:1" x14ac:dyDescent="0.25">
      <c r="A366" s="10">
        <v>453095</v>
      </c>
    </row>
    <row r="367" spans="1:1" x14ac:dyDescent="0.25">
      <c r="A367" s="10">
        <v>453095</v>
      </c>
    </row>
    <row r="368" spans="1:1" x14ac:dyDescent="0.25">
      <c r="A368" s="10">
        <v>453095</v>
      </c>
    </row>
    <row r="369" spans="1:1" x14ac:dyDescent="0.25">
      <c r="A369" s="10">
        <v>453095</v>
      </c>
    </row>
    <row r="370" spans="1:1" x14ac:dyDescent="0.25">
      <c r="A370" s="10">
        <v>453095</v>
      </c>
    </row>
    <row r="371" spans="1:1" x14ac:dyDescent="0.25">
      <c r="A371" s="10">
        <v>258477</v>
      </c>
    </row>
    <row r="372" spans="1:1" x14ac:dyDescent="0.25">
      <c r="A372" s="10">
        <v>258485</v>
      </c>
    </row>
    <row r="373" spans="1:1" x14ac:dyDescent="0.25">
      <c r="A373" s="10">
        <v>258485</v>
      </c>
    </row>
    <row r="374" spans="1:1" x14ac:dyDescent="0.25">
      <c r="A374" s="10">
        <v>258492</v>
      </c>
    </row>
    <row r="375" spans="1:1" x14ac:dyDescent="0.25">
      <c r="A375" s="10">
        <v>258492</v>
      </c>
    </row>
    <row r="376" spans="1:1" x14ac:dyDescent="0.25">
      <c r="A376" s="10">
        <v>252303</v>
      </c>
    </row>
    <row r="377" spans="1:1" x14ac:dyDescent="0.25">
      <c r="A377" s="10">
        <v>252303</v>
      </c>
    </row>
    <row r="378" spans="1:1" x14ac:dyDescent="0.25">
      <c r="A378" s="10">
        <v>258529</v>
      </c>
    </row>
    <row r="379" spans="1:1" x14ac:dyDescent="0.25">
      <c r="A379" s="10">
        <v>397744</v>
      </c>
    </row>
    <row r="380" spans="1:1" x14ac:dyDescent="0.25">
      <c r="A380" s="10">
        <v>382847</v>
      </c>
    </row>
    <row r="381" spans="1:1" x14ac:dyDescent="0.25">
      <c r="A381" s="10">
        <v>1072941</v>
      </c>
    </row>
    <row r="382" spans="1:1" x14ac:dyDescent="0.25">
      <c r="A382" s="10">
        <v>1072941</v>
      </c>
    </row>
    <row r="383" spans="1:1" x14ac:dyDescent="0.25">
      <c r="A383" s="10">
        <v>1073970</v>
      </c>
    </row>
    <row r="384" spans="1:1" x14ac:dyDescent="0.25">
      <c r="A384" s="10">
        <v>258643</v>
      </c>
    </row>
    <row r="385" spans="1:1" x14ac:dyDescent="0.25">
      <c r="A385" s="10">
        <v>1725327</v>
      </c>
    </row>
    <row r="386" spans="1:1" x14ac:dyDescent="0.25">
      <c r="A386" s="10">
        <v>388329</v>
      </c>
    </row>
    <row r="387" spans="1:1" x14ac:dyDescent="0.25">
      <c r="A387" s="10">
        <v>388329</v>
      </c>
    </row>
    <row r="388" spans="1:1" x14ac:dyDescent="0.25">
      <c r="A388" s="10">
        <v>388329</v>
      </c>
    </row>
    <row r="389" spans="1:1" x14ac:dyDescent="0.25">
      <c r="A389" s="10">
        <v>388329</v>
      </c>
    </row>
    <row r="390" spans="1:1" x14ac:dyDescent="0.25">
      <c r="A390" s="10">
        <v>1951715</v>
      </c>
    </row>
    <row r="391" spans="1:1" x14ac:dyDescent="0.25">
      <c r="A391" s="10">
        <v>252438</v>
      </c>
    </row>
    <row r="392" spans="1:1" x14ac:dyDescent="0.25">
      <c r="A392" s="10">
        <v>259140</v>
      </c>
    </row>
    <row r="393" spans="1:1" x14ac:dyDescent="0.25">
      <c r="A393" s="10">
        <v>855528</v>
      </c>
    </row>
    <row r="394" spans="1:1" x14ac:dyDescent="0.25">
      <c r="A394" s="10">
        <v>855528</v>
      </c>
    </row>
    <row r="395" spans="1:1" x14ac:dyDescent="0.25">
      <c r="A395" s="10">
        <v>381381</v>
      </c>
    </row>
    <row r="396" spans="1:1" x14ac:dyDescent="0.25">
      <c r="A396" s="10">
        <v>259434</v>
      </c>
    </row>
    <row r="397" spans="1:1" x14ac:dyDescent="0.25">
      <c r="A397" s="10">
        <v>913393</v>
      </c>
    </row>
    <row r="398" spans="1:1" x14ac:dyDescent="0.25">
      <c r="A398" s="10">
        <v>857274</v>
      </c>
    </row>
    <row r="399" spans="1:1" x14ac:dyDescent="0.25">
      <c r="A399" s="10">
        <v>259614</v>
      </c>
    </row>
    <row r="400" spans="1:1" x14ac:dyDescent="0.25">
      <c r="A400" s="10">
        <v>259614</v>
      </c>
    </row>
    <row r="401" spans="1:1" x14ac:dyDescent="0.25">
      <c r="A401" s="10">
        <v>381386</v>
      </c>
    </row>
    <row r="402" spans="1:1" x14ac:dyDescent="0.25">
      <c r="A402" s="10">
        <v>381386</v>
      </c>
    </row>
    <row r="403" spans="1:1" x14ac:dyDescent="0.25">
      <c r="A403" s="10">
        <v>381386</v>
      </c>
    </row>
    <row r="404" spans="1:1" x14ac:dyDescent="0.25">
      <c r="A404" s="10">
        <v>381386</v>
      </c>
    </row>
    <row r="405" spans="1:1" x14ac:dyDescent="0.25">
      <c r="A405" s="10">
        <v>381386</v>
      </c>
    </row>
    <row r="406" spans="1:1" x14ac:dyDescent="0.25">
      <c r="A406" s="10">
        <v>381386</v>
      </c>
    </row>
    <row r="407" spans="1:1" x14ac:dyDescent="0.25">
      <c r="A407" s="10">
        <v>381386</v>
      </c>
    </row>
    <row r="408" spans="1:1" x14ac:dyDescent="0.25">
      <c r="A408" s="10">
        <v>381386</v>
      </c>
    </row>
    <row r="409" spans="1:1" x14ac:dyDescent="0.25">
      <c r="A409" s="10">
        <v>804973</v>
      </c>
    </row>
    <row r="410" spans="1:1" x14ac:dyDescent="0.25">
      <c r="A410" s="10">
        <v>252299</v>
      </c>
    </row>
    <row r="411" spans="1:1" x14ac:dyDescent="0.25">
      <c r="A411" s="10">
        <v>860111</v>
      </c>
    </row>
    <row r="412" spans="1:1" x14ac:dyDescent="0.25">
      <c r="A412" s="10">
        <v>860111</v>
      </c>
    </row>
    <row r="413" spans="1:1" x14ac:dyDescent="0.25">
      <c r="A413" s="10">
        <v>860111</v>
      </c>
    </row>
    <row r="414" spans="1:1" x14ac:dyDescent="0.25">
      <c r="A414" s="10">
        <v>860111</v>
      </c>
    </row>
    <row r="415" spans="1:1" x14ac:dyDescent="0.25">
      <c r="A415" s="10">
        <v>860111</v>
      </c>
    </row>
    <row r="416" spans="1:1" x14ac:dyDescent="0.25">
      <c r="A416" s="10">
        <v>860111</v>
      </c>
    </row>
    <row r="417" spans="1:1" x14ac:dyDescent="0.25">
      <c r="A417" s="10">
        <v>860111</v>
      </c>
    </row>
    <row r="418" spans="1:1" x14ac:dyDescent="0.25">
      <c r="A418" s="10">
        <v>860111</v>
      </c>
    </row>
    <row r="419" spans="1:1" x14ac:dyDescent="0.25">
      <c r="A419" s="10">
        <v>259979</v>
      </c>
    </row>
    <row r="420" spans="1:1" x14ac:dyDescent="0.25">
      <c r="A420" s="10">
        <v>865247</v>
      </c>
    </row>
    <row r="421" spans="1:1" x14ac:dyDescent="0.25">
      <c r="A421" s="10">
        <v>397837</v>
      </c>
    </row>
    <row r="422" spans="1:1" x14ac:dyDescent="0.25">
      <c r="A422" s="10">
        <v>397837</v>
      </c>
    </row>
    <row r="423" spans="1:1" x14ac:dyDescent="0.25">
      <c r="A423" s="10">
        <v>397837</v>
      </c>
    </row>
    <row r="424" spans="1:1" x14ac:dyDescent="0.25">
      <c r="A424" s="10">
        <v>277515</v>
      </c>
    </row>
    <row r="425" spans="1:1" x14ac:dyDescent="0.25">
      <c r="A425" s="10">
        <v>865420</v>
      </c>
    </row>
    <row r="426" spans="1:1" x14ac:dyDescent="0.25">
      <c r="A426" s="10">
        <v>321756</v>
      </c>
    </row>
    <row r="427" spans="1:1" x14ac:dyDescent="0.25">
      <c r="A427" s="10">
        <v>321919</v>
      </c>
    </row>
    <row r="428" spans="1:1" x14ac:dyDescent="0.25">
      <c r="A428" s="10">
        <v>321919</v>
      </c>
    </row>
    <row r="429" spans="1:1" x14ac:dyDescent="0.25">
      <c r="A429" s="10">
        <v>321919</v>
      </c>
    </row>
    <row r="430" spans="1:1" x14ac:dyDescent="0.25">
      <c r="A430" s="10">
        <v>321919</v>
      </c>
    </row>
    <row r="431" spans="1:1" x14ac:dyDescent="0.25">
      <c r="A431" s="10">
        <v>321919</v>
      </c>
    </row>
    <row r="432" spans="1:1" x14ac:dyDescent="0.25">
      <c r="A432" s="10">
        <v>321919</v>
      </c>
    </row>
    <row r="433" spans="1:1" x14ac:dyDescent="0.25">
      <c r="A433" s="10">
        <v>321919</v>
      </c>
    </row>
    <row r="434" spans="1:1" x14ac:dyDescent="0.25">
      <c r="A434" s="10">
        <v>321919</v>
      </c>
    </row>
    <row r="435" spans="1:1" x14ac:dyDescent="0.25">
      <c r="A435" s="10">
        <v>321919</v>
      </c>
    </row>
    <row r="436" spans="1:1" x14ac:dyDescent="0.25">
      <c r="A436" s="10">
        <v>321919</v>
      </c>
    </row>
    <row r="437" spans="1:1" x14ac:dyDescent="0.25">
      <c r="A437" s="10">
        <v>321919</v>
      </c>
    </row>
    <row r="438" spans="1:1" x14ac:dyDescent="0.25">
      <c r="A438" s="10">
        <v>322212</v>
      </c>
    </row>
    <row r="439" spans="1:1" x14ac:dyDescent="0.25">
      <c r="A439" s="10">
        <v>322214</v>
      </c>
    </row>
    <row r="440" spans="1:1" x14ac:dyDescent="0.25">
      <c r="A440" s="10">
        <v>322214</v>
      </c>
    </row>
    <row r="441" spans="1:1" x14ac:dyDescent="0.25">
      <c r="A441" s="10">
        <v>866522</v>
      </c>
    </row>
    <row r="442" spans="1:1" x14ac:dyDescent="0.25">
      <c r="A442" s="10">
        <v>866522</v>
      </c>
    </row>
    <row r="443" spans="1:1" x14ac:dyDescent="0.25">
      <c r="A443" s="10">
        <v>866522</v>
      </c>
    </row>
    <row r="444" spans="1:1" x14ac:dyDescent="0.25">
      <c r="A444" s="10">
        <v>866522</v>
      </c>
    </row>
    <row r="445" spans="1:1" x14ac:dyDescent="0.25">
      <c r="A445" s="10">
        <v>328432</v>
      </c>
    </row>
    <row r="446" spans="1:1" x14ac:dyDescent="0.25">
      <c r="A446" s="10">
        <v>328922</v>
      </c>
    </row>
    <row r="447" spans="1:1" x14ac:dyDescent="0.25">
      <c r="A447" s="10">
        <v>329068</v>
      </c>
    </row>
    <row r="448" spans="1:1" x14ac:dyDescent="0.25">
      <c r="A448" s="10">
        <v>329068</v>
      </c>
    </row>
    <row r="449" spans="1:1" x14ac:dyDescent="0.25">
      <c r="A449" s="10">
        <v>330080</v>
      </c>
    </row>
    <row r="450" spans="1:1" x14ac:dyDescent="0.25">
      <c r="A450" s="10">
        <v>330133</v>
      </c>
    </row>
    <row r="451" spans="1:1" x14ac:dyDescent="0.25">
      <c r="A451" s="10">
        <v>330133</v>
      </c>
    </row>
    <row r="452" spans="1:1" x14ac:dyDescent="0.25">
      <c r="A452" s="10">
        <v>473486</v>
      </c>
    </row>
    <row r="453" spans="1:1" x14ac:dyDescent="0.25">
      <c r="A453" s="10">
        <v>473496</v>
      </c>
    </row>
    <row r="454" spans="1:1" x14ac:dyDescent="0.25">
      <c r="A454" s="29">
        <v>454907</v>
      </c>
    </row>
    <row r="455" spans="1:1" x14ac:dyDescent="0.25">
      <c r="A455" s="29">
        <v>454907</v>
      </c>
    </row>
    <row r="456" spans="1:1" x14ac:dyDescent="0.25">
      <c r="A456" s="29">
        <v>454907</v>
      </c>
    </row>
    <row r="457" spans="1:1" x14ac:dyDescent="0.25">
      <c r="A457" s="10">
        <v>330264</v>
      </c>
    </row>
    <row r="458" spans="1:1" x14ac:dyDescent="0.25">
      <c r="A458" s="10">
        <v>330264</v>
      </c>
    </row>
    <row r="459" spans="1:1" x14ac:dyDescent="0.25">
      <c r="A459" s="10">
        <v>330264</v>
      </c>
    </row>
    <row r="460" spans="1:1" x14ac:dyDescent="0.25">
      <c r="A460" s="10">
        <v>330264</v>
      </c>
    </row>
    <row r="461" spans="1:1" x14ac:dyDescent="0.25">
      <c r="A461" s="10">
        <v>330264</v>
      </c>
    </row>
    <row r="462" spans="1:1" x14ac:dyDescent="0.25">
      <c r="A462" s="10">
        <v>455278</v>
      </c>
    </row>
    <row r="463" spans="1:1" x14ac:dyDescent="0.25">
      <c r="A463" s="10">
        <v>367321</v>
      </c>
    </row>
    <row r="464" spans="1:1" x14ac:dyDescent="0.25">
      <c r="A464" s="10">
        <v>367321</v>
      </c>
    </row>
    <row r="465" spans="1:1" x14ac:dyDescent="0.25">
      <c r="A465" s="10">
        <v>367321</v>
      </c>
    </row>
    <row r="466" spans="1:1" x14ac:dyDescent="0.25">
      <c r="A466" s="10">
        <v>367321</v>
      </c>
    </row>
    <row r="467" spans="1:1" x14ac:dyDescent="0.25">
      <c r="A467" s="10">
        <v>367315</v>
      </c>
    </row>
    <row r="468" spans="1:1" x14ac:dyDescent="0.25">
      <c r="A468" s="10">
        <v>367315</v>
      </c>
    </row>
    <row r="469" spans="1:1" x14ac:dyDescent="0.25">
      <c r="A469" s="10">
        <v>367315</v>
      </c>
    </row>
    <row r="470" spans="1:1" x14ac:dyDescent="0.25">
      <c r="A470" s="10">
        <v>473530</v>
      </c>
    </row>
    <row r="471" spans="1:1" x14ac:dyDescent="0.25">
      <c r="A471" s="10">
        <v>473530</v>
      </c>
    </row>
    <row r="472" spans="1:1" x14ac:dyDescent="0.25">
      <c r="A472" s="10">
        <v>369142</v>
      </c>
    </row>
    <row r="473" spans="1:1" x14ac:dyDescent="0.25">
      <c r="A473" s="10">
        <v>369151</v>
      </c>
    </row>
    <row r="474" spans="1:1" x14ac:dyDescent="0.25">
      <c r="A474" s="10">
        <v>322260</v>
      </c>
    </row>
    <row r="475" spans="1:1" x14ac:dyDescent="0.25">
      <c r="A475" s="10">
        <v>189268</v>
      </c>
    </row>
    <row r="476" spans="1:1" x14ac:dyDescent="0.25">
      <c r="A476" s="10">
        <v>808486</v>
      </c>
    </row>
    <row r="477" spans="1:1" x14ac:dyDescent="0.25">
      <c r="A477" s="10">
        <v>808486</v>
      </c>
    </row>
    <row r="478" spans="1:1" x14ac:dyDescent="0.25">
      <c r="A478" s="10">
        <v>808486</v>
      </c>
    </row>
    <row r="479" spans="1:1" x14ac:dyDescent="0.25">
      <c r="A479" s="10">
        <v>808486</v>
      </c>
    </row>
    <row r="480" spans="1:1" x14ac:dyDescent="0.25">
      <c r="A480" s="10">
        <v>808486</v>
      </c>
    </row>
    <row r="481" spans="1:1" x14ac:dyDescent="0.25">
      <c r="A481" s="10">
        <v>808486</v>
      </c>
    </row>
    <row r="482" spans="1:1" x14ac:dyDescent="0.25">
      <c r="A482" s="10">
        <v>810044</v>
      </c>
    </row>
    <row r="483" spans="1:1" x14ac:dyDescent="0.25">
      <c r="A483" s="29">
        <v>412780</v>
      </c>
    </row>
    <row r="484" spans="1:1" x14ac:dyDescent="0.25">
      <c r="A484" s="10">
        <v>98840</v>
      </c>
    </row>
    <row r="485" spans="1:1" x14ac:dyDescent="0.25">
      <c r="A485" s="10">
        <v>98840</v>
      </c>
    </row>
    <row r="486" spans="1:1" x14ac:dyDescent="0.25">
      <c r="A486" s="10">
        <v>98840</v>
      </c>
    </row>
    <row r="487" spans="1:1" x14ac:dyDescent="0.25">
      <c r="A487" s="10">
        <v>98840</v>
      </c>
    </row>
    <row r="488" spans="1:1" x14ac:dyDescent="0.25">
      <c r="A488" s="10">
        <v>98840</v>
      </c>
    </row>
    <row r="489" spans="1:1" x14ac:dyDescent="0.25">
      <c r="A489" s="10">
        <v>98840</v>
      </c>
    </row>
    <row r="490" spans="1:1" x14ac:dyDescent="0.25">
      <c r="A490" s="10">
        <v>98840</v>
      </c>
    </row>
    <row r="491" spans="1:1" x14ac:dyDescent="0.25">
      <c r="A491" s="10">
        <v>98840</v>
      </c>
    </row>
    <row r="492" spans="1:1" x14ac:dyDescent="0.25">
      <c r="A492" s="10">
        <v>98840</v>
      </c>
    </row>
    <row r="493" spans="1:1" x14ac:dyDescent="0.25">
      <c r="A493" s="10">
        <v>98840</v>
      </c>
    </row>
    <row r="494" spans="1:1" x14ac:dyDescent="0.25">
      <c r="A494" s="10">
        <v>98840</v>
      </c>
    </row>
    <row r="495" spans="1:1" x14ac:dyDescent="0.25">
      <c r="A495" s="10">
        <v>98840</v>
      </c>
    </row>
    <row r="496" spans="1:1" x14ac:dyDescent="0.25">
      <c r="A496" s="10">
        <v>98840</v>
      </c>
    </row>
    <row r="497" spans="1:1" x14ac:dyDescent="0.25">
      <c r="A497" s="10">
        <v>98840</v>
      </c>
    </row>
    <row r="498" spans="1:1" x14ac:dyDescent="0.25">
      <c r="A498" s="10">
        <v>98840</v>
      </c>
    </row>
    <row r="499" spans="1:1" x14ac:dyDescent="0.25">
      <c r="A499" s="10">
        <v>98840</v>
      </c>
    </row>
    <row r="500" spans="1:1" x14ac:dyDescent="0.25">
      <c r="A500" s="10">
        <v>98840</v>
      </c>
    </row>
    <row r="501" spans="1:1" x14ac:dyDescent="0.25">
      <c r="A501" s="10">
        <v>98840</v>
      </c>
    </row>
    <row r="502" spans="1:1" x14ac:dyDescent="0.25">
      <c r="A502" s="10">
        <v>224027</v>
      </c>
    </row>
    <row r="503" spans="1:1" x14ac:dyDescent="0.25">
      <c r="A503" s="10">
        <v>251973</v>
      </c>
    </row>
    <row r="504" spans="1:1" x14ac:dyDescent="0.25">
      <c r="A504" s="10">
        <v>251973</v>
      </c>
    </row>
    <row r="505" spans="1:1" x14ac:dyDescent="0.25">
      <c r="A505" s="10">
        <v>251973</v>
      </c>
    </row>
    <row r="506" spans="1:1" x14ac:dyDescent="0.25">
      <c r="A506" s="10">
        <v>251973</v>
      </c>
    </row>
    <row r="507" spans="1:1" x14ac:dyDescent="0.25">
      <c r="A507" s="10">
        <v>251973</v>
      </c>
    </row>
    <row r="508" spans="1:1" x14ac:dyDescent="0.25">
      <c r="A508" s="10">
        <v>251973</v>
      </c>
    </row>
    <row r="509" spans="1:1" x14ac:dyDescent="0.25">
      <c r="A509" s="10">
        <v>251973</v>
      </c>
    </row>
    <row r="510" spans="1:1" x14ac:dyDescent="0.25">
      <c r="A510" s="10">
        <v>251973</v>
      </c>
    </row>
    <row r="511" spans="1:1" x14ac:dyDescent="0.25">
      <c r="A511" s="10">
        <v>251973</v>
      </c>
    </row>
    <row r="512" spans="1:1" x14ac:dyDescent="0.25">
      <c r="A512" s="10">
        <v>251973</v>
      </c>
    </row>
    <row r="513" spans="1:1" x14ac:dyDescent="0.25">
      <c r="A513" s="10">
        <v>251973</v>
      </c>
    </row>
    <row r="514" spans="1:1" x14ac:dyDescent="0.25">
      <c r="A514" s="10">
        <v>251973</v>
      </c>
    </row>
    <row r="515" spans="1:1" x14ac:dyDescent="0.25">
      <c r="A515" s="10">
        <v>251973</v>
      </c>
    </row>
    <row r="516" spans="1:1" x14ac:dyDescent="0.25">
      <c r="A516" s="10">
        <v>251973</v>
      </c>
    </row>
    <row r="517" spans="1:1" x14ac:dyDescent="0.25">
      <c r="A517" s="10">
        <v>251973</v>
      </c>
    </row>
    <row r="518" spans="1:1" x14ac:dyDescent="0.25">
      <c r="A518" s="10">
        <v>251973</v>
      </c>
    </row>
    <row r="519" spans="1:1" x14ac:dyDescent="0.25">
      <c r="A519" s="10">
        <v>251973</v>
      </c>
    </row>
    <row r="520" spans="1:1" x14ac:dyDescent="0.25">
      <c r="A520" s="10">
        <v>251973</v>
      </c>
    </row>
    <row r="521" spans="1:1" x14ac:dyDescent="0.25">
      <c r="A521" s="10">
        <v>251973</v>
      </c>
    </row>
    <row r="522" spans="1:1" x14ac:dyDescent="0.25">
      <c r="A522" s="10">
        <v>251973</v>
      </c>
    </row>
    <row r="523" spans="1:1" x14ac:dyDescent="0.25">
      <c r="A523" s="10">
        <v>251973</v>
      </c>
    </row>
    <row r="524" spans="1:1" x14ac:dyDescent="0.25">
      <c r="A524" s="10">
        <v>251973</v>
      </c>
    </row>
    <row r="525" spans="1:1" x14ac:dyDescent="0.25">
      <c r="A525" s="10">
        <v>253094</v>
      </c>
    </row>
    <row r="526" spans="1:1" x14ac:dyDescent="0.25">
      <c r="A526" s="10">
        <v>253094</v>
      </c>
    </row>
    <row r="527" spans="1:1" x14ac:dyDescent="0.25">
      <c r="A527" s="10">
        <v>258798</v>
      </c>
    </row>
    <row r="528" spans="1:1" x14ac:dyDescent="0.25">
      <c r="A528" s="10">
        <v>258798</v>
      </c>
    </row>
    <row r="529" spans="1:1" x14ac:dyDescent="0.25">
      <c r="A529" s="10">
        <v>258798</v>
      </c>
    </row>
    <row r="530" spans="1:1" x14ac:dyDescent="0.25">
      <c r="A530" s="10">
        <v>258798</v>
      </c>
    </row>
    <row r="531" spans="1:1" x14ac:dyDescent="0.25">
      <c r="A531" s="10">
        <v>258798</v>
      </c>
    </row>
    <row r="532" spans="1:1" x14ac:dyDescent="0.25">
      <c r="A532" s="10">
        <v>258798</v>
      </c>
    </row>
    <row r="533" spans="1:1" x14ac:dyDescent="0.25">
      <c r="A533" s="10">
        <v>258798</v>
      </c>
    </row>
    <row r="534" spans="1:1" x14ac:dyDescent="0.25">
      <c r="A534" s="10">
        <v>258798</v>
      </c>
    </row>
    <row r="535" spans="1:1" x14ac:dyDescent="0.25">
      <c r="A535" s="10">
        <v>258798</v>
      </c>
    </row>
    <row r="536" spans="1:1" x14ac:dyDescent="0.25">
      <c r="A536" s="10">
        <v>258798</v>
      </c>
    </row>
    <row r="537" spans="1:1" x14ac:dyDescent="0.25">
      <c r="A537" s="10">
        <v>259033</v>
      </c>
    </row>
    <row r="538" spans="1:1" x14ac:dyDescent="0.25">
      <c r="A538" s="10">
        <v>259033</v>
      </c>
    </row>
    <row r="539" spans="1:1" x14ac:dyDescent="0.25">
      <c r="A539" s="10">
        <v>259033</v>
      </c>
    </row>
    <row r="540" spans="1:1" x14ac:dyDescent="0.25">
      <c r="A540" s="10">
        <v>259033</v>
      </c>
    </row>
    <row r="541" spans="1:1" x14ac:dyDescent="0.25">
      <c r="A541" s="10">
        <v>259033</v>
      </c>
    </row>
    <row r="542" spans="1:1" x14ac:dyDescent="0.25">
      <c r="A542" s="3">
        <v>259033</v>
      </c>
    </row>
    <row r="543" spans="1:1" x14ac:dyDescent="0.25">
      <c r="A543" s="3">
        <v>259033</v>
      </c>
    </row>
    <row r="544" spans="1:1" x14ac:dyDescent="0.25">
      <c r="A544" s="3">
        <v>259033</v>
      </c>
    </row>
    <row r="545" spans="1:1" x14ac:dyDescent="0.25">
      <c r="A545" s="3">
        <v>259033</v>
      </c>
    </row>
    <row r="546" spans="1:1" x14ac:dyDescent="0.25">
      <c r="A546" s="3">
        <v>259033</v>
      </c>
    </row>
    <row r="547" spans="1:1" x14ac:dyDescent="0.25">
      <c r="A547" s="3">
        <v>259033</v>
      </c>
    </row>
    <row r="548" spans="1:1" x14ac:dyDescent="0.25">
      <c r="A548" s="3">
        <v>259828</v>
      </c>
    </row>
    <row r="549" spans="1:1" x14ac:dyDescent="0.25">
      <c r="A549" s="3">
        <v>259828</v>
      </c>
    </row>
    <row r="550" spans="1:1" x14ac:dyDescent="0.25">
      <c r="A550" s="3">
        <v>259828</v>
      </c>
    </row>
    <row r="551" spans="1:1" x14ac:dyDescent="0.25">
      <c r="A551" s="3">
        <v>259828</v>
      </c>
    </row>
    <row r="552" spans="1:1" x14ac:dyDescent="0.25">
      <c r="A552" s="3">
        <v>259828</v>
      </c>
    </row>
    <row r="553" spans="1:1" x14ac:dyDescent="0.25">
      <c r="A553" s="3">
        <v>259828</v>
      </c>
    </row>
    <row r="554" spans="1:1" x14ac:dyDescent="0.25">
      <c r="A554" s="3">
        <v>259828</v>
      </c>
    </row>
    <row r="555" spans="1:1" x14ac:dyDescent="0.25">
      <c r="A555" s="3">
        <v>259828</v>
      </c>
    </row>
    <row r="556" spans="1:1" x14ac:dyDescent="0.25">
      <c r="A556" s="3">
        <v>259828</v>
      </c>
    </row>
    <row r="557" spans="1:1" x14ac:dyDescent="0.25">
      <c r="A557" s="3">
        <v>259828</v>
      </c>
    </row>
    <row r="558" spans="1:1" x14ac:dyDescent="0.25">
      <c r="A558" s="3">
        <v>259828</v>
      </c>
    </row>
    <row r="559" spans="1:1" x14ac:dyDescent="0.25">
      <c r="A559" s="3">
        <v>303898</v>
      </c>
    </row>
    <row r="560" spans="1:1" x14ac:dyDescent="0.25">
      <c r="A560" s="3">
        <v>323612</v>
      </c>
    </row>
    <row r="561" spans="1:1" x14ac:dyDescent="0.25">
      <c r="A561" s="3">
        <v>323613</v>
      </c>
    </row>
    <row r="562" spans="1:1" x14ac:dyDescent="0.25">
      <c r="A562" s="3">
        <v>323614</v>
      </c>
    </row>
    <row r="563" spans="1:1" x14ac:dyDescent="0.25">
      <c r="A563" s="3">
        <v>323614</v>
      </c>
    </row>
    <row r="564" spans="1:1" x14ac:dyDescent="0.25">
      <c r="A564" s="3">
        <v>323615</v>
      </c>
    </row>
    <row r="565" spans="1:1" x14ac:dyDescent="0.25">
      <c r="A565" s="3">
        <v>323616</v>
      </c>
    </row>
    <row r="566" spans="1:1" x14ac:dyDescent="0.25">
      <c r="A566" s="3">
        <v>323617</v>
      </c>
    </row>
    <row r="567" spans="1:1" x14ac:dyDescent="0.25">
      <c r="A567" s="3">
        <v>329698</v>
      </c>
    </row>
    <row r="568" spans="1:1" x14ac:dyDescent="0.25">
      <c r="A568" s="3">
        <v>329698</v>
      </c>
    </row>
    <row r="569" spans="1:1" x14ac:dyDescent="0.25">
      <c r="A569" s="3">
        <v>329698</v>
      </c>
    </row>
    <row r="570" spans="1:1" x14ac:dyDescent="0.25">
      <c r="A570" s="3">
        <v>331404</v>
      </c>
    </row>
    <row r="571" spans="1:1" x14ac:dyDescent="0.25">
      <c r="A571" s="3">
        <v>331404</v>
      </c>
    </row>
    <row r="572" spans="1:1" x14ac:dyDescent="0.25">
      <c r="A572" s="3">
        <v>331411</v>
      </c>
    </row>
    <row r="573" spans="1:1" x14ac:dyDescent="0.25">
      <c r="A573" s="3">
        <v>331411</v>
      </c>
    </row>
    <row r="574" spans="1:1" x14ac:dyDescent="0.25">
      <c r="A574" s="3">
        <v>380835</v>
      </c>
    </row>
    <row r="575" spans="1:1" x14ac:dyDescent="0.25">
      <c r="A575" s="3">
        <v>381202</v>
      </c>
    </row>
    <row r="576" spans="1:1" x14ac:dyDescent="0.25">
      <c r="A576" s="3">
        <v>381202</v>
      </c>
    </row>
    <row r="577" spans="1:1" x14ac:dyDescent="0.25">
      <c r="A577" s="3">
        <v>381202</v>
      </c>
    </row>
    <row r="578" spans="1:1" x14ac:dyDescent="0.25">
      <c r="A578" s="3">
        <v>381202</v>
      </c>
    </row>
    <row r="579" spans="1:1" x14ac:dyDescent="0.25">
      <c r="A579" s="3">
        <v>381202</v>
      </c>
    </row>
    <row r="580" spans="1:1" x14ac:dyDescent="0.25">
      <c r="A580" s="3">
        <v>381202</v>
      </c>
    </row>
    <row r="581" spans="1:1" x14ac:dyDescent="0.25">
      <c r="A581" s="3">
        <v>381202</v>
      </c>
    </row>
    <row r="582" spans="1:1" x14ac:dyDescent="0.25">
      <c r="A582" s="3">
        <v>381202</v>
      </c>
    </row>
    <row r="583" spans="1:1" x14ac:dyDescent="0.25">
      <c r="A583" s="3">
        <v>381202</v>
      </c>
    </row>
    <row r="584" spans="1:1" x14ac:dyDescent="0.25">
      <c r="A584" s="3">
        <v>381202</v>
      </c>
    </row>
    <row r="585" spans="1:1" x14ac:dyDescent="0.25">
      <c r="A585" s="3">
        <v>381202</v>
      </c>
    </row>
    <row r="586" spans="1:1" x14ac:dyDescent="0.25">
      <c r="A586" s="3">
        <v>381202</v>
      </c>
    </row>
    <row r="587" spans="1:1" x14ac:dyDescent="0.25">
      <c r="A587" s="3">
        <v>381202</v>
      </c>
    </row>
    <row r="588" spans="1:1" x14ac:dyDescent="0.25">
      <c r="A588" s="3">
        <v>381202</v>
      </c>
    </row>
    <row r="589" spans="1:1" x14ac:dyDescent="0.25">
      <c r="A589" s="3">
        <v>381202</v>
      </c>
    </row>
    <row r="590" spans="1:1" x14ac:dyDescent="0.25">
      <c r="A590" s="3">
        <v>381202</v>
      </c>
    </row>
    <row r="591" spans="1:1" x14ac:dyDescent="0.25">
      <c r="A591" s="3">
        <v>381202</v>
      </c>
    </row>
    <row r="592" spans="1:1" x14ac:dyDescent="0.25">
      <c r="A592" s="3">
        <v>381202</v>
      </c>
    </row>
    <row r="593" spans="1:1" x14ac:dyDescent="0.25">
      <c r="A593" s="3">
        <v>381202</v>
      </c>
    </row>
    <row r="594" spans="1:1" x14ac:dyDescent="0.25">
      <c r="A594" s="3">
        <v>381202</v>
      </c>
    </row>
    <row r="595" spans="1:1" x14ac:dyDescent="0.25">
      <c r="A595" s="3">
        <v>381202</v>
      </c>
    </row>
    <row r="596" spans="1:1" x14ac:dyDescent="0.25">
      <c r="A596" s="3">
        <v>381202</v>
      </c>
    </row>
    <row r="597" spans="1:1" x14ac:dyDescent="0.25">
      <c r="A597" s="3">
        <v>381202</v>
      </c>
    </row>
    <row r="598" spans="1:1" x14ac:dyDescent="0.25">
      <c r="A598" s="3">
        <v>381202</v>
      </c>
    </row>
    <row r="599" spans="1:1" x14ac:dyDescent="0.25">
      <c r="A599" s="3">
        <v>381202</v>
      </c>
    </row>
    <row r="600" spans="1:1" x14ac:dyDescent="0.25">
      <c r="A600" s="3">
        <v>381202</v>
      </c>
    </row>
    <row r="601" spans="1:1" x14ac:dyDescent="0.25">
      <c r="A601" s="3">
        <v>381202</v>
      </c>
    </row>
    <row r="602" spans="1:1" x14ac:dyDescent="0.25">
      <c r="A602" s="3">
        <v>381444</v>
      </c>
    </row>
    <row r="603" spans="1:1" x14ac:dyDescent="0.25">
      <c r="A603" s="3">
        <v>381444</v>
      </c>
    </row>
    <row r="604" spans="1:1" x14ac:dyDescent="0.25">
      <c r="A604" s="3">
        <v>381444</v>
      </c>
    </row>
    <row r="605" spans="1:1" x14ac:dyDescent="0.25">
      <c r="A605" s="3">
        <v>381444</v>
      </c>
    </row>
    <row r="606" spans="1:1" x14ac:dyDescent="0.25">
      <c r="A606" s="3">
        <v>381444</v>
      </c>
    </row>
    <row r="607" spans="1:1" x14ac:dyDescent="0.25">
      <c r="A607" s="3">
        <v>381444</v>
      </c>
    </row>
    <row r="608" spans="1:1" x14ac:dyDescent="0.25">
      <c r="A608" s="3">
        <v>381444</v>
      </c>
    </row>
    <row r="609" spans="1:1" x14ac:dyDescent="0.25">
      <c r="A609" s="3">
        <v>381444</v>
      </c>
    </row>
    <row r="610" spans="1:1" x14ac:dyDescent="0.25">
      <c r="A610" s="3">
        <v>381444</v>
      </c>
    </row>
    <row r="611" spans="1:1" x14ac:dyDescent="0.25">
      <c r="A611" s="3">
        <v>381444</v>
      </c>
    </row>
    <row r="612" spans="1:1" x14ac:dyDescent="0.25">
      <c r="A612" s="3">
        <v>381444</v>
      </c>
    </row>
    <row r="613" spans="1:1" x14ac:dyDescent="0.25">
      <c r="A613" s="3">
        <v>381444</v>
      </c>
    </row>
    <row r="614" spans="1:1" x14ac:dyDescent="0.25">
      <c r="A614" s="3">
        <v>381444</v>
      </c>
    </row>
    <row r="615" spans="1:1" x14ac:dyDescent="0.25">
      <c r="A615" s="3">
        <v>381444</v>
      </c>
    </row>
    <row r="616" spans="1:1" x14ac:dyDescent="0.25">
      <c r="A616" s="3">
        <v>381444</v>
      </c>
    </row>
    <row r="617" spans="1:1" x14ac:dyDescent="0.25">
      <c r="A617" s="3">
        <v>381444</v>
      </c>
    </row>
    <row r="618" spans="1:1" x14ac:dyDescent="0.25">
      <c r="A618" s="3">
        <v>381444</v>
      </c>
    </row>
    <row r="619" spans="1:1" x14ac:dyDescent="0.25">
      <c r="A619" s="3">
        <v>381444</v>
      </c>
    </row>
    <row r="620" spans="1:1" x14ac:dyDescent="0.25">
      <c r="A620" s="3">
        <v>381444</v>
      </c>
    </row>
    <row r="621" spans="1:1" x14ac:dyDescent="0.25">
      <c r="A621" s="3">
        <v>381444</v>
      </c>
    </row>
    <row r="622" spans="1:1" x14ac:dyDescent="0.25">
      <c r="A622" s="3">
        <v>381444</v>
      </c>
    </row>
    <row r="623" spans="1:1" x14ac:dyDescent="0.25">
      <c r="A623" s="3">
        <v>381504</v>
      </c>
    </row>
    <row r="624" spans="1:1" x14ac:dyDescent="0.25">
      <c r="A624" s="3">
        <v>381504</v>
      </c>
    </row>
    <row r="625" spans="1:1" x14ac:dyDescent="0.25">
      <c r="A625" s="3">
        <v>381504</v>
      </c>
    </row>
    <row r="626" spans="1:1" x14ac:dyDescent="0.25">
      <c r="A626" s="3">
        <v>381588</v>
      </c>
    </row>
    <row r="627" spans="1:1" x14ac:dyDescent="0.25">
      <c r="A627" s="3">
        <v>381588</v>
      </c>
    </row>
    <row r="628" spans="1:1" x14ac:dyDescent="0.25">
      <c r="A628" s="3">
        <v>397754</v>
      </c>
    </row>
    <row r="629" spans="1:1" x14ac:dyDescent="0.25">
      <c r="A629" s="3">
        <v>452326</v>
      </c>
    </row>
    <row r="630" spans="1:1" x14ac:dyDescent="0.25">
      <c r="A630" s="3">
        <v>452326</v>
      </c>
    </row>
    <row r="631" spans="1:1" x14ac:dyDescent="0.25">
      <c r="A631" s="3">
        <v>452326</v>
      </c>
    </row>
    <row r="632" spans="1:1" x14ac:dyDescent="0.25">
      <c r="A632" s="3">
        <v>452326</v>
      </c>
    </row>
    <row r="633" spans="1:1" x14ac:dyDescent="0.25">
      <c r="A633" s="3">
        <v>452510</v>
      </c>
    </row>
    <row r="634" spans="1:1" x14ac:dyDescent="0.25">
      <c r="A634" s="3">
        <v>452510</v>
      </c>
    </row>
    <row r="635" spans="1:1" x14ac:dyDescent="0.25">
      <c r="A635" s="3">
        <v>464971</v>
      </c>
    </row>
    <row r="636" spans="1:1" x14ac:dyDescent="0.25">
      <c r="A636" s="3">
        <v>465618</v>
      </c>
    </row>
    <row r="637" spans="1:1" x14ac:dyDescent="0.25">
      <c r="A637" s="3">
        <v>465618</v>
      </c>
    </row>
    <row r="638" spans="1:1" x14ac:dyDescent="0.25">
      <c r="A638" s="3">
        <v>465618</v>
      </c>
    </row>
    <row r="639" spans="1:1" x14ac:dyDescent="0.25">
      <c r="A639" s="3">
        <v>465618</v>
      </c>
    </row>
    <row r="640" spans="1:1" x14ac:dyDescent="0.25">
      <c r="A640" s="3">
        <v>465618</v>
      </c>
    </row>
    <row r="641" spans="1:1" x14ac:dyDescent="0.25">
      <c r="A641" s="3">
        <v>465618</v>
      </c>
    </row>
    <row r="642" spans="1:1" x14ac:dyDescent="0.25">
      <c r="A642" s="3">
        <v>478277</v>
      </c>
    </row>
    <row r="643" spans="1:1" x14ac:dyDescent="0.25">
      <c r="A643" s="3">
        <v>478277</v>
      </c>
    </row>
    <row r="644" spans="1:1" x14ac:dyDescent="0.25">
      <c r="A644" s="3">
        <v>478277</v>
      </c>
    </row>
    <row r="645" spans="1:1" x14ac:dyDescent="0.25">
      <c r="A645" s="3">
        <v>478277</v>
      </c>
    </row>
    <row r="646" spans="1:1" x14ac:dyDescent="0.25">
      <c r="A646" s="3">
        <v>478277</v>
      </c>
    </row>
    <row r="647" spans="1:1" x14ac:dyDescent="0.25">
      <c r="A647" s="3">
        <v>478277</v>
      </c>
    </row>
    <row r="648" spans="1:1" x14ac:dyDescent="0.25">
      <c r="A648" s="3">
        <v>709123</v>
      </c>
    </row>
    <row r="649" spans="1:1" x14ac:dyDescent="0.25">
      <c r="A649" s="3">
        <v>766189</v>
      </c>
    </row>
    <row r="650" spans="1:1" x14ac:dyDescent="0.25">
      <c r="A650" s="3">
        <v>782735</v>
      </c>
    </row>
    <row r="651" spans="1:1" x14ac:dyDescent="0.25">
      <c r="A651" s="3">
        <v>782740</v>
      </c>
    </row>
    <row r="652" spans="1:1" x14ac:dyDescent="0.25">
      <c r="A652" s="3">
        <v>782742</v>
      </c>
    </row>
    <row r="653" spans="1:1" x14ac:dyDescent="0.25">
      <c r="A653" s="3">
        <v>782743</v>
      </c>
    </row>
    <row r="654" spans="1:1" x14ac:dyDescent="0.25">
      <c r="A654" s="3">
        <v>783484</v>
      </c>
    </row>
    <row r="655" spans="1:1" x14ac:dyDescent="0.25">
      <c r="A655" s="3">
        <v>783488</v>
      </c>
    </row>
    <row r="656" spans="1:1" x14ac:dyDescent="0.25">
      <c r="A656" s="3">
        <v>784526</v>
      </c>
    </row>
    <row r="657" spans="1:1" x14ac:dyDescent="0.25">
      <c r="A657" s="3">
        <v>784628</v>
      </c>
    </row>
    <row r="658" spans="1:1" x14ac:dyDescent="0.25">
      <c r="A658" s="3">
        <v>788999</v>
      </c>
    </row>
    <row r="659" spans="1:1" x14ac:dyDescent="0.25">
      <c r="A659" s="3">
        <v>788999</v>
      </c>
    </row>
    <row r="660" spans="1:1" x14ac:dyDescent="0.25">
      <c r="A660" s="3">
        <v>788999</v>
      </c>
    </row>
    <row r="661" spans="1:1" x14ac:dyDescent="0.25">
      <c r="A661" s="3">
        <v>788999</v>
      </c>
    </row>
    <row r="662" spans="1:1" x14ac:dyDescent="0.25">
      <c r="A662" s="3">
        <v>788999</v>
      </c>
    </row>
    <row r="663" spans="1:1" x14ac:dyDescent="0.25">
      <c r="A663" s="3">
        <v>788999</v>
      </c>
    </row>
    <row r="664" spans="1:1" x14ac:dyDescent="0.25">
      <c r="A664" s="3">
        <v>788999</v>
      </c>
    </row>
    <row r="665" spans="1:1" x14ac:dyDescent="0.25">
      <c r="A665" s="3">
        <v>788999</v>
      </c>
    </row>
    <row r="666" spans="1:1" x14ac:dyDescent="0.25">
      <c r="A666" s="3">
        <v>788999</v>
      </c>
    </row>
    <row r="667" spans="1:1" x14ac:dyDescent="0.25">
      <c r="A667" s="3">
        <v>788999</v>
      </c>
    </row>
    <row r="668" spans="1:1" x14ac:dyDescent="0.25">
      <c r="A668" s="3">
        <v>788999</v>
      </c>
    </row>
    <row r="669" spans="1:1" x14ac:dyDescent="0.25">
      <c r="A669" s="3">
        <v>788999</v>
      </c>
    </row>
    <row r="670" spans="1:1" x14ac:dyDescent="0.25">
      <c r="A670" s="3">
        <v>788999</v>
      </c>
    </row>
    <row r="671" spans="1:1" x14ac:dyDescent="0.25">
      <c r="A671" s="3">
        <v>788999</v>
      </c>
    </row>
    <row r="672" spans="1:1" x14ac:dyDescent="0.25">
      <c r="A672" s="3">
        <v>788999</v>
      </c>
    </row>
    <row r="673" spans="1:1" x14ac:dyDescent="0.25">
      <c r="A673" s="3">
        <v>788999</v>
      </c>
    </row>
    <row r="674" spans="1:1" x14ac:dyDescent="0.25">
      <c r="A674" s="3">
        <v>788999</v>
      </c>
    </row>
    <row r="675" spans="1:1" x14ac:dyDescent="0.25">
      <c r="A675" s="3">
        <v>788999</v>
      </c>
    </row>
    <row r="676" spans="1:1" x14ac:dyDescent="0.25">
      <c r="A676" s="3">
        <v>788999</v>
      </c>
    </row>
    <row r="677" spans="1:1" x14ac:dyDescent="0.25">
      <c r="A677" s="3">
        <v>788999</v>
      </c>
    </row>
    <row r="678" spans="1:1" x14ac:dyDescent="0.25">
      <c r="A678" s="3">
        <v>788999</v>
      </c>
    </row>
    <row r="679" spans="1:1" x14ac:dyDescent="0.25">
      <c r="A679" s="3">
        <v>788999</v>
      </c>
    </row>
    <row r="680" spans="1:1" x14ac:dyDescent="0.25">
      <c r="A680" s="3">
        <v>788999</v>
      </c>
    </row>
    <row r="681" spans="1:1" x14ac:dyDescent="0.25">
      <c r="A681" s="3">
        <v>788999</v>
      </c>
    </row>
    <row r="682" spans="1:1" x14ac:dyDescent="0.25">
      <c r="A682" s="3">
        <v>788999</v>
      </c>
    </row>
    <row r="683" spans="1:1" x14ac:dyDescent="0.25">
      <c r="A683" s="3">
        <v>788999</v>
      </c>
    </row>
    <row r="684" spans="1:1" x14ac:dyDescent="0.25">
      <c r="A684" s="3">
        <v>796045</v>
      </c>
    </row>
    <row r="685" spans="1:1" x14ac:dyDescent="0.25">
      <c r="A685" s="3">
        <v>796045</v>
      </c>
    </row>
    <row r="686" spans="1:1" x14ac:dyDescent="0.25">
      <c r="A686" s="3">
        <v>798858</v>
      </c>
    </row>
    <row r="687" spans="1:1" x14ac:dyDescent="0.25">
      <c r="A687" s="3">
        <v>798866</v>
      </c>
    </row>
    <row r="688" spans="1:1" x14ac:dyDescent="0.25">
      <c r="A688" s="3">
        <v>993818</v>
      </c>
    </row>
    <row r="689" spans="1:1" x14ac:dyDescent="0.25">
      <c r="A689" s="3">
        <v>1001679</v>
      </c>
    </row>
    <row r="690" spans="1:1" x14ac:dyDescent="0.25">
      <c r="A690" s="3">
        <v>1366577</v>
      </c>
    </row>
    <row r="691" spans="1:1" x14ac:dyDescent="0.25">
      <c r="A691" s="3">
        <v>1366577</v>
      </c>
    </row>
    <row r="692" spans="1:1" x14ac:dyDescent="0.25">
      <c r="A692" s="3">
        <v>1366577</v>
      </c>
    </row>
    <row r="693" spans="1:1" x14ac:dyDescent="0.25">
      <c r="A693" s="3">
        <v>1366577</v>
      </c>
    </row>
    <row r="694" spans="1:1" x14ac:dyDescent="0.25">
      <c r="A694" s="3">
        <v>1366577</v>
      </c>
    </row>
    <row r="695" spans="1:1" x14ac:dyDescent="0.25">
      <c r="A695" s="3">
        <v>1366577</v>
      </c>
    </row>
    <row r="696" spans="1:1" x14ac:dyDescent="0.25">
      <c r="A696" s="3">
        <v>1366577</v>
      </c>
    </row>
    <row r="697" spans="1:1" x14ac:dyDescent="0.25">
      <c r="A697" s="3">
        <v>1366577</v>
      </c>
    </row>
    <row r="698" spans="1:1" x14ac:dyDescent="0.25">
      <c r="A698" s="3">
        <v>1366577</v>
      </c>
    </row>
    <row r="699" spans="1:1" x14ac:dyDescent="0.25">
      <c r="A699" s="3">
        <v>1366577</v>
      </c>
    </row>
    <row r="700" spans="1:1" x14ac:dyDescent="0.25">
      <c r="A700" s="3">
        <v>1366577</v>
      </c>
    </row>
    <row r="701" spans="1:1" x14ac:dyDescent="0.25">
      <c r="A701" s="3">
        <v>1366577</v>
      </c>
    </row>
    <row r="702" spans="1:1" x14ac:dyDescent="0.25">
      <c r="A702" s="3">
        <v>1366577</v>
      </c>
    </row>
    <row r="703" spans="1:1" x14ac:dyDescent="0.25">
      <c r="A703" s="3">
        <v>1366577</v>
      </c>
    </row>
    <row r="704" spans="1:1" x14ac:dyDescent="0.25">
      <c r="A704" s="3">
        <v>1366577</v>
      </c>
    </row>
    <row r="705" spans="1:1" x14ac:dyDescent="0.25">
      <c r="A705" s="3">
        <v>1366577</v>
      </c>
    </row>
    <row r="706" spans="1:1" x14ac:dyDescent="0.25">
      <c r="A706" s="3">
        <v>1366577</v>
      </c>
    </row>
    <row r="707" spans="1:1" x14ac:dyDescent="0.25">
      <c r="A707" s="3">
        <v>1366577</v>
      </c>
    </row>
    <row r="708" spans="1:1" x14ac:dyDescent="0.25">
      <c r="A708" s="3">
        <v>1917811</v>
      </c>
    </row>
    <row r="709" spans="1:1" x14ac:dyDescent="0.25">
      <c r="A709" s="3">
        <v>2186705</v>
      </c>
    </row>
    <row r="710" spans="1:1" x14ac:dyDescent="0.25">
      <c r="A710" s="3">
        <v>252584</v>
      </c>
    </row>
    <row r="711" spans="1:1" x14ac:dyDescent="0.25">
      <c r="A711" s="3">
        <v>370691</v>
      </c>
    </row>
    <row r="712" spans="1:1" x14ac:dyDescent="0.25">
      <c r="A712" s="3">
        <v>370691</v>
      </c>
    </row>
    <row r="713" spans="1:1" x14ac:dyDescent="0.25">
      <c r="A713" s="3">
        <v>370691</v>
      </c>
    </row>
    <row r="714" spans="1:1" x14ac:dyDescent="0.25">
      <c r="A714" s="3">
        <v>370691</v>
      </c>
    </row>
    <row r="715" spans="1:1" x14ac:dyDescent="0.25">
      <c r="A715" s="3">
        <v>370691</v>
      </c>
    </row>
    <row r="716" spans="1:1" x14ac:dyDescent="0.25">
      <c r="A716" s="3">
        <v>370691</v>
      </c>
    </row>
    <row r="717" spans="1:1" x14ac:dyDescent="0.25">
      <c r="A717" s="3">
        <v>397797</v>
      </c>
    </row>
    <row r="718" spans="1:1" x14ac:dyDescent="0.25">
      <c r="A718" s="3">
        <v>397797</v>
      </c>
    </row>
    <row r="719" spans="1:1" x14ac:dyDescent="0.25">
      <c r="A719" s="3">
        <v>397855</v>
      </c>
    </row>
    <row r="720" spans="1:1" x14ac:dyDescent="0.25">
      <c r="A720" s="3">
        <v>397878</v>
      </c>
    </row>
    <row r="721" spans="1:1" x14ac:dyDescent="0.25">
      <c r="A721" s="3">
        <v>397880</v>
      </c>
    </row>
    <row r="722" spans="1:1" x14ac:dyDescent="0.25">
      <c r="A722" s="3">
        <v>397880</v>
      </c>
    </row>
    <row r="723" spans="1:1" x14ac:dyDescent="0.25">
      <c r="A723" s="3">
        <v>397880</v>
      </c>
    </row>
    <row r="724" spans="1:1" x14ac:dyDescent="0.25">
      <c r="A724" s="3">
        <v>397880</v>
      </c>
    </row>
    <row r="725" spans="1:1" x14ac:dyDescent="0.25">
      <c r="A725" s="3">
        <v>458381</v>
      </c>
    </row>
    <row r="726" spans="1:1" x14ac:dyDescent="0.25">
      <c r="A726" s="3">
        <v>464811</v>
      </c>
    </row>
    <row r="727" spans="1:1" x14ac:dyDescent="0.25">
      <c r="A727" s="3">
        <v>464977</v>
      </c>
    </row>
    <row r="728" spans="1:1" x14ac:dyDescent="0.25">
      <c r="A728" s="3">
        <v>465372</v>
      </c>
    </row>
    <row r="729" spans="1:1" x14ac:dyDescent="0.25">
      <c r="A729" s="3">
        <v>782738</v>
      </c>
    </row>
    <row r="730" spans="1:1" x14ac:dyDescent="0.25">
      <c r="A730" s="3">
        <v>784624</v>
      </c>
    </row>
    <row r="731" spans="1:1" x14ac:dyDescent="0.25">
      <c r="A731" s="3">
        <v>784624</v>
      </c>
    </row>
    <row r="732" spans="1:1" x14ac:dyDescent="0.25">
      <c r="A732" s="3">
        <v>784624</v>
      </c>
    </row>
    <row r="733" spans="1:1" x14ac:dyDescent="0.25">
      <c r="A733" s="3">
        <v>784624</v>
      </c>
    </row>
    <row r="734" spans="1:1" x14ac:dyDescent="0.25">
      <c r="A734" s="3">
        <v>784624</v>
      </c>
    </row>
    <row r="735" spans="1:1" x14ac:dyDescent="0.25">
      <c r="A735" s="3">
        <v>784624</v>
      </c>
    </row>
    <row r="736" spans="1:1" x14ac:dyDescent="0.25">
      <c r="A736" s="3">
        <v>784624</v>
      </c>
    </row>
    <row r="737" spans="1:1" x14ac:dyDescent="0.25">
      <c r="A737" s="3">
        <v>784624</v>
      </c>
    </row>
    <row r="738" spans="1:1" x14ac:dyDescent="0.25">
      <c r="A738" s="3">
        <v>784624</v>
      </c>
    </row>
    <row r="739" spans="1:1" x14ac:dyDescent="0.25">
      <c r="A739" s="3">
        <v>784624</v>
      </c>
    </row>
    <row r="740" spans="1:1" x14ac:dyDescent="0.25">
      <c r="A740" s="3">
        <v>784624</v>
      </c>
    </row>
    <row r="741" spans="1:1" x14ac:dyDescent="0.25">
      <c r="A741" s="3">
        <v>789264</v>
      </c>
    </row>
    <row r="742" spans="1:1" x14ac:dyDescent="0.25">
      <c r="A742" s="3">
        <v>789264</v>
      </c>
    </row>
    <row r="743" spans="1:1" x14ac:dyDescent="0.25">
      <c r="A743" s="3">
        <v>798873</v>
      </c>
    </row>
    <row r="744" spans="1:1" x14ac:dyDescent="0.25">
      <c r="A744" s="3">
        <v>798873</v>
      </c>
    </row>
    <row r="745" spans="1:1" x14ac:dyDescent="0.25">
      <c r="A745" s="3">
        <v>874191</v>
      </c>
    </row>
    <row r="746" spans="1:1" x14ac:dyDescent="0.25">
      <c r="A746" s="3">
        <v>224027</v>
      </c>
    </row>
    <row r="747" spans="1:1" x14ac:dyDescent="0.25">
      <c r="A747" s="3">
        <v>9413</v>
      </c>
    </row>
    <row r="748" spans="1:1" x14ac:dyDescent="0.25">
      <c r="A748" s="3">
        <v>9413</v>
      </c>
    </row>
    <row r="749" spans="1:1" x14ac:dyDescent="0.25">
      <c r="A749" s="3">
        <v>9413</v>
      </c>
    </row>
    <row r="750" spans="1:1" x14ac:dyDescent="0.25">
      <c r="A750" s="3">
        <v>9413</v>
      </c>
    </row>
    <row r="751" spans="1:1" x14ac:dyDescent="0.25">
      <c r="A751" s="3">
        <v>9413</v>
      </c>
    </row>
    <row r="752" spans="1:1" x14ac:dyDescent="0.25">
      <c r="A752" s="3">
        <v>9413</v>
      </c>
    </row>
    <row r="753" spans="1:1" x14ac:dyDescent="0.25">
      <c r="A753" s="3">
        <v>9413</v>
      </c>
    </row>
    <row r="754" spans="1:1" x14ac:dyDescent="0.25">
      <c r="A754" s="3">
        <v>9413</v>
      </c>
    </row>
    <row r="755" spans="1:1" x14ac:dyDescent="0.25">
      <c r="A755" s="3">
        <v>9413</v>
      </c>
    </row>
    <row r="756" spans="1:1" x14ac:dyDescent="0.25">
      <c r="A756" s="3">
        <v>9413</v>
      </c>
    </row>
    <row r="757" spans="1:1" x14ac:dyDescent="0.25">
      <c r="A757" s="3">
        <v>9413</v>
      </c>
    </row>
    <row r="758" spans="1:1" x14ac:dyDescent="0.25">
      <c r="A758" s="3">
        <v>51530</v>
      </c>
    </row>
    <row r="759" spans="1:1" x14ac:dyDescent="0.25">
      <c r="A759" s="3">
        <v>289933</v>
      </c>
    </row>
    <row r="760" spans="1:1" x14ac:dyDescent="0.25">
      <c r="A760" s="3">
        <v>289933</v>
      </c>
    </row>
    <row r="761" spans="1:1" x14ac:dyDescent="0.25">
      <c r="A761" s="3">
        <v>289933</v>
      </c>
    </row>
    <row r="762" spans="1:1" x14ac:dyDescent="0.25">
      <c r="A762" s="3">
        <v>321765</v>
      </c>
    </row>
    <row r="763" spans="1:1" x14ac:dyDescent="0.25">
      <c r="A763" s="3">
        <v>330274</v>
      </c>
    </row>
    <row r="764" spans="1:1" x14ac:dyDescent="0.25">
      <c r="A764" s="3">
        <v>347365</v>
      </c>
    </row>
    <row r="765" spans="1:1" x14ac:dyDescent="0.25">
      <c r="A765" s="3">
        <v>347365</v>
      </c>
    </row>
    <row r="766" spans="1:1" x14ac:dyDescent="0.25">
      <c r="A766" s="3">
        <v>347365</v>
      </c>
    </row>
    <row r="767" spans="1:1" x14ac:dyDescent="0.25">
      <c r="A767" s="3">
        <v>347365</v>
      </c>
    </row>
    <row r="768" spans="1:1" x14ac:dyDescent="0.25">
      <c r="A768" s="3">
        <v>354066</v>
      </c>
    </row>
    <row r="769" spans="1:1" x14ac:dyDescent="0.25">
      <c r="A769" s="3">
        <v>354066</v>
      </c>
    </row>
    <row r="770" spans="1:1" x14ac:dyDescent="0.25">
      <c r="A770" s="3">
        <v>354069</v>
      </c>
    </row>
    <row r="771" spans="1:1" x14ac:dyDescent="0.25">
      <c r="A771" s="3">
        <v>371694</v>
      </c>
    </row>
    <row r="772" spans="1:1" x14ac:dyDescent="0.25">
      <c r="A772" s="3">
        <v>371694</v>
      </c>
    </row>
    <row r="773" spans="1:1" x14ac:dyDescent="0.25">
      <c r="A773" s="3">
        <v>371694</v>
      </c>
    </row>
    <row r="774" spans="1:1" x14ac:dyDescent="0.25">
      <c r="A774" s="3">
        <v>371694</v>
      </c>
    </row>
    <row r="775" spans="1:1" x14ac:dyDescent="0.25">
      <c r="A775" s="3">
        <v>381189</v>
      </c>
    </row>
    <row r="776" spans="1:1" x14ac:dyDescent="0.25">
      <c r="A776" s="3">
        <v>381189</v>
      </c>
    </row>
    <row r="777" spans="1:1" x14ac:dyDescent="0.25">
      <c r="A777" s="3">
        <v>381189</v>
      </c>
    </row>
    <row r="778" spans="1:1" x14ac:dyDescent="0.25">
      <c r="A778" s="3">
        <v>381189</v>
      </c>
    </row>
    <row r="779" spans="1:1" x14ac:dyDescent="0.25">
      <c r="A779" s="3">
        <v>381189</v>
      </c>
    </row>
    <row r="780" spans="1:1" x14ac:dyDescent="0.25">
      <c r="A780" s="3">
        <v>381189</v>
      </c>
    </row>
    <row r="781" spans="1:1" x14ac:dyDescent="0.25">
      <c r="A781" s="3">
        <v>381189</v>
      </c>
    </row>
    <row r="782" spans="1:1" x14ac:dyDescent="0.25">
      <c r="A782" s="3">
        <v>381189</v>
      </c>
    </row>
    <row r="783" spans="1:1" x14ac:dyDescent="0.25">
      <c r="A783" s="3">
        <v>381189</v>
      </c>
    </row>
    <row r="784" spans="1:1" x14ac:dyDescent="0.25">
      <c r="A784" s="3">
        <v>381189</v>
      </c>
    </row>
    <row r="785" spans="1:1" x14ac:dyDescent="0.25">
      <c r="A785" s="3">
        <v>381189</v>
      </c>
    </row>
    <row r="786" spans="1:1" x14ac:dyDescent="0.25">
      <c r="A786" s="3">
        <v>381189</v>
      </c>
    </row>
    <row r="787" spans="1:1" x14ac:dyDescent="0.25">
      <c r="A787" s="3">
        <v>381189</v>
      </c>
    </row>
    <row r="788" spans="1:1" x14ac:dyDescent="0.25">
      <c r="A788" s="3">
        <v>381189</v>
      </c>
    </row>
    <row r="789" spans="1:1" x14ac:dyDescent="0.25">
      <c r="A789" s="3">
        <v>381189</v>
      </c>
    </row>
    <row r="790" spans="1:1" x14ac:dyDescent="0.25">
      <c r="A790" s="3">
        <v>381189</v>
      </c>
    </row>
    <row r="791" spans="1:1" x14ac:dyDescent="0.25">
      <c r="A791" s="3">
        <v>381189</v>
      </c>
    </row>
    <row r="792" spans="1:1" x14ac:dyDescent="0.25">
      <c r="A792" s="3">
        <v>381189</v>
      </c>
    </row>
    <row r="793" spans="1:1" x14ac:dyDescent="0.25">
      <c r="A793" s="3">
        <v>381189</v>
      </c>
    </row>
    <row r="794" spans="1:1" x14ac:dyDescent="0.25">
      <c r="A794" s="3">
        <v>381189</v>
      </c>
    </row>
    <row r="795" spans="1:1" x14ac:dyDescent="0.25">
      <c r="A795" s="3">
        <v>381189</v>
      </c>
    </row>
    <row r="796" spans="1:1" x14ac:dyDescent="0.25">
      <c r="A796" s="3">
        <v>381189</v>
      </c>
    </row>
    <row r="797" spans="1:1" x14ac:dyDescent="0.25">
      <c r="A797" s="3">
        <v>381189</v>
      </c>
    </row>
    <row r="798" spans="1:1" x14ac:dyDescent="0.25">
      <c r="A798" s="3">
        <v>381189</v>
      </c>
    </row>
    <row r="799" spans="1:1" x14ac:dyDescent="0.25">
      <c r="A799" s="3">
        <v>381189</v>
      </c>
    </row>
    <row r="800" spans="1:1" x14ac:dyDescent="0.25">
      <c r="A800" s="3">
        <v>381189</v>
      </c>
    </row>
    <row r="801" spans="1:1" x14ac:dyDescent="0.25">
      <c r="A801" s="3">
        <v>381189</v>
      </c>
    </row>
    <row r="802" spans="1:1" x14ac:dyDescent="0.25">
      <c r="A802" s="3">
        <v>381189</v>
      </c>
    </row>
    <row r="803" spans="1:1" x14ac:dyDescent="0.25">
      <c r="A803" s="3">
        <v>381189</v>
      </c>
    </row>
    <row r="804" spans="1:1" x14ac:dyDescent="0.25">
      <c r="A804" s="3">
        <v>381189</v>
      </c>
    </row>
    <row r="805" spans="1:1" x14ac:dyDescent="0.25">
      <c r="A805" s="3">
        <v>381189</v>
      </c>
    </row>
    <row r="806" spans="1:1" x14ac:dyDescent="0.25">
      <c r="A806" s="3">
        <v>381189</v>
      </c>
    </row>
    <row r="807" spans="1:1" x14ac:dyDescent="0.25">
      <c r="A807" s="3">
        <v>381189</v>
      </c>
    </row>
    <row r="808" spans="1:1" x14ac:dyDescent="0.25">
      <c r="A808" s="3">
        <v>381189</v>
      </c>
    </row>
    <row r="809" spans="1:1" x14ac:dyDescent="0.25">
      <c r="A809" s="3">
        <v>381189</v>
      </c>
    </row>
    <row r="810" spans="1:1" x14ac:dyDescent="0.25">
      <c r="A810" s="3">
        <v>381189</v>
      </c>
    </row>
    <row r="811" spans="1:1" x14ac:dyDescent="0.25">
      <c r="A811" s="3">
        <v>381189</v>
      </c>
    </row>
    <row r="812" spans="1:1" x14ac:dyDescent="0.25">
      <c r="A812" s="3">
        <v>381189</v>
      </c>
    </row>
    <row r="813" spans="1:1" x14ac:dyDescent="0.25">
      <c r="A813" s="3">
        <v>381189</v>
      </c>
    </row>
    <row r="814" spans="1:1" x14ac:dyDescent="0.25">
      <c r="A814" s="3">
        <v>381189</v>
      </c>
    </row>
    <row r="815" spans="1:1" x14ac:dyDescent="0.25">
      <c r="A815" s="3">
        <v>381189</v>
      </c>
    </row>
    <row r="816" spans="1:1" x14ac:dyDescent="0.25">
      <c r="A816" s="3">
        <v>381189</v>
      </c>
    </row>
    <row r="817" spans="1:1" x14ac:dyDescent="0.25">
      <c r="A817" s="3">
        <v>381189</v>
      </c>
    </row>
    <row r="818" spans="1:1" x14ac:dyDescent="0.25">
      <c r="A818" s="3">
        <v>381297</v>
      </c>
    </row>
    <row r="819" spans="1:1" x14ac:dyDescent="0.25">
      <c r="A819" s="3">
        <v>381297</v>
      </c>
    </row>
    <row r="820" spans="1:1" x14ac:dyDescent="0.25">
      <c r="A820" s="3">
        <v>381297</v>
      </c>
    </row>
    <row r="821" spans="1:1" x14ac:dyDescent="0.25">
      <c r="A821" s="3">
        <v>381297</v>
      </c>
    </row>
    <row r="822" spans="1:1" x14ac:dyDescent="0.25">
      <c r="A822" s="3">
        <v>381297</v>
      </c>
    </row>
    <row r="823" spans="1:1" x14ac:dyDescent="0.25">
      <c r="A823" s="3">
        <v>381297</v>
      </c>
    </row>
    <row r="824" spans="1:1" x14ac:dyDescent="0.25">
      <c r="A824" s="3">
        <v>381297</v>
      </c>
    </row>
    <row r="825" spans="1:1" x14ac:dyDescent="0.25">
      <c r="A825" s="3">
        <v>381297</v>
      </c>
    </row>
    <row r="826" spans="1:1" x14ac:dyDescent="0.25">
      <c r="A826" s="3">
        <v>381297</v>
      </c>
    </row>
    <row r="827" spans="1:1" x14ac:dyDescent="0.25">
      <c r="A827" s="3">
        <v>381297</v>
      </c>
    </row>
    <row r="828" spans="1:1" x14ac:dyDescent="0.25">
      <c r="A828" s="3">
        <v>381297</v>
      </c>
    </row>
    <row r="829" spans="1:1" x14ac:dyDescent="0.25">
      <c r="A829" s="3">
        <v>381297</v>
      </c>
    </row>
    <row r="830" spans="1:1" x14ac:dyDescent="0.25">
      <c r="A830" s="3">
        <v>381496</v>
      </c>
    </row>
    <row r="831" spans="1:1" x14ac:dyDescent="0.25">
      <c r="A831" s="3">
        <v>381496</v>
      </c>
    </row>
    <row r="832" spans="1:1" x14ac:dyDescent="0.25">
      <c r="A832" s="3">
        <v>381496</v>
      </c>
    </row>
    <row r="833" spans="1:1" x14ac:dyDescent="0.25">
      <c r="A833" s="3">
        <v>381496</v>
      </c>
    </row>
    <row r="834" spans="1:1" x14ac:dyDescent="0.25">
      <c r="A834" s="3">
        <v>381496</v>
      </c>
    </row>
    <row r="835" spans="1:1" x14ac:dyDescent="0.25">
      <c r="A835" s="3">
        <v>381496</v>
      </c>
    </row>
    <row r="836" spans="1:1" x14ac:dyDescent="0.25">
      <c r="A836" s="3">
        <v>381496</v>
      </c>
    </row>
    <row r="837" spans="1:1" x14ac:dyDescent="0.25">
      <c r="A837" s="3">
        <v>381496</v>
      </c>
    </row>
    <row r="838" spans="1:1" x14ac:dyDescent="0.25">
      <c r="A838" s="3">
        <v>381496</v>
      </c>
    </row>
    <row r="839" spans="1:1" x14ac:dyDescent="0.25">
      <c r="A839" s="3">
        <v>381496</v>
      </c>
    </row>
    <row r="840" spans="1:1" x14ac:dyDescent="0.25">
      <c r="A840" s="3">
        <v>381496</v>
      </c>
    </row>
    <row r="841" spans="1:1" x14ac:dyDescent="0.25">
      <c r="A841" s="3">
        <v>384309</v>
      </c>
    </row>
    <row r="842" spans="1:1" x14ac:dyDescent="0.25">
      <c r="A842" s="3">
        <v>384309</v>
      </c>
    </row>
    <row r="843" spans="1:1" x14ac:dyDescent="0.25">
      <c r="A843" s="3">
        <v>384309</v>
      </c>
    </row>
    <row r="844" spans="1:1" x14ac:dyDescent="0.25">
      <c r="A844" s="3">
        <v>410603</v>
      </c>
    </row>
    <row r="845" spans="1:1" x14ac:dyDescent="0.25">
      <c r="A845" s="3">
        <v>475467</v>
      </c>
    </row>
    <row r="846" spans="1:1" x14ac:dyDescent="0.25">
      <c r="A846" s="3">
        <v>640093</v>
      </c>
    </row>
    <row r="847" spans="1:1" x14ac:dyDescent="0.25">
      <c r="A847" s="3">
        <v>765484</v>
      </c>
    </row>
    <row r="848" spans="1:1" x14ac:dyDescent="0.25">
      <c r="A848" s="3">
        <v>765484</v>
      </c>
    </row>
    <row r="849" spans="1:1" x14ac:dyDescent="0.25">
      <c r="A849" s="3">
        <v>808818</v>
      </c>
    </row>
    <row r="850" spans="1:1" x14ac:dyDescent="0.25">
      <c r="A850" s="3">
        <v>808818</v>
      </c>
    </row>
    <row r="851" spans="1:1" x14ac:dyDescent="0.25">
      <c r="A851" s="3">
        <v>808818</v>
      </c>
    </row>
    <row r="852" spans="1:1" x14ac:dyDescent="0.25">
      <c r="A852" s="3">
        <v>865343</v>
      </c>
    </row>
    <row r="853" spans="1:1" x14ac:dyDescent="0.25">
      <c r="A853" s="3">
        <v>2194758</v>
      </c>
    </row>
    <row r="854" spans="1:1" x14ac:dyDescent="0.25">
      <c r="A854" s="3">
        <v>2194758</v>
      </c>
    </row>
    <row r="855" spans="1:1" x14ac:dyDescent="0.25">
      <c r="A855" s="3">
        <v>2194758</v>
      </c>
    </row>
    <row r="856" spans="1:1" x14ac:dyDescent="0.25">
      <c r="A856" s="3">
        <v>2194827</v>
      </c>
    </row>
    <row r="857" spans="1:1" x14ac:dyDescent="0.25">
      <c r="A857" s="3">
        <v>2194848</v>
      </c>
    </row>
    <row r="858" spans="1:1" x14ac:dyDescent="0.25">
      <c r="A858" s="3">
        <v>2194859</v>
      </c>
    </row>
    <row r="859" spans="1:1" x14ac:dyDescent="0.25">
      <c r="A859" s="3">
        <v>2195077</v>
      </c>
    </row>
    <row r="860" spans="1:1" x14ac:dyDescent="0.25">
      <c r="A860" s="3">
        <v>2195085</v>
      </c>
    </row>
    <row r="861" spans="1:1" x14ac:dyDescent="0.25">
      <c r="A861" s="3">
        <v>2195086</v>
      </c>
    </row>
    <row r="862" spans="1:1" x14ac:dyDescent="0.25">
      <c r="A862" s="3">
        <v>2195089</v>
      </c>
    </row>
    <row r="863" spans="1:1" x14ac:dyDescent="0.25">
      <c r="A863" s="3">
        <v>2195089</v>
      </c>
    </row>
    <row r="864" spans="1:1" x14ac:dyDescent="0.25">
      <c r="A864" s="3">
        <v>2195089</v>
      </c>
    </row>
    <row r="865" spans="1:1" x14ac:dyDescent="0.25">
      <c r="A865" s="3">
        <v>2195089</v>
      </c>
    </row>
    <row r="866" spans="1:1" x14ac:dyDescent="0.25">
      <c r="A866" s="3">
        <v>2195089</v>
      </c>
    </row>
    <row r="867" spans="1:1" x14ac:dyDescent="0.25">
      <c r="A867" s="3">
        <v>2195089</v>
      </c>
    </row>
    <row r="868" spans="1:1" x14ac:dyDescent="0.25">
      <c r="A868" s="3">
        <v>2195091</v>
      </c>
    </row>
    <row r="869" spans="1:1" x14ac:dyDescent="0.25">
      <c r="A869" s="3">
        <v>2195211</v>
      </c>
    </row>
    <row r="870" spans="1:1" x14ac:dyDescent="0.25">
      <c r="A870" s="3">
        <v>51530</v>
      </c>
    </row>
    <row r="871" spans="1:1" x14ac:dyDescent="0.25">
      <c r="A871" s="10">
        <v>120404</v>
      </c>
    </row>
    <row r="872" spans="1:1" x14ac:dyDescent="0.25">
      <c r="A872" s="10">
        <v>224027</v>
      </c>
    </row>
    <row r="873" spans="1:1" x14ac:dyDescent="0.25">
      <c r="A873" s="23">
        <v>256276</v>
      </c>
    </row>
    <row r="874" spans="1:1" x14ac:dyDescent="0.25">
      <c r="A874" s="10">
        <v>277515</v>
      </c>
    </row>
    <row r="875" spans="1:1" x14ac:dyDescent="0.25">
      <c r="A875" s="10">
        <v>321919</v>
      </c>
    </row>
    <row r="876" spans="1:1" x14ac:dyDescent="0.25">
      <c r="A876" s="3">
        <v>354066</v>
      </c>
    </row>
    <row r="877" spans="1:1" x14ac:dyDescent="0.25">
      <c r="A877" s="3">
        <v>354069</v>
      </c>
    </row>
    <row r="878" spans="1:1" x14ac:dyDescent="0.25">
      <c r="A878" s="3">
        <v>370691</v>
      </c>
    </row>
    <row r="879" spans="1:1" x14ac:dyDescent="0.25">
      <c r="A879" s="10">
        <v>382749</v>
      </c>
    </row>
    <row r="880" spans="1:1" x14ac:dyDescent="0.25">
      <c r="A880" s="10">
        <v>382844</v>
      </c>
    </row>
    <row r="881" spans="1:1" x14ac:dyDescent="0.25">
      <c r="A881" s="10">
        <v>382981</v>
      </c>
    </row>
    <row r="882" spans="1:1" x14ac:dyDescent="0.25">
      <c r="A882" s="10">
        <v>386935</v>
      </c>
    </row>
    <row r="883" spans="1:1" x14ac:dyDescent="0.25">
      <c r="A883" s="3">
        <v>397797</v>
      </c>
    </row>
    <row r="884" spans="1:1" x14ac:dyDescent="0.25">
      <c r="A884" s="23">
        <v>397822</v>
      </c>
    </row>
    <row r="885" spans="1:1" x14ac:dyDescent="0.25">
      <c r="A885" s="10">
        <v>397837</v>
      </c>
    </row>
    <row r="886" spans="1:1" x14ac:dyDescent="0.25">
      <c r="A886" s="23">
        <v>397852</v>
      </c>
    </row>
    <row r="887" spans="1:1" x14ac:dyDescent="0.25">
      <c r="A887" s="3">
        <v>397855</v>
      </c>
    </row>
    <row r="888" spans="1:1" x14ac:dyDescent="0.25">
      <c r="A888" s="23">
        <v>397863</v>
      </c>
    </row>
    <row r="889" spans="1:1" x14ac:dyDescent="0.25">
      <c r="A889" s="23">
        <v>397876</v>
      </c>
    </row>
    <row r="890" spans="1:1" x14ac:dyDescent="0.25">
      <c r="A890" s="3">
        <v>397880</v>
      </c>
    </row>
    <row r="891" spans="1:1" x14ac:dyDescent="0.25">
      <c r="A891" s="23">
        <v>402917</v>
      </c>
    </row>
    <row r="892" spans="1:1" x14ac:dyDescent="0.25">
      <c r="A892" s="23">
        <v>404543</v>
      </c>
    </row>
    <row r="893" spans="1:1" x14ac:dyDescent="0.25">
      <c r="A893" s="23">
        <v>411542</v>
      </c>
    </row>
    <row r="894" spans="1:1" x14ac:dyDescent="0.25">
      <c r="A894" s="10">
        <v>446302</v>
      </c>
    </row>
    <row r="895" spans="1:1" x14ac:dyDescent="0.25">
      <c r="A895" s="10">
        <v>458267</v>
      </c>
    </row>
    <row r="896" spans="1:1" x14ac:dyDescent="0.25">
      <c r="A896" s="3">
        <v>464811</v>
      </c>
    </row>
    <row r="897" spans="1:1" x14ac:dyDescent="0.25">
      <c r="A897" s="3">
        <v>464977</v>
      </c>
    </row>
    <row r="898" spans="1:1" x14ac:dyDescent="0.25">
      <c r="A898" s="23">
        <v>465606</v>
      </c>
    </row>
    <row r="899" spans="1:1" x14ac:dyDescent="0.25">
      <c r="A899" s="23">
        <v>471392</v>
      </c>
    </row>
    <row r="900" spans="1:1" x14ac:dyDescent="0.25">
      <c r="A900" s="10">
        <v>473486</v>
      </c>
    </row>
    <row r="901" spans="1:1" x14ac:dyDescent="0.25">
      <c r="A901" s="10">
        <v>473530</v>
      </c>
    </row>
    <row r="902" spans="1:1" x14ac:dyDescent="0.25">
      <c r="A902" s="23">
        <v>475214</v>
      </c>
    </row>
    <row r="903" spans="1:1" x14ac:dyDescent="0.25">
      <c r="A903" s="23">
        <v>476957</v>
      </c>
    </row>
    <row r="904" spans="1:1" x14ac:dyDescent="0.25">
      <c r="A904" s="10">
        <v>742175</v>
      </c>
    </row>
    <row r="905" spans="1:1" x14ac:dyDescent="0.25">
      <c r="A905" s="10">
        <v>742176</v>
      </c>
    </row>
    <row r="906" spans="1:1" x14ac:dyDescent="0.25">
      <c r="A906" s="10">
        <v>742180</v>
      </c>
    </row>
    <row r="907" spans="1:1" x14ac:dyDescent="0.25">
      <c r="A907" s="3">
        <v>765484</v>
      </c>
    </row>
    <row r="908" spans="1:1" x14ac:dyDescent="0.25">
      <c r="A908" s="3">
        <v>766189</v>
      </c>
    </row>
    <row r="909" spans="1:1" x14ac:dyDescent="0.25">
      <c r="A909" s="3">
        <v>789264</v>
      </c>
    </row>
    <row r="910" spans="1:1" x14ac:dyDescent="0.25">
      <c r="A910" s="23">
        <v>798863</v>
      </c>
    </row>
    <row r="911" spans="1:1" x14ac:dyDescent="0.25">
      <c r="A911" s="23">
        <v>798864</v>
      </c>
    </row>
    <row r="912" spans="1:1" x14ac:dyDescent="0.25">
      <c r="A912" s="23">
        <v>798881</v>
      </c>
    </row>
    <row r="913" spans="1:1" x14ac:dyDescent="0.25">
      <c r="A913" s="23">
        <v>800863</v>
      </c>
    </row>
    <row r="914" spans="1:1" x14ac:dyDescent="0.25">
      <c r="A914" s="23">
        <v>800870</v>
      </c>
    </row>
    <row r="915" spans="1:1" x14ac:dyDescent="0.25">
      <c r="A915" s="23">
        <v>807561</v>
      </c>
    </row>
    <row r="916" spans="1:1" x14ac:dyDescent="0.25">
      <c r="A916" s="23">
        <v>807675</v>
      </c>
    </row>
    <row r="917" spans="1:1" x14ac:dyDescent="0.25">
      <c r="A917" s="10">
        <v>808481</v>
      </c>
    </row>
    <row r="918" spans="1:1" x14ac:dyDescent="0.25">
      <c r="A918" s="10">
        <v>808486</v>
      </c>
    </row>
    <row r="919" spans="1:1" x14ac:dyDescent="0.25">
      <c r="A919" s="10">
        <v>808497</v>
      </c>
    </row>
    <row r="920" spans="1:1" x14ac:dyDescent="0.25">
      <c r="A920" s="10">
        <v>808502</v>
      </c>
    </row>
    <row r="921" spans="1:1" x14ac:dyDescent="0.25">
      <c r="A921" s="10">
        <v>808536</v>
      </c>
    </row>
    <row r="922" spans="1:1" x14ac:dyDescent="0.25">
      <c r="A922" s="10">
        <v>810044</v>
      </c>
    </row>
    <row r="923" spans="1:1" x14ac:dyDescent="0.25">
      <c r="A923" s="10">
        <v>810055</v>
      </c>
    </row>
    <row r="924" spans="1:1" x14ac:dyDescent="0.25">
      <c r="A924" s="23">
        <v>810381</v>
      </c>
    </row>
    <row r="925" spans="1:1" x14ac:dyDescent="0.25">
      <c r="A925" s="10">
        <v>849980</v>
      </c>
    </row>
    <row r="926" spans="1:1" x14ac:dyDescent="0.25">
      <c r="A926" s="10">
        <v>849990</v>
      </c>
    </row>
    <row r="927" spans="1:1" x14ac:dyDescent="0.25">
      <c r="A927" s="23">
        <v>851350</v>
      </c>
    </row>
    <row r="928" spans="1:1" x14ac:dyDescent="0.25">
      <c r="A928" s="23">
        <v>852833</v>
      </c>
    </row>
    <row r="929" spans="1:1" x14ac:dyDescent="0.25">
      <c r="A929" s="23">
        <v>859037</v>
      </c>
    </row>
    <row r="930" spans="1:1" x14ac:dyDescent="0.25">
      <c r="A930" s="23">
        <v>874327</v>
      </c>
    </row>
    <row r="931" spans="1:1" x14ac:dyDescent="0.25">
      <c r="A931" s="10">
        <v>1066418</v>
      </c>
    </row>
    <row r="932" spans="1:1" x14ac:dyDescent="0.25">
      <c r="A932" s="23">
        <v>1073960</v>
      </c>
    </row>
    <row r="933" spans="1:1" x14ac:dyDescent="0.25">
      <c r="A933" s="3">
        <v>2195211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8BEE-D19A-40F1-AA7B-73850D4537E7}">
  <dimension ref="A1:D28"/>
  <sheetViews>
    <sheetView workbookViewId="0">
      <selection activeCell="B20" sqref="B20"/>
    </sheetView>
  </sheetViews>
  <sheetFormatPr defaultRowHeight="15" x14ac:dyDescent="0.25"/>
  <cols>
    <col min="2" max="2" width="65" bestFit="1" customWidth="1"/>
    <col min="4" max="4" width="79.140625" bestFit="1" customWidth="1"/>
  </cols>
  <sheetData>
    <row r="1" spans="1:4" x14ac:dyDescent="0.25">
      <c r="A1" t="s">
        <v>1106</v>
      </c>
      <c r="C1">
        <v>1790</v>
      </c>
      <c r="D1" t="str">
        <f>CONCATENATE(A1," - ",B1,"|",C1)</f>
        <v>Cantos - |1790</v>
      </c>
    </row>
    <row r="2" spans="1:4" x14ac:dyDescent="0.25">
      <c r="A2" t="s">
        <v>1106</v>
      </c>
      <c r="B2" t="s">
        <v>1107</v>
      </c>
      <c r="C2">
        <v>1791</v>
      </c>
      <c r="D2" t="str">
        <f t="shared" ref="D2:D28" si="0">CONCATENATE(A2," - ",B2,"|",C2)</f>
        <v>Cantos - Canto I|1791</v>
      </c>
    </row>
    <row r="3" spans="1:4" x14ac:dyDescent="0.25">
      <c r="A3" t="s">
        <v>1106</v>
      </c>
      <c r="B3" t="s">
        <v>1108</v>
      </c>
      <c r="C3">
        <v>1792</v>
      </c>
      <c r="D3" t="str">
        <f t="shared" si="0"/>
        <v>Cantos - Canto II|1792</v>
      </c>
    </row>
    <row r="4" spans="1:4" x14ac:dyDescent="0.25">
      <c r="A4" t="s">
        <v>1106</v>
      </c>
      <c r="B4" t="s">
        <v>1109</v>
      </c>
      <c r="C4">
        <v>1793</v>
      </c>
      <c r="D4" t="str">
        <f t="shared" si="0"/>
        <v>Cantos - Canto III|1793</v>
      </c>
    </row>
    <row r="5" spans="1:4" x14ac:dyDescent="0.25">
      <c r="A5" t="s">
        <v>1106</v>
      </c>
      <c r="B5" t="s">
        <v>1110</v>
      </c>
      <c r="C5">
        <v>1794</v>
      </c>
      <c r="D5" t="str">
        <f t="shared" si="0"/>
        <v>Cantos - Canto IV|1794</v>
      </c>
    </row>
    <row r="6" spans="1:4" x14ac:dyDescent="0.25">
      <c r="A6" t="s">
        <v>1106</v>
      </c>
      <c r="B6" t="s">
        <v>1111</v>
      </c>
      <c r="C6">
        <v>1795</v>
      </c>
      <c r="D6" t="str">
        <f t="shared" si="0"/>
        <v>Cantos - Canto V|1795</v>
      </c>
    </row>
    <row r="7" spans="1:4" x14ac:dyDescent="0.25">
      <c r="A7" t="s">
        <v>1106</v>
      </c>
      <c r="B7" t="s">
        <v>1112</v>
      </c>
      <c r="C7">
        <v>1796</v>
      </c>
      <c r="D7" t="str">
        <f t="shared" si="0"/>
        <v>Cantos - Canto VI|1796</v>
      </c>
    </row>
    <row r="8" spans="1:4" x14ac:dyDescent="0.25">
      <c r="A8" t="s">
        <v>1106</v>
      </c>
      <c r="B8" t="s">
        <v>1113</v>
      </c>
      <c r="C8">
        <v>1797</v>
      </c>
      <c r="D8" t="str">
        <f t="shared" si="0"/>
        <v>Cantos - Canto VII|1797</v>
      </c>
    </row>
    <row r="9" spans="1:4" x14ac:dyDescent="0.25">
      <c r="A9" t="s">
        <v>1106</v>
      </c>
      <c r="B9" t="s">
        <v>1114</v>
      </c>
      <c r="C9">
        <v>1798</v>
      </c>
      <c r="D9" t="str">
        <f t="shared" si="0"/>
        <v>Cantos - Canto VIII|1798</v>
      </c>
    </row>
    <row r="10" spans="1:4" x14ac:dyDescent="0.25">
      <c r="A10" t="s">
        <v>1106</v>
      </c>
      <c r="B10" t="s">
        <v>1115</v>
      </c>
      <c r="C10">
        <v>1799</v>
      </c>
      <c r="D10" t="str">
        <f t="shared" si="0"/>
        <v>Cantos - Canto XIX|1799</v>
      </c>
    </row>
    <row r="11" spans="1:4" x14ac:dyDescent="0.25">
      <c r="A11" t="s">
        <v>1106</v>
      </c>
      <c r="B11" t="s">
        <v>1116</v>
      </c>
      <c r="C11">
        <v>1800</v>
      </c>
      <c r="D11" t="str">
        <f t="shared" si="0"/>
        <v>Cantos - Canto X|1800</v>
      </c>
    </row>
    <row r="12" spans="1:4" x14ac:dyDescent="0.25">
      <c r="A12" t="s">
        <v>1117</v>
      </c>
      <c r="C12">
        <v>1801</v>
      </c>
      <c r="D12" t="str">
        <f t="shared" si="0"/>
        <v>Retratos - |1801</v>
      </c>
    </row>
    <row r="13" spans="1:4" x14ac:dyDescent="0.25">
      <c r="A13" t="s">
        <v>1117</v>
      </c>
      <c r="B13" t="s">
        <v>1105</v>
      </c>
      <c r="C13">
        <v>1802</v>
      </c>
      <c r="D13" t="str">
        <f t="shared" si="0"/>
        <v>Retratos - Camões|1802</v>
      </c>
    </row>
    <row r="14" spans="1:4" x14ac:dyDescent="0.25">
      <c r="A14" t="s">
        <v>1117</v>
      </c>
      <c r="B14" t="s">
        <v>1118</v>
      </c>
      <c r="C14">
        <v>1803</v>
      </c>
      <c r="D14" t="str">
        <f t="shared" si="0"/>
        <v>Retratos - Vasco da Gama|1803</v>
      </c>
    </row>
    <row r="15" spans="1:4" x14ac:dyDescent="0.25">
      <c r="A15" t="s">
        <v>1117</v>
      </c>
      <c r="B15" t="s">
        <v>1119</v>
      </c>
      <c r="C15">
        <v>1804</v>
      </c>
      <c r="D15" t="str">
        <f t="shared" si="0"/>
        <v>Retratos - Manuel de Faria|1804</v>
      </c>
    </row>
    <row r="16" spans="1:4" x14ac:dyDescent="0.25">
      <c r="A16" t="s">
        <v>1117</v>
      </c>
      <c r="B16" t="s">
        <v>1120</v>
      </c>
      <c r="C16">
        <v>1805</v>
      </c>
      <c r="D16" t="str">
        <f t="shared" si="0"/>
        <v>Retratos - António José Gomes Monteiro|1805</v>
      </c>
    </row>
    <row r="17" spans="1:4" x14ac:dyDescent="0.25">
      <c r="A17" t="s">
        <v>1121</v>
      </c>
      <c r="C17">
        <v>1806</v>
      </c>
      <c r="D17" t="str">
        <f t="shared" si="0"/>
        <v>Episódios - |1806</v>
      </c>
    </row>
    <row r="18" spans="1:4" x14ac:dyDescent="0.25">
      <c r="A18" t="s">
        <v>1121</v>
      </c>
      <c r="B18" t="s">
        <v>1122</v>
      </c>
      <c r="C18">
        <v>1807</v>
      </c>
      <c r="D18" t="str">
        <f t="shared" si="0"/>
        <v>Episódios - Camões na gruta de Macau|1807</v>
      </c>
    </row>
    <row r="19" spans="1:4" x14ac:dyDescent="0.25">
      <c r="A19" t="s">
        <v>1121</v>
      </c>
      <c r="B19" t="s">
        <v>3897</v>
      </c>
      <c r="C19">
        <v>1808</v>
      </c>
      <c r="D19" t="str">
        <f t="shared" si="0"/>
        <v>Episódios - Visita do Rei de Melinde a Gama|1808</v>
      </c>
    </row>
    <row r="20" spans="1:4" x14ac:dyDescent="0.25">
      <c r="A20" t="s">
        <v>1121</v>
      </c>
      <c r="B20" t="s">
        <v>1123</v>
      </c>
      <c r="C20">
        <v>1809</v>
      </c>
      <c r="D20" t="str">
        <f t="shared" si="0"/>
        <v>Episódios - Concílio "Conselho dos Deuses"|1809</v>
      </c>
    </row>
    <row r="21" spans="1:4" x14ac:dyDescent="0.25">
      <c r="A21" t="s">
        <v>1121</v>
      </c>
      <c r="B21" t="s">
        <v>1124</v>
      </c>
      <c r="C21">
        <v>1810</v>
      </c>
      <c r="D21" t="str">
        <f t="shared" si="0"/>
        <v>Episódios - Sonho d'El-Rei D. Manuel, no qual lhe aparecem os rios Indo e Ganges|1810</v>
      </c>
    </row>
    <row r="22" spans="1:4" x14ac:dyDescent="0.25">
      <c r="A22" t="s">
        <v>1121</v>
      </c>
      <c r="B22" t="s">
        <v>1125</v>
      </c>
      <c r="C22">
        <v>1811</v>
      </c>
      <c r="D22" t="str">
        <f t="shared" si="0"/>
        <v>Episódios - Assassínio de Inês de Castro|1811</v>
      </c>
    </row>
    <row r="23" spans="1:4" x14ac:dyDescent="0.25">
      <c r="A23" t="s">
        <v>1121</v>
      </c>
      <c r="B23" t="s">
        <v>1126</v>
      </c>
      <c r="C23">
        <v>1812</v>
      </c>
      <c r="D23" t="str">
        <f t="shared" si="0"/>
        <v>Episódios - Aparição do gigante Adamastor na passagem do Cabo de B. Esperança|1812</v>
      </c>
    </row>
    <row r="24" spans="1:4" x14ac:dyDescent="0.25">
      <c r="A24" t="s">
        <v>1121</v>
      </c>
      <c r="B24" t="s">
        <v>1127</v>
      </c>
      <c r="C24">
        <v>1813</v>
      </c>
      <c r="D24" t="str">
        <f t="shared" si="0"/>
        <v>Episódios - Vénus aplaca os Ventos e a tormenta|1813</v>
      </c>
    </row>
    <row r="25" spans="1:4" x14ac:dyDescent="0.25">
      <c r="A25" t="s">
        <v>1121</v>
      </c>
      <c r="B25" t="s">
        <v>1128</v>
      </c>
      <c r="C25">
        <v>1814</v>
      </c>
      <c r="D25" t="str">
        <f t="shared" si="0"/>
        <v>Episódios - Desembarque de Gama em Calecut|1814</v>
      </c>
    </row>
    <row r="26" spans="1:4" x14ac:dyDescent="0.25">
      <c r="A26" t="s">
        <v>1121</v>
      </c>
      <c r="B26" t="s">
        <v>1129</v>
      </c>
      <c r="C26">
        <v>1815</v>
      </c>
      <c r="D26" t="str">
        <f t="shared" si="0"/>
        <v>Episódios - Segunda Audiência do Samorim a Gama|1815</v>
      </c>
    </row>
    <row r="27" spans="1:4" x14ac:dyDescent="0.25">
      <c r="A27" t="s">
        <v>1121</v>
      </c>
      <c r="B27" t="s">
        <v>1130</v>
      </c>
      <c r="C27">
        <v>1816</v>
      </c>
      <c r="D27" t="str">
        <f t="shared" si="0"/>
        <v>Episódios - Ilha de Vénus|1816</v>
      </c>
    </row>
    <row r="28" spans="1:4" x14ac:dyDescent="0.25">
      <c r="A28" t="s">
        <v>1121</v>
      </c>
      <c r="B28" t="s">
        <v>1131</v>
      </c>
      <c r="C28">
        <v>1817</v>
      </c>
      <c r="D28" t="str">
        <f t="shared" si="0"/>
        <v>Episódios - Audiência d’El-Rei D. Manuel a Gama|1817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464AE8-D492-415E-8E37-EC8C4CEA2B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imagens</vt:lpstr>
      <vt:lpstr>imagens-partilhar</vt:lpstr>
      <vt:lpstr>imagens-regina</vt:lpstr>
      <vt:lpstr>todos</vt:lpstr>
      <vt:lpstr>verificar</vt:lpstr>
      <vt:lpstr>faltam</vt:lpstr>
      <vt:lpstr>ncb-para-extrair</vt:lpstr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de Ayala Serôdio de Sales Baptista</dc:creator>
  <cp:lastModifiedBy>Miguel de Ayala Serôdio de Sales Baptista</cp:lastModifiedBy>
  <dcterms:created xsi:type="dcterms:W3CDTF">2026-02-12T14:47:21Z</dcterms:created>
  <dcterms:modified xsi:type="dcterms:W3CDTF">2026-04-14T14:55:15Z</dcterms:modified>
</cp:coreProperties>
</file>